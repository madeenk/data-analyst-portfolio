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KES Guntur\Document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2" i="1"/>
</calcChain>
</file>

<file path=xl/sharedStrings.xml><?xml version="1.0" encoding="utf-8"?>
<sst xmlns="http://schemas.openxmlformats.org/spreadsheetml/2006/main" count="65140" uniqueCount="10678">
  <si>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</si>
  <si>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</si>
  <si>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</si>
  <si>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</si>
  <si>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</si>
  <si>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</si>
  <si>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</si>
  <si>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</si>
  <si>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</si>
  <si>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</si>
  <si>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</si>
  <si>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</si>
  <si>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</si>
  <si>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</si>
  <si>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</si>
  <si>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</si>
  <si>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</si>
  <si>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</si>
  <si>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</si>
  <si>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</si>
  <si>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</si>
  <si>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</si>
  <si>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</si>
  <si>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</si>
  <si>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</si>
  <si>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</si>
  <si>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</si>
  <si>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</si>
  <si>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</si>
  <si>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</si>
  <si>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</si>
  <si>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</si>
  <si>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</si>
  <si>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</si>
  <si>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</si>
  <si>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</si>
  <si>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</si>
  <si>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</si>
  <si>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</si>
  <si>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</si>
  <si>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</si>
  <si>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</si>
  <si>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</si>
  <si>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</si>
  <si>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</si>
  <si>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</si>
  <si>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</si>
  <si>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</si>
  <si>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</si>
  <si>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</si>
  <si>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</si>
  <si>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</si>
  <si>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</si>
  <si>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</si>
  <si>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</si>
  <si>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</si>
  <si>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</si>
  <si>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</si>
  <si>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</si>
  <si>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</si>
  <si>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</si>
  <si>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</si>
  <si>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</si>
  <si>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</si>
  <si>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</si>
  <si>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</si>
  <si>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</si>
  <si>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</si>
  <si>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</si>
  <si>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</si>
  <si>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</si>
  <si>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</si>
  <si>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</si>
  <si>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</si>
  <si>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</si>
  <si>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</si>
  <si>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</si>
  <si>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</si>
  <si>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</si>
  <si>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</si>
  <si>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</si>
  <si>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</si>
  <si>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</si>
  <si>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</si>
  <si>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</si>
  <si>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</si>
  <si>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</si>
  <si>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</si>
  <si>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</si>
  <si>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</si>
  <si>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</si>
  <si>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</si>
  <si>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</si>
  <si>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</si>
  <si>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</si>
  <si>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</si>
  <si>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</si>
  <si>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</si>
  <si>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</si>
  <si>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</si>
  <si>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</si>
  <si>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</si>
  <si>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</si>
  <si>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</si>
  <si>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</si>
  <si>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</si>
  <si>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</si>
  <si>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</si>
  <si>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</si>
  <si>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</si>
  <si>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</si>
  <si>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</si>
  <si>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</si>
  <si>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</si>
  <si>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</si>
  <si>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</si>
  <si>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</si>
  <si>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</si>
  <si>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</si>
  <si>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</si>
  <si>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</si>
  <si>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</si>
  <si>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</si>
  <si>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</si>
  <si>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</si>
  <si>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</si>
  <si>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</si>
  <si>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</si>
  <si>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</si>
  <si>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</si>
  <si>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</si>
  <si>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</si>
  <si>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</si>
  <si>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</si>
  <si>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</si>
  <si>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</si>
  <si>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</si>
  <si>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</si>
  <si>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</si>
  <si>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</si>
  <si>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</si>
  <si>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</si>
  <si>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</si>
  <si>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</si>
  <si>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</si>
  <si>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</si>
  <si>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</si>
  <si>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</si>
  <si>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</si>
  <si>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</si>
  <si>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</si>
  <si>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</si>
  <si>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</si>
  <si>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</si>
  <si>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</si>
  <si>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</si>
  <si>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</si>
  <si>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</si>
  <si>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</si>
  <si>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</si>
  <si>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</si>
  <si>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</si>
  <si>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</si>
  <si>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</si>
  <si>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</si>
  <si>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</si>
  <si>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</si>
  <si>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</si>
  <si>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</si>
  <si>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</si>
  <si>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</si>
  <si>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</si>
  <si>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</si>
  <si>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</si>
  <si>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</si>
  <si>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</si>
  <si>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</si>
  <si>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</si>
  <si>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</si>
  <si>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</si>
  <si>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</si>
  <si>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</si>
  <si>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</si>
  <si>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</si>
  <si>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</si>
  <si>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</si>
  <si>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</si>
  <si>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</si>
  <si>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</si>
  <si>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</si>
  <si>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</si>
  <si>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</si>
  <si>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</si>
  <si>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</si>
  <si>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</si>
  <si>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</si>
  <si>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</si>
  <si>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</si>
  <si>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</si>
  <si>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</si>
  <si>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</si>
  <si>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</si>
  <si>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</si>
  <si>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</si>
  <si>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</si>
  <si>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</si>
  <si>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</si>
  <si>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</si>
  <si>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</si>
  <si>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</si>
  <si>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</si>
  <si>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</si>
  <si>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</si>
  <si>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</si>
  <si>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</si>
  <si>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</si>
  <si>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</si>
  <si>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</si>
  <si>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</si>
  <si>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</si>
  <si>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</si>
  <si>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</si>
  <si>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</si>
  <si>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</si>
  <si>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</si>
  <si>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</si>
  <si>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</si>
  <si>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</si>
  <si>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</si>
  <si>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</si>
  <si>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</si>
  <si>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</si>
  <si>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</si>
  <si>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</si>
  <si>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</si>
  <si>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</si>
  <si>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</si>
  <si>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</si>
  <si>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</si>
  <si>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</si>
  <si>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</si>
  <si>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</si>
  <si>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</si>
  <si>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</si>
  <si>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</si>
  <si>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</si>
  <si>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</si>
  <si>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</si>
  <si>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</si>
  <si>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</si>
  <si>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</si>
  <si>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</si>
  <si>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</si>
  <si>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</si>
  <si>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</si>
  <si>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</si>
  <si>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</si>
  <si>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</si>
  <si>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</si>
  <si>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</si>
  <si>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</si>
  <si>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</si>
  <si>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</si>
  <si>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</si>
  <si>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</si>
  <si>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</si>
  <si>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</si>
  <si>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</si>
  <si>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CA-2016-111682</t>
  </si>
  <si>
    <t>TB-21055</t>
  </si>
  <si>
    <t>Ted Butterfield</t>
  </si>
  <si>
    <t>Troy</t>
  </si>
  <si>
    <t>OFF-ST-10000604</t>
  </si>
  <si>
    <t>Home/Office Personal File Carts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</si>
  <si>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</si>
  <si>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</si>
  <si>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</si>
  <si>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</si>
  <si>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</si>
  <si>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</si>
  <si>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</si>
  <si>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</si>
  <si>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</si>
  <si>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</si>
  <si>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</si>
  <si>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</si>
  <si>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</si>
  <si>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</si>
  <si>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</si>
  <si>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</si>
  <si>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</si>
  <si>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</si>
  <si>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</si>
  <si>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</si>
  <si>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</si>
  <si>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</si>
  <si>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</si>
  <si>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</si>
  <si>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</si>
  <si>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</si>
  <si>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</si>
  <si>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</si>
  <si>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</si>
  <si>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</si>
  <si>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</si>
  <si>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</si>
  <si>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</si>
  <si>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</si>
  <si>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</si>
  <si>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</si>
  <si>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</si>
  <si>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</si>
  <si>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</si>
  <si>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</si>
  <si>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</si>
  <si>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</si>
  <si>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</si>
  <si>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</si>
  <si>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</si>
  <si>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</si>
  <si>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</si>
  <si>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</si>
  <si>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</si>
  <si>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</si>
  <si>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</si>
  <si>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</si>
  <si>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</si>
  <si>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</si>
  <si>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</si>
  <si>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</si>
  <si>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</si>
  <si>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</si>
  <si>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</si>
  <si>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</si>
  <si>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</si>
  <si>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</si>
  <si>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</si>
  <si>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</si>
  <si>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</si>
  <si>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</si>
  <si>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</si>
  <si>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</si>
  <si>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</si>
  <si>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</si>
  <si>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</si>
  <si>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</si>
  <si>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</si>
  <si>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</si>
  <si>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</si>
  <si>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</si>
  <si>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</si>
  <si>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</si>
  <si>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</si>
  <si>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</si>
  <si>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</si>
  <si>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</si>
  <si>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</si>
  <si>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</si>
  <si>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</si>
  <si>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</si>
  <si>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</si>
  <si>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</si>
  <si>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</si>
  <si>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</si>
  <si>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</si>
  <si>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</si>
  <si>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</si>
  <si>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</si>
  <si>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</si>
  <si>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</si>
  <si>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</si>
  <si>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</si>
  <si>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</si>
  <si>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</si>
  <si>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</si>
  <si>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</si>
  <si>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</si>
  <si>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</si>
  <si>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</si>
  <si>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</si>
  <si>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</si>
  <si>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</si>
  <si>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</si>
  <si>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</si>
  <si>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</si>
  <si>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</si>
  <si>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</si>
  <si>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</si>
  <si>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</si>
  <si>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</si>
  <si>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</si>
  <si>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</si>
  <si>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</si>
  <si>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</si>
  <si>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</si>
  <si>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</si>
  <si>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</si>
  <si>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</si>
  <si>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</si>
  <si>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</si>
  <si>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</si>
  <si>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</si>
  <si>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</si>
  <si>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</si>
  <si>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</si>
  <si>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</si>
  <si>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</si>
  <si>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</si>
  <si>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</si>
  <si>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</si>
  <si>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</si>
  <si>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</si>
  <si>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</si>
  <si>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</si>
  <si>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</si>
  <si>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</si>
  <si>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</si>
  <si>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</si>
  <si>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</si>
  <si>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</si>
  <si>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</si>
  <si>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</si>
  <si>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</si>
  <si>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</si>
  <si>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</si>
  <si>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</si>
  <si>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</si>
  <si>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</si>
  <si>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</si>
  <si>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</si>
  <si>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</si>
  <si>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</si>
  <si>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</si>
  <si>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</si>
  <si>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</si>
  <si>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</si>
  <si>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</si>
  <si>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</si>
  <si>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</si>
  <si>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</si>
  <si>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</si>
  <si>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</si>
  <si>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</si>
  <si>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</si>
  <si>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</si>
  <si>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</si>
  <si>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</si>
  <si>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</si>
  <si>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</si>
  <si>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</si>
  <si>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</si>
  <si>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</si>
  <si>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</si>
  <si>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</si>
  <si>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</si>
  <si>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</si>
  <si>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</si>
  <si>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</si>
  <si>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</si>
  <si>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</si>
  <si>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</si>
  <si>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</si>
  <si>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</si>
  <si>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</si>
  <si>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</si>
  <si>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</si>
  <si>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</si>
  <si>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</si>
  <si>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</si>
  <si>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</si>
  <si>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</si>
  <si>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</si>
  <si>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</si>
  <si>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</si>
  <si>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</si>
  <si>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</si>
  <si>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</si>
  <si>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</si>
  <si>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</si>
  <si>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</si>
  <si>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</si>
  <si>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</si>
  <si>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</si>
  <si>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</si>
  <si>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</si>
  <si>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</si>
  <si>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</si>
  <si>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</si>
  <si>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</si>
  <si>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</si>
  <si>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</si>
  <si>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</si>
  <si>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</si>
  <si>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</si>
  <si>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</si>
  <si>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</si>
  <si>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</si>
  <si>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</si>
  <si>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</si>
  <si>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</si>
  <si>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</si>
  <si>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</si>
  <si>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</si>
  <si>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</si>
  <si>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</si>
  <si>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</si>
  <si>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</si>
  <si>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</si>
  <si>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</si>
  <si>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</si>
  <si>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</si>
  <si>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</si>
  <si>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</si>
  <si>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</si>
  <si>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</si>
  <si>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</si>
  <si>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</si>
  <si>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</si>
  <si>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</si>
  <si>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</si>
  <si>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</si>
  <si>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</si>
  <si>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</si>
  <si>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</si>
  <si>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</si>
  <si>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</si>
  <si>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</si>
  <si>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</si>
  <si>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</si>
  <si>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</si>
  <si>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</si>
  <si>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</si>
  <si>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</si>
  <si>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</si>
  <si>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</si>
  <si>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</si>
  <si>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</si>
  <si>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</si>
  <si>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</si>
  <si>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</si>
  <si>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</si>
  <si>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</si>
  <si>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</si>
  <si>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</si>
  <si>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</si>
  <si>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</si>
  <si>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</si>
  <si>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</si>
  <si>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</si>
  <si>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</si>
  <si>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</si>
  <si>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</si>
  <si>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</si>
  <si>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</si>
  <si>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</si>
  <si>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</si>
  <si>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</si>
  <si>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</si>
  <si>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</si>
  <si>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</si>
  <si>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</si>
  <si>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</si>
  <si>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</si>
  <si>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</si>
  <si>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</si>
  <si>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</si>
  <si>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</si>
  <si>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</si>
  <si>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</si>
  <si>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</si>
  <si>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</si>
  <si>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</si>
  <si>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</si>
  <si>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</si>
  <si>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</si>
  <si>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</si>
  <si>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</si>
  <si>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</si>
  <si>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</si>
  <si>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</si>
  <si>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</si>
  <si>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</si>
  <si>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</si>
  <si>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</si>
  <si>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</si>
  <si>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</si>
  <si>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</si>
  <si>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</si>
  <si>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</si>
  <si>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</si>
  <si>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</si>
  <si>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</si>
  <si>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</si>
  <si>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</si>
  <si>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</si>
  <si>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</si>
  <si>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</si>
  <si>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</si>
  <si>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</si>
  <si>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</si>
  <si>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</si>
  <si>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</si>
  <si>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</si>
  <si>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</si>
  <si>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</si>
  <si>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</si>
  <si>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</si>
  <si>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</si>
  <si>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</si>
  <si>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</si>
  <si>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</si>
  <si>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</si>
  <si>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</si>
  <si>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</si>
  <si>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</si>
  <si>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</si>
  <si>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</si>
  <si>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</si>
  <si>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</si>
  <si>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</si>
  <si>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</si>
  <si>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</si>
  <si>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</si>
  <si>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</si>
  <si>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</si>
  <si>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</si>
  <si>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</si>
  <si>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</si>
  <si>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</si>
  <si>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</si>
  <si>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</si>
  <si>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</si>
  <si>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</si>
  <si>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</si>
  <si>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</si>
  <si>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</si>
  <si>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</si>
  <si>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</si>
  <si>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</si>
  <si>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</si>
  <si>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</si>
  <si>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</si>
  <si>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</si>
  <si>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</si>
  <si>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</si>
  <si>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</si>
  <si>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</si>
  <si>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</si>
  <si>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</si>
  <si>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</si>
  <si>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</si>
  <si>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</si>
  <si>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</si>
  <si>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</si>
  <si>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</si>
  <si>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</si>
  <si>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</si>
  <si>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</si>
  <si>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</si>
  <si>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</si>
  <si>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</si>
  <si>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</si>
  <si>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</si>
  <si>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</si>
  <si>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</si>
  <si>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</si>
  <si>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</si>
  <si>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</si>
  <si>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</si>
  <si>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</si>
  <si>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</si>
  <si>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</si>
  <si>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</si>
  <si>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</si>
  <si>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</si>
  <si>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</si>
  <si>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</si>
  <si>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</si>
  <si>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</si>
  <si>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</si>
  <si>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</si>
  <si>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</si>
  <si>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</si>
  <si>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</si>
  <si>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</si>
  <si>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</si>
  <si>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</si>
  <si>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</si>
  <si>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</si>
  <si>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</si>
  <si>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</si>
  <si>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</si>
  <si>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</si>
  <si>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</si>
  <si>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</si>
  <si>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</si>
  <si>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</si>
  <si>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</si>
  <si>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</si>
  <si>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</si>
  <si>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</si>
  <si>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</si>
  <si>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</si>
  <si>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</si>
  <si>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</si>
  <si>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</si>
  <si>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</si>
  <si>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</si>
  <si>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</si>
  <si>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</si>
  <si>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</si>
  <si>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</si>
  <si>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</si>
  <si>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</si>
  <si>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</si>
  <si>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</si>
  <si>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</si>
  <si>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</si>
  <si>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</si>
  <si>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</si>
  <si>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</si>
  <si>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</si>
  <si>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</si>
  <si>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</si>
  <si>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</si>
  <si>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</si>
  <si>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</si>
  <si>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</si>
  <si>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</si>
  <si>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</si>
  <si>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</si>
  <si>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</si>
  <si>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</si>
  <si>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</si>
  <si>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</si>
  <si>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</si>
  <si>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</si>
  <si>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</si>
  <si>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</si>
  <si>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</si>
  <si>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</si>
  <si>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</si>
  <si>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</si>
  <si>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</si>
  <si>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</si>
  <si>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</si>
  <si>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</si>
  <si>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</si>
  <si>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</si>
  <si>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</si>
  <si>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</si>
  <si>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</si>
  <si>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</si>
  <si>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</si>
  <si>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</si>
  <si>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</si>
  <si>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</si>
  <si>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</si>
  <si>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</si>
  <si>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</si>
  <si>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</si>
  <si>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</si>
  <si>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</si>
  <si>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</si>
  <si>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</si>
  <si>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</si>
  <si>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</si>
  <si>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</si>
  <si>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</si>
  <si>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</si>
  <si>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</si>
  <si>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</si>
  <si>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</si>
  <si>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</si>
  <si>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</si>
  <si>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</si>
  <si>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</si>
  <si>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</si>
  <si>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</si>
  <si>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</si>
  <si>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</si>
  <si>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</si>
  <si>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</si>
  <si>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</si>
  <si>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</si>
  <si>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</si>
  <si>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</si>
  <si>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</si>
  <si>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</si>
  <si>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</si>
  <si>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</si>
  <si>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</si>
  <si>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</si>
  <si>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</si>
  <si>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</si>
  <si>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</si>
  <si>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</si>
  <si>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</si>
  <si>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</si>
  <si>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</si>
  <si>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</si>
  <si>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</si>
  <si>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</si>
  <si>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</si>
  <si>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</si>
  <si>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</si>
  <si>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</si>
  <si>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</si>
  <si>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</si>
  <si>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</si>
  <si>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</si>
  <si>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</si>
  <si>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</si>
  <si>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</si>
  <si>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</si>
  <si>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</si>
  <si>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</si>
  <si>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</si>
  <si>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</si>
  <si>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</si>
  <si>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</si>
  <si>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</si>
  <si>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</si>
  <si>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</si>
  <si>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</si>
  <si>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</si>
  <si>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</si>
  <si>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</si>
  <si>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</si>
  <si>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</si>
  <si>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</si>
  <si>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</si>
  <si>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</si>
  <si>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</si>
  <si>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</si>
  <si>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</si>
  <si>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</si>
  <si>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</si>
  <si>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</si>
  <si>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</si>
  <si>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</si>
  <si>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</si>
  <si>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</si>
  <si>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</si>
  <si>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</si>
  <si>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</si>
  <si>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</si>
  <si>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</si>
  <si>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</si>
  <si>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</si>
  <si>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</si>
  <si>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</si>
  <si>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</si>
  <si>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</si>
  <si>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</si>
  <si>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</si>
  <si>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</si>
  <si>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</si>
  <si>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</si>
  <si>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</si>
  <si>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</si>
  <si>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</si>
  <si>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</si>
  <si>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</si>
  <si>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</si>
  <si>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</si>
  <si>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</si>
  <si>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</si>
  <si>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</si>
  <si>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</si>
  <si>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</si>
  <si>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</si>
  <si>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</si>
  <si>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</si>
  <si>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</si>
  <si>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</si>
  <si>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</si>
  <si>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</si>
  <si>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</si>
  <si>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</si>
  <si>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</si>
  <si>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</si>
  <si>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</si>
  <si>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</si>
  <si>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</si>
  <si>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</si>
  <si>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</si>
  <si>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</si>
  <si>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</si>
  <si>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</si>
  <si>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</si>
  <si>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</si>
  <si>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</si>
  <si>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</si>
  <si>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</si>
  <si>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</si>
  <si>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</si>
  <si>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</si>
  <si>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</si>
  <si>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</si>
  <si>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</si>
  <si>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</si>
  <si>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</si>
  <si>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</si>
  <si>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</si>
  <si>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</si>
  <si>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</si>
  <si>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</si>
  <si>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</si>
  <si>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</si>
  <si>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</si>
  <si>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</si>
  <si>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</si>
  <si>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</si>
  <si>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</si>
  <si>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</si>
  <si>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</si>
  <si>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</si>
  <si>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</si>
  <si>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</si>
  <si>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</si>
  <si>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</si>
  <si>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</si>
  <si>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</si>
  <si>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</si>
  <si>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</si>
  <si>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</si>
  <si>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</si>
  <si>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</si>
  <si>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</si>
  <si>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</si>
  <si>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</si>
  <si>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</si>
  <si>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</si>
  <si>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</si>
  <si>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</si>
  <si>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</si>
  <si>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</si>
  <si>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</si>
  <si>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</si>
  <si>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</si>
  <si>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</si>
  <si>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</si>
  <si>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</si>
  <si>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</si>
  <si>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</si>
  <si>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</si>
  <si>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</si>
  <si>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</si>
  <si>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</si>
  <si>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</si>
  <si>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</si>
  <si>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</si>
  <si>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</si>
  <si>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</si>
  <si>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</si>
  <si>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</si>
  <si>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</si>
  <si>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</si>
  <si>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</si>
  <si>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</si>
  <si>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</si>
  <si>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</si>
  <si>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</si>
  <si>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</si>
  <si>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</si>
  <si>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</si>
  <si>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</si>
  <si>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</si>
  <si>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</si>
  <si>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</si>
  <si>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</si>
  <si>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</si>
  <si>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</si>
  <si>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</si>
  <si>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</si>
  <si>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</si>
  <si>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</si>
  <si>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</si>
  <si>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</si>
  <si>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</si>
  <si>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</si>
  <si>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</si>
  <si>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</si>
  <si>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</si>
  <si>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</si>
  <si>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</si>
  <si>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</si>
  <si>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</si>
  <si>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</si>
  <si>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</si>
  <si>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</si>
  <si>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</si>
  <si>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</si>
  <si>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</si>
  <si>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</si>
  <si>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</si>
  <si>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</si>
  <si>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</si>
  <si>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</si>
  <si>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</si>
  <si>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</si>
  <si>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</si>
  <si>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</si>
  <si>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</si>
  <si>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</si>
  <si>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</si>
  <si>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</si>
  <si>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</si>
  <si>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</si>
  <si>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</si>
  <si>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</si>
  <si>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</si>
  <si>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</si>
  <si>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</si>
  <si>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</si>
  <si>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</si>
  <si>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</si>
  <si>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</si>
  <si>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</si>
  <si>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</si>
  <si>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</si>
  <si>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</si>
  <si>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</si>
  <si>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</si>
  <si>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</si>
  <si>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</si>
  <si>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</si>
  <si>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</si>
  <si>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</si>
  <si>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</si>
  <si>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</si>
  <si>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</si>
  <si>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</si>
  <si>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</si>
  <si>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</si>
  <si>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</si>
  <si>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</si>
  <si>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</si>
  <si>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</si>
  <si>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</si>
  <si>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</si>
  <si>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</si>
  <si>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</si>
  <si>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</si>
  <si>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</si>
  <si>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</si>
  <si>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</si>
  <si>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</si>
  <si>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</si>
  <si>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</si>
  <si>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</si>
  <si>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</si>
  <si>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</si>
  <si>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</si>
  <si>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</si>
  <si>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</si>
  <si>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</si>
  <si>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</si>
  <si>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</si>
  <si>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</si>
  <si>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</si>
  <si>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</si>
  <si>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</si>
  <si>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</si>
  <si>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</si>
  <si>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</si>
  <si>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</si>
  <si>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</si>
  <si>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</si>
  <si>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</si>
  <si>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</si>
  <si>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</si>
  <si>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</si>
  <si>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</si>
  <si>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</si>
  <si>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</si>
  <si>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</si>
  <si>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</si>
  <si>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</si>
  <si>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</si>
  <si>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</si>
  <si>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</si>
  <si>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</si>
  <si>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</si>
  <si>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</si>
  <si>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</si>
  <si>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</si>
  <si>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</si>
  <si>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</si>
  <si>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</si>
  <si>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</si>
  <si>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</si>
  <si>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</si>
  <si>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</si>
  <si>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</si>
  <si>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</si>
  <si>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</si>
  <si>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</si>
  <si>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</si>
  <si>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</si>
  <si>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</si>
  <si>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</si>
  <si>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</si>
  <si>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</si>
  <si>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</si>
  <si>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</si>
  <si>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</si>
  <si>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</si>
  <si>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</si>
  <si>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</si>
  <si>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</si>
  <si>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</si>
  <si>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</si>
  <si>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</si>
  <si>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</si>
  <si>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</si>
  <si>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</si>
  <si>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</si>
  <si>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</si>
  <si>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</si>
  <si>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</si>
  <si>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</si>
  <si>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</si>
  <si>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</si>
  <si>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</si>
  <si>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</si>
  <si>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</si>
  <si>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</si>
  <si>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</si>
  <si>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</si>
  <si>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</si>
  <si>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</si>
  <si>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</si>
  <si>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</si>
  <si>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</si>
  <si>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</si>
  <si>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</si>
  <si>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</si>
  <si>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</si>
  <si>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</si>
  <si>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</si>
  <si>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</si>
  <si>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</si>
  <si>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</si>
  <si>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</si>
  <si>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</si>
  <si>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</si>
  <si>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</si>
  <si>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</si>
  <si>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</si>
  <si>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</si>
  <si>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</si>
  <si>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</si>
  <si>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</si>
  <si>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</si>
  <si>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</si>
  <si>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</si>
  <si>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</si>
  <si>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</si>
  <si>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</si>
  <si>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</si>
  <si>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</si>
  <si>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</si>
  <si>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</si>
  <si>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</si>
  <si>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</si>
  <si>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</si>
  <si>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</si>
  <si>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</si>
  <si>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</si>
  <si>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</si>
  <si>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</si>
  <si>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</si>
  <si>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</si>
  <si>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</si>
  <si>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</si>
  <si>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</si>
  <si>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</si>
  <si>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</si>
  <si>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</si>
  <si>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</si>
  <si>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</si>
  <si>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</si>
  <si>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</si>
  <si>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</si>
  <si>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</si>
  <si>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</si>
  <si>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</si>
  <si>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</si>
  <si>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</si>
  <si>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</si>
  <si>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</si>
  <si>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</si>
  <si>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</si>
  <si>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</si>
  <si>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</si>
  <si>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</si>
  <si>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</si>
  <si>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</si>
  <si>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</si>
  <si>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</si>
  <si>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</si>
  <si>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</si>
  <si>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</si>
  <si>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</si>
  <si>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</si>
  <si>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</si>
  <si>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</si>
  <si>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</si>
  <si>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</si>
  <si>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</si>
  <si>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</si>
  <si>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</si>
  <si>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</si>
  <si>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</si>
  <si>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</si>
  <si>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</si>
  <si>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</si>
  <si>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</si>
  <si>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</si>
  <si>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</si>
  <si>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</si>
  <si>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</si>
  <si>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</si>
  <si>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</si>
  <si>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</si>
  <si>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</si>
  <si>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</si>
  <si>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</si>
  <si>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</si>
  <si>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</si>
  <si>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</si>
  <si>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</si>
  <si>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</si>
  <si>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</si>
  <si>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</si>
  <si>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</si>
  <si>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</si>
  <si>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</si>
  <si>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</si>
  <si>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</si>
  <si>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</si>
  <si>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</si>
  <si>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</si>
  <si>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</si>
  <si>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</si>
  <si>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</si>
  <si>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</si>
  <si>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</si>
  <si>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</si>
  <si>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</si>
  <si>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</si>
  <si>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</si>
  <si>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</si>
  <si>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</si>
  <si>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</si>
  <si>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</si>
  <si>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</si>
  <si>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</si>
  <si>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</si>
  <si>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</si>
  <si>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</si>
  <si>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</si>
  <si>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</si>
  <si>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</si>
  <si>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</si>
  <si>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</si>
  <si>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</si>
  <si>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</si>
  <si>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</si>
  <si>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</si>
  <si>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</si>
  <si>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</si>
  <si>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</si>
  <si>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</si>
  <si>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</si>
  <si>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</si>
  <si>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</si>
  <si>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</si>
  <si>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</si>
  <si>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</si>
  <si>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</si>
  <si>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</si>
  <si>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</si>
  <si>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</si>
  <si>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</si>
  <si>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</si>
  <si>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</si>
  <si>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</si>
  <si>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</si>
  <si>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</si>
  <si>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</si>
  <si>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</si>
  <si>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</si>
  <si>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</si>
  <si>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</si>
  <si>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</si>
  <si>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</si>
  <si>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</si>
  <si>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</si>
  <si>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</si>
  <si>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</si>
  <si>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</si>
  <si>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</si>
  <si>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</si>
  <si>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</si>
  <si>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</si>
  <si>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</si>
  <si>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</si>
  <si>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</si>
  <si>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</si>
  <si>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</si>
  <si>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</si>
  <si>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</si>
  <si>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</si>
  <si>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</si>
  <si>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</si>
  <si>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</si>
  <si>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</si>
  <si>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</si>
  <si>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</si>
  <si>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</si>
  <si>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</si>
  <si>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</si>
  <si>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</si>
  <si>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</si>
  <si>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</si>
  <si>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</si>
  <si>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</si>
  <si>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</si>
  <si>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</si>
  <si>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</si>
  <si>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</si>
  <si>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</si>
  <si>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</si>
  <si>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</si>
  <si>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</si>
  <si>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</si>
  <si>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</si>
  <si>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</si>
  <si>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</si>
  <si>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</si>
  <si>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</si>
  <si>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</si>
  <si>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</si>
  <si>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</si>
  <si>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</si>
  <si>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</si>
  <si>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</si>
  <si>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</si>
  <si>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</si>
  <si>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</si>
  <si>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</si>
  <si>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</si>
  <si>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</si>
  <si>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</si>
  <si>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</si>
  <si>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</si>
  <si>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</si>
  <si>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</si>
  <si>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</si>
  <si>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</si>
  <si>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</si>
  <si>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</si>
  <si>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</si>
  <si>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</si>
  <si>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</si>
  <si>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</si>
  <si>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</si>
  <si>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</si>
  <si>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</si>
  <si>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</si>
  <si>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</si>
  <si>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</si>
  <si>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</si>
  <si>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</si>
  <si>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</si>
  <si>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</si>
  <si>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</si>
  <si>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</si>
  <si>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</si>
  <si>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</si>
  <si>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</si>
  <si>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</si>
  <si>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</si>
  <si>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</si>
  <si>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</si>
  <si>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</si>
  <si>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</si>
  <si>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</si>
  <si>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</si>
  <si>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</si>
  <si>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</si>
  <si>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</si>
  <si>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</si>
  <si>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</si>
  <si>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</si>
  <si>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</si>
  <si>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</si>
  <si>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</si>
  <si>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</si>
  <si>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</si>
  <si>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</si>
  <si>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</si>
  <si>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</si>
  <si>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</si>
  <si>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</si>
  <si>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</si>
  <si>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</si>
  <si>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</si>
  <si>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</si>
  <si>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</si>
  <si>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</si>
  <si>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</si>
  <si>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</si>
  <si>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</si>
  <si>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</si>
  <si>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</si>
  <si>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</si>
  <si>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</si>
  <si>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</si>
  <si>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</si>
  <si>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</si>
  <si>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</si>
  <si>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</si>
  <si>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</si>
  <si>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</si>
  <si>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</si>
  <si>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</si>
  <si>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</si>
  <si>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</si>
  <si>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</si>
  <si>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</si>
  <si>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</si>
  <si>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</si>
  <si>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</si>
  <si>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</si>
  <si>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</si>
  <si>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</si>
  <si>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</si>
  <si>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</si>
  <si>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</si>
  <si>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</si>
  <si>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</si>
  <si>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</si>
  <si>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</si>
  <si>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</si>
  <si>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</si>
  <si>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</si>
  <si>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</si>
  <si>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</si>
  <si>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</si>
  <si>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</si>
  <si>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</si>
  <si>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</si>
  <si>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</si>
  <si>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</si>
  <si>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</si>
  <si>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</si>
  <si>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</si>
  <si>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</si>
  <si>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</si>
  <si>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</si>
  <si>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</si>
  <si>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</si>
  <si>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</si>
  <si>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</si>
  <si>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</si>
  <si>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</si>
  <si>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</si>
  <si>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</si>
  <si>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</si>
  <si>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</si>
  <si>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</si>
  <si>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</si>
  <si>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</si>
  <si>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</si>
  <si>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</si>
  <si>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</si>
  <si>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</si>
  <si>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</si>
  <si>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</si>
  <si>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</si>
  <si>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</si>
  <si>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</si>
  <si>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</si>
  <si>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</si>
  <si>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</si>
  <si>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</si>
  <si>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</si>
  <si>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</si>
  <si>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</si>
  <si>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</si>
  <si>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</si>
  <si>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</si>
  <si>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</si>
  <si>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</si>
  <si>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</si>
  <si>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</si>
  <si>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</si>
  <si>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</si>
  <si>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</si>
  <si>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</si>
  <si>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</si>
  <si>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</si>
  <si>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</si>
  <si>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</si>
  <si>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</si>
  <si>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</si>
  <si>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</si>
  <si>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</si>
  <si>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</si>
  <si>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</si>
  <si>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</si>
  <si>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</si>
  <si>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</si>
  <si>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</si>
  <si>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</si>
  <si>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</si>
  <si>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</si>
  <si>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</si>
  <si>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</si>
  <si>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</si>
  <si>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</si>
  <si>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</si>
  <si>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</si>
  <si>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</si>
  <si>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</si>
  <si>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</si>
  <si>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</si>
  <si>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</si>
  <si>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</si>
  <si>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</si>
  <si>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</si>
  <si>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</si>
  <si>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</si>
  <si>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</si>
  <si>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</si>
  <si>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</si>
  <si>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</si>
  <si>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</si>
  <si>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</si>
  <si>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</si>
  <si>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</si>
  <si>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</si>
  <si>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</si>
  <si>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</si>
  <si>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</si>
  <si>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</si>
  <si>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</si>
  <si>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</si>
  <si>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</si>
  <si>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</si>
  <si>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</si>
  <si>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</si>
  <si>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</si>
  <si>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</si>
  <si>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</si>
  <si>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</si>
  <si>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</si>
  <si>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</si>
  <si>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</si>
  <si>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</si>
  <si>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</si>
  <si>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</si>
  <si>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</si>
  <si>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</si>
  <si>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</si>
  <si>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</si>
  <si>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</si>
  <si>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</si>
  <si>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</si>
  <si>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</si>
  <si>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</si>
  <si>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</si>
  <si>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</si>
  <si>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</si>
  <si>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</si>
  <si>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</si>
  <si>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</si>
  <si>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</si>
  <si>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</si>
  <si>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</si>
  <si>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</si>
  <si>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</si>
  <si>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</si>
  <si>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</si>
  <si>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</si>
  <si>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</si>
  <si>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</si>
  <si>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</si>
  <si>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</si>
  <si>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</si>
  <si>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</si>
  <si>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</si>
  <si>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</si>
  <si>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</si>
  <si>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</si>
  <si>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</si>
  <si>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</si>
  <si>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</si>
  <si>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</si>
  <si>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</si>
  <si>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</si>
  <si>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</si>
  <si>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</si>
  <si>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</si>
  <si>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</si>
  <si>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</si>
  <si>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</si>
  <si>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</si>
  <si>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</si>
  <si>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</si>
  <si>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</si>
  <si>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</si>
  <si>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</si>
  <si>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</si>
  <si>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</si>
  <si>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</si>
  <si>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</si>
  <si>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</si>
  <si>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</si>
  <si>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</si>
  <si>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</si>
  <si>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</si>
  <si>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</si>
  <si>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</si>
  <si>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</si>
  <si>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</si>
  <si>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</si>
  <si>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</si>
  <si>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</si>
  <si>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</si>
  <si>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</si>
  <si>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</si>
  <si>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</si>
  <si>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</si>
  <si>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</si>
  <si>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</si>
  <si>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</si>
  <si>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</si>
  <si>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</si>
  <si>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</si>
  <si>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</si>
  <si>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</si>
  <si>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</si>
  <si>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</si>
  <si>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</si>
  <si>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</si>
  <si>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</si>
  <si>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</si>
  <si>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</si>
  <si>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</si>
  <si>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</si>
  <si>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</si>
  <si>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</si>
  <si>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</si>
  <si>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</si>
  <si>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</si>
  <si>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</si>
  <si>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</si>
  <si>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</si>
  <si>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</si>
  <si>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</si>
  <si>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</si>
  <si>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</si>
  <si>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</si>
  <si>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</si>
  <si>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</si>
  <si>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</si>
  <si>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</si>
  <si>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</si>
  <si>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</si>
  <si>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</si>
  <si>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</si>
  <si>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</si>
  <si>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</si>
  <si>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</si>
  <si>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</si>
  <si>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</si>
  <si>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</si>
  <si>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</si>
  <si>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</si>
  <si>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</si>
  <si>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</si>
  <si>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</si>
  <si>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</si>
  <si>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</si>
  <si>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</si>
  <si>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</si>
  <si>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</si>
  <si>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</si>
  <si>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</si>
  <si>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</si>
  <si>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</si>
  <si>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</si>
  <si>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</si>
  <si>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</si>
  <si>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</si>
  <si>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</si>
  <si>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</si>
  <si>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</si>
  <si>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</si>
  <si>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</si>
  <si>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</si>
  <si>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</si>
  <si>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</si>
  <si>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</si>
  <si>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</si>
  <si>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</si>
  <si>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</si>
  <si>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</si>
  <si>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</si>
  <si>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</si>
  <si>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</si>
  <si>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</si>
  <si>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</si>
  <si>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</si>
  <si>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</si>
  <si>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</si>
  <si>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</si>
  <si>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</si>
  <si>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</si>
  <si>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</si>
  <si>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</si>
  <si>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</si>
  <si>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</si>
  <si>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</si>
  <si>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</si>
  <si>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</si>
  <si>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</si>
  <si>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</si>
  <si>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</si>
  <si>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</si>
  <si>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</si>
  <si>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</si>
  <si>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</si>
  <si>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</si>
  <si>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</si>
  <si>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</si>
  <si>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</si>
  <si>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</si>
  <si>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</si>
  <si>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</si>
  <si>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</si>
  <si>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</si>
  <si>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</si>
  <si>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</si>
  <si>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</si>
  <si>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</si>
  <si>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</si>
  <si>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</si>
  <si>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</si>
  <si>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</si>
  <si>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</si>
  <si>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</si>
  <si>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</si>
  <si>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</si>
  <si>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</si>
  <si>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</si>
  <si>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</si>
  <si>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</si>
  <si>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</si>
  <si>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</si>
  <si>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</si>
  <si>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</si>
  <si>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</si>
  <si>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</si>
  <si>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</si>
  <si>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</si>
  <si>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</si>
  <si>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</si>
  <si>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</si>
  <si>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</si>
  <si>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</si>
  <si>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</si>
  <si>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</si>
  <si>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</si>
  <si>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</si>
  <si>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</si>
  <si>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</si>
  <si>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</si>
  <si>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</si>
  <si>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</si>
  <si>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</si>
  <si>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</si>
  <si>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</si>
  <si>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</si>
  <si>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</si>
  <si>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</si>
  <si>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</si>
  <si>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</si>
  <si>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</si>
  <si>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</si>
  <si>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</si>
  <si>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</si>
  <si>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</si>
  <si>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</si>
  <si>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</si>
  <si>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</si>
  <si>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</si>
  <si>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</si>
  <si>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</si>
  <si>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</si>
  <si>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</si>
  <si>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</si>
  <si>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</si>
  <si>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</si>
  <si>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</si>
  <si>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</si>
  <si>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</si>
  <si>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</si>
  <si>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</si>
  <si>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</si>
  <si>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</si>
  <si>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</si>
  <si>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</si>
  <si>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</si>
  <si>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</si>
  <si>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</si>
  <si>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</si>
  <si>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</si>
  <si>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</si>
  <si>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</si>
  <si>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</si>
  <si>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</si>
  <si>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</si>
  <si>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</si>
  <si>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</si>
  <si>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</si>
  <si>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</si>
  <si>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</si>
  <si>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</si>
  <si>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</si>
  <si>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</si>
  <si>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</si>
  <si>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</si>
  <si>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</si>
  <si>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</si>
  <si>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</si>
  <si>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</si>
  <si>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</si>
  <si>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</si>
  <si>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</si>
  <si>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</si>
  <si>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</si>
  <si>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</si>
  <si>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</si>
  <si>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</si>
  <si>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</si>
  <si>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</si>
  <si>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</si>
  <si>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</si>
  <si>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</si>
  <si>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</si>
  <si>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</si>
  <si>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</si>
  <si>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</si>
  <si>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</si>
  <si>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</si>
  <si>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</si>
  <si>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</si>
  <si>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</si>
  <si>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</si>
  <si>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</si>
  <si>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</si>
  <si>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</si>
  <si>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</si>
  <si>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</si>
  <si>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</si>
  <si>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</si>
  <si>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</si>
  <si>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</si>
  <si>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</si>
  <si>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</si>
  <si>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</si>
  <si>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</si>
  <si>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</si>
  <si>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</si>
  <si>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</si>
  <si>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</si>
  <si>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</si>
  <si>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</si>
  <si>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</si>
  <si>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</si>
  <si>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</si>
  <si>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</si>
  <si>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</si>
  <si>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</si>
  <si>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</si>
  <si>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</si>
  <si>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</si>
  <si>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</si>
  <si>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</si>
  <si>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</si>
  <si>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</si>
  <si>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</si>
  <si>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</si>
  <si>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</si>
  <si>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</si>
  <si>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</si>
  <si>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</si>
  <si>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</si>
  <si>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</si>
  <si>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</si>
  <si>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</si>
  <si>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</si>
  <si>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</si>
  <si>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</si>
  <si>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</si>
  <si>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</si>
  <si>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</si>
  <si>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</si>
  <si>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</si>
  <si>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</si>
  <si>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</si>
  <si>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</si>
  <si>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</si>
  <si>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</si>
  <si>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</si>
  <si>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</si>
  <si>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</si>
  <si>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</si>
  <si>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</si>
  <si>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</si>
  <si>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</si>
  <si>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</si>
  <si>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</si>
  <si>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</si>
  <si>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</si>
  <si>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</si>
  <si>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</si>
  <si>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</si>
  <si>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</si>
  <si>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</si>
  <si>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</si>
  <si>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</si>
  <si>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</si>
  <si>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</si>
  <si>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</si>
  <si>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</si>
  <si>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</si>
  <si>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</si>
  <si>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</si>
  <si>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</si>
  <si>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</si>
  <si>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</si>
  <si>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</si>
  <si>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</si>
  <si>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</si>
  <si>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</si>
  <si>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</si>
  <si>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</si>
  <si>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</si>
  <si>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</si>
  <si>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</si>
  <si>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</si>
  <si>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</si>
  <si>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</si>
  <si>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</si>
  <si>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</si>
  <si>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</si>
  <si>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</si>
  <si>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</si>
  <si>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</si>
  <si>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</si>
  <si>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</si>
  <si>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</si>
  <si>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</si>
  <si>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</si>
  <si>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</si>
  <si>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</si>
  <si>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</si>
  <si>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</si>
  <si>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</si>
  <si>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</si>
  <si>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</si>
  <si>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</si>
  <si>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</si>
  <si>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</si>
  <si>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</si>
  <si>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</si>
  <si>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</si>
  <si>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</si>
  <si>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</si>
  <si>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</si>
  <si>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</si>
  <si>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</si>
  <si>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</si>
  <si>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</si>
  <si>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</si>
  <si>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</si>
  <si>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</si>
  <si>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</si>
  <si>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</si>
  <si>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</si>
  <si>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</si>
  <si>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</si>
  <si>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</si>
  <si>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</si>
  <si>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</si>
  <si>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</si>
  <si>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</si>
  <si>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</si>
  <si>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</si>
  <si>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</si>
  <si>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</si>
  <si>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</si>
  <si>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</si>
  <si>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</si>
  <si>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</si>
  <si>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</si>
  <si>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</si>
  <si>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</si>
  <si>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</si>
  <si>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</si>
  <si>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</si>
  <si>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</si>
  <si>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</si>
  <si>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</si>
  <si>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</si>
  <si>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</si>
  <si>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</si>
  <si>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</si>
  <si>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</si>
  <si>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</si>
  <si>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</si>
  <si>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</si>
  <si>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</si>
  <si>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</si>
  <si>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</si>
  <si>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</si>
  <si>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</si>
  <si>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</si>
  <si>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</si>
  <si>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</si>
  <si>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</si>
  <si>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</si>
  <si>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</si>
  <si>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</si>
  <si>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</si>
  <si>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</si>
  <si>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</si>
  <si>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</si>
  <si>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</si>
  <si>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</si>
  <si>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</si>
  <si>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</si>
  <si>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</si>
  <si>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</si>
  <si>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</si>
  <si>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</si>
  <si>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</si>
  <si>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</si>
  <si>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</si>
  <si>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</si>
  <si>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</si>
  <si>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</si>
  <si>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</si>
  <si>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</si>
  <si>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</si>
  <si>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</si>
  <si>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</si>
  <si>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</si>
  <si>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</si>
  <si>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</si>
  <si>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</si>
  <si>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</si>
  <si>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</si>
  <si>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</si>
  <si>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</si>
  <si>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</si>
  <si>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</si>
  <si>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</si>
  <si>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</si>
  <si>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</si>
  <si>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</si>
  <si>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</si>
  <si>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</si>
  <si>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</si>
  <si>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</si>
  <si>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</si>
  <si>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</si>
  <si>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</si>
  <si>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</si>
  <si>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</si>
  <si>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</si>
  <si>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</si>
  <si>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</si>
  <si>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</si>
  <si>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</si>
  <si>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</si>
  <si>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</si>
  <si>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</si>
  <si>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</si>
  <si>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</si>
  <si>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</si>
  <si>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</si>
  <si>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</si>
  <si>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</si>
  <si>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</si>
  <si>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</si>
  <si>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</si>
  <si>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</si>
  <si>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</si>
  <si>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</si>
  <si>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</si>
  <si>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</si>
  <si>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</si>
  <si>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</si>
  <si>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</si>
  <si>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</si>
  <si>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</si>
  <si>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</si>
  <si>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</si>
  <si>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</si>
  <si>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</si>
  <si>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</si>
  <si>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</si>
  <si>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</si>
  <si>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</si>
  <si>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</si>
  <si>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</si>
  <si>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</si>
  <si>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</si>
  <si>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</si>
  <si>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</si>
  <si>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</si>
  <si>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</si>
  <si>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</si>
  <si>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</si>
  <si>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</si>
  <si>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</si>
  <si>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</si>
  <si>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</si>
  <si>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</si>
  <si>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</si>
  <si>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</si>
  <si>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</si>
  <si>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</si>
  <si>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</si>
  <si>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</si>
  <si>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</si>
  <si>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</si>
  <si>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</si>
  <si>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</si>
  <si>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</si>
  <si>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</si>
  <si>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</si>
  <si>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</si>
  <si>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</si>
  <si>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</si>
  <si>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</si>
  <si>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</si>
  <si>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</si>
  <si>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</si>
  <si>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</si>
  <si>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</si>
  <si>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</si>
  <si>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</si>
  <si>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</si>
  <si>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</si>
  <si>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</si>
  <si>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</si>
  <si>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</si>
  <si>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</si>
  <si>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</si>
  <si>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</si>
  <si>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</si>
  <si>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</si>
  <si>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</si>
  <si>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</si>
  <si>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</si>
  <si>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</si>
  <si>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</si>
  <si>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</si>
  <si>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</si>
  <si>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</si>
  <si>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</si>
  <si>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</si>
  <si>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</si>
  <si>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</si>
  <si>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</si>
  <si>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</si>
  <si>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</si>
  <si>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</si>
  <si>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</si>
  <si>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</si>
  <si>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</si>
  <si>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</si>
  <si>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</si>
  <si>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</si>
  <si>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</si>
  <si>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</si>
  <si>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</si>
  <si>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</si>
  <si>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</si>
  <si>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</si>
  <si>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</si>
  <si>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</si>
  <si>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</si>
  <si>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</si>
  <si>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</si>
  <si>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</si>
  <si>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</si>
  <si>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</si>
  <si>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</si>
  <si>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</si>
  <si>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</si>
  <si>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</si>
  <si>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</si>
  <si>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</si>
  <si>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</si>
  <si>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</si>
  <si>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</si>
  <si>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</si>
  <si>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</si>
  <si>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</si>
  <si>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</si>
  <si>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</si>
  <si>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</si>
  <si>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</si>
  <si>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</si>
  <si>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</si>
  <si>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</si>
  <si>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</si>
  <si>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</si>
  <si>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</si>
  <si>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</si>
  <si>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</si>
  <si>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</si>
  <si>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</si>
  <si>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</si>
  <si>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</si>
  <si>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</si>
  <si>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</si>
  <si>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</si>
  <si>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</si>
  <si>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</si>
  <si>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</si>
  <si>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</si>
  <si>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</si>
  <si>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</si>
  <si>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</si>
  <si>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</si>
  <si>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</si>
  <si>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</si>
  <si>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</si>
  <si>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</si>
  <si>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</si>
  <si>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</si>
  <si>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</si>
  <si>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</si>
  <si>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</si>
  <si>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</si>
  <si>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</si>
  <si>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</si>
  <si>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</si>
  <si>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</si>
  <si>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</si>
  <si>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</si>
  <si>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</si>
  <si>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</si>
  <si>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</si>
  <si>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</si>
  <si>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</si>
  <si>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</si>
  <si>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</si>
  <si>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</si>
  <si>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</si>
  <si>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</si>
  <si>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</si>
  <si>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</si>
  <si>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</si>
  <si>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</si>
  <si>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</si>
  <si>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</si>
  <si>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</si>
  <si>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</si>
  <si>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</si>
  <si>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</si>
  <si>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</si>
  <si>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</si>
  <si>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</si>
  <si>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</si>
  <si>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</si>
  <si>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</si>
  <si>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</si>
  <si>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</si>
  <si>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</si>
  <si>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</si>
  <si>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</si>
  <si>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</si>
  <si>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</si>
  <si>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</si>
  <si>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</si>
  <si>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</si>
  <si>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</si>
  <si>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</si>
  <si>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</si>
  <si>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</si>
  <si>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</si>
  <si>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</si>
  <si>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</si>
  <si>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</si>
  <si>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</si>
  <si>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</si>
  <si>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</si>
  <si>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</si>
  <si>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</si>
  <si>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</si>
  <si>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</si>
  <si>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</si>
  <si>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</si>
  <si>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</si>
  <si>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</si>
  <si>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</si>
  <si>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</si>
  <si>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</si>
  <si>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</si>
  <si>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</si>
  <si>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</si>
  <si>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</si>
  <si>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</si>
  <si>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</si>
  <si>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</si>
  <si>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</si>
  <si>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</si>
  <si>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</si>
  <si>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</si>
  <si>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</si>
  <si>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</si>
  <si>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</si>
  <si>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</si>
  <si>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</si>
  <si>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</si>
  <si>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</si>
  <si>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</si>
  <si>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</si>
  <si>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</si>
  <si>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</si>
  <si>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</si>
  <si>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</si>
  <si>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</si>
  <si>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</si>
  <si>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</si>
  <si>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</si>
  <si>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</si>
  <si>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</si>
  <si>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</si>
  <si>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</si>
  <si>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</si>
  <si>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</si>
  <si>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</si>
  <si>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</si>
  <si>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</si>
  <si>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</si>
  <si>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</si>
  <si>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</si>
  <si>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</si>
  <si>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</si>
  <si>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</si>
  <si>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</si>
  <si>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</si>
  <si>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</si>
  <si>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</si>
  <si>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</si>
  <si>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</si>
  <si>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</si>
  <si>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</si>
  <si>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</si>
  <si>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</si>
  <si>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</si>
  <si>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</si>
  <si>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</si>
  <si>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</si>
  <si>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</si>
  <si>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</si>
  <si>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</si>
  <si>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</si>
  <si>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</si>
  <si>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</si>
  <si>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</si>
  <si>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</si>
  <si>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</si>
  <si>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</si>
  <si>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</si>
  <si>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</si>
  <si>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</si>
  <si>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</si>
  <si>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</si>
  <si>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</si>
  <si>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</si>
  <si>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</si>
  <si>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</si>
  <si>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</si>
  <si>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</si>
  <si>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</si>
  <si>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</si>
  <si>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</si>
  <si>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</si>
  <si>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</si>
  <si>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</si>
  <si>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</si>
  <si>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</si>
  <si>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</si>
  <si>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</si>
  <si>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</si>
  <si>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</si>
  <si>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</si>
  <si>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</si>
  <si>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</si>
  <si>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</si>
  <si>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</si>
  <si>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</si>
  <si>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</si>
  <si>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</si>
  <si>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</si>
  <si>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</si>
  <si>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</si>
  <si>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</si>
  <si>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</si>
  <si>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</si>
  <si>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</si>
  <si>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</si>
  <si>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</si>
  <si>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</si>
  <si>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</si>
  <si>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</si>
  <si>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</si>
  <si>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</si>
  <si>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</si>
  <si>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</si>
  <si>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</si>
  <si>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</si>
  <si>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</si>
  <si>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</si>
  <si>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</si>
  <si>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</si>
  <si>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</si>
  <si>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</si>
  <si>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</si>
  <si>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</si>
  <si>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</si>
  <si>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</si>
  <si>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</si>
  <si>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</si>
  <si>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</si>
  <si>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</si>
  <si>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</si>
  <si>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</si>
  <si>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</si>
  <si>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</si>
  <si>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</si>
  <si>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</si>
  <si>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</si>
  <si>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</si>
  <si>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</si>
  <si>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</si>
  <si>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</si>
  <si>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</si>
  <si>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</si>
  <si>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</si>
  <si>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</si>
  <si>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</si>
  <si>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</si>
  <si>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</si>
  <si>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</si>
  <si>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</si>
  <si>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</si>
  <si>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</si>
  <si>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</si>
  <si>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</si>
  <si>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</si>
  <si>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</si>
  <si>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</si>
  <si>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</si>
  <si>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</si>
  <si>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</si>
  <si>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</si>
  <si>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</si>
  <si>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</si>
  <si>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</si>
  <si>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</si>
  <si>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</si>
  <si>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</si>
  <si>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</si>
  <si>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</si>
  <si>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</si>
  <si>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</si>
  <si>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</si>
  <si>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</si>
  <si>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</si>
  <si>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</si>
  <si>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</si>
  <si>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</si>
  <si>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</si>
  <si>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</si>
  <si>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</si>
  <si>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</si>
  <si>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</si>
  <si>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</si>
  <si>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</si>
  <si>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</si>
  <si>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</si>
  <si>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</si>
  <si>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</si>
  <si>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</si>
  <si>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</si>
  <si>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</si>
  <si>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</si>
  <si>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</si>
  <si>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</si>
  <si>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</si>
  <si>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</si>
  <si>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</si>
  <si>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</si>
  <si>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</si>
  <si>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</si>
  <si>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</si>
  <si>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</si>
  <si>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</si>
  <si>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</si>
  <si>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</si>
  <si>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</si>
  <si>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</si>
  <si>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</si>
  <si>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</si>
  <si>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</si>
  <si>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</si>
  <si>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</si>
  <si>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</si>
  <si>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</si>
  <si>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</si>
  <si>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</si>
  <si>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</si>
  <si>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</si>
  <si>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</si>
  <si>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</si>
  <si>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</si>
  <si>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</si>
  <si>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</si>
  <si>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</si>
  <si>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</si>
  <si>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</si>
  <si>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</si>
  <si>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</si>
  <si>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</si>
  <si>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</si>
  <si>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</si>
  <si>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</si>
  <si>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</si>
  <si>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</si>
  <si>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</si>
  <si>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</si>
  <si>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</si>
  <si>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</si>
  <si>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</si>
  <si>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</si>
  <si>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</si>
  <si>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</si>
  <si>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</si>
  <si>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</si>
  <si>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</si>
  <si>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</si>
  <si>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</si>
  <si>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</si>
  <si>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</si>
  <si>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</si>
  <si>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</si>
  <si>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</si>
  <si>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</si>
  <si>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</si>
  <si>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</si>
  <si>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</si>
  <si>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</si>
  <si>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</si>
  <si>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</si>
  <si>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</si>
  <si>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</si>
  <si>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</si>
  <si>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</si>
  <si>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</si>
  <si>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</si>
  <si>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</si>
  <si>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</si>
  <si>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</si>
  <si>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</si>
  <si>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</si>
  <si>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</si>
  <si>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</si>
  <si>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</si>
  <si>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</si>
  <si>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</si>
  <si>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</si>
  <si>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</si>
  <si>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</si>
  <si>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</si>
  <si>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</si>
  <si>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</si>
  <si>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</si>
  <si>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</si>
  <si>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</si>
  <si>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</si>
  <si>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</si>
  <si>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</si>
  <si>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</si>
  <si>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</si>
  <si>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</si>
  <si>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</si>
  <si>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</si>
  <si>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</si>
  <si>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</si>
  <si>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</si>
  <si>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</si>
  <si>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</si>
  <si>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</si>
  <si>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</si>
  <si>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</si>
  <si>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</si>
  <si>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</si>
  <si>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</si>
  <si>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</si>
  <si>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</si>
  <si>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</si>
  <si>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</si>
  <si>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</si>
  <si>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</si>
  <si>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</si>
  <si>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</si>
  <si>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</si>
  <si>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</si>
  <si>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</si>
  <si>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</si>
  <si>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</si>
  <si>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</si>
  <si>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</si>
  <si>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</si>
  <si>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</si>
  <si>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</si>
  <si>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</si>
  <si>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</si>
  <si>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</si>
  <si>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</si>
  <si>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</si>
  <si>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</si>
  <si>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</si>
  <si>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</si>
  <si>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</si>
  <si>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</si>
  <si>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</si>
  <si>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</si>
  <si>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</si>
  <si>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</si>
  <si>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</si>
  <si>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</si>
  <si>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</si>
  <si>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</si>
  <si>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</si>
  <si>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</si>
  <si>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</si>
  <si>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</si>
  <si>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</si>
  <si>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</si>
  <si>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</si>
  <si>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</si>
  <si>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</si>
  <si>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</si>
  <si>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</si>
  <si>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</si>
  <si>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</si>
  <si>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</si>
  <si>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</si>
  <si>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</si>
  <si>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</si>
  <si>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</si>
  <si>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</si>
  <si>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</si>
  <si>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</si>
  <si>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</si>
  <si>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</si>
  <si>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</si>
  <si>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</si>
  <si>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</si>
  <si>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</si>
  <si>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</si>
  <si>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</si>
  <si>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</si>
  <si>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</si>
  <si>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</si>
  <si>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</si>
  <si>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</si>
  <si>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</si>
  <si>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</si>
  <si>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</si>
  <si>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</si>
  <si>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</si>
  <si>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</si>
  <si>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</si>
  <si>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</si>
  <si>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</si>
  <si>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</si>
  <si>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</si>
  <si>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</si>
  <si>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</si>
  <si>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</si>
  <si>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</si>
  <si>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</si>
  <si>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</si>
  <si>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</si>
  <si>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</si>
  <si>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</si>
  <si>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</si>
  <si>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</si>
  <si>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</si>
  <si>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</si>
  <si>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</si>
  <si>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</si>
  <si>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</si>
  <si>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</si>
  <si>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</si>
  <si>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</si>
  <si>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</si>
  <si>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</si>
  <si>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</si>
  <si>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</si>
  <si>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</si>
  <si>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</si>
  <si>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</si>
  <si>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</si>
  <si>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</si>
  <si>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</si>
  <si>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</si>
  <si>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</si>
  <si>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</si>
  <si>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</si>
  <si>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</si>
  <si>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</si>
  <si>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</si>
  <si>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</si>
  <si>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</si>
  <si>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</si>
  <si>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</si>
  <si>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</si>
  <si>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</si>
  <si>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</si>
  <si>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</si>
  <si>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</si>
  <si>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</si>
  <si>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</si>
  <si>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</si>
  <si>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</si>
  <si>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</si>
  <si>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</si>
  <si>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</si>
  <si>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</si>
  <si>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</si>
  <si>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</si>
  <si>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</si>
  <si>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</si>
  <si>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</si>
  <si>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</si>
  <si>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</si>
  <si>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</si>
  <si>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</si>
  <si>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</si>
  <si>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</si>
  <si>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</si>
  <si>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</si>
  <si>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</si>
  <si>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</si>
  <si>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</si>
  <si>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</si>
  <si>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</si>
  <si>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</si>
  <si>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</si>
  <si>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</si>
  <si>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</si>
  <si>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</si>
  <si>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</si>
  <si>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</si>
  <si>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</si>
  <si>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</si>
  <si>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</si>
  <si>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</si>
  <si>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</si>
  <si>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</si>
  <si>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</si>
  <si>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</si>
  <si>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</si>
  <si>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</si>
  <si>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</si>
  <si>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</si>
  <si>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</si>
  <si>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</si>
  <si>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</si>
  <si>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</si>
  <si>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</si>
  <si>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</si>
  <si>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</si>
  <si>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</si>
  <si>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</si>
  <si>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</si>
  <si>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</si>
  <si>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</si>
  <si>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</si>
  <si>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</si>
  <si>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</si>
  <si>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</si>
  <si>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</si>
  <si>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</si>
  <si>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</si>
  <si>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</si>
  <si>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</si>
  <si>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</si>
  <si>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</si>
  <si>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</si>
  <si>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</si>
  <si>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</si>
  <si>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</si>
  <si>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</si>
  <si>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</si>
  <si>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</si>
  <si>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</si>
  <si>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</si>
  <si>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</si>
  <si>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</si>
  <si>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</si>
  <si>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</si>
  <si>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</si>
  <si>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</si>
  <si>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</si>
  <si>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</si>
  <si>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</si>
  <si>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</si>
  <si>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</si>
  <si>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</si>
  <si>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</si>
  <si>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</si>
  <si>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</si>
  <si>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</si>
  <si>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</si>
  <si>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</si>
  <si>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</si>
  <si>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</si>
  <si>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</si>
  <si>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</si>
  <si>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</si>
  <si>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</si>
  <si>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</si>
  <si>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</si>
  <si>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</si>
  <si>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</si>
  <si>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</si>
  <si>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</si>
  <si>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</si>
  <si>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</si>
  <si>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</si>
  <si>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</si>
  <si>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</si>
  <si>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</si>
  <si>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</si>
  <si>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</si>
  <si>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</si>
  <si>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</si>
  <si>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</si>
  <si>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</si>
  <si>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</si>
  <si>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</si>
  <si>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</si>
  <si>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</si>
  <si>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</si>
  <si>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</si>
  <si>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</si>
  <si>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</si>
  <si>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</si>
  <si>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</si>
  <si>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</si>
  <si>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</si>
  <si>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</si>
  <si>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</si>
  <si>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</si>
  <si>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</si>
  <si>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</si>
  <si>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</si>
  <si>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</si>
  <si>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</si>
  <si>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</si>
  <si>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</si>
  <si>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</si>
  <si>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</si>
  <si>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</si>
  <si>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</si>
  <si>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</si>
  <si>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</si>
  <si>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</si>
  <si>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</si>
  <si>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</si>
  <si>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</si>
  <si>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</si>
  <si>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</si>
  <si>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</si>
  <si>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</si>
  <si>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</si>
  <si>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</si>
  <si>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</si>
  <si>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</si>
  <si>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</si>
  <si>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</si>
  <si>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</si>
  <si>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</si>
  <si>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</si>
  <si>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</si>
  <si>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</si>
  <si>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</si>
  <si>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</si>
  <si>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</si>
  <si>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</si>
  <si>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</si>
  <si>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</si>
  <si>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</si>
  <si>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CA-2015-153549</t>
  </si>
  <si>
    <t>SL-20155</t>
  </si>
  <si>
    <t>Sara Luxemburg</t>
  </si>
  <si>
    <t>CA-2016-110023</t>
  </si>
  <si>
    <t>CA-2016-105585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</si>
  <si>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</si>
  <si>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</si>
  <si>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</si>
  <si>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</si>
  <si>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</si>
  <si>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</si>
  <si>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</si>
  <si>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</si>
  <si>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</si>
  <si>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</si>
  <si>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</si>
  <si>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</si>
  <si>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</si>
  <si>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</si>
  <si>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</si>
  <si>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</si>
  <si>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</si>
  <si>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</si>
  <si>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</si>
  <si>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</si>
  <si>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</si>
  <si>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</si>
  <si>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</si>
  <si>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</si>
  <si>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</si>
  <si>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</si>
  <si>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</si>
  <si>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</si>
  <si>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</si>
  <si>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</si>
  <si>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</si>
  <si>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</si>
  <si>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</si>
  <si>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</si>
  <si>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</si>
  <si>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</si>
  <si>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</si>
  <si>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</si>
  <si>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</si>
  <si>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</si>
  <si>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</si>
  <si>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</si>
  <si>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</si>
  <si>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</si>
  <si>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</si>
  <si>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</si>
  <si>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</si>
  <si>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</si>
  <si>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</si>
  <si>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</si>
  <si>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</si>
  <si>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</si>
  <si>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</si>
  <si>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</si>
  <si>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</si>
  <si>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</si>
  <si>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</si>
  <si>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</si>
  <si>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</si>
  <si>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</si>
  <si>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</si>
  <si>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</si>
  <si>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</si>
  <si>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</si>
  <si>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</si>
  <si>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</si>
  <si>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</si>
  <si>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</si>
  <si>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</si>
  <si>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</si>
  <si>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</si>
  <si>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</si>
  <si>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</si>
  <si>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</si>
  <si>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</si>
  <si>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</si>
  <si>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</si>
  <si>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</si>
  <si>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</si>
  <si>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</si>
  <si>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</si>
  <si>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</si>
  <si>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</si>
  <si>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</si>
  <si>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</si>
  <si>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</si>
  <si>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</si>
  <si>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</si>
  <si>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</si>
  <si>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</si>
  <si>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</si>
  <si>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</si>
  <si>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</si>
  <si>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</si>
  <si>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</si>
  <si>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</si>
  <si>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</si>
  <si>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</si>
  <si>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</si>
  <si>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</si>
  <si>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</si>
  <si>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</si>
  <si>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</si>
  <si>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</si>
  <si>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</si>
  <si>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</si>
  <si>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</si>
  <si>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</si>
  <si>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</si>
  <si>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</si>
  <si>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</si>
  <si>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</si>
  <si>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</si>
  <si>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</si>
  <si>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</si>
  <si>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</si>
  <si>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</si>
  <si>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</si>
  <si>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</si>
  <si>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</si>
  <si>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</si>
  <si>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</si>
  <si>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</si>
  <si>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</si>
  <si>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</si>
  <si>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</si>
  <si>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</si>
  <si>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</si>
  <si>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</si>
  <si>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</si>
  <si>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</si>
  <si>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</si>
  <si>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</si>
  <si>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</si>
  <si>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</si>
  <si>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</si>
  <si>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</si>
  <si>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</si>
  <si>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</si>
  <si>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</si>
  <si>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</si>
  <si>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</si>
  <si>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</si>
  <si>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</si>
  <si>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</si>
  <si>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</si>
  <si>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</si>
  <si>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</si>
  <si>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</si>
  <si>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</si>
  <si>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</si>
  <si>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</si>
  <si>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</si>
  <si>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</si>
  <si>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</si>
  <si>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</si>
  <si>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</si>
  <si>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</si>
  <si>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</si>
  <si>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</si>
  <si>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</si>
  <si>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</si>
  <si>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</si>
  <si>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</si>
  <si>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</si>
  <si>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</si>
  <si>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</si>
  <si>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</si>
  <si>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</si>
  <si>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</si>
  <si>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</si>
  <si>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</si>
  <si>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</si>
  <si>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</si>
  <si>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</si>
  <si>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</si>
  <si>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</si>
  <si>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</si>
  <si>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</si>
  <si>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</si>
  <si>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</si>
  <si>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</si>
  <si>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</si>
  <si>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</si>
  <si>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</si>
  <si>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</si>
  <si>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</si>
  <si>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</si>
  <si>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</si>
  <si>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</si>
  <si>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</si>
  <si>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</si>
  <si>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</si>
  <si>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</si>
  <si>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</si>
  <si>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</si>
  <si>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</si>
  <si>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</si>
  <si>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</si>
  <si>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</si>
  <si>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</si>
  <si>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</si>
  <si>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</si>
  <si>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</si>
  <si>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</si>
  <si>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</si>
  <si>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</si>
  <si>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</si>
  <si>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</si>
  <si>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</si>
  <si>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</si>
  <si>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</si>
  <si>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</si>
  <si>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</si>
  <si>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</si>
  <si>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</si>
  <si>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</si>
  <si>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</si>
  <si>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</si>
  <si>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</si>
  <si>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</si>
  <si>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</si>
  <si>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</si>
  <si>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</si>
  <si>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</si>
  <si>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</si>
  <si>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</si>
  <si>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</si>
  <si>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</si>
  <si>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</si>
  <si>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</si>
  <si>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</si>
  <si>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</si>
  <si>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</si>
  <si>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</si>
  <si>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</si>
  <si>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</si>
  <si>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</si>
  <si>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</si>
  <si>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</si>
  <si>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</si>
  <si>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</si>
  <si>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</si>
  <si>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</si>
  <si>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</si>
  <si>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</si>
  <si>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</si>
  <si>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</si>
  <si>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</si>
  <si>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</si>
  <si>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</si>
  <si>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</si>
  <si>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</si>
  <si>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</si>
  <si>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</si>
  <si>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</si>
  <si>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</si>
  <si>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</si>
  <si>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</si>
  <si>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</si>
  <si>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</si>
  <si>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</si>
  <si>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</si>
  <si>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</si>
  <si>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</si>
  <si>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</si>
  <si>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</si>
  <si>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</si>
  <si>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</si>
  <si>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</si>
  <si>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</si>
  <si>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</si>
  <si>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</si>
  <si>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</si>
  <si>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</si>
  <si>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</si>
  <si>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</si>
  <si>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</si>
  <si>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</si>
  <si>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</si>
  <si>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</si>
  <si>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</si>
  <si>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</si>
  <si>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</si>
  <si>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</si>
  <si>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</si>
  <si>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</si>
  <si>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</si>
  <si>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</si>
  <si>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</si>
  <si>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</si>
  <si>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</si>
  <si>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</si>
  <si>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</si>
  <si>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</si>
  <si>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</si>
  <si>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</si>
  <si>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</si>
  <si>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</si>
  <si>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</si>
  <si>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</si>
  <si>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</si>
  <si>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</si>
  <si>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</si>
  <si>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</si>
  <si>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</si>
  <si>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</si>
  <si>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</si>
  <si>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</si>
  <si>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</si>
  <si>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</si>
  <si>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</si>
  <si>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</si>
  <si>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</si>
  <si>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</si>
  <si>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</si>
  <si>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</si>
  <si>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</si>
  <si>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</si>
  <si>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</si>
  <si>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</si>
  <si>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</si>
  <si>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</si>
  <si>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</si>
  <si>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</si>
  <si>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</si>
  <si>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</si>
  <si>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</si>
  <si>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</si>
  <si>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</si>
  <si>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</si>
  <si>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</si>
  <si>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</si>
  <si>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</si>
  <si>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</si>
  <si>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</si>
  <si>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</si>
  <si>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</si>
  <si>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</si>
  <si>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</si>
  <si>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</si>
  <si>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</si>
  <si>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</si>
  <si>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</si>
  <si>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</si>
  <si>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</si>
  <si>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</si>
  <si>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</si>
  <si>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</si>
  <si>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</si>
  <si>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</si>
  <si>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</si>
  <si>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</si>
  <si>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</si>
  <si>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</si>
  <si>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</si>
  <si>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</si>
  <si>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</si>
  <si>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</si>
  <si>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</si>
  <si>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</si>
  <si>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</si>
  <si>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</si>
  <si>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</si>
  <si>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</si>
  <si>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</si>
  <si>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</si>
  <si>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</si>
  <si>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</si>
  <si>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</si>
  <si>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</si>
  <si>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</si>
  <si>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</si>
  <si>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</si>
  <si>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</si>
  <si>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</si>
  <si>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</si>
  <si>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</si>
  <si>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</si>
  <si>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</si>
  <si>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</si>
  <si>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</si>
  <si>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</si>
  <si>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</si>
  <si>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</si>
  <si>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</si>
  <si>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</si>
  <si>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</si>
  <si>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</si>
  <si>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</si>
  <si>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</si>
  <si>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</si>
  <si>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</si>
  <si>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</si>
  <si>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</si>
  <si>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</si>
  <si>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</si>
  <si>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</si>
  <si>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</si>
  <si>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</si>
  <si>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</si>
  <si>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</si>
  <si>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</si>
  <si>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</si>
  <si>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</si>
  <si>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</si>
  <si>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</si>
  <si>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</si>
  <si>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</si>
  <si>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</si>
  <si>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</si>
  <si>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</si>
  <si>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</si>
  <si>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</si>
  <si>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</si>
  <si>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</si>
  <si>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</si>
  <si>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</si>
  <si>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</si>
  <si>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</si>
  <si>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</si>
  <si>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</si>
  <si>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</si>
  <si>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</si>
  <si>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</si>
  <si>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</si>
  <si>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</si>
  <si>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</si>
  <si>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</si>
  <si>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</si>
  <si>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</si>
  <si>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</si>
  <si>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</si>
  <si>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</si>
  <si>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</si>
  <si>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</si>
  <si>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</si>
  <si>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</si>
  <si>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</si>
  <si>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</si>
  <si>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</si>
  <si>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</si>
  <si>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</si>
  <si>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</si>
  <si>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</si>
  <si>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</si>
  <si>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</si>
  <si>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</si>
  <si>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</si>
  <si>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</si>
  <si>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</si>
  <si>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</si>
  <si>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</si>
  <si>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</si>
  <si>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</si>
  <si>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</si>
  <si>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</si>
  <si>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</si>
  <si>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</si>
  <si>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</si>
  <si>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</si>
  <si>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</si>
  <si>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</si>
  <si>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</si>
  <si>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</si>
  <si>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</si>
  <si>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</si>
  <si>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</si>
  <si>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</si>
  <si>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</si>
  <si>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</si>
  <si>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</si>
  <si>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</si>
  <si>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</si>
  <si>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</si>
  <si>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</si>
  <si>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</si>
  <si>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</si>
  <si>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</si>
  <si>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</si>
  <si>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</si>
  <si>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</si>
  <si>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</si>
  <si>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</si>
  <si>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</si>
  <si>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</si>
  <si>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</si>
  <si>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</si>
  <si>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</si>
  <si>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</si>
  <si>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</si>
  <si>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</si>
  <si>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</si>
  <si>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</si>
  <si>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</si>
  <si>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</si>
  <si>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</si>
  <si>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</si>
  <si>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</si>
  <si>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</si>
  <si>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</si>
  <si>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</si>
  <si>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</si>
  <si>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</si>
  <si>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</si>
  <si>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</si>
  <si>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</si>
  <si>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</si>
  <si>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</si>
  <si>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</si>
  <si>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</si>
  <si>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</si>
  <si>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</si>
  <si>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</si>
  <si>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</si>
  <si>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</si>
  <si>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</si>
  <si>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</si>
  <si>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</si>
  <si>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</si>
  <si>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</si>
  <si>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</si>
  <si>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</si>
  <si>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</si>
  <si>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</si>
  <si>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</si>
  <si>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</si>
  <si>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</si>
  <si>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</si>
  <si>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</si>
  <si>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</si>
  <si>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</si>
  <si>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</si>
  <si>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</si>
  <si>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</si>
  <si>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</si>
  <si>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</si>
  <si>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</si>
  <si>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</si>
  <si>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</si>
  <si>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</si>
  <si>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</si>
  <si>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</si>
  <si>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</si>
  <si>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</si>
  <si>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</si>
  <si>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</si>
  <si>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</si>
  <si>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</si>
  <si>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</si>
  <si>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</si>
  <si>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</si>
  <si>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</si>
  <si>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</si>
  <si>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</si>
  <si>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</si>
  <si>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</si>
  <si>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</si>
  <si>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</si>
  <si>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</si>
  <si>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</si>
  <si>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</si>
  <si>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</si>
  <si>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</si>
  <si>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</si>
  <si>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</si>
  <si>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</si>
  <si>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</si>
  <si>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</si>
  <si>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</si>
  <si>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</si>
  <si>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</si>
  <si>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</si>
  <si>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</si>
  <si>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</si>
  <si>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</si>
  <si>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</si>
  <si>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</si>
  <si>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</si>
  <si>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</si>
  <si>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</si>
  <si>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</si>
  <si>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</si>
  <si>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</si>
  <si>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</si>
  <si>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</si>
  <si>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</si>
  <si>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</si>
  <si>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</si>
  <si>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</si>
  <si>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</si>
  <si>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</si>
  <si>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</si>
  <si>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</si>
  <si>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</si>
  <si>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</si>
  <si>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</si>
  <si>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</si>
  <si>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</si>
  <si>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</si>
  <si>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</si>
  <si>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</si>
  <si>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</si>
  <si>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</si>
  <si>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</si>
  <si>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</si>
  <si>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</si>
  <si>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</si>
  <si>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</si>
  <si>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</si>
  <si>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</si>
  <si>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</si>
  <si>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</si>
  <si>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</si>
  <si>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</si>
  <si>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</si>
  <si>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</si>
  <si>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</si>
  <si>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</si>
  <si>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</si>
  <si>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</si>
  <si>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</si>
  <si>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</si>
  <si>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</si>
  <si>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</si>
  <si>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</si>
  <si>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</si>
  <si>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</si>
  <si>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</si>
  <si>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</si>
  <si>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</si>
  <si>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</si>
  <si>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</si>
  <si>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</si>
  <si>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</si>
  <si>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</si>
  <si>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</si>
  <si>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</si>
  <si>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</si>
  <si>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</si>
  <si>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</si>
  <si>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</si>
  <si>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</si>
  <si>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</si>
  <si>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</si>
  <si>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</si>
  <si>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</si>
  <si>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</si>
  <si>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</si>
  <si>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</si>
  <si>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</si>
  <si>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</si>
  <si>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</si>
  <si>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</si>
  <si>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</si>
  <si>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</si>
  <si>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</si>
  <si>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</si>
  <si>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</si>
  <si>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</si>
  <si>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</si>
  <si>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</si>
  <si>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</si>
  <si>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</si>
  <si>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</si>
  <si>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</si>
  <si>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</si>
  <si>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</si>
  <si>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</si>
  <si>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</si>
  <si>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</si>
  <si>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</si>
  <si>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</si>
  <si>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</si>
  <si>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</si>
  <si>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</si>
  <si>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</si>
  <si>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</si>
  <si>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</si>
  <si>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</si>
  <si>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</si>
  <si>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</si>
  <si>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</si>
  <si>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</si>
  <si>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</si>
  <si>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</si>
  <si>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</si>
  <si>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</si>
  <si>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</si>
  <si>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</si>
  <si>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</si>
  <si>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</si>
  <si>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</si>
  <si>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</si>
  <si>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</si>
  <si>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</si>
  <si>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</si>
  <si>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</si>
  <si>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</si>
  <si>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</si>
  <si>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</si>
  <si>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</si>
  <si>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</si>
  <si>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</si>
  <si>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</si>
  <si>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</si>
  <si>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</si>
  <si>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</si>
  <si>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</si>
  <si>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</si>
  <si>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</si>
  <si>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</si>
  <si>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</si>
  <si>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</si>
  <si>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</si>
  <si>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</si>
  <si>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</si>
  <si>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</si>
  <si>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</si>
  <si>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</si>
  <si>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</si>
  <si>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</si>
  <si>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</si>
  <si>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</si>
  <si>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</si>
  <si>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</si>
  <si>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</si>
  <si>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</si>
  <si>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</si>
  <si>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</si>
  <si>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</si>
  <si>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</si>
  <si>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</si>
  <si>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</si>
  <si>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</si>
  <si>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</si>
  <si>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</si>
  <si>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</si>
  <si>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</si>
  <si>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</si>
  <si>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</si>
  <si>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</si>
  <si>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</si>
  <si>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</si>
  <si>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</si>
  <si>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</si>
  <si>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</si>
  <si>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</si>
  <si>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</si>
  <si>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</si>
  <si>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</si>
  <si>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</si>
  <si>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</si>
  <si>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</si>
  <si>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</si>
  <si>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</si>
  <si>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</si>
  <si>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</si>
  <si>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</si>
  <si>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</si>
  <si>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</si>
  <si>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</si>
  <si>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</si>
  <si>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</si>
  <si>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</si>
  <si>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</si>
  <si>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</si>
  <si>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</si>
  <si>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</si>
  <si>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</si>
  <si>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</si>
  <si>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</si>
  <si>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</si>
  <si>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</si>
  <si>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</si>
  <si>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</si>
  <si>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</si>
  <si>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</si>
  <si>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</si>
  <si>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</si>
  <si>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TEC-PH-10002310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</si>
  <si>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</si>
  <si>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</si>
  <si>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</si>
  <si>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</si>
  <si>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</si>
  <si>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</si>
  <si>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</si>
  <si>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</si>
  <si>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</si>
  <si>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</si>
  <si>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</si>
  <si>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</si>
  <si>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</si>
  <si>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</si>
  <si>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</si>
  <si>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</si>
  <si>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</si>
  <si>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</si>
  <si>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</si>
  <si>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</si>
  <si>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</si>
  <si>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</si>
  <si>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</si>
  <si>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</si>
  <si>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</si>
  <si>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</si>
  <si>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</si>
  <si>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</si>
  <si>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</si>
  <si>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</si>
  <si>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</si>
  <si>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</si>
  <si>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</si>
  <si>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</si>
  <si>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</si>
  <si>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</si>
  <si>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</si>
  <si>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</si>
  <si>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</si>
  <si>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</si>
  <si>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</si>
  <si>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</si>
  <si>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</si>
  <si>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</si>
  <si>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</si>
  <si>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</si>
  <si>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</si>
  <si>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</si>
  <si>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</si>
  <si>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</si>
  <si>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</si>
  <si>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</si>
  <si>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</si>
  <si>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</si>
  <si>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</si>
  <si>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</si>
  <si>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</si>
  <si>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</si>
  <si>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</si>
  <si>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</si>
  <si>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</si>
  <si>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</si>
  <si>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</si>
  <si>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</si>
  <si>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</si>
  <si>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</si>
  <si>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</si>
  <si>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</si>
  <si>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</si>
  <si>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</si>
  <si>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</si>
  <si>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</si>
  <si>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</si>
  <si>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</si>
  <si>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</si>
  <si>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</si>
  <si>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</si>
  <si>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</si>
  <si>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</si>
  <si>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</si>
  <si>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</si>
  <si>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</si>
  <si>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</si>
  <si>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</si>
  <si>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</si>
  <si>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</si>
  <si>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</si>
  <si>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</si>
  <si>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</si>
  <si>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</si>
  <si>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</si>
  <si>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</si>
  <si>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</si>
  <si>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</si>
  <si>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</si>
  <si>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</si>
  <si>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</si>
  <si>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</si>
  <si>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</si>
  <si>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</si>
  <si>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</si>
  <si>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</si>
  <si>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</si>
  <si>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</si>
  <si>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</si>
  <si>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</si>
  <si>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</si>
  <si>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</si>
  <si>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</si>
  <si>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</si>
  <si>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</si>
  <si>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</si>
  <si>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</si>
  <si>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</si>
  <si>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</si>
  <si>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</si>
  <si>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</si>
  <si>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</si>
  <si>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</si>
  <si>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</si>
  <si>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</si>
  <si>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</si>
  <si>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</si>
  <si>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</si>
  <si>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</si>
  <si>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</si>
  <si>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</si>
  <si>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</si>
  <si>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</si>
  <si>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</si>
  <si>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</si>
  <si>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</si>
  <si>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</si>
  <si>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</si>
  <si>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</si>
  <si>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</si>
  <si>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</si>
  <si>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</si>
  <si>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</si>
  <si>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</si>
  <si>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</si>
  <si>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</si>
  <si>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</si>
  <si>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</si>
  <si>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</si>
  <si>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</si>
  <si>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</si>
  <si>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</si>
  <si>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</si>
  <si>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</si>
  <si>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</si>
  <si>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</si>
  <si>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</si>
  <si>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</si>
  <si>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</si>
  <si>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</si>
  <si>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</si>
  <si>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</si>
  <si>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</si>
  <si>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</si>
  <si>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</si>
  <si>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</si>
  <si>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</si>
  <si>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</si>
  <si>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</si>
  <si>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</si>
  <si>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</si>
  <si>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</si>
  <si>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</si>
  <si>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</si>
  <si>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</si>
  <si>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</si>
  <si>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</si>
  <si>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</si>
  <si>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</si>
  <si>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</si>
  <si>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</si>
  <si>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</si>
  <si>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</si>
  <si>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</si>
  <si>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</si>
  <si>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</si>
  <si>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</si>
  <si>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</si>
  <si>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</si>
  <si>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</si>
  <si>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</si>
  <si>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</si>
  <si>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</si>
  <si>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</si>
  <si>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</si>
  <si>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</si>
  <si>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</si>
  <si>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</si>
  <si>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</si>
  <si>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</si>
  <si>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</si>
  <si>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</si>
  <si>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</si>
  <si>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</si>
  <si>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</si>
  <si>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</si>
  <si>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</si>
  <si>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</si>
  <si>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</si>
  <si>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</si>
  <si>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</si>
  <si>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</si>
  <si>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</si>
  <si>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</si>
  <si>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</si>
  <si>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</si>
  <si>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</si>
  <si>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</si>
  <si>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</si>
  <si>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</si>
  <si>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</si>
  <si>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</si>
  <si>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</si>
  <si>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</si>
  <si>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</si>
  <si>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</si>
  <si>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</si>
  <si>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</si>
  <si>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</si>
  <si>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</si>
  <si>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</si>
  <si>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</si>
  <si>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</si>
  <si>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</si>
  <si>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</si>
  <si>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</si>
  <si>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</si>
  <si>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</si>
  <si>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</si>
  <si>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</si>
  <si>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</si>
  <si>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</si>
  <si>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</si>
  <si>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</si>
  <si>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</si>
  <si>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</si>
  <si>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</si>
  <si>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</si>
  <si>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</si>
  <si>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</si>
  <si>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</si>
  <si>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</si>
  <si>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</si>
  <si>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</si>
  <si>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</si>
  <si>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</si>
  <si>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</si>
  <si>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</si>
  <si>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</si>
  <si>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</si>
  <si>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</si>
  <si>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</si>
  <si>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</si>
  <si>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</si>
  <si>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</si>
  <si>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</si>
  <si>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</si>
  <si>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</si>
  <si>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</si>
  <si>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</si>
  <si>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</si>
  <si>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</si>
  <si>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</si>
  <si>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</si>
  <si>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</si>
  <si>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</si>
  <si>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</si>
  <si>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</si>
  <si>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</si>
  <si>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</si>
  <si>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</si>
  <si>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</si>
  <si>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</si>
  <si>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</si>
  <si>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</si>
  <si>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</si>
  <si>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</si>
  <si>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</si>
  <si>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</si>
  <si>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</si>
  <si>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</si>
  <si>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</si>
  <si>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</si>
  <si>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</si>
  <si>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</si>
  <si>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</si>
  <si>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</si>
  <si>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</si>
  <si>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</si>
  <si>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</si>
  <si>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</si>
  <si>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</si>
  <si>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</si>
  <si>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</si>
  <si>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</si>
  <si>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</si>
  <si>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</si>
  <si>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</si>
  <si>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</si>
  <si>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</si>
  <si>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</si>
  <si>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</si>
  <si>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</si>
  <si>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</si>
  <si>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</si>
  <si>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</si>
  <si>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</si>
  <si>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</si>
  <si>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</si>
  <si>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</si>
  <si>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</si>
  <si>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</si>
  <si>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</si>
  <si>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</si>
  <si>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</si>
  <si>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</si>
  <si>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</si>
  <si>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</si>
  <si>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</si>
  <si>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</si>
  <si>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</si>
  <si>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</si>
  <si>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</si>
  <si>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</si>
  <si>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</si>
  <si>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</si>
  <si>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</si>
  <si>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</si>
  <si>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</si>
  <si>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</si>
  <si>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</si>
  <si>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</si>
  <si>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</si>
  <si>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</si>
  <si>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</si>
  <si>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</si>
  <si>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</si>
  <si>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</si>
  <si>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</si>
  <si>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</si>
  <si>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</si>
  <si>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</si>
  <si>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</si>
  <si>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</si>
  <si>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</si>
  <si>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</si>
  <si>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</si>
  <si>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</si>
  <si>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</si>
  <si>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</si>
  <si>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</si>
  <si>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</si>
  <si>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</si>
  <si>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</si>
  <si>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</si>
  <si>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</si>
  <si>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</si>
  <si>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</si>
  <si>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</si>
  <si>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</si>
  <si>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</si>
  <si>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</si>
  <si>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</si>
  <si>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</si>
  <si>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</si>
  <si>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</si>
  <si>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</si>
  <si>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</si>
  <si>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</si>
  <si>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</si>
  <si>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</si>
  <si>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</si>
  <si>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</si>
  <si>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</si>
  <si>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</si>
  <si>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</si>
  <si>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</si>
  <si>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</si>
  <si>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</si>
  <si>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</si>
  <si>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</si>
  <si>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</si>
  <si>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</si>
  <si>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</si>
  <si>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</si>
  <si>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</si>
  <si>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</si>
  <si>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</si>
  <si>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</si>
  <si>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</si>
  <si>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</si>
  <si>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</si>
  <si>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</si>
  <si>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</si>
  <si>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</si>
  <si>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</si>
  <si>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</si>
  <si>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</si>
  <si>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</si>
  <si>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</si>
  <si>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</si>
  <si>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</si>
  <si>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</si>
  <si>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</si>
  <si>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</si>
  <si>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</si>
  <si>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</si>
  <si>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</si>
  <si>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</si>
  <si>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</si>
  <si>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</si>
  <si>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</si>
  <si>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</si>
  <si>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</si>
  <si>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</si>
  <si>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</si>
  <si>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</si>
  <si>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</si>
  <si>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</si>
  <si>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</si>
  <si>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</si>
  <si>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</si>
  <si>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</si>
  <si>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</si>
  <si>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</si>
  <si>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</si>
  <si>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</si>
  <si>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</si>
  <si>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</si>
  <si>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</si>
  <si>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</si>
  <si>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</si>
  <si>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</si>
  <si>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</si>
  <si>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</si>
  <si>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</si>
  <si>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</si>
  <si>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</si>
  <si>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</si>
  <si>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</si>
  <si>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</si>
  <si>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</si>
  <si>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</si>
  <si>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</si>
  <si>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</si>
  <si>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</si>
  <si>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</si>
  <si>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</si>
  <si>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</si>
  <si>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</si>
  <si>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</si>
  <si>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</si>
  <si>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</si>
  <si>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</si>
  <si>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</si>
  <si>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</si>
  <si>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</si>
  <si>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</si>
  <si>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</si>
  <si>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</si>
  <si>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</si>
  <si>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</si>
  <si>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</si>
  <si>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</si>
  <si>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</si>
  <si>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</si>
  <si>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</si>
  <si>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</si>
  <si>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</si>
  <si>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</si>
  <si>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</si>
  <si>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</si>
  <si>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</si>
  <si>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</si>
  <si>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</si>
  <si>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</si>
  <si>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</si>
  <si>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</si>
  <si>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</si>
  <si>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</si>
  <si>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</si>
  <si>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</si>
  <si>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</si>
  <si>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</si>
  <si>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</si>
  <si>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</si>
  <si>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</si>
  <si>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</si>
  <si>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</si>
  <si>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</si>
  <si>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</si>
  <si>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</si>
  <si>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</si>
  <si>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</si>
  <si>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</si>
  <si>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</si>
  <si>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</si>
  <si>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</si>
  <si>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</si>
  <si>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</si>
  <si>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</si>
  <si>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</si>
  <si>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</si>
  <si>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</si>
  <si>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</si>
  <si>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</si>
  <si>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</si>
  <si>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</si>
  <si>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</si>
  <si>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</si>
  <si>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</si>
  <si>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</si>
  <si>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</si>
  <si>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</si>
  <si>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</si>
  <si>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</si>
  <si>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</si>
  <si>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</si>
  <si>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</si>
  <si>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</si>
  <si>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</si>
  <si>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</si>
  <si>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</si>
  <si>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</si>
  <si>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</si>
  <si>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</si>
  <si>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</si>
  <si>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</si>
  <si>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</si>
  <si>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</si>
  <si>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</si>
  <si>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</si>
  <si>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</si>
  <si>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</si>
  <si>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</si>
  <si>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</si>
  <si>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</si>
  <si>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</si>
  <si>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</si>
  <si>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</si>
  <si>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</si>
  <si>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</si>
  <si>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</si>
  <si>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</si>
  <si>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</si>
  <si>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</si>
  <si>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</si>
  <si>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</si>
  <si>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</si>
  <si>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</si>
  <si>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</si>
  <si>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</si>
  <si>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</si>
  <si>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</si>
  <si>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</si>
  <si>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</si>
  <si>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</si>
  <si>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</si>
  <si>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</si>
  <si>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</si>
  <si>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</si>
  <si>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</si>
  <si>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</si>
  <si>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</si>
  <si>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</si>
  <si>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</si>
  <si>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</si>
  <si>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</si>
  <si>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</si>
  <si>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</si>
  <si>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</si>
  <si>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</si>
  <si>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</si>
  <si>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</si>
  <si>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</si>
  <si>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</si>
  <si>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</si>
  <si>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</si>
  <si>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</si>
  <si>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</si>
  <si>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</si>
  <si>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</si>
  <si>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</si>
  <si>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</si>
  <si>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</si>
  <si>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</si>
  <si>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</si>
  <si>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</si>
  <si>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</si>
  <si>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</si>
  <si>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</si>
  <si>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</si>
  <si>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</si>
  <si>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</si>
  <si>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</si>
  <si>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</si>
  <si>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</si>
  <si>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</si>
  <si>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</si>
  <si>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</si>
  <si>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</si>
  <si>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</si>
  <si>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</si>
  <si>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</si>
  <si>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</si>
  <si>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</si>
  <si>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</si>
  <si>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</si>
  <si>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</si>
  <si>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</si>
  <si>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</si>
  <si>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</si>
  <si>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</si>
  <si>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</si>
  <si>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</si>
  <si>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</si>
  <si>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</si>
  <si>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</si>
  <si>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</si>
  <si>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</si>
  <si>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</si>
  <si>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</si>
  <si>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</si>
  <si>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</si>
  <si>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</si>
  <si>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</si>
  <si>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</si>
  <si>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</si>
  <si>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</si>
  <si>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</si>
  <si>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</si>
  <si>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</si>
  <si>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</si>
  <si>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</si>
  <si>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</si>
  <si>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</si>
  <si>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</si>
  <si>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</si>
  <si>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</si>
  <si>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</si>
  <si>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</si>
  <si>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</si>
  <si>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</si>
  <si>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</si>
  <si>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</si>
  <si>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</si>
  <si>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</si>
  <si>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</si>
  <si>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</si>
  <si>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</si>
  <si>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</si>
  <si>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</si>
  <si>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</si>
  <si>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</si>
  <si>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</si>
  <si>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</si>
  <si>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</si>
  <si>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</si>
  <si>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</si>
  <si>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</si>
  <si>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</si>
  <si>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</si>
  <si>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</si>
  <si>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</si>
  <si>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</si>
  <si>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</si>
  <si>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</si>
  <si>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</si>
  <si>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</si>
  <si>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</si>
  <si>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</si>
  <si>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</si>
  <si>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</si>
  <si>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</si>
  <si>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</si>
  <si>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</si>
  <si>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</si>
  <si>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</si>
  <si>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</si>
  <si>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</si>
  <si>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</si>
  <si>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</si>
  <si>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</si>
  <si>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</si>
  <si>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</si>
  <si>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</si>
  <si>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</si>
  <si>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</si>
  <si>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</si>
  <si>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</si>
  <si>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</si>
  <si>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</si>
  <si>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</si>
  <si>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</si>
  <si>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</si>
  <si>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</si>
  <si>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</si>
  <si>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</si>
  <si>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</si>
  <si>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</si>
  <si>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</si>
  <si>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</si>
  <si>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</si>
  <si>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</si>
  <si>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</si>
  <si>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</si>
  <si>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</si>
  <si>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</si>
  <si>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</si>
  <si>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</si>
  <si>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</si>
  <si>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</si>
  <si>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</si>
  <si>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</si>
  <si>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</si>
  <si>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</si>
  <si>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</si>
  <si>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</si>
  <si>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</si>
  <si>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</si>
  <si>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</si>
  <si>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</si>
  <si>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</si>
  <si>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</si>
  <si>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</si>
  <si>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</si>
  <si>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</si>
  <si>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</si>
  <si>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</si>
  <si>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</si>
  <si>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</si>
  <si>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</si>
  <si>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</si>
  <si>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</si>
  <si>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</si>
  <si>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</si>
  <si>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</si>
  <si>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</si>
  <si>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</si>
  <si>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</si>
  <si>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</si>
  <si>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</si>
  <si>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</si>
  <si>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</si>
  <si>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</si>
  <si>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</si>
  <si>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</si>
  <si>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</si>
  <si>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</si>
  <si>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</si>
  <si>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</si>
  <si>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</si>
  <si>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</si>
  <si>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</si>
  <si>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</si>
  <si>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</si>
  <si>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</si>
  <si>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</si>
  <si>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</si>
  <si>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</si>
  <si>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</si>
  <si>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</si>
  <si>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</si>
  <si>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</si>
  <si>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</si>
  <si>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</si>
  <si>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</si>
  <si>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</si>
  <si>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</si>
  <si>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</si>
  <si>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</si>
  <si>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</si>
  <si>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</si>
  <si>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</si>
  <si>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</si>
  <si>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</si>
  <si>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</si>
  <si>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</si>
  <si>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</si>
  <si>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</si>
  <si>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</si>
  <si>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</si>
  <si>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</si>
  <si>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</si>
  <si>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</si>
  <si>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</si>
  <si>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</si>
  <si>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</si>
  <si>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</si>
  <si>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</si>
  <si>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</si>
  <si>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</si>
  <si>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</si>
  <si>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</si>
  <si>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</si>
  <si>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</si>
  <si>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</si>
  <si>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</si>
  <si>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</si>
  <si>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</si>
  <si>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</si>
  <si>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</si>
  <si>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</si>
  <si>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</si>
  <si>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</si>
  <si>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</si>
  <si>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</si>
  <si>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</si>
  <si>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</si>
  <si>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</si>
  <si>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</si>
  <si>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</si>
  <si>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</si>
  <si>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</si>
  <si>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</si>
  <si>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</si>
  <si>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</si>
  <si>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</si>
  <si>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</si>
  <si>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</si>
  <si>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</si>
  <si>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</si>
  <si>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</si>
  <si>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</si>
  <si>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</si>
  <si>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</si>
  <si>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</si>
  <si>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</si>
  <si>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</si>
  <si>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</si>
  <si>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</si>
  <si>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</si>
  <si>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</si>
  <si>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</si>
  <si>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</si>
  <si>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</si>
  <si>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</si>
  <si>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</si>
  <si>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</si>
  <si>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</si>
  <si>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</si>
  <si>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</si>
  <si>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</si>
  <si>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</si>
  <si>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</si>
  <si>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</si>
  <si>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</si>
  <si>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</si>
  <si>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</si>
  <si>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</si>
  <si>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</si>
  <si>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</si>
  <si>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</si>
  <si>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</si>
  <si>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</si>
  <si>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</si>
  <si>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</si>
  <si>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</si>
  <si>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</si>
  <si>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</si>
  <si>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</si>
  <si>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</si>
  <si>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</si>
  <si>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</si>
  <si>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</si>
  <si>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</si>
  <si>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</si>
  <si>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</si>
  <si>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</si>
  <si>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</si>
  <si>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</si>
  <si>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</si>
  <si>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</si>
  <si>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</si>
  <si>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</si>
  <si>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</si>
  <si>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</si>
  <si>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</si>
  <si>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</si>
  <si>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</si>
  <si>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</si>
  <si>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</si>
  <si>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</si>
  <si>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</si>
  <si>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</si>
  <si>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</si>
  <si>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</si>
  <si>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</si>
  <si>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</si>
  <si>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</si>
  <si>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</si>
  <si>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</si>
  <si>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</si>
  <si>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</si>
  <si>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</si>
  <si>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</si>
  <si>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</si>
  <si>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</si>
  <si>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</si>
  <si>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</si>
  <si>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</si>
  <si>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</si>
  <si>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</si>
  <si>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</si>
  <si>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</si>
  <si>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</si>
  <si>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</si>
  <si>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</si>
  <si>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</si>
  <si>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</si>
  <si>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</si>
  <si>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</si>
  <si>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</si>
  <si>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</si>
  <si>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</si>
  <si>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</si>
  <si>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</si>
  <si>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</si>
  <si>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</si>
  <si>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</si>
  <si>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</si>
  <si>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</si>
  <si>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</si>
  <si>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</si>
  <si>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</si>
  <si>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</si>
  <si>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</si>
  <si>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</si>
  <si>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</si>
  <si>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</si>
  <si>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</si>
  <si>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</si>
  <si>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</si>
  <si>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</si>
  <si>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</si>
  <si>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</si>
  <si>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</si>
  <si>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</si>
  <si>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</si>
  <si>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</si>
  <si>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</si>
  <si>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</si>
  <si>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</si>
  <si>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</si>
  <si>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</si>
  <si>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</si>
  <si>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</si>
  <si>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</si>
  <si>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</si>
  <si>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</si>
  <si>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</si>
  <si>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</si>
  <si>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</si>
  <si>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</si>
  <si>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</si>
  <si>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</si>
  <si>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</si>
  <si>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</si>
  <si>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</si>
  <si>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</si>
  <si>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</si>
  <si>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</si>
  <si>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</si>
  <si>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</si>
  <si>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</si>
  <si>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</si>
  <si>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</si>
  <si>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</si>
  <si>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</si>
  <si>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</si>
  <si>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</si>
  <si>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</si>
  <si>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</si>
  <si>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</si>
  <si>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</si>
  <si>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</si>
  <si>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</si>
  <si>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</si>
  <si>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</si>
  <si>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</si>
  <si>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</si>
  <si>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</si>
  <si>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</si>
  <si>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</si>
  <si>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</si>
  <si>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</si>
  <si>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</si>
  <si>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</si>
  <si>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</si>
  <si>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</si>
  <si>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</si>
  <si>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</si>
  <si>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</si>
  <si>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</si>
  <si>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</si>
  <si>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</si>
  <si>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</si>
  <si>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</si>
  <si>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</si>
  <si>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</si>
  <si>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</si>
  <si>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</si>
  <si>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</si>
  <si>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</si>
  <si>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</si>
  <si>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</si>
  <si>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</si>
  <si>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</si>
  <si>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</si>
  <si>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</si>
  <si>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</si>
  <si>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</si>
  <si>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</si>
  <si>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</si>
  <si>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</si>
  <si>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</si>
  <si>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</si>
  <si>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</si>
  <si>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</si>
  <si>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</si>
  <si>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</si>
  <si>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</si>
  <si>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</si>
  <si>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</si>
  <si>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</si>
  <si>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</si>
  <si>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</si>
  <si>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</si>
  <si>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</si>
  <si>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</si>
  <si>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</si>
  <si>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</si>
  <si>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</si>
  <si>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</si>
  <si>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</si>
  <si>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</si>
  <si>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</si>
  <si>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</si>
  <si>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</si>
  <si>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</si>
  <si>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</si>
  <si>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</si>
  <si>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</si>
  <si>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</si>
  <si>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</si>
  <si>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</si>
  <si>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</si>
  <si>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</si>
  <si>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</si>
  <si>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</si>
  <si>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</si>
  <si>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</si>
  <si>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</si>
  <si>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</si>
  <si>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</si>
  <si>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</si>
  <si>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</si>
  <si>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</si>
  <si>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</si>
  <si>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</si>
  <si>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</si>
  <si>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</si>
  <si>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</si>
  <si>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</si>
  <si>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</si>
  <si>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</si>
  <si>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</si>
  <si>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</si>
  <si>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</si>
  <si>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</si>
  <si>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</si>
  <si>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</si>
  <si>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</si>
  <si>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</si>
  <si>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</si>
  <si>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</si>
  <si>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</si>
  <si>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</si>
  <si>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</si>
  <si>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</si>
  <si>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</si>
  <si>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</si>
  <si>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</si>
  <si>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</si>
  <si>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</si>
  <si>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</si>
  <si>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</si>
  <si>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</si>
  <si>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</si>
  <si>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</si>
  <si>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</si>
  <si>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</si>
  <si>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</si>
  <si>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</si>
  <si>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</si>
  <si>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</si>
  <si>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</si>
  <si>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</si>
  <si>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</si>
  <si>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</si>
  <si>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</si>
  <si>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</si>
  <si>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</si>
  <si>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</si>
  <si>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</si>
  <si>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</si>
  <si>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</si>
  <si>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</si>
  <si>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</si>
  <si>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</si>
  <si>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</si>
  <si>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</si>
  <si>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</si>
  <si>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</si>
  <si>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</si>
  <si>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</si>
  <si>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</si>
  <si>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</si>
  <si>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</si>
  <si>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</si>
  <si>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</si>
  <si>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</si>
  <si>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</si>
  <si>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</si>
  <si>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</si>
  <si>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</si>
  <si>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</si>
  <si>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</si>
  <si>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</si>
  <si>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</si>
  <si>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</si>
  <si>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</si>
  <si>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</si>
  <si>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</si>
  <si>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</si>
  <si>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</si>
  <si>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</si>
  <si>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</si>
  <si>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</si>
  <si>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</si>
  <si>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</si>
  <si>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</si>
  <si>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</si>
  <si>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</si>
  <si>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</si>
  <si>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</si>
  <si>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</si>
  <si>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</si>
  <si>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</si>
  <si>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</si>
  <si>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</si>
  <si>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</si>
  <si>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</si>
  <si>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</si>
  <si>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</si>
  <si>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</si>
  <si>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</si>
  <si>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</si>
  <si>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</si>
  <si>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</si>
  <si>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</si>
  <si>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</si>
  <si>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</si>
  <si>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</si>
  <si>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</si>
  <si>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</si>
  <si>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</si>
  <si>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</si>
  <si>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</si>
  <si>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</si>
  <si>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</si>
  <si>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</si>
  <si>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</si>
  <si>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</si>
  <si>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</si>
  <si>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</si>
  <si>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</si>
  <si>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</si>
  <si>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</si>
  <si>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</si>
  <si>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</si>
  <si>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</si>
  <si>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</si>
  <si>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</si>
  <si>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</si>
  <si>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</si>
  <si>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</si>
  <si>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</si>
  <si>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</si>
  <si>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</si>
  <si>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</si>
  <si>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</si>
  <si>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</si>
  <si>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</si>
  <si>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</si>
  <si>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</si>
  <si>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</si>
  <si>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</si>
  <si>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</si>
  <si>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</si>
  <si>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</si>
  <si>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</si>
  <si>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</si>
  <si>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</si>
  <si>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</si>
  <si>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</si>
  <si>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</si>
  <si>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</si>
  <si>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</si>
  <si>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</si>
  <si>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</si>
  <si>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</si>
  <si>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</si>
  <si>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</si>
  <si>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</si>
  <si>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</si>
  <si>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</si>
  <si>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</si>
  <si>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</si>
  <si>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</si>
  <si>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</si>
  <si>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</si>
  <si>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</si>
  <si>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</si>
  <si>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</si>
  <si>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</si>
  <si>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</si>
  <si>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</si>
  <si>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</si>
  <si>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</si>
  <si>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</si>
  <si>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</si>
  <si>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</si>
  <si>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</si>
  <si>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</si>
  <si>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</si>
  <si>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</si>
  <si>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</si>
  <si>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</si>
  <si>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</si>
  <si>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</si>
  <si>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</si>
  <si>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</si>
  <si>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</si>
  <si>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</si>
  <si>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</si>
  <si>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</si>
  <si>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</si>
  <si>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</si>
  <si>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</si>
  <si>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</si>
  <si>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</si>
  <si>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</si>
  <si>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</si>
  <si>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</si>
  <si>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</si>
  <si>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</si>
  <si>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</si>
  <si>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</si>
  <si>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</si>
  <si>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</si>
  <si>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</si>
  <si>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</si>
  <si>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</si>
  <si>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</si>
  <si>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</si>
  <si>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</si>
  <si>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</si>
  <si>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</si>
  <si>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</si>
  <si>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</si>
  <si>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</si>
  <si>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</si>
  <si>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</si>
  <si>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</si>
  <si>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</si>
  <si>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</si>
  <si>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</si>
  <si>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</si>
  <si>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</si>
  <si>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</si>
  <si>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</si>
  <si>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</si>
  <si>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</si>
  <si>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</si>
  <si>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</si>
  <si>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</si>
  <si>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</si>
  <si>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</si>
  <si>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</si>
  <si>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</si>
  <si>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</si>
  <si>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</si>
  <si>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</si>
  <si>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</si>
  <si>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</si>
  <si>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</si>
  <si>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</si>
  <si>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</si>
  <si>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</si>
  <si>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</si>
  <si>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</si>
  <si>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</si>
  <si>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</si>
  <si>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</si>
  <si>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</si>
  <si>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</si>
  <si>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</si>
  <si>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</si>
  <si>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</si>
  <si>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</si>
  <si>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</si>
  <si>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</si>
  <si>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</si>
  <si>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</si>
  <si>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</si>
  <si>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</si>
  <si>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</si>
  <si>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</si>
  <si>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</si>
  <si>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</si>
  <si>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</si>
  <si>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</si>
  <si>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</si>
  <si>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</si>
  <si>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</si>
  <si>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</si>
  <si>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</si>
  <si>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</si>
  <si>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</si>
  <si>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</si>
  <si>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</si>
  <si>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</si>
  <si>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</si>
  <si>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</si>
  <si>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</si>
  <si>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</si>
  <si>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</si>
  <si>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</si>
  <si>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</si>
  <si>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</si>
  <si>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</si>
  <si>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</si>
  <si>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</si>
  <si>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</si>
  <si>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</si>
  <si>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</si>
  <si>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</si>
  <si>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</si>
  <si>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</si>
  <si>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</si>
  <si>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</si>
  <si>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</si>
  <si>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</si>
  <si>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</si>
  <si>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</si>
  <si>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</si>
  <si>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</si>
  <si>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</si>
  <si>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</si>
  <si>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</si>
  <si>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</si>
  <si>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</si>
  <si>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</si>
  <si>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</si>
  <si>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</si>
  <si>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</si>
  <si>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</si>
  <si>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</si>
  <si>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</si>
  <si>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</si>
  <si>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</si>
  <si>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</si>
  <si>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</si>
  <si>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</si>
  <si>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</si>
  <si>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</si>
  <si>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</si>
  <si>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</si>
  <si>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</si>
  <si>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</si>
  <si>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</si>
  <si>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</si>
  <si>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</si>
  <si>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</si>
  <si>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</si>
  <si>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</si>
  <si>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</si>
  <si>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</si>
  <si>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</si>
  <si>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</si>
  <si>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</si>
  <si>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</si>
  <si>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</si>
  <si>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</si>
  <si>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</si>
  <si>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</si>
  <si>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</si>
  <si>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</si>
  <si>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</si>
  <si>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</si>
  <si>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</si>
  <si>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</si>
  <si>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</si>
  <si>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</si>
  <si>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</si>
  <si>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</si>
  <si>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</si>
  <si>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</si>
  <si>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</si>
  <si>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</si>
  <si>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</si>
  <si>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</si>
  <si>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</si>
  <si>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</si>
  <si>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</si>
  <si>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</si>
  <si>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</si>
  <si>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</si>
  <si>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</si>
  <si>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</si>
  <si>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</si>
  <si>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</si>
  <si>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</si>
  <si>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</si>
  <si>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</si>
  <si>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</si>
  <si>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</si>
  <si>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</si>
  <si>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</si>
  <si>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</si>
  <si>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</si>
  <si>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</si>
  <si>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</si>
  <si>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</si>
  <si>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</si>
  <si>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</si>
  <si>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</si>
  <si>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</si>
  <si>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</si>
  <si>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</si>
  <si>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</si>
  <si>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</si>
  <si>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</si>
  <si>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</si>
  <si>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</si>
  <si>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</si>
  <si>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</si>
  <si>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</si>
  <si>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</si>
  <si>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</si>
  <si>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</si>
  <si>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</si>
  <si>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</si>
  <si>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</si>
  <si>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</si>
  <si>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</si>
  <si>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</si>
  <si>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</si>
  <si>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</si>
  <si>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</si>
  <si>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</si>
  <si>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</si>
  <si>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</si>
  <si>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</si>
  <si>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</si>
  <si>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</si>
  <si>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</si>
  <si>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</si>
  <si>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</si>
  <si>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</si>
  <si>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</si>
  <si>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</si>
  <si>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</si>
  <si>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</si>
  <si>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</si>
  <si>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</si>
  <si>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</si>
  <si>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</si>
  <si>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</si>
  <si>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</si>
  <si>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</si>
  <si>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</si>
  <si>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</si>
  <si>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</si>
  <si>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</si>
  <si>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</si>
  <si>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</si>
  <si>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</si>
  <si>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</si>
  <si>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</si>
  <si>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</si>
  <si>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</si>
  <si>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</si>
  <si>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</si>
  <si>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</si>
  <si>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</si>
  <si>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</si>
  <si>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</si>
  <si>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</si>
  <si>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</si>
  <si>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</si>
  <si>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</si>
  <si>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</si>
  <si>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</si>
  <si>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</si>
  <si>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</si>
  <si>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</si>
  <si>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</si>
  <si>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</si>
  <si>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</si>
  <si>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</si>
  <si>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</si>
  <si>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</si>
  <si>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</si>
  <si>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</si>
  <si>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</si>
  <si>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</si>
  <si>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</si>
  <si>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</si>
  <si>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</si>
  <si>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</si>
  <si>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</si>
  <si>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</si>
  <si>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</si>
  <si>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</si>
  <si>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</si>
  <si>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</si>
  <si>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</si>
  <si>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</si>
  <si>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</si>
  <si>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</si>
  <si>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</si>
  <si>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</si>
  <si>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</si>
  <si>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</si>
  <si>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</si>
  <si>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</si>
  <si>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</si>
  <si>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</si>
  <si>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</si>
  <si>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</si>
  <si>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</si>
  <si>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</si>
  <si>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</si>
  <si>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</si>
  <si>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</si>
  <si>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</si>
  <si>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</si>
  <si>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</si>
  <si>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</si>
  <si>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</si>
  <si>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</si>
  <si>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</si>
  <si>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</si>
  <si>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</si>
  <si>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</si>
  <si>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</si>
  <si>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</si>
  <si>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</si>
  <si>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</si>
  <si>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</si>
  <si>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</si>
  <si>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</si>
  <si>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</si>
  <si>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</si>
  <si>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</si>
  <si>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</si>
  <si>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</si>
  <si>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</si>
  <si>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</si>
  <si>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</si>
  <si>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</si>
  <si>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</si>
  <si>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</si>
  <si>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</si>
  <si>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</si>
  <si>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</si>
  <si>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</si>
  <si>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</si>
  <si>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</si>
  <si>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</si>
  <si>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</si>
  <si>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</si>
  <si>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</si>
  <si>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</si>
  <si>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</si>
  <si>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</si>
  <si>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</si>
  <si>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</si>
  <si>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</si>
  <si>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</si>
  <si>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</si>
  <si>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</si>
  <si>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</si>
  <si>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</si>
  <si>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</si>
  <si>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</si>
  <si>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</si>
  <si>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</si>
  <si>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</si>
  <si>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</si>
  <si>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</si>
  <si>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</si>
  <si>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</si>
  <si>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</si>
  <si>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</si>
  <si>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</si>
  <si>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</si>
  <si>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</si>
  <si>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</si>
  <si>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</si>
  <si>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</si>
  <si>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</si>
  <si>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</si>
  <si>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</si>
  <si>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</si>
  <si>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</si>
  <si>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</si>
  <si>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</si>
  <si>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</si>
  <si>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</si>
  <si>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</si>
  <si>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</si>
  <si>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</si>
  <si>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</si>
  <si>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</si>
  <si>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</si>
  <si>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</si>
  <si>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</si>
  <si>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</si>
  <si>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</si>
  <si>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</si>
  <si>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</si>
  <si>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</si>
  <si>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</si>
  <si>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</si>
  <si>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</si>
  <si>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</si>
  <si>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</si>
  <si>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</si>
  <si>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</si>
  <si>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</si>
  <si>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</si>
  <si>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</si>
  <si>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</si>
  <si>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</si>
  <si>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</si>
  <si>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</si>
  <si>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</si>
  <si>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</si>
  <si>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</si>
  <si>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</si>
  <si>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</si>
  <si>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</si>
  <si>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</si>
  <si>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</si>
  <si>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</si>
  <si>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</si>
  <si>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</si>
  <si>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</si>
  <si>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</si>
  <si>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</si>
  <si>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</si>
  <si>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</si>
  <si>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</si>
  <si>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</si>
  <si>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</si>
  <si>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</si>
  <si>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</si>
  <si>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</si>
  <si>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</si>
  <si>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</si>
  <si>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</si>
  <si>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</si>
  <si>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</si>
  <si>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</si>
  <si>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</si>
  <si>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</si>
  <si>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</si>
  <si>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</si>
  <si>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</si>
  <si>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</si>
  <si>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</si>
  <si>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</si>
  <si>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</si>
  <si>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</si>
  <si>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</si>
  <si>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</si>
  <si>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</si>
  <si>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</si>
  <si>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</si>
  <si>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</si>
  <si>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</si>
  <si>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</si>
  <si>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</si>
  <si>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</si>
  <si>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</si>
  <si>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</si>
  <si>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</si>
  <si>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</si>
  <si>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</si>
  <si>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</si>
  <si>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</si>
  <si>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</si>
  <si>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</si>
  <si>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</si>
  <si>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</si>
  <si>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</si>
  <si>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</si>
  <si>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</si>
  <si>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</si>
  <si>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</si>
  <si>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</si>
  <si>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</si>
  <si>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</si>
  <si>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</si>
  <si>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</si>
  <si>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</si>
  <si>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</si>
  <si>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</si>
  <si>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</si>
  <si>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</si>
  <si>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</si>
  <si>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</si>
  <si>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</si>
  <si>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</si>
  <si>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</si>
  <si>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</si>
  <si>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</si>
  <si>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</si>
  <si>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</si>
  <si>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</si>
  <si>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</si>
  <si>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</si>
  <si>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</si>
  <si>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</si>
  <si>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</si>
  <si>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</si>
  <si>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</si>
  <si>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</si>
  <si>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</si>
  <si>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</si>
  <si>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</si>
  <si>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</si>
  <si>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</si>
  <si>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</si>
  <si>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</si>
  <si>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</si>
  <si>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</si>
  <si>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</si>
  <si>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</si>
  <si>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</si>
  <si>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</si>
  <si>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</si>
  <si>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</si>
  <si>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</si>
  <si>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</si>
  <si>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</si>
  <si>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</si>
  <si>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</si>
  <si>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</si>
  <si>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</si>
  <si>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</si>
  <si>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</si>
  <si>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</si>
  <si>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</si>
  <si>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</si>
  <si>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</si>
  <si>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</si>
  <si>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</si>
  <si>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</si>
  <si>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</si>
  <si>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</si>
  <si>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</si>
  <si>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</si>
  <si>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</si>
  <si>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</si>
  <si>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</si>
  <si>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</si>
  <si>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</si>
  <si>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</si>
  <si>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</si>
  <si>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</si>
  <si>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</si>
  <si>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</si>
  <si>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</si>
  <si>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</si>
  <si>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</si>
  <si>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</si>
  <si>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</si>
  <si>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</si>
  <si>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</si>
  <si>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</si>
  <si>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</si>
  <si>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</si>
  <si>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</si>
  <si>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</si>
  <si>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</si>
  <si>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</si>
  <si>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</si>
  <si>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</si>
  <si>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</si>
  <si>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</si>
  <si>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</si>
  <si>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</si>
  <si>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</si>
  <si>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</si>
  <si>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</si>
  <si>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</si>
  <si>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</si>
  <si>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</si>
  <si>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</si>
  <si>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</si>
  <si>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</si>
  <si>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</si>
  <si>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</si>
  <si>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</si>
  <si>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</si>
  <si>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</si>
  <si>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</si>
  <si>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</si>
  <si>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</si>
  <si>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</si>
  <si>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</si>
  <si>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</si>
  <si>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</si>
  <si>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</si>
  <si>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</si>
  <si>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</si>
  <si>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</si>
  <si>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</si>
  <si>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</si>
  <si>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</si>
  <si>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</si>
  <si>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</si>
  <si>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</si>
  <si>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</si>
  <si>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</si>
  <si>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</si>
  <si>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</si>
  <si>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</si>
  <si>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</si>
  <si>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</si>
  <si>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</si>
  <si>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</si>
  <si>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</si>
  <si>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</si>
  <si>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</si>
  <si>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</si>
  <si>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</si>
  <si>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</si>
  <si>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</si>
  <si>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</si>
  <si>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</si>
  <si>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</si>
  <si>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</si>
  <si>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</si>
  <si>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</si>
  <si>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</si>
  <si>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</si>
  <si>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</si>
  <si>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</si>
  <si>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</si>
  <si>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</si>
  <si>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</si>
  <si>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</si>
  <si>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</si>
  <si>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</si>
  <si>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</si>
  <si>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</si>
  <si>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</si>
  <si>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</si>
  <si>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</si>
  <si>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</si>
  <si>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</si>
  <si>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</si>
  <si>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</si>
  <si>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</si>
  <si>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</si>
  <si>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</si>
  <si>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</si>
  <si>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</si>
  <si>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</si>
  <si>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</si>
  <si>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</si>
  <si>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</si>
  <si>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</si>
  <si>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</si>
  <si>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</si>
  <si>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</si>
  <si>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</si>
  <si>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</si>
  <si>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</si>
  <si>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</si>
  <si>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</si>
  <si>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</si>
  <si>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</si>
  <si>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</si>
  <si>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</si>
  <si>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</si>
  <si>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</si>
  <si>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</si>
  <si>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</si>
  <si>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</si>
  <si>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</si>
  <si>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</si>
  <si>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</si>
  <si>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</si>
  <si>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</si>
  <si>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</si>
  <si>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</si>
  <si>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</si>
  <si>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</si>
  <si>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</si>
  <si>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</si>
  <si>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</si>
  <si>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</si>
  <si>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</si>
  <si>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</si>
  <si>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</si>
  <si>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</si>
  <si>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</si>
  <si>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</si>
  <si>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</si>
  <si>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</si>
  <si>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</si>
  <si>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</si>
  <si>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</si>
  <si>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</si>
  <si>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</si>
  <si>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</si>
  <si>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</si>
  <si>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</si>
  <si>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</si>
  <si>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</si>
  <si>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</si>
  <si>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</si>
  <si>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</si>
  <si>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</si>
  <si>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</si>
  <si>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</si>
  <si>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</si>
  <si>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</si>
  <si>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</si>
  <si>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</si>
  <si>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</si>
  <si>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</si>
  <si>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</si>
  <si>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</si>
  <si>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</si>
  <si>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</si>
  <si>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</si>
  <si>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</si>
  <si>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</si>
  <si>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</si>
  <si>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</si>
  <si>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</si>
  <si>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</si>
  <si>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</si>
  <si>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</si>
  <si>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</si>
  <si>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</si>
  <si>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</si>
  <si>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</si>
  <si>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</si>
  <si>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</si>
  <si>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</si>
  <si>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</si>
  <si>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</si>
  <si>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</si>
  <si>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</si>
  <si>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</si>
  <si>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</si>
  <si>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</si>
  <si>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</si>
  <si>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</si>
  <si>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</si>
  <si>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</si>
  <si>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</si>
  <si>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</si>
  <si>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</si>
  <si>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</si>
  <si>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</si>
  <si>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</si>
  <si>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</si>
  <si>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</si>
  <si>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</si>
  <si>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</si>
  <si>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</si>
  <si>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</si>
  <si>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</si>
  <si>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</si>
  <si>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</si>
  <si>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</si>
  <si>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</si>
  <si>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</si>
  <si>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</si>
  <si>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</si>
  <si>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</si>
  <si>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</si>
  <si>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</si>
  <si>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</si>
  <si>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</si>
  <si>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</si>
  <si>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</si>
  <si>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</si>
  <si>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</si>
  <si>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</si>
  <si>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</si>
  <si>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</si>
  <si>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</si>
  <si>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</si>
  <si>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</si>
  <si>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</si>
  <si>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</si>
  <si>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</si>
  <si>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</si>
  <si>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</si>
  <si>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</si>
  <si>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</si>
  <si>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</si>
  <si>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</si>
  <si>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</si>
  <si>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</si>
  <si>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</si>
  <si>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</si>
  <si>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</si>
  <si>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</si>
  <si>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</si>
  <si>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</si>
  <si>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</si>
  <si>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</si>
  <si>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</si>
  <si>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</si>
  <si>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</si>
  <si>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</si>
  <si>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</si>
  <si>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</si>
  <si>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</si>
  <si>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</si>
  <si>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</si>
  <si>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</si>
  <si>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</si>
  <si>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</si>
  <si>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</si>
  <si>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</si>
  <si>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</si>
  <si>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</si>
  <si>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</si>
  <si>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</si>
  <si>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</si>
  <si>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</si>
  <si>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</si>
  <si>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</si>
  <si>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</si>
  <si>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</si>
  <si>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</si>
  <si>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</si>
  <si>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</si>
  <si>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</si>
  <si>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</si>
  <si>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</si>
  <si>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</si>
  <si>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</si>
  <si>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</si>
  <si>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</si>
  <si>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</si>
  <si>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</si>
  <si>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</si>
  <si>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</si>
  <si>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</si>
  <si>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</si>
  <si>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</si>
  <si>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</si>
  <si>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</si>
  <si>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</si>
  <si>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</si>
  <si>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</si>
  <si>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</si>
  <si>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</si>
  <si>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</si>
  <si>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</si>
  <si>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</si>
  <si>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</si>
  <si>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</si>
  <si>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</si>
  <si>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</si>
  <si>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</si>
  <si>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</si>
  <si>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</si>
  <si>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</si>
  <si>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</si>
  <si>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</si>
  <si>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</si>
  <si>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</si>
  <si>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</si>
  <si>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</si>
  <si>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</si>
  <si>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</si>
  <si>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</si>
  <si>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</si>
  <si>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</si>
  <si>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</si>
  <si>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</si>
  <si>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</si>
  <si>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</si>
  <si>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</si>
  <si>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</si>
  <si>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</si>
  <si>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</si>
  <si>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</si>
  <si>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</si>
  <si>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</si>
  <si>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</si>
  <si>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</si>
  <si>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</si>
  <si>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</si>
  <si>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</si>
  <si>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</si>
  <si>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</si>
  <si>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</si>
  <si>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</si>
  <si>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</si>
  <si>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</si>
  <si>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</si>
  <si>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</si>
  <si>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</si>
  <si>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</si>
  <si>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</si>
  <si>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</si>
  <si>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</si>
  <si>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</si>
  <si>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</si>
  <si>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</si>
  <si>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</si>
  <si>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</si>
  <si>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</si>
  <si>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</si>
  <si>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</si>
  <si>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</si>
  <si>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</si>
  <si>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</si>
  <si>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</si>
  <si>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</si>
  <si>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</si>
  <si>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</si>
  <si>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</si>
  <si>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</si>
  <si>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</si>
  <si>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</si>
  <si>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</si>
  <si>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</si>
  <si>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</si>
  <si>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</si>
  <si>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</si>
  <si>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</si>
  <si>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</si>
  <si>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</si>
  <si>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</si>
  <si>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</si>
  <si>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</si>
  <si>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</si>
  <si>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</si>
  <si>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</si>
  <si>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</si>
  <si>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</si>
  <si>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</si>
  <si>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</si>
  <si>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</si>
  <si>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</si>
  <si>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</si>
  <si>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</si>
  <si>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</si>
  <si>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</si>
  <si>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</si>
  <si>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</si>
  <si>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</si>
  <si>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</si>
  <si>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</si>
  <si>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</si>
  <si>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</si>
  <si>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</si>
  <si>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</si>
  <si>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</si>
  <si>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</si>
  <si>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</si>
  <si>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</si>
  <si>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</si>
  <si>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</si>
  <si>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</si>
  <si>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</si>
  <si>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</si>
  <si>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</si>
  <si>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</si>
  <si>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</si>
  <si>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</si>
  <si>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</si>
  <si>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</si>
  <si>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</si>
  <si>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</si>
  <si>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</si>
  <si>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</si>
  <si>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</si>
  <si>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</si>
  <si>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</si>
  <si>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</si>
  <si>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</si>
  <si>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</si>
  <si>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</si>
  <si>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</si>
  <si>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</si>
  <si>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</si>
  <si>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</si>
  <si>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</si>
  <si>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</si>
  <si>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</si>
  <si>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</si>
  <si>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</si>
  <si>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</si>
  <si>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</si>
  <si>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</si>
  <si>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</si>
  <si>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</si>
  <si>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</si>
  <si>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</si>
  <si>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</si>
  <si>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</si>
  <si>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</si>
  <si>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</si>
  <si>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</si>
  <si>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</si>
  <si>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</si>
  <si>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</si>
  <si>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</si>
  <si>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</si>
  <si>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</si>
  <si>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</si>
  <si>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</si>
  <si>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</si>
  <si>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</si>
  <si>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</si>
  <si>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</si>
  <si>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</si>
  <si>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</si>
  <si>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</si>
  <si>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</si>
  <si>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</si>
  <si>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</si>
  <si>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</si>
  <si>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</si>
  <si>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</si>
  <si>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</si>
  <si>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</si>
  <si>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</si>
  <si>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</si>
  <si>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</si>
  <si>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</si>
  <si>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</si>
  <si>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</si>
  <si>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</si>
  <si>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</si>
  <si>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</si>
  <si>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</si>
  <si>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</si>
  <si>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</si>
  <si>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</si>
  <si>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</si>
  <si>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</si>
  <si>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</si>
  <si>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</si>
  <si>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</si>
  <si>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</si>
  <si>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</si>
  <si>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</si>
  <si>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</si>
  <si>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</si>
  <si>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</si>
  <si>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</si>
  <si>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</si>
  <si>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</si>
  <si>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</si>
  <si>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</si>
  <si>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</si>
  <si>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</si>
  <si>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</si>
  <si>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</si>
  <si>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</si>
  <si>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</si>
  <si>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</si>
  <si>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</si>
  <si>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</si>
  <si>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</si>
  <si>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</si>
  <si>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</si>
  <si>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</si>
  <si>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</si>
  <si>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</si>
  <si>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</si>
  <si>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</si>
  <si>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</si>
  <si>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</si>
  <si>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</si>
  <si>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</si>
  <si>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</si>
  <si>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</si>
  <si>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</si>
  <si>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</si>
  <si>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</si>
  <si>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</si>
  <si>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</si>
  <si>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</si>
  <si>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</si>
  <si>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</si>
  <si>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</si>
  <si>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</si>
  <si>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</si>
  <si>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</si>
  <si>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</si>
  <si>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</si>
  <si>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</si>
  <si>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</si>
  <si>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</si>
  <si>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</si>
  <si>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</si>
  <si>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</si>
  <si>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</si>
  <si>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</si>
  <si>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</si>
  <si>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</si>
  <si>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</si>
  <si>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</si>
  <si>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</si>
  <si>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</si>
  <si>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</si>
  <si>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</si>
  <si>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</si>
  <si>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</si>
  <si>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</si>
  <si>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</si>
  <si>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</si>
  <si>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</si>
  <si>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</si>
  <si>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</si>
  <si>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</si>
  <si>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</si>
  <si>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</si>
  <si>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</si>
  <si>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</si>
  <si>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</si>
  <si>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</si>
  <si>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</si>
  <si>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</si>
  <si>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</si>
  <si>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</si>
  <si>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</si>
  <si>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</si>
  <si>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</si>
  <si>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</si>
  <si>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</si>
  <si>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</si>
  <si>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</si>
  <si>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</si>
  <si>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</si>
  <si>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</si>
  <si>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</si>
  <si>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</si>
  <si>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</si>
  <si>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</si>
  <si>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</si>
  <si>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</si>
  <si>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</si>
  <si>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</si>
  <si>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</si>
  <si>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</si>
  <si>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</si>
  <si>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</si>
  <si>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</si>
  <si>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</si>
  <si>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</si>
  <si>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</si>
  <si>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</si>
  <si>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</si>
  <si>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</si>
  <si>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</si>
  <si>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</si>
  <si>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</si>
  <si>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</si>
  <si>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</si>
  <si>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</si>
  <si>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</si>
  <si>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</si>
  <si>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</si>
  <si>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</si>
  <si>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</si>
  <si>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</si>
  <si>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</si>
  <si>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</si>
  <si>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</si>
  <si>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</si>
  <si>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</si>
  <si>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</si>
  <si>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</si>
  <si>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</si>
  <si>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</si>
  <si>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</si>
  <si>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</si>
  <si>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</si>
  <si>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</si>
  <si>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</si>
  <si>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</si>
  <si>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</si>
  <si>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</si>
  <si>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</si>
  <si>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</si>
  <si>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</si>
  <si>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</si>
  <si>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</si>
  <si>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</si>
  <si>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</si>
  <si>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CA-2017-106859</t>
  </si>
  <si>
    <t>BF-11215</t>
  </si>
  <si>
    <t>Benjamin Farhat</t>
  </si>
  <si>
    <t>OFF-PA-10001534</t>
  </si>
  <si>
    <t>Xerox 230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</si>
  <si>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</si>
  <si>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</si>
  <si>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</si>
  <si>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</si>
  <si>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</si>
  <si>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</si>
  <si>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</si>
  <si>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</si>
  <si>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</si>
  <si>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</si>
  <si>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</si>
  <si>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</si>
  <si>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</si>
  <si>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</si>
  <si>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</si>
  <si>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</si>
  <si>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</si>
  <si>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</si>
  <si>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</si>
  <si>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</si>
  <si>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</si>
  <si>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</si>
  <si>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</si>
  <si>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</si>
  <si>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</si>
  <si>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</si>
  <si>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</si>
  <si>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</si>
  <si>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</si>
  <si>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</si>
  <si>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</si>
  <si>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</si>
  <si>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</si>
  <si>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</si>
  <si>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</si>
  <si>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</si>
  <si>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</si>
  <si>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</si>
  <si>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</si>
  <si>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</si>
  <si>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</si>
  <si>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</si>
  <si>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</si>
  <si>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</si>
  <si>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</si>
  <si>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</si>
  <si>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</si>
  <si>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</si>
  <si>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</si>
  <si>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</si>
  <si>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</si>
  <si>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</si>
  <si>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</si>
  <si>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</si>
  <si>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</si>
  <si>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</si>
  <si>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</si>
  <si>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</si>
  <si>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</si>
  <si>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</si>
  <si>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</si>
  <si>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</si>
  <si>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</si>
  <si>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</si>
  <si>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</si>
  <si>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</si>
  <si>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</si>
  <si>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</si>
  <si>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</si>
  <si>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</si>
  <si>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</si>
  <si>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</si>
  <si>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</si>
  <si>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</si>
  <si>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</si>
  <si>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</si>
  <si>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</si>
  <si>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</si>
  <si>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</si>
  <si>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</si>
  <si>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</si>
  <si>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</si>
  <si>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</si>
  <si>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</si>
  <si>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</si>
  <si>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</si>
  <si>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</si>
  <si>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</si>
  <si>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</si>
  <si>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</si>
  <si>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</si>
  <si>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</si>
  <si>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</si>
  <si>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</si>
  <si>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</si>
  <si>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</si>
  <si>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</si>
  <si>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</si>
  <si>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</si>
  <si>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</si>
  <si>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</si>
  <si>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</si>
  <si>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</si>
  <si>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</si>
  <si>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</si>
  <si>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</si>
  <si>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</si>
  <si>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</si>
  <si>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</si>
  <si>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</si>
  <si>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</si>
  <si>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</si>
  <si>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</si>
  <si>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</si>
  <si>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</si>
  <si>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</si>
  <si>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</si>
  <si>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</si>
  <si>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</si>
  <si>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</si>
  <si>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</si>
  <si>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</si>
  <si>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</si>
  <si>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</si>
  <si>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</si>
  <si>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</si>
  <si>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</si>
  <si>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</si>
  <si>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</si>
  <si>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</si>
  <si>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</si>
  <si>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</si>
  <si>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</si>
  <si>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</si>
  <si>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</si>
  <si>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</si>
  <si>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</si>
  <si>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</si>
  <si>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</si>
  <si>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</si>
  <si>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</si>
  <si>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</si>
  <si>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</si>
  <si>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</si>
  <si>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</si>
  <si>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</si>
  <si>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</si>
  <si>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</si>
  <si>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</si>
  <si>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</si>
  <si>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</si>
  <si>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</si>
  <si>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</si>
  <si>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</si>
  <si>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</si>
  <si>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</si>
  <si>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</si>
  <si>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</si>
  <si>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</si>
  <si>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</si>
  <si>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</si>
  <si>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</si>
  <si>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</si>
  <si>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</si>
  <si>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</si>
  <si>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</si>
  <si>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</si>
  <si>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</si>
  <si>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</si>
  <si>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</si>
  <si>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</si>
  <si>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</si>
  <si>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</si>
  <si>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</si>
  <si>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</si>
  <si>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</si>
  <si>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</si>
  <si>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</si>
  <si>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</si>
  <si>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</si>
  <si>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</si>
  <si>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</si>
  <si>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</si>
  <si>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</si>
  <si>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</si>
  <si>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</si>
  <si>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</si>
  <si>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</si>
  <si>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</si>
  <si>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</si>
  <si>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</si>
  <si>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</si>
  <si>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</si>
  <si>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</si>
  <si>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</si>
  <si>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</si>
  <si>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</si>
  <si>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</si>
  <si>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</si>
  <si>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</si>
  <si>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</si>
  <si>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</si>
  <si>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</si>
  <si>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</si>
  <si>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</si>
  <si>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</si>
  <si>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</si>
  <si>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</si>
  <si>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</si>
  <si>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</si>
  <si>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</si>
  <si>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</si>
  <si>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</si>
  <si>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</si>
  <si>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</si>
  <si>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</si>
  <si>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</si>
  <si>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</si>
  <si>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</si>
  <si>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</si>
  <si>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</si>
  <si>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</si>
  <si>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</si>
  <si>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</si>
  <si>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</si>
  <si>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</si>
  <si>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</si>
  <si>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</si>
  <si>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</si>
  <si>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</si>
  <si>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</si>
  <si>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</si>
  <si>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</si>
  <si>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</si>
  <si>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</si>
  <si>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</si>
  <si>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</si>
  <si>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</si>
  <si>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</si>
  <si>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</si>
  <si>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</si>
  <si>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</si>
  <si>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</si>
  <si>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</si>
  <si>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</si>
  <si>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</si>
  <si>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</si>
  <si>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</si>
  <si>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</si>
  <si>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</si>
  <si>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</si>
  <si>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</si>
  <si>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</si>
  <si>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</si>
  <si>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</si>
  <si>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</si>
  <si>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</si>
  <si>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</si>
  <si>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</si>
  <si>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</si>
  <si>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</si>
  <si>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</si>
  <si>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</si>
  <si>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</si>
  <si>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</si>
  <si>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</si>
  <si>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</si>
  <si>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</si>
  <si>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</si>
  <si>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</si>
  <si>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</si>
  <si>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</si>
  <si>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</si>
  <si>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</si>
  <si>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</si>
  <si>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</si>
  <si>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</si>
  <si>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</si>
  <si>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</si>
  <si>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</si>
  <si>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</si>
  <si>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</si>
  <si>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</si>
  <si>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</si>
  <si>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</si>
  <si>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</si>
  <si>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</si>
  <si>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</si>
  <si>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</si>
  <si>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</si>
  <si>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</si>
  <si>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</si>
  <si>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</si>
  <si>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</si>
  <si>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</si>
  <si>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</si>
  <si>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</si>
  <si>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</si>
  <si>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</si>
  <si>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</si>
  <si>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</si>
  <si>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</si>
  <si>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</si>
  <si>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</si>
  <si>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</si>
  <si>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</si>
  <si>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</si>
  <si>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</si>
  <si>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</si>
  <si>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</si>
  <si>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</si>
  <si>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</si>
  <si>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</si>
  <si>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</si>
  <si>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</si>
  <si>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</si>
  <si>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</si>
  <si>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</si>
  <si>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</si>
  <si>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</si>
  <si>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</si>
  <si>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</si>
  <si>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</si>
  <si>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</si>
  <si>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</si>
  <si>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</si>
  <si>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</si>
  <si>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</si>
  <si>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</si>
  <si>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</si>
  <si>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</si>
  <si>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</si>
  <si>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</si>
  <si>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</si>
  <si>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</si>
  <si>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</si>
  <si>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</si>
  <si>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</si>
  <si>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</si>
  <si>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</si>
  <si>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</si>
  <si>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</si>
  <si>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</si>
  <si>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</si>
  <si>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</si>
  <si>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</si>
  <si>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</si>
  <si>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</si>
  <si>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</si>
  <si>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</si>
  <si>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</si>
  <si>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</si>
  <si>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</si>
  <si>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</si>
  <si>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</si>
  <si>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</si>
  <si>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</si>
  <si>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</si>
  <si>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</si>
  <si>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</si>
  <si>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</si>
  <si>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</si>
  <si>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</si>
  <si>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</si>
  <si>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</si>
  <si>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</si>
  <si>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</si>
  <si>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</si>
  <si>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</si>
  <si>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</si>
  <si>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</si>
  <si>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</si>
  <si>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</si>
  <si>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</si>
  <si>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</si>
  <si>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</si>
  <si>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</si>
  <si>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</si>
  <si>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</si>
  <si>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</si>
  <si>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</si>
  <si>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</si>
  <si>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</si>
  <si>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</si>
  <si>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</si>
  <si>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</si>
  <si>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</si>
  <si>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</si>
  <si>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</si>
  <si>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</si>
  <si>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</si>
  <si>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</si>
  <si>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</si>
  <si>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</si>
  <si>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</si>
  <si>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</si>
  <si>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</si>
  <si>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</si>
  <si>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</si>
  <si>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</si>
  <si>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</si>
  <si>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</si>
  <si>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</si>
  <si>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</si>
  <si>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</si>
  <si>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</si>
  <si>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</si>
  <si>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</si>
  <si>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</si>
  <si>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</si>
  <si>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</si>
  <si>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</si>
  <si>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</si>
  <si>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</si>
  <si>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</si>
  <si>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</si>
  <si>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</si>
  <si>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</si>
  <si>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</si>
  <si>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</si>
  <si>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</si>
  <si>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</si>
  <si>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</si>
  <si>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</si>
  <si>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</si>
  <si>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</si>
  <si>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</si>
  <si>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</si>
  <si>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</si>
  <si>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</si>
  <si>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</si>
  <si>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</si>
  <si>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</si>
  <si>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</si>
  <si>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</si>
  <si>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</si>
  <si>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</si>
  <si>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</si>
  <si>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</si>
  <si>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</si>
  <si>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</si>
  <si>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</si>
  <si>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</si>
  <si>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</si>
  <si>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</si>
  <si>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</si>
  <si>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</si>
  <si>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</si>
  <si>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</si>
  <si>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</si>
  <si>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</si>
  <si>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</si>
  <si>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</si>
  <si>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</si>
  <si>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</si>
  <si>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</si>
  <si>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</si>
  <si>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</si>
  <si>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</si>
  <si>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</si>
  <si>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</si>
  <si>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</si>
  <si>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</si>
  <si>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</si>
  <si>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</si>
  <si>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</si>
  <si>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</si>
  <si>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</si>
  <si>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</si>
  <si>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</si>
  <si>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</si>
  <si>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</si>
  <si>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</si>
  <si>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</si>
  <si>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</si>
  <si>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</si>
  <si>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</si>
  <si>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</si>
  <si>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</si>
  <si>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</si>
  <si>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</si>
  <si>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</si>
  <si>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</si>
  <si>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</si>
  <si>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</si>
  <si>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</si>
  <si>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</si>
  <si>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</si>
  <si>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</si>
  <si>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</si>
  <si>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</si>
  <si>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</si>
  <si>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</si>
  <si>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</si>
  <si>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</si>
  <si>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</si>
  <si>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</si>
  <si>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</si>
  <si>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</si>
  <si>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</si>
  <si>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</si>
  <si>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</si>
  <si>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</si>
  <si>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</si>
  <si>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</si>
  <si>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</si>
  <si>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</si>
  <si>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</si>
  <si>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</si>
  <si>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</si>
  <si>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</si>
  <si>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</si>
  <si>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</si>
  <si>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</si>
  <si>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</si>
  <si>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</si>
  <si>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</si>
  <si>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</si>
  <si>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</si>
  <si>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</si>
  <si>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</si>
  <si>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</si>
  <si>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</si>
  <si>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</si>
  <si>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</si>
  <si>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</si>
  <si>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</si>
  <si>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</si>
  <si>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</si>
  <si>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</si>
  <si>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</si>
  <si>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</si>
  <si>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</si>
  <si>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</si>
  <si>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</si>
  <si>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</si>
  <si>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</si>
  <si>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</si>
  <si>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</si>
  <si>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</si>
  <si>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</si>
  <si>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</si>
  <si>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</si>
  <si>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</si>
  <si>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</si>
  <si>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</si>
  <si>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</si>
  <si>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</si>
  <si>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</si>
  <si>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</si>
  <si>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</si>
  <si>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</si>
  <si>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</si>
  <si>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</si>
  <si>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</si>
  <si>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</si>
  <si>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</si>
  <si>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</si>
  <si>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</si>
  <si>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</si>
  <si>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</si>
  <si>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</si>
  <si>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</si>
  <si>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</si>
  <si>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</si>
  <si>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</si>
  <si>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</si>
  <si>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</si>
  <si>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</si>
  <si>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</si>
  <si>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</si>
  <si>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</si>
  <si>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</si>
  <si>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</si>
  <si>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</si>
  <si>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</si>
  <si>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</si>
  <si>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</si>
  <si>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</si>
  <si>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</si>
  <si>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</si>
  <si>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</si>
  <si>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</si>
  <si>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</si>
  <si>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</si>
  <si>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</si>
  <si>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</si>
  <si>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</si>
  <si>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</si>
  <si>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</si>
  <si>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</si>
  <si>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</si>
  <si>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</si>
  <si>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</si>
  <si>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</si>
  <si>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</si>
  <si>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</si>
  <si>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</si>
  <si>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</si>
  <si>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</si>
  <si>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</si>
  <si>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</si>
  <si>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</si>
  <si>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</si>
  <si>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</si>
  <si>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</si>
  <si>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</si>
  <si>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</si>
  <si>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</si>
  <si>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</si>
  <si>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</si>
  <si>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</si>
  <si>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</si>
  <si>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</si>
  <si>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</si>
  <si>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</si>
  <si>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</si>
  <si>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</si>
  <si>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</si>
  <si>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</si>
  <si>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</si>
  <si>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</si>
  <si>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</si>
  <si>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</si>
  <si>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</si>
  <si>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</si>
  <si>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</si>
  <si>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</si>
  <si>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</si>
  <si>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</si>
  <si>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</si>
  <si>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</si>
  <si>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</si>
  <si>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</si>
  <si>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</si>
  <si>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</si>
  <si>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</si>
  <si>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</si>
  <si>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</si>
  <si>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</si>
  <si>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</si>
  <si>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</si>
  <si>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</si>
  <si>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</si>
  <si>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</si>
  <si>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</si>
  <si>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</si>
  <si>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</si>
  <si>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</si>
  <si>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</si>
  <si>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</si>
  <si>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</si>
  <si>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</si>
  <si>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</si>
  <si>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</si>
  <si>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</si>
  <si>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</si>
  <si>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</si>
  <si>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</si>
  <si>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</si>
  <si>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</si>
  <si>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</si>
  <si>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</si>
  <si>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</si>
  <si>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</si>
  <si>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</si>
  <si>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</si>
  <si>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</si>
  <si>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</si>
  <si>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</si>
  <si>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</si>
  <si>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</si>
  <si>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</si>
  <si>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</si>
  <si>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</si>
  <si>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</si>
  <si>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</si>
  <si>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</si>
  <si>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</si>
  <si>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</si>
  <si>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</si>
  <si>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</si>
  <si>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</si>
  <si>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</si>
  <si>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</si>
  <si>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</si>
  <si>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</si>
  <si>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</si>
  <si>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</si>
  <si>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</si>
  <si>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</si>
  <si>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</si>
  <si>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</si>
  <si>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</si>
  <si>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</si>
  <si>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</si>
  <si>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</si>
  <si>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</si>
  <si>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</si>
  <si>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</si>
  <si>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</si>
  <si>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</si>
  <si>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</si>
  <si>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</si>
  <si>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</si>
  <si>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</si>
  <si>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</si>
  <si>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</si>
  <si>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</si>
  <si>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</si>
  <si>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</si>
  <si>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</si>
  <si>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</si>
  <si>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</si>
  <si>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</si>
  <si>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</si>
  <si>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</si>
  <si>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</si>
  <si>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</si>
  <si>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</si>
  <si>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</si>
  <si>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</si>
  <si>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</si>
  <si>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</si>
  <si>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</si>
  <si>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</si>
  <si>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</si>
  <si>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</si>
  <si>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</si>
  <si>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</si>
  <si>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</si>
  <si>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</si>
  <si>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</si>
  <si>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</si>
  <si>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</si>
  <si>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</si>
  <si>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</si>
  <si>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</si>
  <si>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</si>
  <si>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</si>
  <si>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</si>
  <si>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</si>
  <si>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</si>
  <si>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</si>
  <si>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</si>
  <si>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</si>
  <si>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</si>
  <si>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</si>
  <si>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</si>
  <si>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</si>
  <si>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</si>
  <si>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</si>
  <si>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</si>
  <si>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</si>
  <si>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</si>
  <si>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</si>
  <si>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</si>
  <si>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</si>
  <si>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</si>
  <si>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</si>
  <si>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</si>
  <si>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</si>
  <si>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</si>
  <si>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</si>
  <si>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</si>
  <si>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</si>
  <si>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</si>
  <si>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</si>
  <si>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</si>
  <si>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</si>
  <si>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</si>
  <si>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</si>
  <si>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</si>
  <si>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</si>
  <si>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</si>
  <si>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</si>
  <si>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</si>
  <si>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</si>
  <si>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</si>
  <si>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</si>
  <si>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</si>
  <si>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</si>
  <si>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</si>
  <si>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</si>
  <si>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</si>
  <si>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</si>
  <si>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</si>
  <si>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</si>
  <si>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</si>
  <si>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</si>
  <si>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</si>
  <si>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</si>
  <si>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</si>
  <si>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</si>
  <si>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</si>
  <si>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</si>
  <si>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</si>
  <si>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</si>
  <si>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</si>
  <si>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</si>
  <si>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</si>
  <si>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</si>
  <si>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</si>
  <si>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</si>
  <si>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</si>
  <si>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</si>
  <si>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</si>
  <si>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</si>
  <si>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</si>
  <si>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</si>
  <si>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</si>
  <si>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</si>
  <si>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</si>
  <si>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</si>
  <si>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</si>
  <si>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</si>
  <si>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</si>
  <si>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</si>
  <si>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</si>
  <si>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</si>
  <si>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</si>
  <si>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</si>
  <si>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</si>
  <si>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</si>
  <si>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</si>
  <si>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</si>
  <si>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</si>
  <si>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</si>
  <si>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</si>
  <si>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</si>
  <si>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</si>
  <si>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</si>
  <si>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</si>
  <si>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</si>
  <si>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US-2015-149629</t>
  </si>
  <si>
    <t>CA-2014-116834</t>
  </si>
  <si>
    <t>TEC-AC-10002942</t>
  </si>
  <si>
    <t>WD My Passport Ultra 1TB Portable External Hard Drive</t>
  </si>
  <si>
    <t>CA-2016-145730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</si>
  <si>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</si>
  <si>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</si>
  <si>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</si>
  <si>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</si>
  <si>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</si>
  <si>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</si>
  <si>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</si>
  <si>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</si>
  <si>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</si>
  <si>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</si>
  <si>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</si>
  <si>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</si>
  <si>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</si>
  <si>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</si>
  <si>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</si>
  <si>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</si>
  <si>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</si>
  <si>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</si>
  <si>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</si>
  <si>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</si>
  <si>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</si>
  <si>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</si>
  <si>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</si>
  <si>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</si>
  <si>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</si>
  <si>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</si>
  <si>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</si>
  <si>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</si>
  <si>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</si>
  <si>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</si>
  <si>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</si>
  <si>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</si>
  <si>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</si>
  <si>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</si>
  <si>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</si>
  <si>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</si>
  <si>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</si>
  <si>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</si>
  <si>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</si>
  <si>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</si>
  <si>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</si>
  <si>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</si>
  <si>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</si>
  <si>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</si>
  <si>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</si>
  <si>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</si>
  <si>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</si>
  <si>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</si>
  <si>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</si>
  <si>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</si>
  <si>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</si>
  <si>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</si>
  <si>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</si>
  <si>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</si>
  <si>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</si>
  <si>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</si>
  <si>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</si>
  <si>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</si>
  <si>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</si>
  <si>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</si>
  <si>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</si>
  <si>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</si>
  <si>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</si>
  <si>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</si>
  <si>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</si>
  <si>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</si>
  <si>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</si>
  <si>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</si>
  <si>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</si>
  <si>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</si>
  <si>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</si>
  <si>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</si>
  <si>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</si>
  <si>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</si>
  <si>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</si>
  <si>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</si>
  <si>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</si>
  <si>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</si>
  <si>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</si>
  <si>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</si>
  <si>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</si>
  <si>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</si>
  <si>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</si>
  <si>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</si>
  <si>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</si>
  <si>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</si>
  <si>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</si>
  <si>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</si>
  <si>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</si>
  <si>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</si>
  <si>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</si>
  <si>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</si>
  <si>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</si>
  <si>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</si>
  <si>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</si>
  <si>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</si>
  <si>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</si>
  <si>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</si>
  <si>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</si>
  <si>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</si>
  <si>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</si>
  <si>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</si>
  <si>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</si>
  <si>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</si>
  <si>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</si>
  <si>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</si>
  <si>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</si>
  <si>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</si>
  <si>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</si>
  <si>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</si>
  <si>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</si>
  <si>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</si>
  <si>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</si>
  <si>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</si>
  <si>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</si>
  <si>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</si>
  <si>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</si>
  <si>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</si>
  <si>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</si>
  <si>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</si>
  <si>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</si>
  <si>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</si>
  <si>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</si>
  <si>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</si>
  <si>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</si>
  <si>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</si>
  <si>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</si>
  <si>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</si>
  <si>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</si>
  <si>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</si>
  <si>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</si>
  <si>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</si>
  <si>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</si>
  <si>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</si>
  <si>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</si>
  <si>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</si>
  <si>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</si>
  <si>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</si>
  <si>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</si>
  <si>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</si>
  <si>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</si>
  <si>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</si>
  <si>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</si>
  <si>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</si>
  <si>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</si>
  <si>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</si>
  <si>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</si>
  <si>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</si>
  <si>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</si>
  <si>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</si>
  <si>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</si>
  <si>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</si>
  <si>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</si>
  <si>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</si>
  <si>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</si>
  <si>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</si>
  <si>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</si>
  <si>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</si>
  <si>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</si>
  <si>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</si>
  <si>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</si>
  <si>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</si>
  <si>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</si>
  <si>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</si>
  <si>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</si>
  <si>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</si>
  <si>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</si>
  <si>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</si>
  <si>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</si>
  <si>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</si>
  <si>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</si>
  <si>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</si>
  <si>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</si>
  <si>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</si>
  <si>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</si>
  <si>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</si>
  <si>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</si>
  <si>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</si>
  <si>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</si>
  <si>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</si>
  <si>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</si>
  <si>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</si>
  <si>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</si>
  <si>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</si>
  <si>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</si>
  <si>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</si>
  <si>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</si>
  <si>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</si>
  <si>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</si>
  <si>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</si>
  <si>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</si>
  <si>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</si>
  <si>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</si>
  <si>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</si>
  <si>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</si>
  <si>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</si>
  <si>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</si>
  <si>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</si>
  <si>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</si>
  <si>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</si>
  <si>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</si>
  <si>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</si>
  <si>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</si>
  <si>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</si>
  <si>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</si>
  <si>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</si>
  <si>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</si>
  <si>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</si>
  <si>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</si>
  <si>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</si>
  <si>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</si>
  <si>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</si>
  <si>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</si>
  <si>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</si>
  <si>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</si>
  <si>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</si>
  <si>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</si>
  <si>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</si>
  <si>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</si>
  <si>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</si>
  <si>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</si>
  <si>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</si>
  <si>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</si>
  <si>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</si>
  <si>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</si>
  <si>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</si>
  <si>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</si>
  <si>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</si>
  <si>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</si>
  <si>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</si>
  <si>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</si>
  <si>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</si>
  <si>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</si>
  <si>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</si>
  <si>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</si>
  <si>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</si>
  <si>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</si>
  <si>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</si>
  <si>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</si>
  <si>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</si>
  <si>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</si>
  <si>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</si>
  <si>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</si>
  <si>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</si>
  <si>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</si>
  <si>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</si>
  <si>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</si>
  <si>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</si>
  <si>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</si>
  <si>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</si>
  <si>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</si>
  <si>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</si>
  <si>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</si>
  <si>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</si>
  <si>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</si>
  <si>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</si>
  <si>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</si>
  <si>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</si>
  <si>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</si>
  <si>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</si>
  <si>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</si>
  <si>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</si>
  <si>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</si>
  <si>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</si>
  <si>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</si>
  <si>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</si>
  <si>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</si>
  <si>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</si>
  <si>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</si>
  <si>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</si>
  <si>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</si>
  <si>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</si>
  <si>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</si>
  <si>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</si>
  <si>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</si>
  <si>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</si>
  <si>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</si>
  <si>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</si>
  <si>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</si>
  <si>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</si>
  <si>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</si>
  <si>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</si>
  <si>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</si>
  <si>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</si>
  <si>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</si>
  <si>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</si>
  <si>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</si>
  <si>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</si>
  <si>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</si>
  <si>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</si>
  <si>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</si>
  <si>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</si>
  <si>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</si>
  <si>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</si>
  <si>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</si>
  <si>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</si>
  <si>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</si>
  <si>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</si>
  <si>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</si>
  <si>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</si>
  <si>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</si>
  <si>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</si>
  <si>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</si>
  <si>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</si>
  <si>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</si>
  <si>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</si>
  <si>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</si>
  <si>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</si>
  <si>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</si>
  <si>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</si>
  <si>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</si>
  <si>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</si>
  <si>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</si>
  <si>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</si>
  <si>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</si>
  <si>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</si>
  <si>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</si>
  <si>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</si>
  <si>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</si>
  <si>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</si>
  <si>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</si>
  <si>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</si>
  <si>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</si>
  <si>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</si>
  <si>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</si>
  <si>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</si>
  <si>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</si>
  <si>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</si>
  <si>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</si>
  <si>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</si>
  <si>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</si>
  <si>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</si>
  <si>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</si>
  <si>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</si>
  <si>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</si>
  <si>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</si>
  <si>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</si>
  <si>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</si>
  <si>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</si>
  <si>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</si>
  <si>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</si>
  <si>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</si>
  <si>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</si>
  <si>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</si>
  <si>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</si>
  <si>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</si>
  <si>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</si>
  <si>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</si>
  <si>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</si>
  <si>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</si>
  <si>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</si>
  <si>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</si>
  <si>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</si>
  <si>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</si>
  <si>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</si>
  <si>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</si>
  <si>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</si>
  <si>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</si>
  <si>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</si>
  <si>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</si>
  <si>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</si>
  <si>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</si>
  <si>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</si>
  <si>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</si>
  <si>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</si>
  <si>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</si>
  <si>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</si>
  <si>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</si>
  <si>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</si>
  <si>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</si>
  <si>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</si>
  <si>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</si>
  <si>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</si>
  <si>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</si>
  <si>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</si>
  <si>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</si>
  <si>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</si>
  <si>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</si>
  <si>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</si>
  <si>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</si>
  <si>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</si>
  <si>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</si>
  <si>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</si>
  <si>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</si>
  <si>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</si>
  <si>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</si>
  <si>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</si>
  <si>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</si>
  <si>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</si>
  <si>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</si>
  <si>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</si>
  <si>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</si>
  <si>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</si>
  <si>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</si>
  <si>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</si>
  <si>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</si>
  <si>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</si>
  <si>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</si>
  <si>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</si>
  <si>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</si>
  <si>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</si>
  <si>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</si>
  <si>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</si>
  <si>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</si>
  <si>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</si>
  <si>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</si>
  <si>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</si>
  <si>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</si>
  <si>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</si>
  <si>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</si>
  <si>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</si>
  <si>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</si>
  <si>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</si>
  <si>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</si>
  <si>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</si>
  <si>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</si>
  <si>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</si>
  <si>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</si>
  <si>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</si>
  <si>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</si>
  <si>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</si>
  <si>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</si>
  <si>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</si>
  <si>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</si>
  <si>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</si>
  <si>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</si>
  <si>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</si>
  <si>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</si>
  <si>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</si>
  <si>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</si>
  <si>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</si>
  <si>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</si>
  <si>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</si>
  <si>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</si>
  <si>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</si>
  <si>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</si>
  <si>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</si>
  <si>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</si>
  <si>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</si>
  <si>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</si>
  <si>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</si>
  <si>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</si>
  <si>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</si>
  <si>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</si>
  <si>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</si>
  <si>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</si>
  <si>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</si>
  <si>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</si>
  <si>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</si>
  <si>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</si>
  <si>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</si>
  <si>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</si>
  <si>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</si>
  <si>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</si>
  <si>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</si>
  <si>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</si>
  <si>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</si>
  <si>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</si>
  <si>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</si>
  <si>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</si>
  <si>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</si>
  <si>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</si>
  <si>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</si>
  <si>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</si>
  <si>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</si>
  <si>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</si>
  <si>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</si>
  <si>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</si>
  <si>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</si>
  <si>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</si>
  <si>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</si>
  <si>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</si>
  <si>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</si>
  <si>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</si>
  <si>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</si>
  <si>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</si>
  <si>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</si>
  <si>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</si>
  <si>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</si>
  <si>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</si>
  <si>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</si>
  <si>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</si>
  <si>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</si>
  <si>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</si>
  <si>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</si>
  <si>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</si>
  <si>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</si>
  <si>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</si>
  <si>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</si>
  <si>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</si>
  <si>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</si>
  <si>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</si>
  <si>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</si>
  <si>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</si>
  <si>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</si>
  <si>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</si>
  <si>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</si>
  <si>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</si>
  <si>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</si>
  <si>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</si>
  <si>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</si>
  <si>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</si>
  <si>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</si>
  <si>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</si>
  <si>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</si>
  <si>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</si>
  <si>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</si>
  <si>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</si>
  <si>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</si>
  <si>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</si>
  <si>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</si>
  <si>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</si>
  <si>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</si>
  <si>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</si>
  <si>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</si>
  <si>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</si>
  <si>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</si>
  <si>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</si>
  <si>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</si>
  <si>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</si>
  <si>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</si>
  <si>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</si>
  <si>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</si>
  <si>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</si>
  <si>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</si>
  <si>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</si>
  <si>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</si>
  <si>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</si>
  <si>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</si>
  <si>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</si>
  <si>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</si>
  <si>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</si>
  <si>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</si>
  <si>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</si>
  <si>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</si>
  <si>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</si>
  <si>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</si>
  <si>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</si>
  <si>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</si>
  <si>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</si>
  <si>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</si>
  <si>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</si>
  <si>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</si>
  <si>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</si>
  <si>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</si>
  <si>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</si>
  <si>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</si>
  <si>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</si>
  <si>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</si>
  <si>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</si>
  <si>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</si>
  <si>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</si>
  <si>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</si>
  <si>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</si>
  <si>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</si>
  <si>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</si>
  <si>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</si>
  <si>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</si>
  <si>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</si>
  <si>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</si>
  <si>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</si>
  <si>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</si>
  <si>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</si>
  <si>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</si>
  <si>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</si>
  <si>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</si>
  <si>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</si>
  <si>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</si>
  <si>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</si>
  <si>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</si>
  <si>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</si>
  <si>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</si>
  <si>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</si>
  <si>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</si>
  <si>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</si>
  <si>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</si>
  <si>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</si>
  <si>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</si>
  <si>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</si>
  <si>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</si>
  <si>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</si>
  <si>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</si>
  <si>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</si>
  <si>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</si>
  <si>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</si>
  <si>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</si>
  <si>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</si>
  <si>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</si>
  <si>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</si>
  <si>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</si>
  <si>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</si>
  <si>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</si>
  <si>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</si>
  <si>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</si>
  <si>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</si>
  <si>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</si>
  <si>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</si>
  <si>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</si>
  <si>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</si>
  <si>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</si>
  <si>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</si>
  <si>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</si>
  <si>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</si>
  <si>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</si>
  <si>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</si>
  <si>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</si>
  <si>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</si>
  <si>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</si>
  <si>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</si>
  <si>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</si>
  <si>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</si>
  <si>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</si>
  <si>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</si>
  <si>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</si>
  <si>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</si>
  <si>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</si>
  <si>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</si>
  <si>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</si>
  <si>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</si>
  <si>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</si>
  <si>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</si>
  <si>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</si>
  <si>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</si>
  <si>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</si>
  <si>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</si>
  <si>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</si>
  <si>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</si>
  <si>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</si>
  <si>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</si>
  <si>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</si>
  <si>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</si>
  <si>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</si>
  <si>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</si>
  <si>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</si>
  <si>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</si>
  <si>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</si>
  <si>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</si>
  <si>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</si>
  <si>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</si>
  <si>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</si>
  <si>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</si>
  <si>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</si>
  <si>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</si>
  <si>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</si>
  <si>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</si>
  <si>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</si>
  <si>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</si>
  <si>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</si>
  <si>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</si>
  <si>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</si>
  <si>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</si>
  <si>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</si>
  <si>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</si>
  <si>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</si>
  <si>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</si>
  <si>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</si>
  <si>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</si>
  <si>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</si>
  <si>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</si>
  <si>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</si>
  <si>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</si>
  <si>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</si>
  <si>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</si>
  <si>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</si>
  <si>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</si>
  <si>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</si>
  <si>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</si>
  <si>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</si>
  <si>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</si>
  <si>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</si>
  <si>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</si>
  <si>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</si>
  <si>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</si>
  <si>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</si>
  <si>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</si>
  <si>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</si>
  <si>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</si>
  <si>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</si>
  <si>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</si>
  <si>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</si>
  <si>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</si>
  <si>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</si>
  <si>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</si>
  <si>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</si>
  <si>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</si>
  <si>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</si>
  <si>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</si>
  <si>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</si>
  <si>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</si>
  <si>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</si>
  <si>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</si>
  <si>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</si>
  <si>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</si>
  <si>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</si>
  <si>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</si>
  <si>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</si>
  <si>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</si>
  <si>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</si>
  <si>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</si>
  <si>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</si>
  <si>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</si>
  <si>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</si>
  <si>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</si>
  <si>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</si>
  <si>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</si>
  <si>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</si>
  <si>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</si>
  <si>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</si>
  <si>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</si>
  <si>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</si>
  <si>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</si>
  <si>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</si>
  <si>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</si>
  <si>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</si>
  <si>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</si>
  <si>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</si>
  <si>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</si>
  <si>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</si>
  <si>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</si>
  <si>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</si>
  <si>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</si>
  <si>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</si>
  <si>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</si>
  <si>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</si>
  <si>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</si>
  <si>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</si>
  <si>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</si>
  <si>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</si>
  <si>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</si>
  <si>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</si>
  <si>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</si>
  <si>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</si>
  <si>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</si>
  <si>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</si>
  <si>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</si>
  <si>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</si>
  <si>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</si>
  <si>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</si>
  <si>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</si>
  <si>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</si>
  <si>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</si>
  <si>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</si>
  <si>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</si>
  <si>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</si>
  <si>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</si>
  <si>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</si>
  <si>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</si>
  <si>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</si>
  <si>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</si>
  <si>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</si>
  <si>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</si>
  <si>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</si>
  <si>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</si>
  <si>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</si>
  <si>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</si>
  <si>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</si>
  <si>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</si>
  <si>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</si>
  <si>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</si>
  <si>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</si>
  <si>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</si>
  <si>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</si>
  <si>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</si>
  <si>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</si>
  <si>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</si>
  <si>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</si>
  <si>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</si>
  <si>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</si>
  <si>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</si>
  <si>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</si>
  <si>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</si>
  <si>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</si>
  <si>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</si>
  <si>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</si>
  <si>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</si>
  <si>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</si>
  <si>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</si>
  <si>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</si>
  <si>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</si>
  <si>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</si>
  <si>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</si>
  <si>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</si>
  <si>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</si>
  <si>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</si>
  <si>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</si>
  <si>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</si>
  <si>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</si>
  <si>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</si>
  <si>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</si>
  <si>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</si>
  <si>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</si>
  <si>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</si>
  <si>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</si>
  <si>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</si>
  <si>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</si>
  <si>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</si>
  <si>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</si>
  <si>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</si>
  <si>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</si>
  <si>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</si>
  <si>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</si>
  <si>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</si>
  <si>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</si>
  <si>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</si>
  <si>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</si>
  <si>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</si>
  <si>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</si>
  <si>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</si>
  <si>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</si>
  <si>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</si>
  <si>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</si>
  <si>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</si>
  <si>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</si>
  <si>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</si>
  <si>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</si>
  <si>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</si>
  <si>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</si>
  <si>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</si>
  <si>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</si>
  <si>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</si>
  <si>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</si>
  <si>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</si>
  <si>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</si>
  <si>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</si>
  <si>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</si>
  <si>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</si>
  <si>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</si>
  <si>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</si>
  <si>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</si>
  <si>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</si>
  <si>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</si>
  <si>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</si>
  <si>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</si>
  <si>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</si>
  <si>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</si>
  <si>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</si>
  <si>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</si>
  <si>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</si>
  <si>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</si>
  <si>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</si>
  <si>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</si>
  <si>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</si>
  <si>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</si>
  <si>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</si>
  <si>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</si>
  <si>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</si>
  <si>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</si>
  <si>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</si>
  <si>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</si>
  <si>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</si>
  <si>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</si>
  <si>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</si>
  <si>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</si>
  <si>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</si>
  <si>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</si>
  <si>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</si>
  <si>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</si>
  <si>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</si>
  <si>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</si>
  <si>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</si>
  <si>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</si>
  <si>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</si>
  <si>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</si>
  <si>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</si>
  <si>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</si>
  <si>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</si>
  <si>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</si>
  <si>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</si>
  <si>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</si>
  <si>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</si>
  <si>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</si>
  <si>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</si>
  <si>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</si>
  <si>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</si>
  <si>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</si>
  <si>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</si>
  <si>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</si>
  <si>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</si>
  <si>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</si>
  <si>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</si>
  <si>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</si>
  <si>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</si>
  <si>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</si>
  <si>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</si>
  <si>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</si>
  <si>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</si>
  <si>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</si>
  <si>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</si>
  <si>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</si>
  <si>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</si>
  <si>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</si>
  <si>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</si>
  <si>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</si>
  <si>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</si>
  <si>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</si>
  <si>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</si>
  <si>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</si>
  <si>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</si>
  <si>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</si>
  <si>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</si>
  <si>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</si>
  <si>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</si>
  <si>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</si>
  <si>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</si>
  <si>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</si>
  <si>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</si>
  <si>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</si>
  <si>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</si>
  <si>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</si>
  <si>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</si>
  <si>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</si>
  <si>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</si>
  <si>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</si>
  <si>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</si>
  <si>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</si>
  <si>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</si>
  <si>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</si>
  <si>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</si>
  <si>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</si>
  <si>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</si>
  <si>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</si>
  <si>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</si>
  <si>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</si>
  <si>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</si>
  <si>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</si>
  <si>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</si>
  <si>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</si>
  <si>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</si>
  <si>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</si>
  <si>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</si>
  <si>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</si>
  <si>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</si>
  <si>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</si>
  <si>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</si>
  <si>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</si>
  <si>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</si>
  <si>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</si>
  <si>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</si>
  <si>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</si>
  <si>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</si>
  <si>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</si>
  <si>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</si>
  <si>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</si>
  <si>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</si>
  <si>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</si>
  <si>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</si>
  <si>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</si>
  <si>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</si>
  <si>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</si>
  <si>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</si>
  <si>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</si>
  <si>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</si>
  <si>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</si>
  <si>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</si>
  <si>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</si>
  <si>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</si>
  <si>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</si>
  <si>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</si>
  <si>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</si>
  <si>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</si>
  <si>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</si>
  <si>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</si>
  <si>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</si>
  <si>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</si>
  <si>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</si>
  <si>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</si>
  <si>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</si>
  <si>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</si>
  <si>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</si>
  <si>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</si>
  <si>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</si>
  <si>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</si>
  <si>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</si>
  <si>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</si>
  <si>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</si>
  <si>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</si>
  <si>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</si>
  <si>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</si>
  <si>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</si>
  <si>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</si>
  <si>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</si>
  <si>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</si>
  <si>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</si>
  <si>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</si>
  <si>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</si>
  <si>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</si>
  <si>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</si>
  <si>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</si>
  <si>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</si>
  <si>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</si>
  <si>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</si>
  <si>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</si>
  <si>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</si>
  <si>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</si>
  <si>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</si>
  <si>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</si>
  <si>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</si>
  <si>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</si>
  <si>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</si>
  <si>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</si>
  <si>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</si>
  <si>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</si>
  <si>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</si>
  <si>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</si>
  <si>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</si>
  <si>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</si>
  <si>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</si>
  <si>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</si>
  <si>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</si>
  <si>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</si>
  <si>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</si>
  <si>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</si>
  <si>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</si>
  <si>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</si>
  <si>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</si>
  <si>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</si>
  <si>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</si>
  <si>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</si>
  <si>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</si>
  <si>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</si>
  <si>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</si>
  <si>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</si>
  <si>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</si>
  <si>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</si>
  <si>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</si>
  <si>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</si>
  <si>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</si>
  <si>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</si>
  <si>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</si>
  <si>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</si>
  <si>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</si>
  <si>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</si>
  <si>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</si>
  <si>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</si>
  <si>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</si>
  <si>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</si>
  <si>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</si>
  <si>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</si>
  <si>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</si>
  <si>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</si>
  <si>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</si>
  <si>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</si>
  <si>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</si>
  <si>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</si>
  <si>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</si>
  <si>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</si>
  <si>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</si>
  <si>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</si>
  <si>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</si>
  <si>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</si>
  <si>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</si>
  <si>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</si>
  <si>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</si>
  <si>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</si>
  <si>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</si>
  <si>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</si>
  <si>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</si>
  <si>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</si>
  <si>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</si>
  <si>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</si>
  <si>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</si>
  <si>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</si>
  <si>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</si>
  <si>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</si>
  <si>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</si>
  <si>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</si>
  <si>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</si>
  <si>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</si>
  <si>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</si>
  <si>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</si>
  <si>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</si>
  <si>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</si>
  <si>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</si>
  <si>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</si>
  <si>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</si>
  <si>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</si>
  <si>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</si>
  <si>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</si>
  <si>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</si>
  <si>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</si>
  <si>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</si>
  <si>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</si>
  <si>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</si>
  <si>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</si>
  <si>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</si>
  <si>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</si>
  <si>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</si>
  <si>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</si>
  <si>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</si>
  <si>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</si>
  <si>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</si>
  <si>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</si>
  <si>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</si>
  <si>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</si>
  <si>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</si>
  <si>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</si>
  <si>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</si>
  <si>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</si>
  <si>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</si>
  <si>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</si>
  <si>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</si>
  <si>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</si>
  <si>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</si>
  <si>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</si>
  <si>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</si>
  <si>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</si>
  <si>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</si>
  <si>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</si>
  <si>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</si>
  <si>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</si>
  <si>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</si>
  <si>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</si>
  <si>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</si>
  <si>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</si>
  <si>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</si>
  <si>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</si>
  <si>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</si>
  <si>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</si>
  <si>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</si>
  <si>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</si>
  <si>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</si>
  <si>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</si>
  <si>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</si>
  <si>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</si>
  <si>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</si>
  <si>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</si>
  <si>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</si>
  <si>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</si>
  <si>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</si>
  <si>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</si>
  <si>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</si>
  <si>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</si>
  <si>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</si>
  <si>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</si>
  <si>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</si>
  <si>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</si>
  <si>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</si>
  <si>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</si>
  <si>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</si>
  <si>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</si>
  <si>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</si>
  <si>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</si>
  <si>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</si>
  <si>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</si>
  <si>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</si>
  <si>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</si>
  <si>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</si>
  <si>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</si>
  <si>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</si>
  <si>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</si>
  <si>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</si>
  <si>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</si>
  <si>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</si>
  <si>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</si>
  <si>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</si>
  <si>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</si>
  <si>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</si>
  <si>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</si>
  <si>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</si>
  <si>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</si>
  <si>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</si>
  <si>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</si>
  <si>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</si>
  <si>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</si>
  <si>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</si>
  <si>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</si>
  <si>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</si>
  <si>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</si>
  <si>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</si>
  <si>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</si>
  <si>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</si>
  <si>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</si>
  <si>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</si>
  <si>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</si>
  <si>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</si>
  <si>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</si>
  <si>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</si>
  <si>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</si>
  <si>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</si>
  <si>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</si>
  <si>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</si>
  <si>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</si>
  <si>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</si>
  <si>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</si>
  <si>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</si>
  <si>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</si>
  <si>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</si>
  <si>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</si>
  <si>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</si>
  <si>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</si>
  <si>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</si>
  <si>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</si>
  <si>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</si>
  <si>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</si>
  <si>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</si>
  <si>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</si>
  <si>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</si>
  <si>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</si>
  <si>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</si>
  <si>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</si>
  <si>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</si>
  <si>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</si>
  <si>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</si>
  <si>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</si>
  <si>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</si>
  <si>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</si>
  <si>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</si>
  <si>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</si>
  <si>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</si>
  <si>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</si>
  <si>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</si>
  <si>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</si>
  <si>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</si>
  <si>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</si>
  <si>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</si>
  <si>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</si>
  <si>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</si>
  <si>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</si>
  <si>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</si>
  <si>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</si>
  <si>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</si>
  <si>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</si>
  <si>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</si>
  <si>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</si>
  <si>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</si>
  <si>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</si>
  <si>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</si>
  <si>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</si>
  <si>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</si>
  <si>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</si>
  <si>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</si>
  <si>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</si>
  <si>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</si>
  <si>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</si>
  <si>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</si>
  <si>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</si>
  <si>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</si>
  <si>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</si>
  <si>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</si>
  <si>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</si>
  <si>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</si>
  <si>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</si>
  <si>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</si>
  <si>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</si>
  <si>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</si>
  <si>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</si>
  <si>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</si>
  <si>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</si>
  <si>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</si>
  <si>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</si>
  <si>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</si>
  <si>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</si>
  <si>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</si>
  <si>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</si>
  <si>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</si>
  <si>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</si>
  <si>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</si>
  <si>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</si>
  <si>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</si>
  <si>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</si>
  <si>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</si>
  <si>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</si>
  <si>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</si>
  <si>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</si>
  <si>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</si>
  <si>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</si>
  <si>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</si>
  <si>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</si>
  <si>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</si>
  <si>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</si>
  <si>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</si>
  <si>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</si>
  <si>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</si>
  <si>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</si>
  <si>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</si>
  <si>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</si>
  <si>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</si>
  <si>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</si>
  <si>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</si>
  <si>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</si>
  <si>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</si>
  <si>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</si>
  <si>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</si>
  <si>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</si>
  <si>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</si>
  <si>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</si>
  <si>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</si>
  <si>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</si>
  <si>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</si>
  <si>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</si>
  <si>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</si>
  <si>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</si>
  <si>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</si>
  <si>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</si>
  <si>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</si>
  <si>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</si>
  <si>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</si>
  <si>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</si>
  <si>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</si>
  <si>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</si>
  <si>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</si>
  <si>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</si>
  <si>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</si>
  <si>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</si>
  <si>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</si>
  <si>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</si>
  <si>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</si>
  <si>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</si>
  <si>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</si>
  <si>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</si>
  <si>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</si>
  <si>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</si>
  <si>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</si>
  <si>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</si>
  <si>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</si>
  <si>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</si>
  <si>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</si>
  <si>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</si>
  <si>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</si>
  <si>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</si>
  <si>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</si>
  <si>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</si>
  <si>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</si>
  <si>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</si>
  <si>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</si>
  <si>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</si>
  <si>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</si>
  <si>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</si>
  <si>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</si>
  <si>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</si>
  <si>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</si>
  <si>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</si>
  <si>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</si>
  <si>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</si>
  <si>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</si>
  <si>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</si>
  <si>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</si>
  <si>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</si>
  <si>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</si>
  <si>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</si>
  <si>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</si>
  <si>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</si>
  <si>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</si>
  <si>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</si>
  <si>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</si>
  <si>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</si>
  <si>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</si>
  <si>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</si>
  <si>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</si>
  <si>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</si>
  <si>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</si>
  <si>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</si>
  <si>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</si>
  <si>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</si>
  <si>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</si>
  <si>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</si>
  <si>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</si>
  <si>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</si>
  <si>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</si>
  <si>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</si>
  <si>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</si>
  <si>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</si>
  <si>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</si>
  <si>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</si>
  <si>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</si>
  <si>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</si>
  <si>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</si>
  <si>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</si>
  <si>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</si>
  <si>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</si>
  <si>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</si>
  <si>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</si>
  <si>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</si>
  <si>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</si>
  <si>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</si>
  <si>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</si>
  <si>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</si>
  <si>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</si>
  <si>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</si>
  <si>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</si>
  <si>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</si>
  <si>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</si>
  <si>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</si>
  <si>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</si>
  <si>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</si>
  <si>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</si>
  <si>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</si>
  <si>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</si>
  <si>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</si>
  <si>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</si>
  <si>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</si>
  <si>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</si>
  <si>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</si>
  <si>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</si>
  <si>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</si>
  <si>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</si>
  <si>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</si>
  <si>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</si>
  <si>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</si>
  <si>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</si>
  <si>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</si>
  <si>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</si>
  <si>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</si>
  <si>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</si>
  <si>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</si>
  <si>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</si>
  <si>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</si>
  <si>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</si>
  <si>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</si>
  <si>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</si>
  <si>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</si>
  <si>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</si>
  <si>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</si>
  <si>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</si>
  <si>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</si>
  <si>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</si>
  <si>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</si>
  <si>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</si>
  <si>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</si>
  <si>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</si>
  <si>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</si>
  <si>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</si>
  <si>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</si>
  <si>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</si>
  <si>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</si>
  <si>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</si>
  <si>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</si>
  <si>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</si>
  <si>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</si>
  <si>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</si>
  <si>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</si>
  <si>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</si>
  <si>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</si>
  <si>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</si>
  <si>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</si>
  <si>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</si>
  <si>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</si>
  <si>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</si>
  <si>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</si>
  <si>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</si>
  <si>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</si>
  <si>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</si>
  <si>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</si>
  <si>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</si>
  <si>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</si>
  <si>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</si>
  <si>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</si>
  <si>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</si>
  <si>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</si>
  <si>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</si>
  <si>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</si>
  <si>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</si>
  <si>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</si>
  <si>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</si>
  <si>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</si>
  <si>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</si>
  <si>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</si>
  <si>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</si>
  <si>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</si>
  <si>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</si>
  <si>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</si>
  <si>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</si>
  <si>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</si>
  <si>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</si>
  <si>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</si>
  <si>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</si>
  <si>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</si>
  <si>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</si>
  <si>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</si>
  <si>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</si>
  <si>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</si>
  <si>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</si>
  <si>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</si>
  <si>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</si>
  <si>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</si>
  <si>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</si>
  <si>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</si>
  <si>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</si>
  <si>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</si>
  <si>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</si>
  <si>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</si>
  <si>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</si>
  <si>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</si>
  <si>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</si>
  <si>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</si>
  <si>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</si>
  <si>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</si>
  <si>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</si>
  <si>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</si>
  <si>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</si>
  <si>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</si>
  <si>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</si>
  <si>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</si>
  <si>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</si>
  <si>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</si>
  <si>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</si>
  <si>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</si>
  <si>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</si>
  <si>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</si>
  <si>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</si>
  <si>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</si>
  <si>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</si>
  <si>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</si>
  <si>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</si>
  <si>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</si>
  <si>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</si>
  <si>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</si>
  <si>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</si>
  <si>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</si>
  <si>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</si>
  <si>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</si>
  <si>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</si>
  <si>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</si>
  <si>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</si>
  <si>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</si>
  <si>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</si>
  <si>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</si>
  <si>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</si>
  <si>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</si>
  <si>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</si>
  <si>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</si>
  <si>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</si>
  <si>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</si>
  <si>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</si>
  <si>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</si>
  <si>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</si>
  <si>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</si>
  <si>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</si>
  <si>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</si>
  <si>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</si>
  <si>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</si>
  <si>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</si>
  <si>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</si>
  <si>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</si>
  <si>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</si>
  <si>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</si>
  <si>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</si>
  <si>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</si>
  <si>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</si>
  <si>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</si>
  <si>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</si>
  <si>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</si>
  <si>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</si>
  <si>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</si>
  <si>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</si>
  <si>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</si>
  <si>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</si>
  <si>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</si>
  <si>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</si>
  <si>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</si>
  <si>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</si>
  <si>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</si>
  <si>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</si>
  <si>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</si>
  <si>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</si>
  <si>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</si>
  <si>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</si>
  <si>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</si>
  <si>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</si>
  <si>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</si>
  <si>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</si>
  <si>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</si>
  <si>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</si>
  <si>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</si>
  <si>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</si>
  <si>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</si>
  <si>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</si>
  <si>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</si>
  <si>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</si>
  <si>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</si>
  <si>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</si>
  <si>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</si>
  <si>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</si>
  <si>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</si>
  <si>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</si>
  <si>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</si>
  <si>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</si>
  <si>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</si>
  <si>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</si>
  <si>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</si>
  <si>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</si>
  <si>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</si>
  <si>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</si>
  <si>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</si>
  <si>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</si>
  <si>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</si>
  <si>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</si>
  <si>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</si>
  <si>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</si>
  <si>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</si>
  <si>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</si>
  <si>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</si>
  <si>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</si>
  <si>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</si>
  <si>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</si>
  <si>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</si>
  <si>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</si>
  <si>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</si>
  <si>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</si>
  <si>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</si>
  <si>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</si>
  <si>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</si>
  <si>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</si>
  <si>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</si>
  <si>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</si>
  <si>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</si>
  <si>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</si>
  <si>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</si>
  <si>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</si>
  <si>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</si>
  <si>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</si>
  <si>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</si>
  <si>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</si>
  <si>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</si>
  <si>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</si>
  <si>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</si>
  <si>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</si>
  <si>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</si>
  <si>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</si>
  <si>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</si>
  <si>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</si>
  <si>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</si>
  <si>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</si>
  <si>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</si>
  <si>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</si>
  <si>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</si>
  <si>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</si>
  <si>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</si>
  <si>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</si>
  <si>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</si>
  <si>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</si>
  <si>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</si>
  <si>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</si>
  <si>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</si>
  <si>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</si>
  <si>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</si>
  <si>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</si>
  <si>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</si>
  <si>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</si>
  <si>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</si>
  <si>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</si>
  <si>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</si>
  <si>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</si>
  <si>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</si>
  <si>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</si>
  <si>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</si>
  <si>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</si>
  <si>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</si>
  <si>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</si>
  <si>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</si>
  <si>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</si>
  <si>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</si>
  <si>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</si>
  <si>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</si>
  <si>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</si>
  <si>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</si>
  <si>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</si>
  <si>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</si>
  <si>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</si>
  <si>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</si>
  <si>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</si>
  <si>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</si>
  <si>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</si>
  <si>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</si>
  <si>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</si>
  <si>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</si>
  <si>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</si>
  <si>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</si>
  <si>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</si>
  <si>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</si>
  <si>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</si>
  <si>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</si>
  <si>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</si>
  <si>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</si>
  <si>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</si>
  <si>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</si>
  <si>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</si>
  <si>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</si>
  <si>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</si>
  <si>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</si>
  <si>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</si>
  <si>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</si>
  <si>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</si>
  <si>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</si>
  <si>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</si>
  <si>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</si>
  <si>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</si>
  <si>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</si>
  <si>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</si>
  <si>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</si>
  <si>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</si>
  <si>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</si>
  <si>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</si>
  <si>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</si>
  <si>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</si>
  <si>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</si>
  <si>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</si>
  <si>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</si>
  <si>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</si>
  <si>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</si>
  <si>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</si>
  <si>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</si>
  <si>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</si>
  <si>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</si>
  <si>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</si>
  <si>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</si>
  <si>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</si>
  <si>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</si>
  <si>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</si>
  <si>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</si>
  <si>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</si>
  <si>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</si>
  <si>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</si>
  <si>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</si>
  <si>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</si>
  <si>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</si>
  <si>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</si>
  <si>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</si>
  <si>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</si>
  <si>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</si>
  <si>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</si>
  <si>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</si>
  <si>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</si>
  <si>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</si>
  <si>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</si>
  <si>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</si>
  <si>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</si>
  <si>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</si>
  <si>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</si>
  <si>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</si>
  <si>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</si>
  <si>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</si>
  <si>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</si>
  <si>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</si>
  <si>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</si>
  <si>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</si>
  <si>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</si>
  <si>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</si>
  <si>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</si>
  <si>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</si>
  <si>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</si>
  <si>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</si>
  <si>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</si>
  <si>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</si>
  <si>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</si>
  <si>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</si>
  <si>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</si>
  <si>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</si>
  <si>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</si>
  <si>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</si>
  <si>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</si>
  <si>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</si>
  <si>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</si>
  <si>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</si>
  <si>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</si>
  <si>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</si>
  <si>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</si>
  <si>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</si>
  <si>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</si>
  <si>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</si>
  <si>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</si>
  <si>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</si>
  <si>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</si>
  <si>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</si>
  <si>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</si>
  <si>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</si>
  <si>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</si>
  <si>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</si>
  <si>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</si>
  <si>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</si>
  <si>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</si>
  <si>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</si>
  <si>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</si>
  <si>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</si>
  <si>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</si>
  <si>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</si>
  <si>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</si>
  <si>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</si>
  <si>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</si>
  <si>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</si>
  <si>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</si>
  <si>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</si>
  <si>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</si>
  <si>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</si>
  <si>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</si>
  <si>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</si>
  <si>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</si>
  <si>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</si>
  <si>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</si>
  <si>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</si>
  <si>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</si>
  <si>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</si>
  <si>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</si>
  <si>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</si>
  <si>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</si>
  <si>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</si>
  <si>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</si>
  <si>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</si>
  <si>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</si>
  <si>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</si>
  <si>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</si>
  <si>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</si>
  <si>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</si>
  <si>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</si>
  <si>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</si>
  <si>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</si>
  <si>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</si>
  <si>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</si>
  <si>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</si>
  <si>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</si>
  <si>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</si>
  <si>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</si>
  <si>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</si>
  <si>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</si>
  <si>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</si>
  <si>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</si>
  <si>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</si>
  <si>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</si>
  <si>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</si>
  <si>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</si>
  <si>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</si>
  <si>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</si>
  <si>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</si>
  <si>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</si>
  <si>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</si>
  <si>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</si>
  <si>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</si>
  <si>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</si>
  <si>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</si>
  <si>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</si>
  <si>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</si>
  <si>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</si>
  <si>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</si>
  <si>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</si>
  <si>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</si>
  <si>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</si>
  <si>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</si>
  <si>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</si>
  <si>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</si>
  <si>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</si>
  <si>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</si>
  <si>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</si>
  <si>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</si>
  <si>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</si>
  <si>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</si>
  <si>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</si>
  <si>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</si>
  <si>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</si>
  <si>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</si>
  <si>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</si>
  <si>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</si>
  <si>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</si>
  <si>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</si>
  <si>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</si>
  <si>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</si>
  <si>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</si>
  <si>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</si>
  <si>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</si>
  <si>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</si>
  <si>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</si>
  <si>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</si>
  <si>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</si>
  <si>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</si>
  <si>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</si>
  <si>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</si>
  <si>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</si>
  <si>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</si>
  <si>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</si>
  <si>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</si>
  <si>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</si>
  <si>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</si>
  <si>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</si>
  <si>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</si>
  <si>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</si>
  <si>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</si>
  <si>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</si>
  <si>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</si>
  <si>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</si>
  <si>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</si>
  <si>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</si>
  <si>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</si>
  <si>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</si>
  <si>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</si>
  <si>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</si>
  <si>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</si>
  <si>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</si>
  <si>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</si>
  <si>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</si>
  <si>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</si>
  <si>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</si>
  <si>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</si>
  <si>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</si>
  <si>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</si>
  <si>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</si>
  <si>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</si>
  <si>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</si>
  <si>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</si>
  <si>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</si>
  <si>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</si>
  <si>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</si>
  <si>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</si>
  <si>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</si>
  <si>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</si>
  <si>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</si>
  <si>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</si>
  <si>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</si>
  <si>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</si>
  <si>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</si>
  <si>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</si>
  <si>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</si>
  <si>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</si>
  <si>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</si>
  <si>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</si>
  <si>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</si>
  <si>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</si>
  <si>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</si>
  <si>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</si>
  <si>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</si>
  <si>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</si>
  <si>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</si>
  <si>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</si>
  <si>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</si>
  <si>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</si>
  <si>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</si>
  <si>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</si>
  <si>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</si>
  <si>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</si>
  <si>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</si>
  <si>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</si>
  <si>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</si>
  <si>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</si>
  <si>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</si>
  <si>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</si>
  <si>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</si>
  <si>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</si>
  <si>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</si>
  <si>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</si>
  <si>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</si>
  <si>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</si>
  <si>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</si>
  <si>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</si>
  <si>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</si>
  <si>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</si>
  <si>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</si>
  <si>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</si>
  <si>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</si>
  <si>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</si>
  <si>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</si>
  <si>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</si>
  <si>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</si>
  <si>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</si>
  <si>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</si>
  <si>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</si>
  <si>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</si>
  <si>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</si>
  <si>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</si>
  <si>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</si>
  <si>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</si>
  <si>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</si>
  <si>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</si>
  <si>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</si>
  <si>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</si>
  <si>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</si>
  <si>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</si>
  <si>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</si>
  <si>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</si>
  <si>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</si>
  <si>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</si>
  <si>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</si>
  <si>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</si>
  <si>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</si>
  <si>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</si>
  <si>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</si>
  <si>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</si>
  <si>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</si>
  <si>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</si>
  <si>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</si>
  <si>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</si>
  <si>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</si>
  <si>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</si>
  <si>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</si>
  <si>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</si>
  <si>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</si>
  <si>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</si>
  <si>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</si>
  <si>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</si>
  <si>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</si>
  <si>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</si>
  <si>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</si>
  <si>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</si>
  <si>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</si>
  <si>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</si>
  <si>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</si>
  <si>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</si>
  <si>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</si>
  <si>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</si>
  <si>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</si>
  <si>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</si>
  <si>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</si>
  <si>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</si>
  <si>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</si>
  <si>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</si>
  <si>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</si>
  <si>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</si>
  <si>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</si>
  <si>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</si>
  <si>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</si>
  <si>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</si>
  <si>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</si>
  <si>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</si>
  <si>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</si>
  <si>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</si>
  <si>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</si>
  <si>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</si>
  <si>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</si>
  <si>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</si>
  <si>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</si>
  <si>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</si>
  <si>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</si>
  <si>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</si>
  <si>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</si>
  <si>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</si>
  <si>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</si>
  <si>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</si>
  <si>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</si>
  <si>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</si>
  <si>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</si>
  <si>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</si>
  <si>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</si>
  <si>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</si>
  <si>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</si>
  <si>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</si>
  <si>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</si>
  <si>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</si>
  <si>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</si>
  <si>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</si>
  <si>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</si>
  <si>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</si>
  <si>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</si>
  <si>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</si>
  <si>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</si>
  <si>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</si>
  <si>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</si>
  <si>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</si>
  <si>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</si>
  <si>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</si>
  <si>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</si>
  <si>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</si>
  <si>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</si>
  <si>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</si>
  <si>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</si>
  <si>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</si>
  <si>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</si>
  <si>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</si>
  <si>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</si>
  <si>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</si>
  <si>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</si>
  <si>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</si>
  <si>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</si>
  <si>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</si>
  <si>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</si>
  <si>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</si>
  <si>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</si>
  <si>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</si>
  <si>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</si>
  <si>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</si>
  <si>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</si>
  <si>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</si>
  <si>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</si>
  <si>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</si>
  <si>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</si>
  <si>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</si>
  <si>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</si>
  <si>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</si>
  <si>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</si>
  <si>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</si>
  <si>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</si>
  <si>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</si>
  <si>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</si>
  <si>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</si>
  <si>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</si>
  <si>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</si>
  <si>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</si>
  <si>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</si>
  <si>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</si>
  <si>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</si>
  <si>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</si>
  <si>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</si>
  <si>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</si>
  <si>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</si>
  <si>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</si>
  <si>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</si>
  <si>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</si>
  <si>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</si>
  <si>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</si>
  <si>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</si>
  <si>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</si>
  <si>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</si>
  <si>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</si>
  <si>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</si>
  <si>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</si>
  <si>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</si>
  <si>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</si>
  <si>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</si>
  <si>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</si>
  <si>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</si>
  <si>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</si>
  <si>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</si>
  <si>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</si>
  <si>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</si>
  <si>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</si>
  <si>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</si>
  <si>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</si>
  <si>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</si>
  <si>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</si>
  <si>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</si>
  <si>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</si>
  <si>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</si>
  <si>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</si>
  <si>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</si>
  <si>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</si>
  <si>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</si>
  <si>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</si>
  <si>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</si>
  <si>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</si>
  <si>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</si>
  <si>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</si>
  <si>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</si>
  <si>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</si>
  <si>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</si>
  <si>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</si>
  <si>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</si>
  <si>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</si>
  <si>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</si>
  <si>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</si>
  <si>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</si>
  <si>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</si>
  <si>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</si>
  <si>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</si>
  <si>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</si>
  <si>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</si>
  <si>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</si>
  <si>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</si>
  <si>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</si>
  <si>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</si>
  <si>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</si>
  <si>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</si>
  <si>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</si>
  <si>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</si>
  <si>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</si>
  <si>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</si>
  <si>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</si>
  <si>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</si>
  <si>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</si>
  <si>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</si>
  <si>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</si>
  <si>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</si>
  <si>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</si>
  <si>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</si>
  <si>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</si>
  <si>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</si>
  <si>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</si>
  <si>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</si>
  <si>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</si>
  <si>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</si>
  <si>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</si>
  <si>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</si>
  <si>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</si>
  <si>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</si>
  <si>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</si>
  <si>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</si>
  <si>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</si>
  <si>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</si>
  <si>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</si>
  <si>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</si>
  <si>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</si>
  <si>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</si>
  <si>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</si>
  <si>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</si>
  <si>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</si>
  <si>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</si>
  <si>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</si>
  <si>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</si>
  <si>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</si>
  <si>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</si>
  <si>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</si>
  <si>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</si>
  <si>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</si>
  <si>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</si>
  <si>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</si>
  <si>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</si>
  <si>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</si>
  <si>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</si>
  <si>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</si>
  <si>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</si>
  <si>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</si>
  <si>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</si>
  <si>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</si>
  <si>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</si>
  <si>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</si>
  <si>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</si>
  <si>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</si>
  <si>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</si>
  <si>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</si>
  <si>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</si>
  <si>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</si>
  <si>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</si>
  <si>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</si>
  <si>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</si>
  <si>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</si>
  <si>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</si>
  <si>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</si>
  <si>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</si>
  <si>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</si>
  <si>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</si>
  <si>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</si>
  <si>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</si>
  <si>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</si>
  <si>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</si>
  <si>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</si>
  <si>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</si>
  <si>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</si>
  <si>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</si>
  <si>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</si>
  <si>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</si>
  <si>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</si>
  <si>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</si>
  <si>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</si>
  <si>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</si>
  <si>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</si>
  <si>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</si>
  <si>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</si>
  <si>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</si>
  <si>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</si>
  <si>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</si>
  <si>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</si>
  <si>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</si>
  <si>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</si>
  <si>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</si>
  <si>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</si>
  <si>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</si>
  <si>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</si>
  <si>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</si>
  <si>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</si>
  <si>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</si>
  <si>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</si>
  <si>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</si>
  <si>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</si>
  <si>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</si>
  <si>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</si>
  <si>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</si>
  <si>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</si>
  <si>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</si>
  <si>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</si>
  <si>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</si>
  <si>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</si>
  <si>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</si>
  <si>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</si>
  <si>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</si>
  <si>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</si>
  <si>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</si>
  <si>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</si>
  <si>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</si>
  <si>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</si>
  <si>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</si>
  <si>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</si>
  <si>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</si>
  <si>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</si>
  <si>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</si>
  <si>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</si>
  <si>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</si>
  <si>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</si>
  <si>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</si>
  <si>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</si>
  <si>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</si>
  <si>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</si>
  <si>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</si>
  <si>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</si>
  <si>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</si>
  <si>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</si>
  <si>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</si>
  <si>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</si>
  <si>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</si>
  <si>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</si>
  <si>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</si>
  <si>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</si>
  <si>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</si>
  <si>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</si>
  <si>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</si>
  <si>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</si>
  <si>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</si>
  <si>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</si>
  <si>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</si>
  <si>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</si>
  <si>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</si>
  <si>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</si>
  <si>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</si>
  <si>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</si>
  <si>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</si>
  <si>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</si>
  <si>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</si>
  <si>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</si>
  <si>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</si>
  <si>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</si>
  <si>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</si>
  <si>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</si>
  <si>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</si>
  <si>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</si>
  <si>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</si>
  <si>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</si>
  <si>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</si>
  <si>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</si>
  <si>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</si>
  <si>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</si>
  <si>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</si>
  <si>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</si>
  <si>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</si>
  <si>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</si>
  <si>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</si>
  <si>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</si>
  <si>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</si>
  <si>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</si>
  <si>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</si>
  <si>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</si>
  <si>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</si>
  <si>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</si>
  <si>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</si>
  <si>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</si>
  <si>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</si>
  <si>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</si>
  <si>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</si>
  <si>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</si>
  <si>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</si>
  <si>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</si>
  <si>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</si>
  <si>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</si>
  <si>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</si>
  <si>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</si>
  <si>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</si>
  <si>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</si>
  <si>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</si>
  <si>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</si>
  <si>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</si>
  <si>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</si>
  <si>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</si>
  <si>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</si>
  <si>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</si>
  <si>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</si>
  <si>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</si>
  <si>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</si>
  <si>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</si>
  <si>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</si>
  <si>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</si>
  <si>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</si>
  <si>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</si>
  <si>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</si>
  <si>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</si>
  <si>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</si>
  <si>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</si>
  <si>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</si>
  <si>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</si>
  <si>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</si>
  <si>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</si>
  <si>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</si>
  <si>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</si>
  <si>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</si>
  <si>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</si>
  <si>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</si>
  <si>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</si>
  <si>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</si>
  <si>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</si>
  <si>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</si>
  <si>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</si>
  <si>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</si>
  <si>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</si>
  <si>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</si>
  <si>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</si>
  <si>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</si>
  <si>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</si>
  <si>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</si>
  <si>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</si>
  <si>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</si>
  <si>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</si>
  <si>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</si>
  <si>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</si>
  <si>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</si>
  <si>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</si>
  <si>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</si>
  <si>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</si>
  <si>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</si>
  <si>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</si>
  <si>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</si>
  <si>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</si>
  <si>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</si>
  <si>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</si>
  <si>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</si>
  <si>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</si>
  <si>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</si>
  <si>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</si>
  <si>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</si>
  <si>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</si>
  <si>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</si>
  <si>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</si>
  <si>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</si>
  <si>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</si>
  <si>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</si>
  <si>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</si>
  <si>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</si>
  <si>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</si>
  <si>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</si>
  <si>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</si>
  <si>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</si>
  <si>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</si>
  <si>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</si>
  <si>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</si>
  <si>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</si>
  <si>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</si>
  <si>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</si>
  <si>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</si>
  <si>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</si>
  <si>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</si>
  <si>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</si>
  <si>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</si>
  <si>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</si>
  <si>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</si>
  <si>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</si>
  <si>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</si>
  <si>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</si>
  <si>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</si>
  <si>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</si>
  <si>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</si>
  <si>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</si>
  <si>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</si>
  <si>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</si>
  <si>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</si>
  <si>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</si>
  <si>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</si>
  <si>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</si>
  <si>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</si>
  <si>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</si>
  <si>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</si>
  <si>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</si>
  <si>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</si>
  <si>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</si>
  <si>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</si>
  <si>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</si>
  <si>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</si>
  <si>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</si>
  <si>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</si>
  <si>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</si>
  <si>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</si>
  <si>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</si>
  <si>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</si>
  <si>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</si>
  <si>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</si>
  <si>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</si>
  <si>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</si>
  <si>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</si>
  <si>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</si>
  <si>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</si>
  <si>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</si>
  <si>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</si>
  <si>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</si>
  <si>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</si>
  <si>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</si>
  <si>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</si>
  <si>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</si>
  <si>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</si>
  <si>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</si>
  <si>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</si>
  <si>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</si>
  <si>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</si>
  <si>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</si>
  <si>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</si>
  <si>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</si>
  <si>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</si>
  <si>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</si>
  <si>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</si>
  <si>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</si>
  <si>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</si>
  <si>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</si>
  <si>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</si>
  <si>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</si>
  <si>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</si>
  <si>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</si>
  <si>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</si>
  <si>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</si>
  <si>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</si>
  <si>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</si>
  <si>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</si>
  <si>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</si>
  <si>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</si>
  <si>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</si>
  <si>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</si>
  <si>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</si>
  <si>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</si>
  <si>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</si>
  <si>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</si>
  <si>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</si>
  <si>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</si>
  <si>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</si>
  <si>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</si>
  <si>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</si>
  <si>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</si>
  <si>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</si>
  <si>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</si>
  <si>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</si>
  <si>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</si>
  <si>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</si>
  <si>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</si>
  <si>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</si>
  <si>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</si>
  <si>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</si>
  <si>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</si>
  <si>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</si>
  <si>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</si>
  <si>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</si>
  <si>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</si>
  <si>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</si>
  <si>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</si>
  <si>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</si>
  <si>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</si>
  <si>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</si>
  <si>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</si>
  <si>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</si>
  <si>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</si>
  <si>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</si>
  <si>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</si>
  <si>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</si>
  <si>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</si>
  <si>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</si>
  <si>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</si>
  <si>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</si>
  <si>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</si>
  <si>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</si>
  <si>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</si>
  <si>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</si>
  <si>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</si>
  <si>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</si>
  <si>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</si>
  <si>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</si>
  <si>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</si>
  <si>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</si>
  <si>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</si>
  <si>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</si>
  <si>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</si>
  <si>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</si>
  <si>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</si>
  <si>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</si>
  <si>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</si>
  <si>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</si>
  <si>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</si>
  <si>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</si>
  <si>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</si>
  <si>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</si>
  <si>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</si>
  <si>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</si>
  <si>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</si>
  <si>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</si>
  <si>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</si>
  <si>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</si>
  <si>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</si>
  <si>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</si>
  <si>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</si>
  <si>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</si>
  <si>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</si>
  <si>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</si>
  <si>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</si>
  <si>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</si>
  <si>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</si>
  <si>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</si>
  <si>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</si>
  <si>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</si>
  <si>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</si>
  <si>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</si>
  <si>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</si>
  <si>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</si>
  <si>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</si>
  <si>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</si>
  <si>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</si>
  <si>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</si>
  <si>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</si>
  <si>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</si>
  <si>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</si>
  <si>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</si>
  <si>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</si>
  <si>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</si>
  <si>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</si>
  <si>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</si>
  <si>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</si>
  <si>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</si>
  <si>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</si>
  <si>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</si>
  <si>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</si>
  <si>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</si>
  <si>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</si>
  <si>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</si>
  <si>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</si>
  <si>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</si>
  <si>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</si>
  <si>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</si>
  <si>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</si>
  <si>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</si>
  <si>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</si>
  <si>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</si>
  <si>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</si>
  <si>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</si>
  <si>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</si>
  <si>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</si>
  <si>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</si>
  <si>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</si>
  <si>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</si>
  <si>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</si>
  <si>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</si>
  <si>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</si>
  <si>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</si>
  <si>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</si>
  <si>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</si>
  <si>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</si>
  <si>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</si>
  <si>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</si>
  <si>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</si>
  <si>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</si>
  <si>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</si>
  <si>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</si>
  <si>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</si>
  <si>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</si>
  <si>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</si>
  <si>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</si>
  <si>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</si>
  <si>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</si>
  <si>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</si>
  <si>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</si>
  <si>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</si>
  <si>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</si>
  <si>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</si>
  <si>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</si>
  <si>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</si>
  <si>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</si>
  <si>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</si>
  <si>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</si>
  <si>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</si>
  <si>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</si>
  <si>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</si>
  <si>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</si>
  <si>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</si>
  <si>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</si>
  <si>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</si>
  <si>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</si>
  <si>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</si>
  <si>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</si>
  <si>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</si>
  <si>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</si>
  <si>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</si>
  <si>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</si>
  <si>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</si>
  <si>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</si>
  <si>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</si>
  <si>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</si>
  <si>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</si>
  <si>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</si>
  <si>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</si>
  <si>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</si>
  <si>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</si>
  <si>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</si>
  <si>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</si>
  <si>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</si>
  <si>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</si>
  <si>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</si>
  <si>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</si>
  <si>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</si>
  <si>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</si>
  <si>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</si>
  <si>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</si>
  <si>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</si>
  <si>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</si>
  <si>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</si>
  <si>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</si>
  <si>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</si>
  <si>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</si>
  <si>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</si>
  <si>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</si>
  <si>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</si>
  <si>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</si>
  <si>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</si>
  <si>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</si>
  <si>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</si>
  <si>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</si>
  <si>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</si>
  <si>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</si>
  <si>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</si>
  <si>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</si>
  <si>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</si>
  <si>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</si>
  <si>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</si>
  <si>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</si>
  <si>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</si>
  <si>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</si>
  <si>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</si>
  <si>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</si>
  <si>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</si>
  <si>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</si>
  <si>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</si>
  <si>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</si>
  <si>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</si>
  <si>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</si>
  <si>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</si>
  <si>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</si>
  <si>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</si>
  <si>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</si>
  <si>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</si>
  <si>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</si>
  <si>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</si>
  <si>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</si>
  <si>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</si>
  <si>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</si>
  <si>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</si>
  <si>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</si>
  <si>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</si>
  <si>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</si>
  <si>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</si>
  <si>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</si>
  <si>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</si>
  <si>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</si>
  <si>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</si>
  <si>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</si>
  <si>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</si>
  <si>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</si>
  <si>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</si>
  <si>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</si>
  <si>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</si>
  <si>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</si>
  <si>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</si>
  <si>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</si>
  <si>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</si>
  <si>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</si>
  <si>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</si>
  <si>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</si>
  <si>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</si>
  <si>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</si>
  <si>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</si>
  <si>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</si>
  <si>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</si>
  <si>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</si>
  <si>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</si>
  <si>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</si>
  <si>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</si>
  <si>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</si>
  <si>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</si>
  <si>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</si>
  <si>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</si>
  <si>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</si>
  <si>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</si>
  <si>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</si>
  <si>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</si>
  <si>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</si>
  <si>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</si>
  <si>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</si>
  <si>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</si>
  <si>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</si>
  <si>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</si>
  <si>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</si>
  <si>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</si>
  <si>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</si>
  <si>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</si>
  <si>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</si>
  <si>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</si>
  <si>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</si>
  <si>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</si>
  <si>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</si>
  <si>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</si>
  <si>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</si>
  <si>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</si>
  <si>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</si>
  <si>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</si>
  <si>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</si>
  <si>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</si>
  <si>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</si>
  <si>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</si>
  <si>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</si>
  <si>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</si>
  <si>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</si>
  <si>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</si>
  <si>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</si>
  <si>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</si>
  <si>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</si>
  <si>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</si>
  <si>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</si>
  <si>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</si>
  <si>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</si>
  <si>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</si>
  <si>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</si>
  <si>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</si>
  <si>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</si>
  <si>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</si>
  <si>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</si>
  <si>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</si>
  <si>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</si>
  <si>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</si>
  <si>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</si>
  <si>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</si>
  <si>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</si>
  <si>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</si>
  <si>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</si>
  <si>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</si>
  <si>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</si>
  <si>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</si>
  <si>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</si>
  <si>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</si>
  <si>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</si>
  <si>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</si>
  <si>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</si>
  <si>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</si>
  <si>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</si>
  <si>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</si>
  <si>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</si>
  <si>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</si>
  <si>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</si>
  <si>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</si>
  <si>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</si>
  <si>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</si>
  <si>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</si>
  <si>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</si>
  <si>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</si>
  <si>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</si>
  <si>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</si>
  <si>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</si>
  <si>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</si>
  <si>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</si>
  <si>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</si>
  <si>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</si>
  <si>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</si>
  <si>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</si>
  <si>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</si>
  <si>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</si>
  <si>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</si>
  <si>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</si>
  <si>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</si>
  <si>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</si>
  <si>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</si>
  <si>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</si>
  <si>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</si>
  <si>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</si>
  <si>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</si>
  <si>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</si>
  <si>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</si>
  <si>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</si>
  <si>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</si>
  <si>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</si>
  <si>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</si>
  <si>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</si>
  <si>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</si>
  <si>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</si>
  <si>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</si>
  <si>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</si>
  <si>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</si>
  <si>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</si>
  <si>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</si>
  <si>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</si>
  <si>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</si>
  <si>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</si>
  <si>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</si>
  <si>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</si>
  <si>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</si>
  <si>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</si>
  <si>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</si>
  <si>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</si>
  <si>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</si>
  <si>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</si>
  <si>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</si>
  <si>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</si>
  <si>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</si>
  <si>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</si>
  <si>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</si>
  <si>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</si>
  <si>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</si>
  <si>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</si>
  <si>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</si>
  <si>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</si>
  <si>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</si>
  <si>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</si>
  <si>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</si>
  <si>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</si>
  <si>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</si>
  <si>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</si>
  <si>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</si>
  <si>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</si>
  <si>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</si>
  <si>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</si>
  <si>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</si>
  <si>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</si>
  <si>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</si>
  <si>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</si>
  <si>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</si>
  <si>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</si>
  <si>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</si>
  <si>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</si>
  <si>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</si>
  <si>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</si>
  <si>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</si>
  <si>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</si>
  <si>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</si>
  <si>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</si>
  <si>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</si>
  <si>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</si>
  <si>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</si>
  <si>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</si>
  <si>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</si>
  <si>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</si>
  <si>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</si>
  <si>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</si>
  <si>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</si>
  <si>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</si>
  <si>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</si>
  <si>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</si>
  <si>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</si>
  <si>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</si>
  <si>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</si>
  <si>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</si>
  <si>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</si>
  <si>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</si>
  <si>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</si>
  <si>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</si>
  <si>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</si>
  <si>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</si>
  <si>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</si>
  <si>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</si>
  <si>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</si>
  <si>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</si>
  <si>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</si>
  <si>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</si>
  <si>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</si>
  <si>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</si>
  <si>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</si>
  <si>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</si>
  <si>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</si>
  <si>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</si>
  <si>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</si>
  <si>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</si>
  <si>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</si>
  <si>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</si>
  <si>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</si>
  <si>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</si>
  <si>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</si>
  <si>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</si>
  <si>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</si>
  <si>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</si>
  <si>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</si>
  <si>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</si>
  <si>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</si>
  <si>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</si>
  <si>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</si>
  <si>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</si>
  <si>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</si>
  <si>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</si>
  <si>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</si>
  <si>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</si>
  <si>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</si>
  <si>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</si>
  <si>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</si>
  <si>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</si>
  <si>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</si>
  <si>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</si>
  <si>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</si>
  <si>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</si>
  <si>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</si>
  <si>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</si>
  <si>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</si>
  <si>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</si>
  <si>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</si>
  <si>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</si>
  <si>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</si>
  <si>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</si>
  <si>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</si>
  <si>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</si>
  <si>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</si>
  <si>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</si>
  <si>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</si>
  <si>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</si>
  <si>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</si>
  <si>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</si>
  <si>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</si>
  <si>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</si>
  <si>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</si>
  <si>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</si>
  <si>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</si>
  <si>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</si>
  <si>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</si>
  <si>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</si>
  <si>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</si>
  <si>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</si>
  <si>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</si>
  <si>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</si>
  <si>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</si>
  <si>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</si>
  <si>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</si>
  <si>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</si>
  <si>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</si>
  <si>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</si>
  <si>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</si>
  <si>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</si>
  <si>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</si>
  <si>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</si>
  <si>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</si>
  <si>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</si>
  <si>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</si>
  <si>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</si>
  <si>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</si>
  <si>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</si>
  <si>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</si>
  <si>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</si>
  <si>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</si>
  <si>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</si>
  <si>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</si>
  <si>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</si>
  <si>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</si>
  <si>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</si>
  <si>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</si>
  <si>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</si>
  <si>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</si>
  <si>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</si>
  <si>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</si>
  <si>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</si>
  <si>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</si>
  <si>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</si>
  <si>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</si>
  <si>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</si>
  <si>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</si>
  <si>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</si>
  <si>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</si>
  <si>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</si>
  <si>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</si>
  <si>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</si>
  <si>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</si>
  <si>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</si>
  <si>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</si>
  <si>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</si>
  <si>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</si>
  <si>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</si>
  <si>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</si>
  <si>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</si>
  <si>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</si>
  <si>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</si>
  <si>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</si>
  <si>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</si>
  <si>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</si>
  <si>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</si>
  <si>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</si>
  <si>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</si>
  <si>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</si>
  <si>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</si>
  <si>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</si>
  <si>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</si>
  <si>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</si>
  <si>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</si>
  <si>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</si>
  <si>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</si>
  <si>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</si>
  <si>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</si>
  <si>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</si>
  <si>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</si>
  <si>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</si>
  <si>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</si>
  <si>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</si>
  <si>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</si>
  <si>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</si>
  <si>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</si>
  <si>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</si>
  <si>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</si>
  <si>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</si>
  <si>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</si>
  <si>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</si>
  <si>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</si>
  <si>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</si>
  <si>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</si>
  <si>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</si>
  <si>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</si>
  <si>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</si>
  <si>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</si>
  <si>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</si>
  <si>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</si>
  <si>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</si>
  <si>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</si>
  <si>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</si>
  <si>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</si>
  <si>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</si>
  <si>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</si>
  <si>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</si>
  <si>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</si>
  <si>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</si>
  <si>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</si>
  <si>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</si>
  <si>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</si>
  <si>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</si>
  <si>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</si>
  <si>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</si>
  <si>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</si>
  <si>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</si>
  <si>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</si>
  <si>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</si>
  <si>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</si>
  <si>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</si>
  <si>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</si>
  <si>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</si>
  <si>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</si>
  <si>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</si>
  <si>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</si>
  <si>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</si>
  <si>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</si>
  <si>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</si>
  <si>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</si>
  <si>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</si>
  <si>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</si>
  <si>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</si>
  <si>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</si>
  <si>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</si>
  <si>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</si>
  <si>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</si>
  <si>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</si>
  <si>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</si>
  <si>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</si>
  <si>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</si>
  <si>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</si>
  <si>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</si>
  <si>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</si>
  <si>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</si>
  <si>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</si>
  <si>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</si>
  <si>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</si>
  <si>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</si>
  <si>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</si>
  <si>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</si>
  <si>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</si>
  <si>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</si>
  <si>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</si>
  <si>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</si>
  <si>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</si>
  <si>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</si>
  <si>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</si>
  <si>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</si>
  <si>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</si>
  <si>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</si>
  <si>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</si>
  <si>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</si>
  <si>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</si>
  <si>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</si>
  <si>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</si>
  <si>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</si>
  <si>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</si>
  <si>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</si>
  <si>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</si>
  <si>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</si>
  <si>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</si>
  <si>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</si>
  <si>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</si>
  <si>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</si>
  <si>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</si>
  <si>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</si>
  <si>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</si>
  <si>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</si>
  <si>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</si>
  <si>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</si>
  <si>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</si>
  <si>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</si>
  <si>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</si>
  <si>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</si>
  <si>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</si>
  <si>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</si>
  <si>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</si>
  <si>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</si>
  <si>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</si>
  <si>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</si>
  <si>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</si>
  <si>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</si>
  <si>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</si>
  <si>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</si>
  <si>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</si>
  <si>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</si>
  <si>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</si>
  <si>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</si>
  <si>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</si>
  <si>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</si>
  <si>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</si>
  <si>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</si>
  <si>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</si>
  <si>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</si>
  <si>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</si>
  <si>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</si>
  <si>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</si>
  <si>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</si>
  <si>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</si>
  <si>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</si>
  <si>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</si>
  <si>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</si>
  <si>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</si>
  <si>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</si>
  <si>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</si>
  <si>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</si>
  <si>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</si>
  <si>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</si>
  <si>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</si>
  <si>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</si>
  <si>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</si>
  <si>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</si>
  <si>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</si>
  <si>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</si>
  <si>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</si>
  <si>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</si>
  <si>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</si>
  <si>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</si>
  <si>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</si>
  <si>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</si>
  <si>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</si>
  <si>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</si>
  <si>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</si>
  <si>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</si>
  <si>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</si>
  <si>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</si>
  <si>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</si>
  <si>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</si>
  <si>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</si>
  <si>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</si>
  <si>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</si>
  <si>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</si>
  <si>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</si>
  <si>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</si>
  <si>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</si>
  <si>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</si>
  <si>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</si>
  <si>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</si>
  <si>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</si>
  <si>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</si>
  <si>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</si>
  <si>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</si>
  <si>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</si>
  <si>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</si>
  <si>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</si>
  <si>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</si>
  <si>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</si>
  <si>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</si>
  <si>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</si>
  <si>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</si>
  <si>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</si>
  <si>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</si>
  <si>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</si>
  <si>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</si>
  <si>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</si>
  <si>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</si>
  <si>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</si>
  <si>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</si>
  <si>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</si>
  <si>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</si>
  <si>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</si>
  <si>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</si>
  <si>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</si>
  <si>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</si>
  <si>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</si>
  <si>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</si>
  <si>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</si>
  <si>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</si>
  <si>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</si>
  <si>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</si>
  <si>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</si>
  <si>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</si>
  <si>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</si>
  <si>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</si>
  <si>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</si>
  <si>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</si>
  <si>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</si>
  <si>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</si>
  <si>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</si>
  <si>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</si>
  <si>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</si>
  <si>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</si>
  <si>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</si>
  <si>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</si>
  <si>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</si>
  <si>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</si>
  <si>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</si>
  <si>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</si>
  <si>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</si>
  <si>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</si>
  <si>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</si>
  <si>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</si>
  <si>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</si>
  <si>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</si>
  <si>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</si>
  <si>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</si>
  <si>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</si>
  <si>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</si>
  <si>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</si>
  <si>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</si>
  <si>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</si>
  <si>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</si>
  <si>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</si>
  <si>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</si>
  <si>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</si>
  <si>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</si>
  <si>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</si>
  <si>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</si>
  <si>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</si>
  <si>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</si>
  <si>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</si>
  <si>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</si>
  <si>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</si>
  <si>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</si>
  <si>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</si>
  <si>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</si>
  <si>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</si>
  <si>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</si>
  <si>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</si>
  <si>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</si>
  <si>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</si>
  <si>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</si>
  <si>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</si>
  <si>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</si>
  <si>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</si>
  <si>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</si>
  <si>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</si>
  <si>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</si>
  <si>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</si>
  <si>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</si>
  <si>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</si>
  <si>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</si>
  <si>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</si>
  <si>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</si>
  <si>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</si>
  <si>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</si>
  <si>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</si>
  <si>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</si>
  <si>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</si>
  <si>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</si>
  <si>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</si>
  <si>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</si>
  <si>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</si>
  <si>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</si>
  <si>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</si>
  <si>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</si>
  <si>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</si>
  <si>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</si>
  <si>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</si>
  <si>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</si>
  <si>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</si>
  <si>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</si>
  <si>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</si>
  <si>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</si>
  <si>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</si>
  <si>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</si>
  <si>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</si>
  <si>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</si>
  <si>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</si>
  <si>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</si>
  <si>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</si>
  <si>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</si>
  <si>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</si>
  <si>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</si>
  <si>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</si>
  <si>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</si>
  <si>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</si>
  <si>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</si>
  <si>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</si>
  <si>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</si>
  <si>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</si>
  <si>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</si>
  <si>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</si>
  <si>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</si>
  <si>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</si>
  <si>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</si>
  <si>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</si>
  <si>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</si>
  <si>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</si>
  <si>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</si>
  <si>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</si>
  <si>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</si>
  <si>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</si>
  <si>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</si>
  <si>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</si>
  <si>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</si>
  <si>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</si>
  <si>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</si>
  <si>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</si>
  <si>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</si>
  <si>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</si>
  <si>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</si>
  <si>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</si>
  <si>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</si>
  <si>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</si>
  <si>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</si>
  <si>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</si>
  <si>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</si>
  <si>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</si>
  <si>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</si>
  <si>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</si>
  <si>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</si>
  <si>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</si>
  <si>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</si>
  <si>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</si>
  <si>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</si>
  <si>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</si>
  <si>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</si>
  <si>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</si>
  <si>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</si>
  <si>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</si>
  <si>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</si>
  <si>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</si>
  <si>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</si>
  <si>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</si>
  <si>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</si>
  <si>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</si>
  <si>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</si>
  <si>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</si>
  <si>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</si>
  <si>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</si>
  <si>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</si>
  <si>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</si>
  <si>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</si>
  <si>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</si>
  <si>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</si>
  <si>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</si>
  <si>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</si>
  <si>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</si>
  <si>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</si>
  <si>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</si>
  <si>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</si>
  <si>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</si>
  <si>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</si>
  <si>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</si>
  <si>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</si>
  <si>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</si>
  <si>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</si>
  <si>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</si>
  <si>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</si>
  <si>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</si>
  <si>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</si>
  <si>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</si>
  <si>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</si>
  <si>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</si>
  <si>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</si>
  <si>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</si>
  <si>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</si>
  <si>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</si>
  <si>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</si>
  <si>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</si>
  <si>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</si>
  <si>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</si>
  <si>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</si>
  <si>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</si>
  <si>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</si>
  <si>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</si>
  <si>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</si>
  <si>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</si>
  <si>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</si>
  <si>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</si>
  <si>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</si>
  <si>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</si>
  <si>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</si>
  <si>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</si>
  <si>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</si>
  <si>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</si>
  <si>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</si>
  <si>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</si>
  <si>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</si>
  <si>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</si>
  <si>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</si>
  <si>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</si>
  <si>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</si>
  <si>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</si>
  <si>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</si>
  <si>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</si>
  <si>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</si>
  <si>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</si>
  <si>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</si>
  <si>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</si>
  <si>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</si>
  <si>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</si>
  <si>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</si>
  <si>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</si>
  <si>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</si>
  <si>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</si>
  <si>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</si>
  <si>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</si>
  <si>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</si>
  <si>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</si>
  <si>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</si>
  <si>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</si>
  <si>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</si>
  <si>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</si>
  <si>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</si>
  <si>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</si>
  <si>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</si>
  <si>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</si>
  <si>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</si>
  <si>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</si>
  <si>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</si>
  <si>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</si>
  <si>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</si>
  <si>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</si>
  <si>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</si>
  <si>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</si>
  <si>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</si>
  <si>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</si>
  <si>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</si>
  <si>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</si>
  <si>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</si>
  <si>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</si>
  <si>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</si>
  <si>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</si>
  <si>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</si>
  <si>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</si>
  <si>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</si>
  <si>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</si>
  <si>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</si>
  <si>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</si>
  <si>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</si>
  <si>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</si>
  <si>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</si>
  <si>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</si>
  <si>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</si>
  <si>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</si>
  <si>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</si>
  <si>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</si>
  <si>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</si>
  <si>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</si>
  <si>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</si>
  <si>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</si>
  <si>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</si>
  <si>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</si>
  <si>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</si>
  <si>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</si>
  <si>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</si>
  <si>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</si>
  <si>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</si>
  <si>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</si>
  <si>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</si>
  <si>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</si>
  <si>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</si>
  <si>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</si>
  <si>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</si>
  <si>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</si>
  <si>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</si>
  <si>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</si>
  <si>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</si>
  <si>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</si>
  <si>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</si>
  <si>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</si>
  <si>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</si>
  <si>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</si>
  <si>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</si>
  <si>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</si>
  <si>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</si>
  <si>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</si>
  <si>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</si>
  <si>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</si>
  <si>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</si>
  <si>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</si>
  <si>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</si>
  <si>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</si>
  <si>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</si>
  <si>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</si>
  <si>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</si>
  <si>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</si>
  <si>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</si>
  <si>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</si>
  <si>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</si>
  <si>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</si>
  <si>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</si>
  <si>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</si>
  <si>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</si>
  <si>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</si>
  <si>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</si>
  <si>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</si>
  <si>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</si>
  <si>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</si>
  <si>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</si>
  <si>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</si>
  <si>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</si>
  <si>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</si>
  <si>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</si>
  <si>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</si>
  <si>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</si>
  <si>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</si>
  <si>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</si>
  <si>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</si>
  <si>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</si>
  <si>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</si>
  <si>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</si>
  <si>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</si>
  <si>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</si>
  <si>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</si>
  <si>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</si>
  <si>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</si>
  <si>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</si>
  <si>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</si>
  <si>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</si>
  <si>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</si>
  <si>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</si>
  <si>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</si>
  <si>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</si>
  <si>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</si>
  <si>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</si>
  <si>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</si>
  <si>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</si>
  <si>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</si>
  <si>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</si>
  <si>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</si>
  <si>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</si>
  <si>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</si>
  <si>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</si>
  <si>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</si>
  <si>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</si>
  <si>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</si>
  <si>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</si>
  <si>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</si>
  <si>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</si>
  <si>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</si>
  <si>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</si>
  <si>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</si>
  <si>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</si>
  <si>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</si>
  <si>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</si>
  <si>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</si>
  <si>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</si>
  <si>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</si>
  <si>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</si>
  <si>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</si>
  <si>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</si>
  <si>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</si>
  <si>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</si>
  <si>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</si>
  <si>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</si>
  <si>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</si>
  <si>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</si>
  <si>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</si>
  <si>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</si>
  <si>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</si>
  <si>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</si>
  <si>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</si>
  <si>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</si>
  <si>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</si>
  <si>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</si>
  <si>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</si>
  <si>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</si>
  <si>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</si>
  <si>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</si>
  <si>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</si>
  <si>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</si>
  <si>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</si>
  <si>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</si>
  <si>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</si>
  <si>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</si>
  <si>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</si>
  <si>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</si>
  <si>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</si>
  <si>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</si>
  <si>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</si>
  <si>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</si>
  <si>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</si>
  <si>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</si>
  <si>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</si>
  <si>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</si>
  <si>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</si>
  <si>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</si>
  <si>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</si>
  <si>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</si>
  <si>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</si>
  <si>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</si>
  <si>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</si>
  <si>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</si>
  <si>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</si>
  <si>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</si>
  <si>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</si>
  <si>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</si>
  <si>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</si>
  <si>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</si>
  <si>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</si>
  <si>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</si>
  <si>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</si>
  <si>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</si>
  <si>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</si>
  <si>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</si>
  <si>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</si>
  <si>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</si>
  <si>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</si>
  <si>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</si>
  <si>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</si>
  <si>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</si>
  <si>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</si>
  <si>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</si>
  <si>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</si>
  <si>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</si>
  <si>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</si>
  <si>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</si>
  <si>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</si>
  <si>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</si>
  <si>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</si>
  <si>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</si>
  <si>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</si>
  <si>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</si>
  <si>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Clean Customer Name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</si>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</sst>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W5010" totalsRowShown="0">
  <autoFilter ref="A1:W5010"/>
  <tableColumns count="23">
    <tableColumn id="1" name="Row ID"/>
    <tableColumn id="2" name="Order ID"/>
    <tableColumn id="3" name="Order Date" dataDxfId="2"/>
    <tableColumn id="4" name="Ship Date" dataDxfId="1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  <tableColumn id="22" name="Clean Customer Name">
      <calculatedColumnFormula>TRIM(G2)</calculatedColumnFormula>
    </tableColumn>
    <tableColumn id="23" name="Profit Margin" dataDxfId="0">
      <calculatedColumnFormula>Table2[Profit]/Table2[Sales]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10"/>
  <sheetViews>
    <sheetView tabSelected="1" workbookViewId="0">
      <selection activeCell="B4997" sqref="B4997"/>
    </sheetView>
  </sheetViews>
  <sheetFormatPr defaultRowHeight="15" x14ac:dyDescent="0.25"/>
  <cols>
    <col min="1" max="1" width="9.28515625" customWidth="1"/>
    <col min="2" max="2" width="15" bestFit="1" customWidth="1"/>
    <col min="3" max="3" width="12.85546875" customWidth="1"/>
    <col min="4" max="4" width="11.5703125" customWidth="1"/>
    <col min="5" max="5" width="13.85546875" bestFit="1" customWidth="1"/>
    <col min="6" max="6" width="14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5703125" customWidth="1"/>
    <col min="13" max="13" width="9.28515625" customWidth="1"/>
    <col min="14" max="14" width="16.7109375" bestFit="1" customWidth="1"/>
    <col min="15" max="15" width="14.5703125" bestFit="1" customWidth="1"/>
    <col min="16" max="16" width="15" customWidth="1"/>
    <col min="17" max="17" width="119.28515625" bestFit="1" customWidth="1"/>
    <col min="18" max="18" width="10" bestFit="1" customWidth="1"/>
    <col min="19" max="20" width="10.85546875" customWidth="1"/>
    <col min="21" max="21" width="10.7109375" customWidth="1"/>
    <col min="22" max="22" width="22.85546875" customWidth="1"/>
    <col min="23" max="23" width="1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10676</v>
      </c>
      <c r="W1" t="s">
        <v>10677</v>
      </c>
    </row>
    <row r="2" spans="1:23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t="str">
        <f>TRIM(G2)</f>
        <v>Claire Gute</v>
      </c>
      <c r="W2">
        <f>Table2[Profit]/Table2[Sales]</f>
        <v>0.16000000000000003</v>
      </c>
    </row>
    <row r="3" spans="1:23" x14ac:dyDescent="0.25">
      <c r="A3">
        <v>2</v>
      </c>
      <c r="B3" t="s">
        <v>37</v>
      </c>
      <c r="C3" s="1">
        <v>42533</v>
      </c>
      <c r="D3" s="1">
        <v>42537</v>
      </c>
      <c r="E3" t="s">
        <v>22</v>
      </c>
      <c r="F3" t="s">
        <v>38</v>
      </c>
      <c r="G3" t="s">
        <v>39</v>
      </c>
      <c r="H3" t="s">
        <v>40</v>
      </c>
      <c r="I3" t="s">
        <v>26</v>
      </c>
      <c r="J3" t="s">
        <v>41</v>
      </c>
      <c r="K3" t="s">
        <v>42</v>
      </c>
      <c r="L3">
        <v>90036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>
        <v>14.62</v>
      </c>
      <c r="S3">
        <v>2</v>
      </c>
      <c r="T3">
        <v>0</v>
      </c>
      <c r="U3">
        <v>6.8714000000000004</v>
      </c>
      <c r="V3" t="str">
        <f t="shared" ref="V3:V66" si="0">TRIM(G3)</f>
        <v>Darrin Van Huff</v>
      </c>
      <c r="W3">
        <f>Table2[Profit]/Table2[Sales]</f>
        <v>0.47000000000000003</v>
      </c>
    </row>
    <row r="4" spans="1:23" x14ac:dyDescent="0.25">
      <c r="A4">
        <v>3</v>
      </c>
      <c r="B4" t="s">
        <v>48</v>
      </c>
      <c r="C4" s="1">
        <v>42288</v>
      </c>
      <c r="D4" s="1">
        <v>42295</v>
      </c>
      <c r="E4" t="s">
        <v>49</v>
      </c>
      <c r="F4" t="s">
        <v>50</v>
      </c>
      <c r="G4" t="s">
        <v>51</v>
      </c>
      <c r="H4" t="s">
        <v>25</v>
      </c>
      <c r="I4" t="s">
        <v>26</v>
      </c>
      <c r="J4" t="s">
        <v>52</v>
      </c>
      <c r="K4" t="s">
        <v>53</v>
      </c>
      <c r="L4">
        <v>33311</v>
      </c>
      <c r="M4" t="s">
        <v>29</v>
      </c>
      <c r="N4" t="s">
        <v>54</v>
      </c>
      <c r="O4" t="s">
        <v>31</v>
      </c>
      <c r="P4" t="s">
        <v>55</v>
      </c>
      <c r="Q4" t="s">
        <v>56</v>
      </c>
      <c r="R4">
        <v>957.57749999999999</v>
      </c>
      <c r="S4">
        <v>5</v>
      </c>
      <c r="T4">
        <v>0.45</v>
      </c>
      <c r="U4">
        <v>-383.03100000000001</v>
      </c>
      <c r="V4" t="str">
        <f t="shared" si="0"/>
        <v>Sean O'Donnell</v>
      </c>
      <c r="W4">
        <f>Table2[Profit]/Table2[Sales]</f>
        <v>-0.4</v>
      </c>
    </row>
    <row r="5" spans="1:23" x14ac:dyDescent="0.25">
      <c r="A5">
        <v>4</v>
      </c>
      <c r="B5" t="s">
        <v>60</v>
      </c>
      <c r="C5" s="1">
        <v>41799</v>
      </c>
      <c r="D5" s="1">
        <v>41804</v>
      </c>
      <c r="E5" t="s">
        <v>49</v>
      </c>
      <c r="F5" t="s">
        <v>61</v>
      </c>
      <c r="G5" t="s">
        <v>62</v>
      </c>
      <c r="H5" t="s">
        <v>25</v>
      </c>
      <c r="I5" t="s">
        <v>26</v>
      </c>
      <c r="J5" t="s">
        <v>41</v>
      </c>
      <c r="K5" t="s">
        <v>42</v>
      </c>
      <c r="L5">
        <v>90032</v>
      </c>
      <c r="M5" t="s">
        <v>43</v>
      </c>
      <c r="N5" t="s">
        <v>63</v>
      </c>
      <c r="O5" t="s">
        <v>31</v>
      </c>
      <c r="P5" t="s">
        <v>64</v>
      </c>
      <c r="Q5" t="s">
        <v>65</v>
      </c>
      <c r="R5">
        <v>48.86</v>
      </c>
      <c r="S5">
        <v>7</v>
      </c>
      <c r="T5">
        <v>0</v>
      </c>
      <c r="U5">
        <v>14.1694</v>
      </c>
      <c r="V5" t="str">
        <f t="shared" si="0"/>
        <v>Brosina Hoffman</v>
      </c>
      <c r="W5">
        <f>Table2[Profit]/Table2[Sales]</f>
        <v>0.28999999999999998</v>
      </c>
    </row>
    <row r="6" spans="1:23" x14ac:dyDescent="0.25">
      <c r="A6">
        <v>5</v>
      </c>
      <c r="B6" t="s">
        <v>83</v>
      </c>
      <c r="C6" s="1">
        <v>42840</v>
      </c>
      <c r="D6" s="1">
        <v>42845</v>
      </c>
      <c r="E6" t="s">
        <v>49</v>
      </c>
      <c r="F6" t="s">
        <v>84</v>
      </c>
      <c r="G6" t="s">
        <v>85</v>
      </c>
      <c r="H6" t="s">
        <v>25</v>
      </c>
      <c r="I6" t="s">
        <v>26</v>
      </c>
      <c r="J6" t="s">
        <v>86</v>
      </c>
      <c r="K6" t="s">
        <v>87</v>
      </c>
      <c r="L6">
        <v>28027</v>
      </c>
      <c r="M6" t="s">
        <v>29</v>
      </c>
      <c r="N6" t="s">
        <v>88</v>
      </c>
      <c r="O6" t="s">
        <v>45</v>
      </c>
      <c r="P6" t="s">
        <v>89</v>
      </c>
      <c r="Q6" t="s">
        <v>90</v>
      </c>
      <c r="R6">
        <v>15.552</v>
      </c>
      <c r="S6">
        <v>3</v>
      </c>
      <c r="T6">
        <v>0.2</v>
      </c>
      <c r="U6">
        <v>5.4432</v>
      </c>
      <c r="V6" t="str">
        <f t="shared" si="0"/>
        <v>Andrew Allen</v>
      </c>
      <c r="W6">
        <f>Table2[Profit]/Table2[Sales]</f>
        <v>0.35000000000000003</v>
      </c>
    </row>
    <row r="7" spans="1:23" x14ac:dyDescent="0.25">
      <c r="A7">
        <v>6</v>
      </c>
      <c r="B7" t="s">
        <v>91</v>
      </c>
      <c r="C7" s="1">
        <v>42709</v>
      </c>
      <c r="D7" s="1">
        <v>42714</v>
      </c>
      <c r="E7" t="s">
        <v>49</v>
      </c>
      <c r="F7" t="s">
        <v>92</v>
      </c>
      <c r="G7" t="s">
        <v>93</v>
      </c>
      <c r="H7" t="s">
        <v>25</v>
      </c>
      <c r="I7" t="s">
        <v>26</v>
      </c>
      <c r="J7" t="s">
        <v>94</v>
      </c>
      <c r="K7" t="s">
        <v>95</v>
      </c>
      <c r="L7">
        <v>98103</v>
      </c>
      <c r="M7" t="s">
        <v>43</v>
      </c>
      <c r="N7" t="s">
        <v>96</v>
      </c>
      <c r="O7" t="s">
        <v>45</v>
      </c>
      <c r="P7" t="s">
        <v>74</v>
      </c>
      <c r="Q7" t="s">
        <v>97</v>
      </c>
      <c r="R7">
        <v>407.976</v>
      </c>
      <c r="S7">
        <v>3</v>
      </c>
      <c r="T7">
        <v>0.2</v>
      </c>
      <c r="U7">
        <v>132.59219999999999</v>
      </c>
      <c r="V7" t="str">
        <f t="shared" si="0"/>
        <v>Irene Maddox</v>
      </c>
      <c r="W7">
        <f>Table2[Profit]/Table2[Sales]</f>
        <v>0.32499999999999996</v>
      </c>
    </row>
    <row r="8" spans="1:23" x14ac:dyDescent="0.25">
      <c r="A8">
        <v>7</v>
      </c>
      <c r="B8" t="s">
        <v>98</v>
      </c>
      <c r="C8" s="1">
        <v>42330</v>
      </c>
      <c r="D8" s="1">
        <v>42334</v>
      </c>
      <c r="E8" t="s">
        <v>49</v>
      </c>
      <c r="F8" t="s">
        <v>99</v>
      </c>
      <c r="G8" t="s">
        <v>100</v>
      </c>
      <c r="H8" t="s">
        <v>101</v>
      </c>
      <c r="I8" t="s">
        <v>26</v>
      </c>
      <c r="J8" t="s">
        <v>102</v>
      </c>
      <c r="K8" t="s">
        <v>103</v>
      </c>
      <c r="L8">
        <v>76106</v>
      </c>
      <c r="M8" t="s">
        <v>104</v>
      </c>
      <c r="N8" t="s">
        <v>105</v>
      </c>
      <c r="O8" t="s">
        <v>45</v>
      </c>
      <c r="P8" t="s">
        <v>77</v>
      </c>
      <c r="Q8" t="s">
        <v>106</v>
      </c>
      <c r="R8">
        <v>68.81</v>
      </c>
      <c r="S8">
        <v>5</v>
      </c>
      <c r="T8">
        <v>0.8</v>
      </c>
      <c r="U8">
        <v>-123.858</v>
      </c>
      <c r="V8" t="str">
        <f t="shared" si="0"/>
        <v>Harold Pawlan</v>
      </c>
      <c r="W8">
        <f>Table2[Profit]/Table2[Sales]</f>
        <v>-1.8</v>
      </c>
    </row>
    <row r="9" spans="1:23" x14ac:dyDescent="0.25">
      <c r="A9">
        <v>8</v>
      </c>
      <c r="B9" t="s">
        <v>109</v>
      </c>
      <c r="C9" s="1">
        <v>41954</v>
      </c>
      <c r="D9" s="1">
        <v>41961</v>
      </c>
      <c r="E9" t="s">
        <v>49</v>
      </c>
      <c r="F9" t="s">
        <v>110</v>
      </c>
      <c r="G9" t="s">
        <v>111</v>
      </c>
      <c r="H9" t="s">
        <v>25</v>
      </c>
      <c r="I9" t="s">
        <v>26</v>
      </c>
      <c r="J9" t="s">
        <v>112</v>
      </c>
      <c r="K9" t="s">
        <v>113</v>
      </c>
      <c r="L9">
        <v>53711</v>
      </c>
      <c r="M9" t="s">
        <v>104</v>
      </c>
      <c r="N9" t="s">
        <v>114</v>
      </c>
      <c r="O9" t="s">
        <v>45</v>
      </c>
      <c r="P9" t="s">
        <v>58</v>
      </c>
      <c r="Q9" t="s">
        <v>115</v>
      </c>
      <c r="R9">
        <v>665.88</v>
      </c>
      <c r="S9">
        <v>6</v>
      </c>
      <c r="T9">
        <v>0</v>
      </c>
      <c r="U9">
        <v>13.317600000000001</v>
      </c>
      <c r="V9" t="str">
        <f t="shared" si="0"/>
        <v>Pete Kriz</v>
      </c>
      <c r="W9">
        <f>Table2[Profit]/Table2[Sales]</f>
        <v>0.02</v>
      </c>
    </row>
    <row r="10" spans="1:23" x14ac:dyDescent="0.25">
      <c r="A10">
        <v>9</v>
      </c>
      <c r="B10" t="s">
        <v>116</v>
      </c>
      <c r="C10" s="1">
        <v>41772</v>
      </c>
      <c r="D10" s="1">
        <v>41774</v>
      </c>
      <c r="E10" t="s">
        <v>22</v>
      </c>
      <c r="F10" t="s">
        <v>117</v>
      </c>
      <c r="G10" t="s">
        <v>118</v>
      </c>
      <c r="H10" t="s">
        <v>25</v>
      </c>
      <c r="I10" t="s">
        <v>26</v>
      </c>
      <c r="J10" t="s">
        <v>119</v>
      </c>
      <c r="K10" t="s">
        <v>120</v>
      </c>
      <c r="L10">
        <v>84084</v>
      </c>
      <c r="M10" t="s">
        <v>43</v>
      </c>
      <c r="N10" t="s">
        <v>121</v>
      </c>
      <c r="O10" t="s">
        <v>45</v>
      </c>
      <c r="P10" t="s">
        <v>58</v>
      </c>
      <c r="Q10" t="s">
        <v>122</v>
      </c>
      <c r="R10">
        <v>55.5</v>
      </c>
      <c r="S10">
        <v>2</v>
      </c>
      <c r="T10">
        <v>0</v>
      </c>
      <c r="U10">
        <v>9.99</v>
      </c>
      <c r="V10" t="str">
        <f t="shared" si="0"/>
        <v>Alejandro Grove</v>
      </c>
      <c r="W10">
        <f>Table2[Profit]/Table2[Sales]</f>
        <v>0.18</v>
      </c>
    </row>
    <row r="11" spans="1:23" x14ac:dyDescent="0.25">
      <c r="A11">
        <v>10</v>
      </c>
      <c r="B11" t="s">
        <v>123</v>
      </c>
      <c r="C11" s="1">
        <v>41878</v>
      </c>
      <c r="D11" s="1">
        <v>41883</v>
      </c>
      <c r="E11" t="s">
        <v>22</v>
      </c>
      <c r="F11" t="s">
        <v>124</v>
      </c>
      <c r="G11" t="s">
        <v>125</v>
      </c>
      <c r="H11" t="s">
        <v>25</v>
      </c>
      <c r="I11" t="s">
        <v>26</v>
      </c>
      <c r="J11" t="s">
        <v>126</v>
      </c>
      <c r="K11" t="s">
        <v>42</v>
      </c>
      <c r="L11">
        <v>94109</v>
      </c>
      <c r="M11" t="s">
        <v>43</v>
      </c>
      <c r="N11" t="s">
        <v>127</v>
      </c>
      <c r="O11" t="s">
        <v>45</v>
      </c>
      <c r="P11" t="s">
        <v>67</v>
      </c>
      <c r="Q11" t="s">
        <v>128</v>
      </c>
      <c r="R11">
        <v>8.56</v>
      </c>
      <c r="S11">
        <v>2</v>
      </c>
      <c r="T11">
        <v>0</v>
      </c>
      <c r="U11">
        <v>2.4824000000000002</v>
      </c>
      <c r="V11" t="str">
        <f t="shared" si="0"/>
        <v>Zuschuss Donatelli</v>
      </c>
      <c r="W11">
        <f>Table2[Profit]/Table2[Sales]</f>
        <v>0.28999999999999998</v>
      </c>
    </row>
    <row r="12" spans="1:23" x14ac:dyDescent="0.25">
      <c r="A12">
        <v>11</v>
      </c>
      <c r="B12" t="s">
        <v>131</v>
      </c>
      <c r="C12" s="1">
        <v>42713</v>
      </c>
      <c r="D12" s="1">
        <v>42717</v>
      </c>
      <c r="E12" t="s">
        <v>49</v>
      </c>
      <c r="F12" t="s">
        <v>132</v>
      </c>
      <c r="G12" t="s">
        <v>133</v>
      </c>
      <c r="H12" t="s">
        <v>40</v>
      </c>
      <c r="I12" t="s">
        <v>26</v>
      </c>
      <c r="J12" t="s">
        <v>134</v>
      </c>
      <c r="K12" t="s">
        <v>135</v>
      </c>
      <c r="L12">
        <v>68025</v>
      </c>
      <c r="M12" t="s">
        <v>104</v>
      </c>
      <c r="N12" t="s">
        <v>136</v>
      </c>
      <c r="O12" t="s">
        <v>45</v>
      </c>
      <c r="P12" t="s">
        <v>67</v>
      </c>
      <c r="Q12" t="s">
        <v>137</v>
      </c>
      <c r="R12">
        <v>19.46</v>
      </c>
      <c r="S12">
        <v>7</v>
      </c>
      <c r="T12">
        <v>0</v>
      </c>
      <c r="U12">
        <v>5.0595999999999997</v>
      </c>
      <c r="V12" t="str">
        <f t="shared" si="0"/>
        <v>Ken Black</v>
      </c>
      <c r="W12">
        <f>Table2[Profit]/Table2[Sales]</f>
        <v>0.25999999999999995</v>
      </c>
    </row>
    <row r="13" spans="1:23" x14ac:dyDescent="0.25">
      <c r="A13">
        <v>12</v>
      </c>
      <c r="B13" t="s">
        <v>140</v>
      </c>
      <c r="C13" s="1">
        <v>42932</v>
      </c>
      <c r="D13" s="1">
        <v>42934</v>
      </c>
      <c r="E13" t="s">
        <v>22</v>
      </c>
      <c r="F13" t="s">
        <v>141</v>
      </c>
      <c r="G13" t="s">
        <v>142</v>
      </c>
      <c r="H13" t="s">
        <v>25</v>
      </c>
      <c r="I13" t="s">
        <v>26</v>
      </c>
      <c r="J13" t="s">
        <v>143</v>
      </c>
      <c r="K13" t="s">
        <v>144</v>
      </c>
      <c r="L13">
        <v>19140</v>
      </c>
      <c r="M13" t="s">
        <v>145</v>
      </c>
      <c r="N13" t="s">
        <v>146</v>
      </c>
      <c r="O13" t="s">
        <v>31</v>
      </c>
      <c r="P13" t="s">
        <v>35</v>
      </c>
      <c r="Q13" t="s">
        <v>147</v>
      </c>
      <c r="R13">
        <v>71.372</v>
      </c>
      <c r="S13">
        <v>2</v>
      </c>
      <c r="T13">
        <v>0.3</v>
      </c>
      <c r="U13">
        <v>-1.0196000000000001</v>
      </c>
      <c r="V13" t="str">
        <f t="shared" si="0"/>
        <v>Sandra Flanagan</v>
      </c>
      <c r="W13">
        <f>Table2[Profit]/Table2[Sales]</f>
        <v>-1.4285714285714287E-2</v>
      </c>
    </row>
    <row r="14" spans="1:23" x14ac:dyDescent="0.25">
      <c r="A14">
        <v>13</v>
      </c>
      <c r="B14" t="s">
        <v>148</v>
      </c>
      <c r="C14" s="1">
        <v>42272</v>
      </c>
      <c r="D14" s="1">
        <v>42277</v>
      </c>
      <c r="E14" t="s">
        <v>49</v>
      </c>
      <c r="F14" t="s">
        <v>149</v>
      </c>
      <c r="G14" t="s">
        <v>150</v>
      </c>
      <c r="H14" t="s">
        <v>25</v>
      </c>
      <c r="I14" t="s">
        <v>26</v>
      </c>
      <c r="J14" t="s">
        <v>151</v>
      </c>
      <c r="K14" t="s">
        <v>120</v>
      </c>
      <c r="L14">
        <v>84057</v>
      </c>
      <c r="M14" t="s">
        <v>43</v>
      </c>
      <c r="N14" t="s">
        <v>54</v>
      </c>
      <c r="O14" t="s">
        <v>31</v>
      </c>
      <c r="P14" t="s">
        <v>55</v>
      </c>
      <c r="Q14" t="s">
        <v>56</v>
      </c>
      <c r="R14">
        <v>1044.6300000000001</v>
      </c>
      <c r="S14">
        <v>3</v>
      </c>
      <c r="T14">
        <v>0</v>
      </c>
      <c r="U14">
        <v>240.26490000000001</v>
      </c>
      <c r="V14" t="str">
        <f t="shared" si="0"/>
        <v>Emily Burns</v>
      </c>
      <c r="W14">
        <f>Table2[Profit]/Table2[Sales]</f>
        <v>0.22999999999999998</v>
      </c>
    </row>
    <row r="15" spans="1:23" x14ac:dyDescent="0.25">
      <c r="A15">
        <v>14</v>
      </c>
      <c r="B15" t="s">
        <v>152</v>
      </c>
      <c r="C15" s="1">
        <v>42385</v>
      </c>
      <c r="D15" s="1">
        <v>42389</v>
      </c>
      <c r="E15" t="s">
        <v>22</v>
      </c>
      <c r="F15" t="s">
        <v>153</v>
      </c>
      <c r="G15" t="s">
        <v>154</v>
      </c>
      <c r="H15" t="s">
        <v>25</v>
      </c>
      <c r="I15" t="s">
        <v>26</v>
      </c>
      <c r="J15" t="s">
        <v>41</v>
      </c>
      <c r="K15" t="s">
        <v>42</v>
      </c>
      <c r="L15">
        <v>90049</v>
      </c>
      <c r="M15" t="s">
        <v>43</v>
      </c>
      <c r="N15" t="s">
        <v>155</v>
      </c>
      <c r="O15" t="s">
        <v>45</v>
      </c>
      <c r="P15" t="s">
        <v>74</v>
      </c>
      <c r="Q15" t="s">
        <v>156</v>
      </c>
      <c r="R15">
        <v>11.648</v>
      </c>
      <c r="S15">
        <v>2</v>
      </c>
      <c r="T15">
        <v>0.2</v>
      </c>
      <c r="U15">
        <v>4.2224000000000004</v>
      </c>
      <c r="V15" t="str">
        <f t="shared" si="0"/>
        <v>Eric Hoffmann</v>
      </c>
      <c r="W15">
        <f>Table2[Profit]/Table2[Sales]</f>
        <v>0.36250000000000004</v>
      </c>
    </row>
    <row r="16" spans="1:23" x14ac:dyDescent="0.25">
      <c r="A16">
        <v>15</v>
      </c>
      <c r="B16" t="s">
        <v>160</v>
      </c>
      <c r="C16" s="1">
        <v>42264</v>
      </c>
      <c r="D16" s="1">
        <v>42268</v>
      </c>
      <c r="E16" t="s">
        <v>49</v>
      </c>
      <c r="F16" t="s">
        <v>161</v>
      </c>
      <c r="G16" t="s">
        <v>162</v>
      </c>
      <c r="H16" t="s">
        <v>25</v>
      </c>
      <c r="I16" t="s">
        <v>26</v>
      </c>
      <c r="J16" t="s">
        <v>143</v>
      </c>
      <c r="K16" t="s">
        <v>144</v>
      </c>
      <c r="L16">
        <v>19140</v>
      </c>
      <c r="M16" t="s">
        <v>145</v>
      </c>
      <c r="N16" t="s">
        <v>163</v>
      </c>
      <c r="O16" t="s">
        <v>31</v>
      </c>
      <c r="P16" t="s">
        <v>32</v>
      </c>
      <c r="Q16" t="s">
        <v>164</v>
      </c>
      <c r="R16">
        <v>3083.43</v>
      </c>
      <c r="S16">
        <v>7</v>
      </c>
      <c r="T16">
        <v>0.5</v>
      </c>
      <c r="U16">
        <v>-1665.0522000000001</v>
      </c>
      <c r="V16" t="str">
        <f t="shared" si="0"/>
        <v>Tracy Blumstein</v>
      </c>
      <c r="W16">
        <f>Table2[Profit]/Table2[Sales]</f>
        <v>-0.54</v>
      </c>
    </row>
    <row r="17" spans="1:23" x14ac:dyDescent="0.25">
      <c r="A17">
        <v>16</v>
      </c>
      <c r="B17" t="s">
        <v>178</v>
      </c>
      <c r="C17" s="1">
        <v>43027</v>
      </c>
      <c r="D17" s="1">
        <v>43031</v>
      </c>
      <c r="E17" t="s">
        <v>22</v>
      </c>
      <c r="F17" t="s">
        <v>179</v>
      </c>
      <c r="G17" t="s">
        <v>180</v>
      </c>
      <c r="H17" t="s">
        <v>101</v>
      </c>
      <c r="I17" t="s">
        <v>26</v>
      </c>
      <c r="J17" t="s">
        <v>181</v>
      </c>
      <c r="K17" t="s">
        <v>103</v>
      </c>
      <c r="L17">
        <v>77095</v>
      </c>
      <c r="M17" t="s">
        <v>104</v>
      </c>
      <c r="N17" t="s">
        <v>182</v>
      </c>
      <c r="O17" t="s">
        <v>45</v>
      </c>
      <c r="P17" t="s">
        <v>89</v>
      </c>
      <c r="Q17" t="s">
        <v>183</v>
      </c>
      <c r="R17">
        <v>29.472000000000001</v>
      </c>
      <c r="S17">
        <v>3</v>
      </c>
      <c r="T17">
        <v>0.2</v>
      </c>
      <c r="U17">
        <v>9.9467999999999996</v>
      </c>
      <c r="V17" t="str">
        <f t="shared" si="0"/>
        <v>Matt Abelman</v>
      </c>
      <c r="W17">
        <f>Table2[Profit]/Table2[Sales]</f>
        <v>0.33749999999999997</v>
      </c>
    </row>
    <row r="18" spans="1:23" x14ac:dyDescent="0.25">
      <c r="A18">
        <v>17</v>
      </c>
      <c r="B18" t="s">
        <v>184</v>
      </c>
      <c r="C18" s="1">
        <v>42712</v>
      </c>
      <c r="D18" s="1">
        <v>42714</v>
      </c>
      <c r="E18" t="s">
        <v>185</v>
      </c>
      <c r="F18" t="s">
        <v>186</v>
      </c>
      <c r="G18" t="s">
        <v>187</v>
      </c>
      <c r="H18" t="s">
        <v>40</v>
      </c>
      <c r="I18" t="s">
        <v>26</v>
      </c>
      <c r="J18" t="s">
        <v>188</v>
      </c>
      <c r="K18" t="s">
        <v>103</v>
      </c>
      <c r="L18">
        <v>75080</v>
      </c>
      <c r="M18" t="s">
        <v>104</v>
      </c>
      <c r="N18" t="s">
        <v>189</v>
      </c>
      <c r="O18" t="s">
        <v>70</v>
      </c>
      <c r="P18" t="s">
        <v>71</v>
      </c>
      <c r="Q18" t="s">
        <v>190</v>
      </c>
      <c r="R18">
        <v>1097.5440000000001</v>
      </c>
      <c r="S18">
        <v>7</v>
      </c>
      <c r="T18">
        <v>0.2</v>
      </c>
      <c r="U18">
        <v>123.47369999999999</v>
      </c>
      <c r="V18" t="str">
        <f t="shared" si="0"/>
        <v>Gene Hale</v>
      </c>
      <c r="W18">
        <f>Table2[Profit]/Table2[Sales]</f>
        <v>0.11249999999999999</v>
      </c>
    </row>
    <row r="19" spans="1:23" x14ac:dyDescent="0.25">
      <c r="A19">
        <v>18</v>
      </c>
      <c r="B19" t="s">
        <v>193</v>
      </c>
      <c r="C19" s="1">
        <v>42365</v>
      </c>
      <c r="D19" s="1">
        <v>42369</v>
      </c>
      <c r="E19" t="s">
        <v>49</v>
      </c>
      <c r="F19" t="s">
        <v>194</v>
      </c>
      <c r="G19" t="s">
        <v>195</v>
      </c>
      <c r="H19" t="s">
        <v>101</v>
      </c>
      <c r="I19" t="s">
        <v>26</v>
      </c>
      <c r="J19" t="s">
        <v>181</v>
      </c>
      <c r="K19" t="s">
        <v>103</v>
      </c>
      <c r="L19">
        <v>77041</v>
      </c>
      <c r="M19" t="s">
        <v>104</v>
      </c>
      <c r="N19" t="s">
        <v>196</v>
      </c>
      <c r="O19" t="s">
        <v>45</v>
      </c>
      <c r="P19" t="s">
        <v>170</v>
      </c>
      <c r="Q19" t="s">
        <v>197</v>
      </c>
      <c r="R19">
        <v>113.328</v>
      </c>
      <c r="S19">
        <v>9</v>
      </c>
      <c r="T19">
        <v>0.2</v>
      </c>
      <c r="U19">
        <v>35.414999999999999</v>
      </c>
      <c r="V19" t="str">
        <f t="shared" si="0"/>
        <v>Steve Nguyen</v>
      </c>
      <c r="W19">
        <f>Table2[Profit]/Table2[Sales]</f>
        <v>0.3125</v>
      </c>
    </row>
    <row r="20" spans="1:23" x14ac:dyDescent="0.25">
      <c r="A20">
        <v>19</v>
      </c>
      <c r="B20" t="s">
        <v>204</v>
      </c>
      <c r="C20" s="1">
        <v>42988</v>
      </c>
      <c r="D20" s="1">
        <v>42993</v>
      </c>
      <c r="E20" t="s">
        <v>49</v>
      </c>
      <c r="F20" t="s">
        <v>205</v>
      </c>
      <c r="G20" t="s">
        <v>206</v>
      </c>
      <c r="H20" t="s">
        <v>40</v>
      </c>
      <c r="I20" t="s">
        <v>26</v>
      </c>
      <c r="J20" t="s">
        <v>207</v>
      </c>
      <c r="K20" t="s">
        <v>208</v>
      </c>
      <c r="L20">
        <v>60540</v>
      </c>
      <c r="M20" t="s">
        <v>104</v>
      </c>
      <c r="N20" t="s">
        <v>209</v>
      </c>
      <c r="O20" t="s">
        <v>70</v>
      </c>
      <c r="P20" t="s">
        <v>71</v>
      </c>
      <c r="Q20" t="s">
        <v>210</v>
      </c>
      <c r="R20">
        <v>147.16800000000001</v>
      </c>
      <c r="S20">
        <v>4</v>
      </c>
      <c r="T20">
        <v>0.2</v>
      </c>
      <c r="U20">
        <v>16.5564</v>
      </c>
      <c r="V20" t="str">
        <f t="shared" si="0"/>
        <v>Linda Cazamias</v>
      </c>
      <c r="W20">
        <f>Table2[Profit]/Table2[Sales]</f>
        <v>0.11249999999999999</v>
      </c>
    </row>
    <row r="21" spans="1:23" x14ac:dyDescent="0.25">
      <c r="A21">
        <v>20</v>
      </c>
      <c r="B21" t="s">
        <v>211</v>
      </c>
      <c r="C21" s="1">
        <v>42568</v>
      </c>
      <c r="D21" s="1">
        <v>42573</v>
      </c>
      <c r="E21" t="s">
        <v>49</v>
      </c>
      <c r="F21" t="s">
        <v>212</v>
      </c>
      <c r="G21" t="s">
        <v>213</v>
      </c>
      <c r="H21" t="s">
        <v>40</v>
      </c>
      <c r="I21" t="s">
        <v>26</v>
      </c>
      <c r="J21" t="s">
        <v>41</v>
      </c>
      <c r="K21" t="s">
        <v>42</v>
      </c>
      <c r="L21">
        <v>90049</v>
      </c>
      <c r="M21" t="s">
        <v>43</v>
      </c>
      <c r="N21" t="s">
        <v>214</v>
      </c>
      <c r="O21" t="s">
        <v>45</v>
      </c>
      <c r="P21" t="s">
        <v>58</v>
      </c>
      <c r="Q21" t="s">
        <v>215</v>
      </c>
      <c r="R21">
        <v>77.88</v>
      </c>
      <c r="S21">
        <v>2</v>
      </c>
      <c r="T21">
        <v>0</v>
      </c>
      <c r="U21">
        <v>3.8940000000000001</v>
      </c>
      <c r="V21" t="str">
        <f t="shared" si="0"/>
        <v>Ruben Ausman</v>
      </c>
      <c r="W21">
        <f>Table2[Profit]/Table2[Sales]</f>
        <v>0.05</v>
      </c>
    </row>
    <row r="22" spans="1:23" x14ac:dyDescent="0.25">
      <c r="A22">
        <v>21</v>
      </c>
      <c r="B22" t="s">
        <v>216</v>
      </c>
      <c r="C22" s="1">
        <v>42997</v>
      </c>
      <c r="D22" s="1">
        <v>43001</v>
      </c>
      <c r="E22" t="s">
        <v>49</v>
      </c>
      <c r="F22" t="s">
        <v>217</v>
      </c>
      <c r="G22" t="s">
        <v>218</v>
      </c>
      <c r="H22" t="s">
        <v>40</v>
      </c>
      <c r="I22" t="s">
        <v>26</v>
      </c>
      <c r="J22" t="s">
        <v>219</v>
      </c>
      <c r="K22" t="s">
        <v>53</v>
      </c>
      <c r="L22">
        <v>32935</v>
      </c>
      <c r="M22" t="s">
        <v>29</v>
      </c>
      <c r="N22" t="s">
        <v>220</v>
      </c>
      <c r="O22" t="s">
        <v>45</v>
      </c>
      <c r="P22" t="s">
        <v>58</v>
      </c>
      <c r="Q22" t="s">
        <v>221</v>
      </c>
      <c r="R22">
        <v>95.616</v>
      </c>
      <c r="S22">
        <v>2</v>
      </c>
      <c r="T22">
        <v>0.2</v>
      </c>
      <c r="U22">
        <v>9.5616000000000003</v>
      </c>
      <c r="V22" t="str">
        <f t="shared" si="0"/>
        <v>Erin Smith</v>
      </c>
      <c r="W22">
        <f>Table2[Profit]/Table2[Sales]</f>
        <v>0.1</v>
      </c>
    </row>
    <row r="23" spans="1:23" x14ac:dyDescent="0.25">
      <c r="A23">
        <v>22</v>
      </c>
      <c r="B23" t="s">
        <v>222</v>
      </c>
      <c r="C23" s="1">
        <v>42440</v>
      </c>
      <c r="D23" s="1">
        <v>42442</v>
      </c>
      <c r="E23" t="s">
        <v>185</v>
      </c>
      <c r="F23" t="s">
        <v>223</v>
      </c>
      <c r="G23" t="s">
        <v>224</v>
      </c>
      <c r="H23" t="s">
        <v>40</v>
      </c>
      <c r="I23" t="s">
        <v>26</v>
      </c>
      <c r="J23" t="s">
        <v>225</v>
      </c>
      <c r="K23" t="s">
        <v>226</v>
      </c>
      <c r="L23">
        <v>55122</v>
      </c>
      <c r="M23" t="s">
        <v>104</v>
      </c>
      <c r="N23" t="s">
        <v>227</v>
      </c>
      <c r="O23" t="s">
        <v>70</v>
      </c>
      <c r="P23" t="s">
        <v>158</v>
      </c>
      <c r="Q23" t="s">
        <v>228</v>
      </c>
      <c r="R23">
        <v>45.98</v>
      </c>
      <c r="S23">
        <v>2</v>
      </c>
      <c r="T23">
        <v>0</v>
      </c>
      <c r="U23">
        <v>19.7714</v>
      </c>
      <c r="V23" t="str">
        <f t="shared" si="0"/>
        <v>Odella Nelson</v>
      </c>
      <c r="W23">
        <f>Table2[Profit]/Table2[Sales]</f>
        <v>0.43000000000000005</v>
      </c>
    </row>
    <row r="24" spans="1:23" x14ac:dyDescent="0.25">
      <c r="A24">
        <v>23</v>
      </c>
      <c r="B24" t="s">
        <v>231</v>
      </c>
      <c r="C24" s="1">
        <v>41932</v>
      </c>
      <c r="D24" s="1">
        <v>41937</v>
      </c>
      <c r="E24" t="s">
        <v>22</v>
      </c>
      <c r="F24" t="s">
        <v>232</v>
      </c>
      <c r="G24" t="s">
        <v>233</v>
      </c>
      <c r="H24" t="s">
        <v>25</v>
      </c>
      <c r="I24" t="s">
        <v>26</v>
      </c>
      <c r="J24" t="s">
        <v>234</v>
      </c>
      <c r="K24" t="s">
        <v>235</v>
      </c>
      <c r="L24">
        <v>48185</v>
      </c>
      <c r="M24" t="s">
        <v>104</v>
      </c>
      <c r="N24" t="s">
        <v>236</v>
      </c>
      <c r="O24" t="s">
        <v>45</v>
      </c>
      <c r="P24" t="s">
        <v>58</v>
      </c>
      <c r="Q24" t="s">
        <v>237</v>
      </c>
      <c r="R24">
        <v>211.96</v>
      </c>
      <c r="S24">
        <v>4</v>
      </c>
      <c r="T24">
        <v>0</v>
      </c>
      <c r="U24">
        <v>8.4784000000000006</v>
      </c>
      <c r="V24" t="str">
        <f t="shared" si="0"/>
        <v>Patrick O'Donnell</v>
      </c>
      <c r="W24">
        <f>Table2[Profit]/Table2[Sales]</f>
        <v>0.04</v>
      </c>
    </row>
    <row r="25" spans="1:23" x14ac:dyDescent="0.25">
      <c r="A25">
        <v>24</v>
      </c>
      <c r="B25" t="s">
        <v>238</v>
      </c>
      <c r="C25" s="1">
        <v>42541</v>
      </c>
      <c r="D25" s="1">
        <v>42546</v>
      </c>
      <c r="E25" t="s">
        <v>49</v>
      </c>
      <c r="F25" t="s">
        <v>239</v>
      </c>
      <c r="G25" t="s">
        <v>240</v>
      </c>
      <c r="H25" t="s">
        <v>25</v>
      </c>
      <c r="I25" t="s">
        <v>26</v>
      </c>
      <c r="J25" t="s">
        <v>241</v>
      </c>
      <c r="K25" t="s">
        <v>242</v>
      </c>
      <c r="L25">
        <v>19901</v>
      </c>
      <c r="M25" t="s">
        <v>145</v>
      </c>
      <c r="N25" t="s">
        <v>243</v>
      </c>
      <c r="O25" t="s">
        <v>70</v>
      </c>
      <c r="P25" t="s">
        <v>158</v>
      </c>
      <c r="Q25" t="s">
        <v>244</v>
      </c>
      <c r="R25">
        <v>45</v>
      </c>
      <c r="S25">
        <v>3</v>
      </c>
      <c r="T25">
        <v>0</v>
      </c>
      <c r="U25">
        <v>4.95</v>
      </c>
      <c r="V25" t="str">
        <f t="shared" si="0"/>
        <v>Lena Hernandez</v>
      </c>
      <c r="W25">
        <f>Table2[Profit]/Table2[Sales]</f>
        <v>0.11</v>
      </c>
    </row>
    <row r="26" spans="1:23" x14ac:dyDescent="0.25">
      <c r="A26">
        <v>25</v>
      </c>
      <c r="B26" t="s">
        <v>247</v>
      </c>
      <c r="C26" s="1">
        <v>42112</v>
      </c>
      <c r="D26" s="1">
        <v>42116</v>
      </c>
      <c r="E26" t="s">
        <v>49</v>
      </c>
      <c r="F26" t="s">
        <v>248</v>
      </c>
      <c r="G26" t="s">
        <v>249</v>
      </c>
      <c r="H26" t="s">
        <v>25</v>
      </c>
      <c r="I26" t="s">
        <v>26</v>
      </c>
      <c r="J26" t="s">
        <v>250</v>
      </c>
      <c r="K26" t="s">
        <v>251</v>
      </c>
      <c r="L26">
        <v>47150</v>
      </c>
      <c r="M26" t="s">
        <v>104</v>
      </c>
      <c r="N26" t="s">
        <v>252</v>
      </c>
      <c r="O26" t="s">
        <v>45</v>
      </c>
      <c r="P26" t="s">
        <v>74</v>
      </c>
      <c r="Q26" t="s">
        <v>253</v>
      </c>
      <c r="R26">
        <v>38.22</v>
      </c>
      <c r="S26">
        <v>6</v>
      </c>
      <c r="T26">
        <v>0</v>
      </c>
      <c r="U26">
        <v>17.9634</v>
      </c>
      <c r="V26" t="str">
        <f t="shared" si="0"/>
        <v>Darren Powers</v>
      </c>
      <c r="W26">
        <f>Table2[Profit]/Table2[Sales]</f>
        <v>0.47000000000000003</v>
      </c>
    </row>
    <row r="27" spans="1:23" x14ac:dyDescent="0.25">
      <c r="A27">
        <v>26</v>
      </c>
      <c r="B27" t="s">
        <v>260</v>
      </c>
      <c r="C27" s="1">
        <v>42715</v>
      </c>
      <c r="D27" s="1">
        <v>42721</v>
      </c>
      <c r="E27" t="s">
        <v>49</v>
      </c>
      <c r="F27" t="s">
        <v>261</v>
      </c>
      <c r="G27" t="s">
        <v>262</v>
      </c>
      <c r="H27" t="s">
        <v>40</v>
      </c>
      <c r="I27" t="s">
        <v>26</v>
      </c>
      <c r="J27" t="s">
        <v>263</v>
      </c>
      <c r="K27" t="s">
        <v>264</v>
      </c>
      <c r="L27">
        <v>10024</v>
      </c>
      <c r="M27" t="s">
        <v>145</v>
      </c>
      <c r="N27" t="s">
        <v>265</v>
      </c>
      <c r="O27" t="s">
        <v>45</v>
      </c>
      <c r="P27" t="s">
        <v>266</v>
      </c>
      <c r="Q27" t="s">
        <v>267</v>
      </c>
      <c r="R27">
        <v>15.26</v>
      </c>
      <c r="S27">
        <v>7</v>
      </c>
      <c r="T27">
        <v>0</v>
      </c>
      <c r="U27">
        <v>6.2565999999999997</v>
      </c>
      <c r="V27" t="str">
        <f t="shared" si="0"/>
        <v>Janet Molinari</v>
      </c>
      <c r="W27">
        <f>Table2[Profit]/Table2[Sales]</f>
        <v>0.41</v>
      </c>
    </row>
    <row r="28" spans="1:23" x14ac:dyDescent="0.25">
      <c r="A28">
        <v>27</v>
      </c>
      <c r="B28" t="s">
        <v>268</v>
      </c>
      <c r="C28" s="1">
        <v>42538</v>
      </c>
      <c r="D28" s="1">
        <v>42539</v>
      </c>
      <c r="E28" t="s">
        <v>185</v>
      </c>
      <c r="F28" t="s">
        <v>269</v>
      </c>
      <c r="G28" t="s">
        <v>270</v>
      </c>
      <c r="H28" t="s">
        <v>25</v>
      </c>
      <c r="I28" t="s">
        <v>26</v>
      </c>
      <c r="J28" t="s">
        <v>271</v>
      </c>
      <c r="K28" t="s">
        <v>264</v>
      </c>
      <c r="L28">
        <v>12180</v>
      </c>
      <c r="M28" t="s">
        <v>145</v>
      </c>
      <c r="N28" t="s">
        <v>272</v>
      </c>
      <c r="O28" t="s">
        <v>45</v>
      </c>
      <c r="P28" t="s">
        <v>58</v>
      </c>
      <c r="Q28" t="s">
        <v>273</v>
      </c>
      <c r="R28">
        <v>208.56</v>
      </c>
      <c r="S28">
        <v>6</v>
      </c>
      <c r="T28">
        <v>0</v>
      </c>
      <c r="U28">
        <v>52.14</v>
      </c>
      <c r="V28" t="str">
        <f t="shared" si="0"/>
        <v>Ted Butterfield</v>
      </c>
      <c r="W28">
        <f>Table2[Profit]/Table2[Sales]</f>
        <v>0.25</v>
      </c>
    </row>
    <row r="29" spans="1:23" x14ac:dyDescent="0.25">
      <c r="A29">
        <v>28</v>
      </c>
      <c r="B29" t="s">
        <v>282</v>
      </c>
      <c r="C29" s="1">
        <v>42332</v>
      </c>
      <c r="D29" s="1">
        <v>42338</v>
      </c>
      <c r="E29" t="s">
        <v>49</v>
      </c>
      <c r="F29" t="s">
        <v>283</v>
      </c>
      <c r="G29" t="s">
        <v>284</v>
      </c>
      <c r="H29" t="s">
        <v>25</v>
      </c>
      <c r="I29" t="s">
        <v>26</v>
      </c>
      <c r="J29" t="s">
        <v>41</v>
      </c>
      <c r="K29" t="s">
        <v>42</v>
      </c>
      <c r="L29">
        <v>90004</v>
      </c>
      <c r="M29" t="s">
        <v>43</v>
      </c>
      <c r="N29" t="s">
        <v>285</v>
      </c>
      <c r="O29" t="s">
        <v>70</v>
      </c>
      <c r="P29" t="s">
        <v>158</v>
      </c>
      <c r="Q29" t="s">
        <v>286</v>
      </c>
      <c r="R29">
        <v>13.98</v>
      </c>
      <c r="S29">
        <v>2</v>
      </c>
      <c r="T29">
        <v>0</v>
      </c>
      <c r="U29">
        <v>6.1512000000000002</v>
      </c>
      <c r="V29" t="str">
        <f t="shared" si="0"/>
        <v>Kunst Miller</v>
      </c>
      <c r="W29">
        <f>Table2[Profit]/Table2[Sales]</f>
        <v>0.44</v>
      </c>
    </row>
    <row r="30" spans="1:23" x14ac:dyDescent="0.25">
      <c r="A30">
        <v>29</v>
      </c>
      <c r="B30" t="s">
        <v>293</v>
      </c>
      <c r="C30" s="1">
        <v>42124</v>
      </c>
      <c r="D30" s="1">
        <v>42129</v>
      </c>
      <c r="E30" t="s">
        <v>49</v>
      </c>
      <c r="F30" t="s">
        <v>294</v>
      </c>
      <c r="G30" t="s">
        <v>295</v>
      </c>
      <c r="H30" t="s">
        <v>101</v>
      </c>
      <c r="I30" t="s">
        <v>26</v>
      </c>
      <c r="J30" t="s">
        <v>296</v>
      </c>
      <c r="K30" t="s">
        <v>208</v>
      </c>
      <c r="L30">
        <v>60610</v>
      </c>
      <c r="M30" t="s">
        <v>104</v>
      </c>
      <c r="N30" t="s">
        <v>297</v>
      </c>
      <c r="O30" t="s">
        <v>31</v>
      </c>
      <c r="P30" t="s">
        <v>35</v>
      </c>
      <c r="Q30" t="s">
        <v>298</v>
      </c>
      <c r="R30">
        <v>213.11500000000001</v>
      </c>
      <c r="S30">
        <v>5</v>
      </c>
      <c r="T30">
        <v>0.3</v>
      </c>
      <c r="U30">
        <v>-15.2225</v>
      </c>
      <c r="V30" t="str">
        <f t="shared" si="0"/>
        <v>Paul Stevenson</v>
      </c>
      <c r="W30">
        <f>Table2[Profit]/Table2[Sales]</f>
        <v>-7.1428571428571425E-2</v>
      </c>
    </row>
    <row r="31" spans="1:23" x14ac:dyDescent="0.25">
      <c r="A31">
        <v>30</v>
      </c>
      <c r="B31" t="s">
        <v>299</v>
      </c>
      <c r="C31" s="1">
        <v>41978</v>
      </c>
      <c r="D31" s="1">
        <v>41983</v>
      </c>
      <c r="E31" t="s">
        <v>49</v>
      </c>
      <c r="F31" t="s">
        <v>300</v>
      </c>
      <c r="G31" t="s">
        <v>301</v>
      </c>
      <c r="H31" t="s">
        <v>40</v>
      </c>
      <c r="I31" t="s">
        <v>26</v>
      </c>
      <c r="J31" t="s">
        <v>302</v>
      </c>
      <c r="K31" t="s">
        <v>303</v>
      </c>
      <c r="L31">
        <v>85234</v>
      </c>
      <c r="M31" t="s">
        <v>43</v>
      </c>
      <c r="N31" t="s">
        <v>304</v>
      </c>
      <c r="O31" t="s">
        <v>45</v>
      </c>
      <c r="P31" t="s">
        <v>67</v>
      </c>
      <c r="Q31" t="s">
        <v>305</v>
      </c>
      <c r="R31">
        <v>1113.0239999999999</v>
      </c>
      <c r="S31">
        <v>8</v>
      </c>
      <c r="T31">
        <v>0.2</v>
      </c>
      <c r="U31">
        <v>111.30240000000001</v>
      </c>
      <c r="V31" t="str">
        <f t="shared" si="0"/>
        <v>Brendan Sweed</v>
      </c>
      <c r="W31">
        <f>Table2[Profit]/Table2[Sales]</f>
        <v>0.10000000000000002</v>
      </c>
    </row>
    <row r="32" spans="1:23" x14ac:dyDescent="0.25">
      <c r="A32">
        <v>31</v>
      </c>
      <c r="B32" t="s">
        <v>308</v>
      </c>
      <c r="C32" s="1">
        <v>42525</v>
      </c>
      <c r="D32" s="1">
        <v>42527</v>
      </c>
      <c r="E32" t="s">
        <v>185</v>
      </c>
      <c r="F32" t="s">
        <v>309</v>
      </c>
      <c r="G32" t="s">
        <v>310</v>
      </c>
      <c r="H32" t="s">
        <v>25</v>
      </c>
      <c r="I32" t="s">
        <v>26</v>
      </c>
      <c r="J32" t="s">
        <v>311</v>
      </c>
      <c r="K32" t="s">
        <v>312</v>
      </c>
      <c r="L32">
        <v>22153</v>
      </c>
      <c r="M32" t="s">
        <v>29</v>
      </c>
      <c r="N32" t="s">
        <v>313</v>
      </c>
      <c r="O32" t="s">
        <v>45</v>
      </c>
      <c r="P32" t="s">
        <v>89</v>
      </c>
      <c r="Q32" t="s">
        <v>314</v>
      </c>
      <c r="R32">
        <v>75.88</v>
      </c>
      <c r="S32">
        <v>2</v>
      </c>
      <c r="T32">
        <v>0</v>
      </c>
      <c r="U32">
        <v>35.663600000000002</v>
      </c>
      <c r="V32" t="str">
        <f t="shared" si="0"/>
        <v>Karen Daniels</v>
      </c>
      <c r="W32">
        <f>Table2[Profit]/Table2[Sales]</f>
        <v>0.47000000000000008</v>
      </c>
    </row>
    <row r="33" spans="1:23" x14ac:dyDescent="0.25">
      <c r="A33">
        <v>32</v>
      </c>
      <c r="B33" t="s">
        <v>315</v>
      </c>
      <c r="C33" s="1">
        <v>42631</v>
      </c>
      <c r="D33" s="1">
        <v>42636</v>
      </c>
      <c r="E33" t="s">
        <v>49</v>
      </c>
      <c r="F33" t="s">
        <v>316</v>
      </c>
      <c r="G33" t="s">
        <v>317</v>
      </c>
      <c r="H33" t="s">
        <v>25</v>
      </c>
      <c r="I33" t="s">
        <v>26</v>
      </c>
      <c r="J33" t="s">
        <v>263</v>
      </c>
      <c r="K33" t="s">
        <v>264</v>
      </c>
      <c r="L33">
        <v>10009</v>
      </c>
      <c r="M33" t="s">
        <v>145</v>
      </c>
      <c r="N33" t="s">
        <v>318</v>
      </c>
      <c r="O33" t="s">
        <v>45</v>
      </c>
      <c r="P33" t="s">
        <v>74</v>
      </c>
      <c r="Q33" t="s">
        <v>319</v>
      </c>
      <c r="R33">
        <v>4.6159999999999997</v>
      </c>
      <c r="S33">
        <v>1</v>
      </c>
      <c r="T33">
        <v>0.2</v>
      </c>
      <c r="U33">
        <v>1.7310000000000001</v>
      </c>
      <c r="V33" t="str">
        <f t="shared" si="0"/>
        <v>Henry MacAllister</v>
      </c>
      <c r="W33">
        <f>Table2[Profit]/Table2[Sales]</f>
        <v>0.37500000000000006</v>
      </c>
    </row>
    <row r="34" spans="1:23" x14ac:dyDescent="0.25">
      <c r="A34">
        <v>33</v>
      </c>
      <c r="B34" t="s">
        <v>320</v>
      </c>
      <c r="C34" s="1">
        <v>42992</v>
      </c>
      <c r="D34" s="1">
        <v>42995</v>
      </c>
      <c r="E34" t="s">
        <v>22</v>
      </c>
      <c r="F34" t="s">
        <v>161</v>
      </c>
      <c r="G34" t="s">
        <v>162</v>
      </c>
      <c r="H34" t="s">
        <v>25</v>
      </c>
      <c r="I34" t="s">
        <v>26</v>
      </c>
      <c r="J34" t="s">
        <v>321</v>
      </c>
      <c r="K34" t="s">
        <v>235</v>
      </c>
      <c r="L34">
        <v>49201</v>
      </c>
      <c r="M34" t="s">
        <v>104</v>
      </c>
      <c r="N34" t="s">
        <v>322</v>
      </c>
      <c r="O34" t="s">
        <v>45</v>
      </c>
      <c r="P34" t="s">
        <v>89</v>
      </c>
      <c r="Q34" t="s">
        <v>323</v>
      </c>
      <c r="R34">
        <v>19.05</v>
      </c>
      <c r="S34">
        <v>3</v>
      </c>
      <c r="T34">
        <v>0</v>
      </c>
      <c r="U34">
        <v>8.7629999999999999</v>
      </c>
      <c r="V34" t="str">
        <f t="shared" si="0"/>
        <v>Tracy Blumstein</v>
      </c>
      <c r="W34">
        <f>Table2[Profit]/Table2[Sales]</f>
        <v>0.45999999999999996</v>
      </c>
    </row>
    <row r="35" spans="1:23" x14ac:dyDescent="0.25">
      <c r="A35">
        <v>34</v>
      </c>
      <c r="B35" t="s">
        <v>324</v>
      </c>
      <c r="C35" s="1">
        <v>42120</v>
      </c>
      <c r="D35" s="1">
        <v>42126</v>
      </c>
      <c r="E35" t="s">
        <v>49</v>
      </c>
      <c r="F35" t="s">
        <v>325</v>
      </c>
      <c r="G35" t="s">
        <v>326</v>
      </c>
      <c r="H35" t="s">
        <v>25</v>
      </c>
      <c r="I35" t="s">
        <v>26</v>
      </c>
      <c r="J35" t="s">
        <v>327</v>
      </c>
      <c r="K35" t="s">
        <v>328</v>
      </c>
      <c r="L35">
        <v>38109</v>
      </c>
      <c r="M35" t="s">
        <v>29</v>
      </c>
      <c r="N35" t="s">
        <v>329</v>
      </c>
      <c r="O35" t="s">
        <v>31</v>
      </c>
      <c r="P35" t="s">
        <v>35</v>
      </c>
      <c r="Q35" t="s">
        <v>330</v>
      </c>
      <c r="R35">
        <v>831.93600000000004</v>
      </c>
      <c r="S35">
        <v>8</v>
      </c>
      <c r="T35">
        <v>0.2</v>
      </c>
      <c r="U35">
        <v>-114.3912</v>
      </c>
      <c r="V35" t="str">
        <f t="shared" si="0"/>
        <v>Joel Eaton</v>
      </c>
      <c r="W35">
        <f>Table2[Profit]/Table2[Sales]</f>
        <v>-0.13749999999999998</v>
      </c>
    </row>
    <row r="36" spans="1:23" x14ac:dyDescent="0.25">
      <c r="A36">
        <v>35</v>
      </c>
      <c r="B36" t="s">
        <v>335</v>
      </c>
      <c r="C36" s="1">
        <v>43078</v>
      </c>
      <c r="D36" s="1">
        <v>43080</v>
      </c>
      <c r="E36" t="s">
        <v>185</v>
      </c>
      <c r="F36" t="s">
        <v>336</v>
      </c>
      <c r="G36" t="s">
        <v>337</v>
      </c>
      <c r="H36" t="s">
        <v>40</v>
      </c>
      <c r="I36" t="s">
        <v>26</v>
      </c>
      <c r="J36" t="s">
        <v>181</v>
      </c>
      <c r="K36" t="s">
        <v>103</v>
      </c>
      <c r="L36">
        <v>77041</v>
      </c>
      <c r="M36" t="s">
        <v>104</v>
      </c>
      <c r="N36" t="s">
        <v>338</v>
      </c>
      <c r="O36" t="s">
        <v>45</v>
      </c>
      <c r="P36" t="s">
        <v>74</v>
      </c>
      <c r="Q36" t="s">
        <v>339</v>
      </c>
      <c r="R36">
        <v>1.248</v>
      </c>
      <c r="S36">
        <v>3</v>
      </c>
      <c r="T36">
        <v>0.8</v>
      </c>
      <c r="U36">
        <v>-1.9343999999999999</v>
      </c>
      <c r="V36" t="str">
        <f t="shared" si="0"/>
        <v>Ken Brennan</v>
      </c>
      <c r="W36">
        <f>Table2[Profit]/Table2[Sales]</f>
        <v>-1.5499999999999998</v>
      </c>
    </row>
    <row r="37" spans="1:23" x14ac:dyDescent="0.25">
      <c r="A37">
        <v>36</v>
      </c>
      <c r="B37" t="s">
        <v>344</v>
      </c>
      <c r="C37" s="1">
        <v>41969</v>
      </c>
      <c r="D37" s="1">
        <v>41974</v>
      </c>
      <c r="E37" t="s">
        <v>22</v>
      </c>
      <c r="F37" t="s">
        <v>325</v>
      </c>
      <c r="G37" t="s">
        <v>326</v>
      </c>
      <c r="H37" t="s">
        <v>25</v>
      </c>
      <c r="I37" t="s">
        <v>26</v>
      </c>
      <c r="J37" t="s">
        <v>181</v>
      </c>
      <c r="K37" t="s">
        <v>103</v>
      </c>
      <c r="L37">
        <v>77070</v>
      </c>
      <c r="M37" t="s">
        <v>104</v>
      </c>
      <c r="N37" t="s">
        <v>345</v>
      </c>
      <c r="O37" t="s">
        <v>31</v>
      </c>
      <c r="P37" t="s">
        <v>64</v>
      </c>
      <c r="Q37" t="s">
        <v>346</v>
      </c>
      <c r="R37">
        <v>19.3</v>
      </c>
      <c r="S37">
        <v>5</v>
      </c>
      <c r="T37">
        <v>0.6</v>
      </c>
      <c r="U37">
        <v>-14.475</v>
      </c>
      <c r="V37" t="str">
        <f t="shared" si="0"/>
        <v>Joel Eaton</v>
      </c>
      <c r="W37">
        <f>Table2[Profit]/Table2[Sales]</f>
        <v>-0.75</v>
      </c>
    </row>
    <row r="38" spans="1:23" x14ac:dyDescent="0.25">
      <c r="A38">
        <v>37</v>
      </c>
      <c r="B38" t="s">
        <v>347</v>
      </c>
      <c r="C38" s="1">
        <v>42533</v>
      </c>
      <c r="D38" s="1">
        <v>42536</v>
      </c>
      <c r="E38" t="s">
        <v>185</v>
      </c>
      <c r="F38" t="s">
        <v>348</v>
      </c>
      <c r="G38" t="s">
        <v>349</v>
      </c>
      <c r="H38" t="s">
        <v>40</v>
      </c>
      <c r="I38" t="s">
        <v>26</v>
      </c>
      <c r="J38" t="s">
        <v>350</v>
      </c>
      <c r="K38" t="s">
        <v>351</v>
      </c>
      <c r="L38">
        <v>35601</v>
      </c>
      <c r="M38" t="s">
        <v>29</v>
      </c>
      <c r="N38" t="s">
        <v>352</v>
      </c>
      <c r="O38" t="s">
        <v>45</v>
      </c>
      <c r="P38" t="s">
        <v>77</v>
      </c>
      <c r="Q38" t="s">
        <v>353</v>
      </c>
      <c r="R38">
        <v>208.16</v>
      </c>
      <c r="S38">
        <v>1</v>
      </c>
      <c r="T38">
        <v>0</v>
      </c>
      <c r="U38">
        <v>56.203200000000002</v>
      </c>
      <c r="V38" t="str">
        <f t="shared" si="0"/>
        <v>Stewart Carmichael</v>
      </c>
      <c r="W38">
        <f>Table2[Profit]/Table2[Sales]</f>
        <v>0.27</v>
      </c>
    </row>
    <row r="39" spans="1:23" x14ac:dyDescent="0.25">
      <c r="A39">
        <v>38</v>
      </c>
      <c r="B39" t="s">
        <v>356</v>
      </c>
      <c r="C39" s="1">
        <v>41924</v>
      </c>
      <c r="D39" s="1">
        <v>41928</v>
      </c>
      <c r="E39" t="s">
        <v>49</v>
      </c>
      <c r="F39" t="s">
        <v>357</v>
      </c>
      <c r="G39" t="s">
        <v>358</v>
      </c>
      <c r="H39" t="s">
        <v>25</v>
      </c>
      <c r="I39" t="s">
        <v>26</v>
      </c>
      <c r="J39" t="s">
        <v>126</v>
      </c>
      <c r="K39" t="s">
        <v>42</v>
      </c>
      <c r="L39">
        <v>94122</v>
      </c>
      <c r="M39" t="s">
        <v>43</v>
      </c>
      <c r="N39" t="s">
        <v>359</v>
      </c>
      <c r="O39" t="s">
        <v>45</v>
      </c>
      <c r="P39" t="s">
        <v>67</v>
      </c>
      <c r="Q39" t="s">
        <v>360</v>
      </c>
      <c r="R39">
        <v>14.9</v>
      </c>
      <c r="S39">
        <v>5</v>
      </c>
      <c r="T39">
        <v>0</v>
      </c>
      <c r="U39">
        <v>4.1719999999999997</v>
      </c>
      <c r="V39" t="str">
        <f t="shared" si="0"/>
        <v>Duane Noonan</v>
      </c>
      <c r="W39">
        <f>Table2[Profit]/Table2[Sales]</f>
        <v>0.27999999999999997</v>
      </c>
    </row>
    <row r="40" spans="1:23" x14ac:dyDescent="0.25">
      <c r="A40">
        <v>39</v>
      </c>
      <c r="B40" t="s">
        <v>363</v>
      </c>
      <c r="C40" s="1">
        <v>42250</v>
      </c>
      <c r="D40" s="1">
        <v>42255</v>
      </c>
      <c r="E40" t="s">
        <v>49</v>
      </c>
      <c r="F40" t="s">
        <v>364</v>
      </c>
      <c r="G40" t="s">
        <v>365</v>
      </c>
      <c r="H40" t="s">
        <v>40</v>
      </c>
      <c r="I40" t="s">
        <v>26</v>
      </c>
      <c r="J40" t="s">
        <v>366</v>
      </c>
      <c r="K40" t="s">
        <v>87</v>
      </c>
      <c r="L40">
        <v>27707</v>
      </c>
      <c r="M40" t="s">
        <v>29</v>
      </c>
      <c r="N40" t="s">
        <v>367</v>
      </c>
      <c r="O40" t="s">
        <v>45</v>
      </c>
      <c r="P40" t="s">
        <v>170</v>
      </c>
      <c r="Q40" t="s">
        <v>368</v>
      </c>
      <c r="R40">
        <v>200.98400000000001</v>
      </c>
      <c r="S40">
        <v>7</v>
      </c>
      <c r="T40">
        <v>0.2</v>
      </c>
      <c r="U40">
        <v>62.807499999999997</v>
      </c>
      <c r="V40" t="str">
        <f t="shared" si="0"/>
        <v>Julie Creighton</v>
      </c>
      <c r="W40">
        <f>Table2[Profit]/Table2[Sales]</f>
        <v>0.3125</v>
      </c>
    </row>
    <row r="41" spans="1:23" x14ac:dyDescent="0.25">
      <c r="A41">
        <v>40</v>
      </c>
      <c r="B41" t="s">
        <v>369</v>
      </c>
      <c r="C41" s="1">
        <v>43052</v>
      </c>
      <c r="D41" s="1">
        <v>43055</v>
      </c>
      <c r="E41" t="s">
        <v>185</v>
      </c>
      <c r="F41" t="s">
        <v>370</v>
      </c>
      <c r="G41" t="s">
        <v>371</v>
      </c>
      <c r="H41" t="s">
        <v>101</v>
      </c>
      <c r="I41" t="s">
        <v>26</v>
      </c>
      <c r="J41" t="s">
        <v>296</v>
      </c>
      <c r="K41" t="s">
        <v>208</v>
      </c>
      <c r="L41">
        <v>60623</v>
      </c>
      <c r="M41" t="s">
        <v>104</v>
      </c>
      <c r="N41" t="s">
        <v>372</v>
      </c>
      <c r="O41" t="s">
        <v>45</v>
      </c>
      <c r="P41" t="s">
        <v>58</v>
      </c>
      <c r="Q41" t="s">
        <v>373</v>
      </c>
      <c r="R41">
        <v>230.376</v>
      </c>
      <c r="S41">
        <v>3</v>
      </c>
      <c r="T41">
        <v>0.2</v>
      </c>
      <c r="U41">
        <v>-48.954900000000002</v>
      </c>
      <c r="V41" t="str">
        <f t="shared" si="0"/>
        <v>Christopher Schild</v>
      </c>
      <c r="W41">
        <f>Table2[Profit]/Table2[Sales]</f>
        <v>-0.21249999999999999</v>
      </c>
    </row>
    <row r="42" spans="1:23" x14ac:dyDescent="0.25">
      <c r="A42">
        <v>41</v>
      </c>
      <c r="B42" t="s">
        <v>374</v>
      </c>
      <c r="C42" s="1">
        <v>42883</v>
      </c>
      <c r="D42" s="1">
        <v>42885</v>
      </c>
      <c r="E42" t="s">
        <v>22</v>
      </c>
      <c r="F42" t="s">
        <v>232</v>
      </c>
      <c r="G42" t="s">
        <v>233</v>
      </c>
      <c r="H42" t="s">
        <v>25</v>
      </c>
      <c r="I42" t="s">
        <v>26</v>
      </c>
      <c r="J42" t="s">
        <v>375</v>
      </c>
      <c r="K42" t="s">
        <v>376</v>
      </c>
      <c r="L42">
        <v>29203</v>
      </c>
      <c r="M42" t="s">
        <v>29</v>
      </c>
      <c r="N42" t="s">
        <v>377</v>
      </c>
      <c r="O42" t="s">
        <v>31</v>
      </c>
      <c r="P42" t="s">
        <v>35</v>
      </c>
      <c r="Q42" t="s">
        <v>378</v>
      </c>
      <c r="R42">
        <v>301.95999999999998</v>
      </c>
      <c r="S42">
        <v>2</v>
      </c>
      <c r="T42">
        <v>0</v>
      </c>
      <c r="U42">
        <v>33.215600000000002</v>
      </c>
      <c r="V42" t="str">
        <f t="shared" si="0"/>
        <v>Patrick O'Donnell</v>
      </c>
      <c r="W42">
        <f>Table2[Profit]/Table2[Sales]</f>
        <v>0.11000000000000001</v>
      </c>
    </row>
    <row r="43" spans="1:23" x14ac:dyDescent="0.25">
      <c r="A43">
        <v>42</v>
      </c>
      <c r="B43" t="s">
        <v>379</v>
      </c>
      <c r="C43" s="1">
        <v>43034</v>
      </c>
      <c r="D43" s="1">
        <v>43041</v>
      </c>
      <c r="E43" t="s">
        <v>49</v>
      </c>
      <c r="F43" t="s">
        <v>380</v>
      </c>
      <c r="G43" t="s">
        <v>381</v>
      </c>
      <c r="H43" t="s">
        <v>25</v>
      </c>
      <c r="I43" t="s">
        <v>26</v>
      </c>
      <c r="J43" t="s">
        <v>382</v>
      </c>
      <c r="K43" t="s">
        <v>226</v>
      </c>
      <c r="L43">
        <v>55901</v>
      </c>
      <c r="M43" t="s">
        <v>104</v>
      </c>
      <c r="N43" t="s">
        <v>383</v>
      </c>
      <c r="O43" t="s">
        <v>70</v>
      </c>
      <c r="P43" t="s">
        <v>158</v>
      </c>
      <c r="Q43" t="s">
        <v>384</v>
      </c>
      <c r="R43">
        <v>19.989999999999998</v>
      </c>
      <c r="S43">
        <v>1</v>
      </c>
      <c r="T43">
        <v>0</v>
      </c>
      <c r="U43">
        <v>6.7965999999999998</v>
      </c>
      <c r="V43" t="str">
        <f t="shared" si="0"/>
        <v>Paul Gonzalez</v>
      </c>
      <c r="W43">
        <f>Table2[Profit]/Table2[Sales]</f>
        <v>0.34</v>
      </c>
    </row>
    <row r="44" spans="1:23" x14ac:dyDescent="0.25">
      <c r="A44">
        <v>43</v>
      </c>
      <c r="B44" t="s">
        <v>387</v>
      </c>
      <c r="C44" s="1">
        <v>42465</v>
      </c>
      <c r="D44" s="1">
        <v>42470</v>
      </c>
      <c r="E44" t="s">
        <v>22</v>
      </c>
      <c r="F44" t="s">
        <v>388</v>
      </c>
      <c r="G44" t="s">
        <v>389</v>
      </c>
      <c r="H44" t="s">
        <v>101</v>
      </c>
      <c r="I44" t="s">
        <v>26</v>
      </c>
      <c r="J44" t="s">
        <v>181</v>
      </c>
      <c r="K44" t="s">
        <v>103</v>
      </c>
      <c r="L44">
        <v>77095</v>
      </c>
      <c r="M44" t="s">
        <v>104</v>
      </c>
      <c r="N44" t="s">
        <v>390</v>
      </c>
      <c r="O44" t="s">
        <v>45</v>
      </c>
      <c r="P44" t="s">
        <v>58</v>
      </c>
      <c r="Q44" t="s">
        <v>391</v>
      </c>
      <c r="R44">
        <v>158.36799999999999</v>
      </c>
      <c r="S44">
        <v>7</v>
      </c>
      <c r="T44">
        <v>0.2</v>
      </c>
      <c r="U44">
        <v>13.857200000000001</v>
      </c>
      <c r="V44" t="str">
        <f t="shared" si="0"/>
        <v>Gary Mitchum</v>
      </c>
      <c r="W44">
        <f>Table2[Profit]/Table2[Sales]</f>
        <v>8.7500000000000008E-2</v>
      </c>
    </row>
    <row r="45" spans="1:23" x14ac:dyDescent="0.25">
      <c r="A45">
        <v>44</v>
      </c>
      <c r="B45" t="s">
        <v>392</v>
      </c>
      <c r="C45" s="1">
        <v>42630</v>
      </c>
      <c r="D45" s="1">
        <v>42635</v>
      </c>
      <c r="E45" t="s">
        <v>49</v>
      </c>
      <c r="F45" t="s">
        <v>393</v>
      </c>
      <c r="G45" t="s">
        <v>394</v>
      </c>
      <c r="H45" t="s">
        <v>40</v>
      </c>
      <c r="I45" t="s">
        <v>26</v>
      </c>
      <c r="J45" t="s">
        <v>41</v>
      </c>
      <c r="K45" t="s">
        <v>42</v>
      </c>
      <c r="L45">
        <v>90036</v>
      </c>
      <c r="M45" t="s">
        <v>43</v>
      </c>
      <c r="N45" t="s">
        <v>395</v>
      </c>
      <c r="O45" t="s">
        <v>45</v>
      </c>
      <c r="P45" t="s">
        <v>67</v>
      </c>
      <c r="Q45" t="s">
        <v>396</v>
      </c>
      <c r="R45">
        <v>20.100000000000001</v>
      </c>
      <c r="S45">
        <v>3</v>
      </c>
      <c r="T45">
        <v>0</v>
      </c>
      <c r="U45">
        <v>6.633</v>
      </c>
      <c r="V45" t="str">
        <f t="shared" si="0"/>
        <v>Jim Sink</v>
      </c>
      <c r="W45">
        <f>Table2[Profit]/Table2[Sales]</f>
        <v>0.32999999999999996</v>
      </c>
    </row>
    <row r="46" spans="1:23" x14ac:dyDescent="0.25">
      <c r="A46">
        <v>45</v>
      </c>
      <c r="B46" t="s">
        <v>399</v>
      </c>
      <c r="C46" s="1">
        <v>42035</v>
      </c>
      <c r="D46" s="1">
        <v>42040</v>
      </c>
      <c r="E46" t="s">
        <v>22</v>
      </c>
      <c r="F46" t="s">
        <v>400</v>
      </c>
      <c r="G46" t="s">
        <v>401</v>
      </c>
      <c r="H46" t="s">
        <v>25</v>
      </c>
      <c r="I46" t="s">
        <v>26</v>
      </c>
      <c r="J46" t="s">
        <v>402</v>
      </c>
      <c r="K46" t="s">
        <v>226</v>
      </c>
      <c r="L46">
        <v>55407</v>
      </c>
      <c r="M46" t="s">
        <v>104</v>
      </c>
      <c r="N46" t="s">
        <v>403</v>
      </c>
      <c r="O46" t="s">
        <v>45</v>
      </c>
      <c r="P46" t="s">
        <v>89</v>
      </c>
      <c r="Q46" t="s">
        <v>404</v>
      </c>
      <c r="R46">
        <v>12.96</v>
      </c>
      <c r="S46">
        <v>2</v>
      </c>
      <c r="T46">
        <v>0</v>
      </c>
      <c r="U46">
        <v>6.2207999999999997</v>
      </c>
      <c r="V46" t="str">
        <f t="shared" si="0"/>
        <v>Karl Braun</v>
      </c>
      <c r="W46">
        <f>Table2[Profit]/Table2[Sales]</f>
        <v>0.47999999999999993</v>
      </c>
    </row>
    <row r="47" spans="1:23" x14ac:dyDescent="0.25">
      <c r="A47">
        <v>46</v>
      </c>
      <c r="B47" t="s">
        <v>409</v>
      </c>
      <c r="C47" s="1">
        <v>43045</v>
      </c>
      <c r="D47" s="1">
        <v>43051</v>
      </c>
      <c r="E47" t="s">
        <v>49</v>
      </c>
      <c r="F47" t="s">
        <v>410</v>
      </c>
      <c r="G47" t="s">
        <v>411</v>
      </c>
      <c r="H47" t="s">
        <v>101</v>
      </c>
      <c r="I47" t="s">
        <v>26</v>
      </c>
      <c r="J47" t="s">
        <v>412</v>
      </c>
      <c r="K47" t="s">
        <v>413</v>
      </c>
      <c r="L47">
        <v>97206</v>
      </c>
      <c r="M47" t="s">
        <v>43</v>
      </c>
      <c r="N47" t="s">
        <v>414</v>
      </c>
      <c r="O47" t="s">
        <v>45</v>
      </c>
      <c r="P47" t="s">
        <v>74</v>
      </c>
      <c r="Q47" t="s">
        <v>415</v>
      </c>
      <c r="R47">
        <v>5.6820000000000004</v>
      </c>
      <c r="S47">
        <v>1</v>
      </c>
      <c r="T47">
        <v>0.7</v>
      </c>
      <c r="U47">
        <v>-3.7879999999999998</v>
      </c>
      <c r="V47" t="str">
        <f t="shared" si="0"/>
        <v>Roger Barcio</v>
      </c>
      <c r="W47">
        <f>Table2[Profit]/Table2[Sales]</f>
        <v>-0.66666666666666663</v>
      </c>
    </row>
    <row r="48" spans="1:23" x14ac:dyDescent="0.25">
      <c r="A48">
        <v>47</v>
      </c>
      <c r="B48" t="s">
        <v>416</v>
      </c>
      <c r="C48" s="1">
        <v>43048</v>
      </c>
      <c r="D48" s="1">
        <v>43050</v>
      </c>
      <c r="E48" t="s">
        <v>22</v>
      </c>
      <c r="F48" t="s">
        <v>417</v>
      </c>
      <c r="G48" t="s">
        <v>418</v>
      </c>
      <c r="H48" t="s">
        <v>101</v>
      </c>
      <c r="I48" t="s">
        <v>26</v>
      </c>
      <c r="J48" t="s">
        <v>263</v>
      </c>
      <c r="K48" t="s">
        <v>264</v>
      </c>
      <c r="L48">
        <v>10009</v>
      </c>
      <c r="M48" t="s">
        <v>145</v>
      </c>
      <c r="N48" t="s">
        <v>419</v>
      </c>
      <c r="O48" t="s">
        <v>31</v>
      </c>
      <c r="P48" t="s">
        <v>64</v>
      </c>
      <c r="Q48" t="s">
        <v>420</v>
      </c>
      <c r="R48">
        <v>96.53</v>
      </c>
      <c r="S48">
        <v>7</v>
      </c>
      <c r="T48">
        <v>0</v>
      </c>
      <c r="U48">
        <v>40.5426</v>
      </c>
      <c r="V48" t="str">
        <f t="shared" si="0"/>
        <v>Parhena Norris</v>
      </c>
      <c r="W48">
        <f>Table2[Profit]/Table2[Sales]</f>
        <v>0.42</v>
      </c>
    </row>
    <row r="49" spans="1:23" x14ac:dyDescent="0.25">
      <c r="A49">
        <v>48</v>
      </c>
      <c r="B49" t="s">
        <v>421</v>
      </c>
      <c r="C49" s="1">
        <v>42903</v>
      </c>
      <c r="D49" s="1">
        <v>42906</v>
      </c>
      <c r="E49" t="s">
        <v>185</v>
      </c>
      <c r="F49" t="s">
        <v>422</v>
      </c>
      <c r="G49" t="s">
        <v>423</v>
      </c>
      <c r="H49" t="s">
        <v>25</v>
      </c>
      <c r="I49" t="s">
        <v>26</v>
      </c>
      <c r="J49" t="s">
        <v>126</v>
      </c>
      <c r="K49" t="s">
        <v>42</v>
      </c>
      <c r="L49">
        <v>94122</v>
      </c>
      <c r="M49" t="s">
        <v>43</v>
      </c>
      <c r="N49" t="s">
        <v>424</v>
      </c>
      <c r="O49" t="s">
        <v>45</v>
      </c>
      <c r="P49" t="s">
        <v>74</v>
      </c>
      <c r="Q49" t="s">
        <v>425</v>
      </c>
      <c r="R49">
        <v>51.311999999999998</v>
      </c>
      <c r="S49">
        <v>3</v>
      </c>
      <c r="T49">
        <v>0.2</v>
      </c>
      <c r="U49">
        <v>17.959199999999999</v>
      </c>
      <c r="V49" t="str">
        <f t="shared" si="0"/>
        <v>Katherine Ducich</v>
      </c>
      <c r="W49">
        <f>Table2[Profit]/Table2[Sales]</f>
        <v>0.35</v>
      </c>
    </row>
    <row r="50" spans="1:23" x14ac:dyDescent="0.25">
      <c r="A50">
        <v>49</v>
      </c>
      <c r="B50" t="s">
        <v>426</v>
      </c>
      <c r="C50" s="1">
        <v>42619</v>
      </c>
      <c r="D50" s="1">
        <v>42624</v>
      </c>
      <c r="E50" t="s">
        <v>49</v>
      </c>
      <c r="F50" t="s">
        <v>427</v>
      </c>
      <c r="G50" t="s">
        <v>428</v>
      </c>
      <c r="H50" t="s">
        <v>40</v>
      </c>
      <c r="I50" t="s">
        <v>26</v>
      </c>
      <c r="J50" t="s">
        <v>429</v>
      </c>
      <c r="K50" t="s">
        <v>226</v>
      </c>
      <c r="L50">
        <v>55106</v>
      </c>
      <c r="M50" t="s">
        <v>104</v>
      </c>
      <c r="N50" t="s">
        <v>430</v>
      </c>
      <c r="O50" t="s">
        <v>45</v>
      </c>
      <c r="P50" t="s">
        <v>77</v>
      </c>
      <c r="Q50" t="s">
        <v>431</v>
      </c>
      <c r="R50">
        <v>77.88</v>
      </c>
      <c r="S50">
        <v>6</v>
      </c>
      <c r="T50">
        <v>0</v>
      </c>
      <c r="U50">
        <v>22.5852</v>
      </c>
      <c r="V50" t="str">
        <f t="shared" si="0"/>
        <v>Elpida Rittenbach</v>
      </c>
      <c r="W50">
        <f>Table2[Profit]/Table2[Sales]</f>
        <v>0.29000000000000004</v>
      </c>
    </row>
    <row r="51" spans="1:23" x14ac:dyDescent="0.25">
      <c r="A51">
        <v>50</v>
      </c>
      <c r="B51" t="s">
        <v>432</v>
      </c>
      <c r="C51" s="1">
        <v>42611</v>
      </c>
      <c r="D51" s="1">
        <v>42615</v>
      </c>
      <c r="E51" t="s">
        <v>49</v>
      </c>
      <c r="F51" t="s">
        <v>433</v>
      </c>
      <c r="G51" t="s">
        <v>434</v>
      </c>
      <c r="H51" t="s">
        <v>101</v>
      </c>
      <c r="I51" t="s">
        <v>26</v>
      </c>
      <c r="J51" t="s">
        <v>296</v>
      </c>
      <c r="K51" t="s">
        <v>208</v>
      </c>
      <c r="L51">
        <v>60610</v>
      </c>
      <c r="M51" t="s">
        <v>104</v>
      </c>
      <c r="N51" t="s">
        <v>435</v>
      </c>
      <c r="O51" t="s">
        <v>45</v>
      </c>
      <c r="P51" t="s">
        <v>89</v>
      </c>
      <c r="Q51" t="s">
        <v>436</v>
      </c>
      <c r="R51">
        <v>64.623999999999995</v>
      </c>
      <c r="S51">
        <v>7</v>
      </c>
      <c r="T51">
        <v>0.2</v>
      </c>
      <c r="U51">
        <v>22.618400000000001</v>
      </c>
      <c r="V51" t="str">
        <f t="shared" si="0"/>
        <v>Rick Bensley</v>
      </c>
      <c r="W51">
        <f>Table2[Profit]/Table2[Sales]</f>
        <v>0.35000000000000003</v>
      </c>
    </row>
    <row r="52" spans="1:23" x14ac:dyDescent="0.25">
      <c r="A52">
        <v>51</v>
      </c>
      <c r="B52" t="s">
        <v>441</v>
      </c>
      <c r="C52" s="1">
        <v>42705</v>
      </c>
      <c r="D52" s="1">
        <v>42708</v>
      </c>
      <c r="E52" t="s">
        <v>22</v>
      </c>
      <c r="F52" t="s">
        <v>442</v>
      </c>
      <c r="G52" t="s">
        <v>443</v>
      </c>
      <c r="H52" t="s">
        <v>25</v>
      </c>
      <c r="I52" t="s">
        <v>26</v>
      </c>
      <c r="J52" t="s">
        <v>382</v>
      </c>
      <c r="K52" t="s">
        <v>226</v>
      </c>
      <c r="L52">
        <v>55901</v>
      </c>
      <c r="M52" t="s">
        <v>104</v>
      </c>
      <c r="N52" t="s">
        <v>444</v>
      </c>
      <c r="O52" t="s">
        <v>45</v>
      </c>
      <c r="P52" t="s">
        <v>89</v>
      </c>
      <c r="Q52" t="s">
        <v>445</v>
      </c>
      <c r="R52">
        <v>23.92</v>
      </c>
      <c r="S52">
        <v>4</v>
      </c>
      <c r="T52">
        <v>0</v>
      </c>
      <c r="U52">
        <v>11.720800000000001</v>
      </c>
      <c r="V52" t="str">
        <f t="shared" si="0"/>
        <v>Gary Zandusky</v>
      </c>
      <c r="W52">
        <f>Table2[Profit]/Table2[Sales]</f>
        <v>0.49</v>
      </c>
    </row>
    <row r="53" spans="1:23" x14ac:dyDescent="0.25">
      <c r="A53">
        <v>52</v>
      </c>
      <c r="B53" t="s">
        <v>446</v>
      </c>
      <c r="C53" s="1">
        <v>42321</v>
      </c>
      <c r="D53" s="1">
        <v>42325</v>
      </c>
      <c r="E53" t="s">
        <v>49</v>
      </c>
      <c r="F53" t="s">
        <v>447</v>
      </c>
      <c r="G53" t="s">
        <v>448</v>
      </c>
      <c r="H53" t="s">
        <v>25</v>
      </c>
      <c r="I53" t="s">
        <v>26</v>
      </c>
      <c r="J53" t="s">
        <v>449</v>
      </c>
      <c r="K53" t="s">
        <v>450</v>
      </c>
      <c r="L53">
        <v>80013</v>
      </c>
      <c r="M53" t="s">
        <v>43</v>
      </c>
      <c r="N53" t="s">
        <v>451</v>
      </c>
      <c r="O53" t="s">
        <v>70</v>
      </c>
      <c r="P53" t="s">
        <v>158</v>
      </c>
      <c r="Q53" t="s">
        <v>452</v>
      </c>
      <c r="R53">
        <v>238.89599999999999</v>
      </c>
      <c r="S53">
        <v>6</v>
      </c>
      <c r="T53">
        <v>0.2</v>
      </c>
      <c r="U53">
        <v>-26.875800000000002</v>
      </c>
      <c r="V53" t="str">
        <f t="shared" si="0"/>
        <v>Lena Cacioppo</v>
      </c>
      <c r="W53">
        <f>Table2[Profit]/Table2[Sales]</f>
        <v>-0.11250000000000002</v>
      </c>
    </row>
    <row r="54" spans="1:23" x14ac:dyDescent="0.25">
      <c r="A54">
        <v>53</v>
      </c>
      <c r="B54" t="s">
        <v>457</v>
      </c>
      <c r="C54" s="1">
        <v>43062</v>
      </c>
      <c r="D54" s="1">
        <v>43067</v>
      </c>
      <c r="E54" t="s">
        <v>49</v>
      </c>
      <c r="F54" t="s">
        <v>458</v>
      </c>
      <c r="G54" t="s">
        <v>459</v>
      </c>
      <c r="H54" t="s">
        <v>25</v>
      </c>
      <c r="I54" t="s">
        <v>26</v>
      </c>
      <c r="J54" t="s">
        <v>460</v>
      </c>
      <c r="K54" t="s">
        <v>87</v>
      </c>
      <c r="L54">
        <v>28205</v>
      </c>
      <c r="M54" t="s">
        <v>29</v>
      </c>
      <c r="N54" t="s">
        <v>461</v>
      </c>
      <c r="O54" t="s">
        <v>70</v>
      </c>
      <c r="P54" t="s">
        <v>158</v>
      </c>
      <c r="Q54" t="s">
        <v>462</v>
      </c>
      <c r="R54">
        <v>74.111999999999995</v>
      </c>
      <c r="S54">
        <v>8</v>
      </c>
      <c r="T54">
        <v>0.2</v>
      </c>
      <c r="U54">
        <v>17.601600000000001</v>
      </c>
      <c r="V54" t="str">
        <f t="shared" si="0"/>
        <v>Janet Martin</v>
      </c>
      <c r="W54">
        <f>Table2[Profit]/Table2[Sales]</f>
        <v>0.23750000000000004</v>
      </c>
    </row>
    <row r="55" spans="1:23" x14ac:dyDescent="0.25">
      <c r="A55">
        <v>54</v>
      </c>
      <c r="B55" t="s">
        <v>467</v>
      </c>
      <c r="C55" s="1">
        <v>42292</v>
      </c>
      <c r="D55" s="1">
        <v>42297</v>
      </c>
      <c r="E55" t="s">
        <v>49</v>
      </c>
      <c r="F55" t="s">
        <v>468</v>
      </c>
      <c r="G55" t="s">
        <v>469</v>
      </c>
      <c r="H55" t="s">
        <v>101</v>
      </c>
      <c r="I55" t="s">
        <v>26</v>
      </c>
      <c r="J55" t="s">
        <v>470</v>
      </c>
      <c r="K55" t="s">
        <v>208</v>
      </c>
      <c r="L55">
        <v>60462</v>
      </c>
      <c r="M55" t="s">
        <v>104</v>
      </c>
      <c r="N55" t="s">
        <v>471</v>
      </c>
      <c r="O55" t="s">
        <v>70</v>
      </c>
      <c r="P55" t="s">
        <v>158</v>
      </c>
      <c r="Q55" t="s">
        <v>472</v>
      </c>
      <c r="R55">
        <v>339.96</v>
      </c>
      <c r="S55">
        <v>5</v>
      </c>
      <c r="T55">
        <v>0.2</v>
      </c>
      <c r="U55">
        <v>67.992000000000004</v>
      </c>
      <c r="V55" t="str">
        <f t="shared" si="0"/>
        <v>Pete Armstrong</v>
      </c>
      <c r="W55">
        <f>Table2[Profit]/Table2[Sales]</f>
        <v>0.20000000000000004</v>
      </c>
    </row>
    <row r="56" spans="1:23" x14ac:dyDescent="0.25">
      <c r="A56">
        <v>55</v>
      </c>
      <c r="B56" t="s">
        <v>473</v>
      </c>
      <c r="C56" s="1">
        <v>43094</v>
      </c>
      <c r="D56" s="1">
        <v>43099</v>
      </c>
      <c r="E56" t="s">
        <v>49</v>
      </c>
      <c r="F56" t="s">
        <v>474</v>
      </c>
      <c r="G56" t="s">
        <v>475</v>
      </c>
      <c r="H56" t="s">
        <v>40</v>
      </c>
      <c r="I56" t="s">
        <v>26</v>
      </c>
      <c r="J56" t="s">
        <v>263</v>
      </c>
      <c r="K56" t="s">
        <v>264</v>
      </c>
      <c r="L56">
        <v>10035</v>
      </c>
      <c r="M56" t="s">
        <v>145</v>
      </c>
      <c r="N56" t="s">
        <v>476</v>
      </c>
      <c r="O56" t="s">
        <v>31</v>
      </c>
      <c r="P56" t="s">
        <v>64</v>
      </c>
      <c r="Q56" t="s">
        <v>477</v>
      </c>
      <c r="R56">
        <v>41.96</v>
      </c>
      <c r="S56">
        <v>2</v>
      </c>
      <c r="T56">
        <v>0</v>
      </c>
      <c r="U56">
        <v>10.909599999999999</v>
      </c>
      <c r="V56" t="str">
        <f t="shared" si="0"/>
        <v>Cynthia Voltz</v>
      </c>
      <c r="W56">
        <f>Table2[Profit]/Table2[Sales]</f>
        <v>0.25999999999999995</v>
      </c>
    </row>
    <row r="57" spans="1:23" x14ac:dyDescent="0.25">
      <c r="A57">
        <v>56</v>
      </c>
      <c r="B57" t="s">
        <v>478</v>
      </c>
      <c r="C57" s="1">
        <v>42677</v>
      </c>
      <c r="D57" s="1">
        <v>42684</v>
      </c>
      <c r="E57" t="s">
        <v>49</v>
      </c>
      <c r="F57" t="s">
        <v>479</v>
      </c>
      <c r="G57" t="s">
        <v>480</v>
      </c>
      <c r="H57" t="s">
        <v>25</v>
      </c>
      <c r="I57" t="s">
        <v>26</v>
      </c>
      <c r="J57" t="s">
        <v>481</v>
      </c>
      <c r="K57" t="s">
        <v>482</v>
      </c>
      <c r="L57">
        <v>50322</v>
      </c>
      <c r="M57" t="s">
        <v>104</v>
      </c>
      <c r="N57" t="s">
        <v>483</v>
      </c>
      <c r="O57" t="s">
        <v>45</v>
      </c>
      <c r="P57" t="s">
        <v>67</v>
      </c>
      <c r="Q57" t="s">
        <v>484</v>
      </c>
      <c r="R57">
        <v>75.959999999999994</v>
      </c>
      <c r="S57">
        <v>2</v>
      </c>
      <c r="T57">
        <v>0</v>
      </c>
      <c r="U57">
        <v>22.788</v>
      </c>
      <c r="V57" t="str">
        <f t="shared" si="0"/>
        <v>Clay Ludtke</v>
      </c>
      <c r="W57">
        <f>Table2[Profit]/Table2[Sales]</f>
        <v>0.30000000000000004</v>
      </c>
    </row>
    <row r="58" spans="1:23" x14ac:dyDescent="0.25">
      <c r="A58">
        <v>57</v>
      </c>
      <c r="B58" t="s">
        <v>487</v>
      </c>
      <c r="C58" s="1">
        <v>41876</v>
      </c>
      <c r="D58" s="1">
        <v>41878</v>
      </c>
      <c r="E58" t="s">
        <v>22</v>
      </c>
      <c r="F58" t="s">
        <v>488</v>
      </c>
      <c r="G58" t="s">
        <v>489</v>
      </c>
      <c r="H58" t="s">
        <v>25</v>
      </c>
      <c r="I58" t="s">
        <v>26</v>
      </c>
      <c r="J58" t="s">
        <v>490</v>
      </c>
      <c r="K58" t="s">
        <v>491</v>
      </c>
      <c r="L58">
        <v>43229</v>
      </c>
      <c r="M58" t="s">
        <v>145</v>
      </c>
      <c r="N58" t="s">
        <v>492</v>
      </c>
      <c r="O58" t="s">
        <v>45</v>
      </c>
      <c r="P58" t="s">
        <v>266</v>
      </c>
      <c r="Q58" t="s">
        <v>493</v>
      </c>
      <c r="R58">
        <v>40.095999999999997</v>
      </c>
      <c r="S58">
        <v>14</v>
      </c>
      <c r="T58">
        <v>0.2</v>
      </c>
      <c r="U58">
        <v>14.534800000000001</v>
      </c>
      <c r="V58" t="str">
        <f t="shared" si="0"/>
        <v>Ryan Crowe</v>
      </c>
      <c r="W58">
        <f>Table2[Profit]/Table2[Sales]</f>
        <v>0.36250000000000004</v>
      </c>
    </row>
    <row r="59" spans="1:23" x14ac:dyDescent="0.25">
      <c r="A59">
        <v>58</v>
      </c>
      <c r="B59" t="s">
        <v>500</v>
      </c>
      <c r="C59" s="1">
        <v>42065</v>
      </c>
      <c r="D59" s="1">
        <v>42069</v>
      </c>
      <c r="E59" t="s">
        <v>49</v>
      </c>
      <c r="F59" t="s">
        <v>501</v>
      </c>
      <c r="G59" t="s">
        <v>502</v>
      </c>
      <c r="H59" t="s">
        <v>25</v>
      </c>
      <c r="I59" t="s">
        <v>26</v>
      </c>
      <c r="J59" t="s">
        <v>94</v>
      </c>
      <c r="K59" t="s">
        <v>95</v>
      </c>
      <c r="L59">
        <v>98103</v>
      </c>
      <c r="M59" t="s">
        <v>43</v>
      </c>
      <c r="N59" t="s">
        <v>503</v>
      </c>
      <c r="O59" t="s">
        <v>31</v>
      </c>
      <c r="P59" t="s">
        <v>55</v>
      </c>
      <c r="Q59" t="s">
        <v>504</v>
      </c>
      <c r="R59">
        <v>787.53</v>
      </c>
      <c r="S59">
        <v>3</v>
      </c>
      <c r="T59">
        <v>0</v>
      </c>
      <c r="U59">
        <v>165.38130000000001</v>
      </c>
      <c r="V59" t="str">
        <f t="shared" si="0"/>
        <v>Dave Kipp</v>
      </c>
      <c r="W59">
        <f>Table2[Profit]/Table2[Sales]</f>
        <v>0.21000000000000002</v>
      </c>
    </row>
    <row r="60" spans="1:23" x14ac:dyDescent="0.25">
      <c r="A60">
        <v>59</v>
      </c>
      <c r="B60" t="s">
        <v>505</v>
      </c>
      <c r="C60" s="1">
        <v>42099</v>
      </c>
      <c r="D60" s="1">
        <v>42104</v>
      </c>
      <c r="E60" t="s">
        <v>49</v>
      </c>
      <c r="F60" t="s">
        <v>506</v>
      </c>
      <c r="G60" t="s">
        <v>507</v>
      </c>
      <c r="H60" t="s">
        <v>40</v>
      </c>
      <c r="I60" t="s">
        <v>26</v>
      </c>
      <c r="J60" t="s">
        <v>508</v>
      </c>
      <c r="K60" t="s">
        <v>328</v>
      </c>
      <c r="L60">
        <v>37620</v>
      </c>
      <c r="M60" t="s">
        <v>29</v>
      </c>
      <c r="N60" t="s">
        <v>509</v>
      </c>
      <c r="O60" t="s">
        <v>45</v>
      </c>
      <c r="P60" t="s">
        <v>74</v>
      </c>
      <c r="Q60" t="s">
        <v>510</v>
      </c>
      <c r="R60">
        <v>157.79400000000001</v>
      </c>
      <c r="S60">
        <v>1</v>
      </c>
      <c r="T60">
        <v>0.7</v>
      </c>
      <c r="U60">
        <v>-115.71559999999999</v>
      </c>
      <c r="V60" t="str">
        <f t="shared" si="0"/>
        <v>Greg Guthrie</v>
      </c>
      <c r="W60">
        <f>Table2[Profit]/Table2[Sales]</f>
        <v>-0.73333333333333328</v>
      </c>
    </row>
    <row r="61" spans="1:23" x14ac:dyDescent="0.25">
      <c r="A61">
        <v>60</v>
      </c>
      <c r="B61" t="s">
        <v>511</v>
      </c>
      <c r="C61" s="1">
        <v>42533</v>
      </c>
      <c r="D61" s="1">
        <v>42536</v>
      </c>
      <c r="E61" t="s">
        <v>185</v>
      </c>
      <c r="F61" t="s">
        <v>512</v>
      </c>
      <c r="G61" t="s">
        <v>513</v>
      </c>
      <c r="H61" t="s">
        <v>25</v>
      </c>
      <c r="I61" t="s">
        <v>26</v>
      </c>
      <c r="J61" t="s">
        <v>514</v>
      </c>
      <c r="K61" t="s">
        <v>242</v>
      </c>
      <c r="L61">
        <v>19805</v>
      </c>
      <c r="M61" t="s">
        <v>145</v>
      </c>
      <c r="N61" t="s">
        <v>515</v>
      </c>
      <c r="O61" t="s">
        <v>31</v>
      </c>
      <c r="P61" t="s">
        <v>64</v>
      </c>
      <c r="Q61" t="s">
        <v>516</v>
      </c>
      <c r="R61">
        <v>47.04</v>
      </c>
      <c r="S61">
        <v>3</v>
      </c>
      <c r="T61">
        <v>0</v>
      </c>
      <c r="U61">
        <v>18.345600000000001</v>
      </c>
      <c r="V61" t="str">
        <f t="shared" si="0"/>
        <v>Steven Cartwright</v>
      </c>
      <c r="W61">
        <f>Table2[Profit]/Table2[Sales]</f>
        <v>0.39</v>
      </c>
    </row>
    <row r="62" spans="1:23" x14ac:dyDescent="0.25">
      <c r="A62">
        <v>61</v>
      </c>
      <c r="B62" t="s">
        <v>523</v>
      </c>
      <c r="C62" s="1">
        <v>41999</v>
      </c>
      <c r="D62" s="1">
        <v>42001</v>
      </c>
      <c r="E62" t="s">
        <v>22</v>
      </c>
      <c r="F62" t="s">
        <v>524</v>
      </c>
      <c r="G62" t="s">
        <v>525</v>
      </c>
      <c r="H62" t="s">
        <v>101</v>
      </c>
      <c r="I62" t="s">
        <v>26</v>
      </c>
      <c r="J62" t="s">
        <v>181</v>
      </c>
      <c r="K62" t="s">
        <v>103</v>
      </c>
      <c r="L62">
        <v>77041</v>
      </c>
      <c r="M62" t="s">
        <v>104</v>
      </c>
      <c r="N62" t="s">
        <v>526</v>
      </c>
      <c r="O62" t="s">
        <v>31</v>
      </c>
      <c r="P62" t="s">
        <v>35</v>
      </c>
      <c r="Q62" t="s">
        <v>527</v>
      </c>
      <c r="R62">
        <v>600.55799999999999</v>
      </c>
      <c r="S62">
        <v>3</v>
      </c>
      <c r="T62">
        <v>0.3</v>
      </c>
      <c r="U62">
        <v>-8.5793999999999997</v>
      </c>
      <c r="V62" t="str">
        <f t="shared" si="0"/>
        <v>Alan Dominguez</v>
      </c>
      <c r="W62">
        <f>Table2[Profit]/Table2[Sales]</f>
        <v>-1.4285714285714285E-2</v>
      </c>
    </row>
    <row r="63" spans="1:23" x14ac:dyDescent="0.25">
      <c r="A63">
        <v>62</v>
      </c>
      <c r="B63" t="s">
        <v>528</v>
      </c>
      <c r="C63" s="1">
        <v>41902</v>
      </c>
      <c r="D63" s="1">
        <v>41907</v>
      </c>
      <c r="E63" t="s">
        <v>49</v>
      </c>
      <c r="F63" t="s">
        <v>529</v>
      </c>
      <c r="G63" t="s">
        <v>530</v>
      </c>
      <c r="H63" t="s">
        <v>25</v>
      </c>
      <c r="I63" t="s">
        <v>26</v>
      </c>
      <c r="J63" t="s">
        <v>531</v>
      </c>
      <c r="K63" t="s">
        <v>208</v>
      </c>
      <c r="L63">
        <v>61701</v>
      </c>
      <c r="M63" t="s">
        <v>104</v>
      </c>
      <c r="N63" t="s">
        <v>532</v>
      </c>
      <c r="O63" t="s">
        <v>31</v>
      </c>
      <c r="P63" t="s">
        <v>55</v>
      </c>
      <c r="Q63" t="s">
        <v>533</v>
      </c>
      <c r="R63">
        <v>617.70000000000005</v>
      </c>
      <c r="S63">
        <v>6</v>
      </c>
      <c r="T63">
        <v>0.5</v>
      </c>
      <c r="U63">
        <v>-407.68200000000002</v>
      </c>
      <c r="V63" t="str">
        <f t="shared" si="0"/>
        <v>Philip Fox</v>
      </c>
      <c r="W63">
        <f>Table2[Profit]/Table2[Sales]</f>
        <v>-0.66</v>
      </c>
    </row>
    <row r="64" spans="1:23" x14ac:dyDescent="0.25">
      <c r="A64">
        <v>63</v>
      </c>
      <c r="B64" t="s">
        <v>534</v>
      </c>
      <c r="C64" s="1">
        <v>43044</v>
      </c>
      <c r="D64" s="1">
        <v>43051</v>
      </c>
      <c r="E64" t="s">
        <v>49</v>
      </c>
      <c r="F64" t="s">
        <v>535</v>
      </c>
      <c r="G64" t="s">
        <v>536</v>
      </c>
      <c r="H64" t="s">
        <v>25</v>
      </c>
      <c r="I64" t="s">
        <v>26</v>
      </c>
      <c r="J64" t="s">
        <v>537</v>
      </c>
      <c r="K64" t="s">
        <v>303</v>
      </c>
      <c r="L64">
        <v>85023</v>
      </c>
      <c r="M64" t="s">
        <v>43</v>
      </c>
      <c r="N64" t="s">
        <v>538</v>
      </c>
      <c r="O64" t="s">
        <v>45</v>
      </c>
      <c r="P64" t="s">
        <v>74</v>
      </c>
      <c r="Q64" t="s">
        <v>539</v>
      </c>
      <c r="R64">
        <v>2.3879999999999999</v>
      </c>
      <c r="S64">
        <v>2</v>
      </c>
      <c r="T64">
        <v>0.7</v>
      </c>
      <c r="U64">
        <v>-1.8308</v>
      </c>
      <c r="V64" t="str">
        <f t="shared" si="0"/>
        <v>Troy Staebel</v>
      </c>
      <c r="W64">
        <f>Table2[Profit]/Table2[Sales]</f>
        <v>-0.76666666666666672</v>
      </c>
    </row>
    <row r="65" spans="1:23" x14ac:dyDescent="0.25">
      <c r="A65">
        <v>64</v>
      </c>
      <c r="B65" t="s">
        <v>542</v>
      </c>
      <c r="C65" s="1">
        <v>42680</v>
      </c>
      <c r="D65" s="1">
        <v>42684</v>
      </c>
      <c r="E65" t="s">
        <v>22</v>
      </c>
      <c r="F65" t="s">
        <v>543</v>
      </c>
      <c r="G65" t="s">
        <v>544</v>
      </c>
      <c r="H65" t="s">
        <v>101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297</v>
      </c>
      <c r="O65" t="s">
        <v>31</v>
      </c>
      <c r="P65" t="s">
        <v>35</v>
      </c>
      <c r="Q65" t="s">
        <v>545</v>
      </c>
      <c r="R65">
        <v>81.424000000000007</v>
      </c>
      <c r="S65">
        <v>2</v>
      </c>
      <c r="T65">
        <v>0.2</v>
      </c>
      <c r="U65">
        <v>-9.1601999999999997</v>
      </c>
      <c r="V65" t="str">
        <f t="shared" si="0"/>
        <v>Lindsay Shagiari</v>
      </c>
      <c r="W65">
        <f>Table2[Profit]/Table2[Sales]</f>
        <v>-0.11249999999999999</v>
      </c>
    </row>
    <row r="66" spans="1:23" x14ac:dyDescent="0.25">
      <c r="A66">
        <v>65</v>
      </c>
      <c r="B66" t="s">
        <v>548</v>
      </c>
      <c r="C66" s="1">
        <v>42768</v>
      </c>
      <c r="D66" s="1">
        <v>42771</v>
      </c>
      <c r="E66" t="s">
        <v>185</v>
      </c>
      <c r="F66" t="s">
        <v>549</v>
      </c>
      <c r="G66" t="s">
        <v>550</v>
      </c>
      <c r="H66" t="s">
        <v>40</v>
      </c>
      <c r="I66" t="s">
        <v>26</v>
      </c>
      <c r="J66" t="s">
        <v>490</v>
      </c>
      <c r="K66" t="s">
        <v>491</v>
      </c>
      <c r="L66">
        <v>43229</v>
      </c>
      <c r="M66" t="s">
        <v>145</v>
      </c>
      <c r="N66" t="s">
        <v>551</v>
      </c>
      <c r="O66" t="s">
        <v>70</v>
      </c>
      <c r="P66" t="s">
        <v>71</v>
      </c>
      <c r="Q66" t="s">
        <v>552</v>
      </c>
      <c r="R66">
        <v>59.97</v>
      </c>
      <c r="S66">
        <v>5</v>
      </c>
      <c r="T66">
        <v>0.4</v>
      </c>
      <c r="U66">
        <v>-11.994</v>
      </c>
      <c r="V66" t="str">
        <f t="shared" si="0"/>
        <v>Dorothy Wardle</v>
      </c>
      <c r="W66">
        <f>Table2[Profit]/Table2[Sales]</f>
        <v>-0.2</v>
      </c>
    </row>
    <row r="67" spans="1:23" x14ac:dyDescent="0.25">
      <c r="A67">
        <v>66</v>
      </c>
      <c r="B67" t="s">
        <v>557</v>
      </c>
      <c r="C67" s="1">
        <v>42656</v>
      </c>
      <c r="D67" s="1">
        <v>42662</v>
      </c>
      <c r="E67" t="s">
        <v>49</v>
      </c>
      <c r="F67" t="s">
        <v>558</v>
      </c>
      <c r="G67" t="s">
        <v>559</v>
      </c>
      <c r="H67" t="s">
        <v>25</v>
      </c>
      <c r="I67" t="s">
        <v>26</v>
      </c>
      <c r="J67" t="s">
        <v>560</v>
      </c>
      <c r="K67" t="s">
        <v>42</v>
      </c>
      <c r="L67">
        <v>95661</v>
      </c>
      <c r="M67" t="s">
        <v>43</v>
      </c>
      <c r="N67" t="s">
        <v>561</v>
      </c>
      <c r="O67" t="s">
        <v>45</v>
      </c>
      <c r="P67" t="s">
        <v>89</v>
      </c>
      <c r="Q67" t="s">
        <v>562</v>
      </c>
      <c r="R67">
        <v>20.04</v>
      </c>
      <c r="S67">
        <v>3</v>
      </c>
      <c r="T67">
        <v>0</v>
      </c>
      <c r="U67">
        <v>9.6191999999999993</v>
      </c>
      <c r="V67" t="str">
        <f t="shared" ref="V67:V130" si="1">TRIM(G67)</f>
        <v>Lena Creighton</v>
      </c>
      <c r="W67">
        <f>Table2[Profit]/Table2[Sales]</f>
        <v>0.48</v>
      </c>
    </row>
    <row r="68" spans="1:23" x14ac:dyDescent="0.25">
      <c r="A68">
        <v>67</v>
      </c>
      <c r="B68" t="s">
        <v>574</v>
      </c>
      <c r="C68" s="1">
        <v>42618</v>
      </c>
      <c r="D68" s="1">
        <v>42620</v>
      </c>
      <c r="E68" t="s">
        <v>22</v>
      </c>
      <c r="F68" t="s">
        <v>575</v>
      </c>
      <c r="G68" t="s">
        <v>576</v>
      </c>
      <c r="H68" t="s">
        <v>40</v>
      </c>
      <c r="I68" t="s">
        <v>26</v>
      </c>
      <c r="J68" t="s">
        <v>143</v>
      </c>
      <c r="K68" t="s">
        <v>144</v>
      </c>
      <c r="L68">
        <v>19140</v>
      </c>
      <c r="M68" t="s">
        <v>145</v>
      </c>
      <c r="N68" t="s">
        <v>167</v>
      </c>
      <c r="O68" t="s">
        <v>31</v>
      </c>
      <c r="P68" t="s">
        <v>64</v>
      </c>
      <c r="Q68" t="s">
        <v>168</v>
      </c>
      <c r="R68">
        <v>82.8</v>
      </c>
      <c r="S68">
        <v>2</v>
      </c>
      <c r="T68">
        <v>0.2</v>
      </c>
      <c r="U68">
        <v>10.35</v>
      </c>
      <c r="V68" t="str">
        <f t="shared" si="1"/>
        <v>Jonathan Doherty</v>
      </c>
      <c r="W68">
        <f>Table2[Profit]/Table2[Sales]</f>
        <v>0.125</v>
      </c>
    </row>
    <row r="69" spans="1:23" x14ac:dyDescent="0.25">
      <c r="A69">
        <v>68</v>
      </c>
      <c r="B69" t="s">
        <v>577</v>
      </c>
      <c r="C69" s="1">
        <v>42996</v>
      </c>
      <c r="D69" s="1">
        <v>43001</v>
      </c>
      <c r="E69" t="s">
        <v>49</v>
      </c>
      <c r="F69" t="s">
        <v>578</v>
      </c>
      <c r="G69" t="s">
        <v>579</v>
      </c>
      <c r="H69" t="s">
        <v>40</v>
      </c>
      <c r="I69" t="s">
        <v>26</v>
      </c>
      <c r="J69" t="s">
        <v>126</v>
      </c>
      <c r="K69" t="s">
        <v>42</v>
      </c>
      <c r="L69">
        <v>94122</v>
      </c>
      <c r="M69" t="s">
        <v>43</v>
      </c>
      <c r="N69" t="s">
        <v>580</v>
      </c>
      <c r="O69" t="s">
        <v>45</v>
      </c>
      <c r="P69" t="s">
        <v>67</v>
      </c>
      <c r="Q69" t="s">
        <v>581</v>
      </c>
      <c r="R69">
        <v>8.82</v>
      </c>
      <c r="S69">
        <v>3</v>
      </c>
      <c r="T69">
        <v>0</v>
      </c>
      <c r="U69">
        <v>2.3814000000000002</v>
      </c>
      <c r="V69" t="str">
        <f t="shared" si="1"/>
        <v>Sally Hughsby</v>
      </c>
      <c r="W69">
        <f>Table2[Profit]/Table2[Sales]</f>
        <v>0.27</v>
      </c>
    </row>
    <row r="70" spans="1:23" x14ac:dyDescent="0.25">
      <c r="A70">
        <v>69</v>
      </c>
      <c r="B70" t="s">
        <v>586</v>
      </c>
      <c r="C70" s="1">
        <v>43091</v>
      </c>
      <c r="D70" s="1">
        <v>43096</v>
      </c>
      <c r="E70" t="s">
        <v>49</v>
      </c>
      <c r="F70" t="s">
        <v>587</v>
      </c>
      <c r="G70" t="s">
        <v>588</v>
      </c>
      <c r="H70" t="s">
        <v>25</v>
      </c>
      <c r="I70" t="s">
        <v>26</v>
      </c>
      <c r="J70" t="s">
        <v>589</v>
      </c>
      <c r="K70" t="s">
        <v>590</v>
      </c>
      <c r="L70">
        <v>64055</v>
      </c>
      <c r="M70" t="s">
        <v>104</v>
      </c>
      <c r="N70" t="s">
        <v>591</v>
      </c>
      <c r="O70" t="s">
        <v>45</v>
      </c>
      <c r="P70" t="s">
        <v>77</v>
      </c>
      <c r="Q70" t="s">
        <v>592</v>
      </c>
      <c r="R70">
        <v>839.43</v>
      </c>
      <c r="S70">
        <v>3</v>
      </c>
      <c r="T70">
        <v>0</v>
      </c>
      <c r="U70">
        <v>218.2518</v>
      </c>
      <c r="V70" t="str">
        <f t="shared" si="1"/>
        <v>Sandra Glassco</v>
      </c>
      <c r="W70">
        <f>Table2[Profit]/Table2[Sales]</f>
        <v>0.26</v>
      </c>
    </row>
    <row r="71" spans="1:23" x14ac:dyDescent="0.25">
      <c r="A71">
        <v>70</v>
      </c>
      <c r="B71" t="s">
        <v>593</v>
      </c>
      <c r="C71" s="1">
        <v>42254</v>
      </c>
      <c r="D71" s="1">
        <v>42259</v>
      </c>
      <c r="E71" t="s">
        <v>49</v>
      </c>
      <c r="F71" t="s">
        <v>594</v>
      </c>
      <c r="G71" t="s">
        <v>595</v>
      </c>
      <c r="H71" t="s">
        <v>25</v>
      </c>
      <c r="I71" t="s">
        <v>26</v>
      </c>
      <c r="J71" t="s">
        <v>596</v>
      </c>
      <c r="K71" t="s">
        <v>42</v>
      </c>
      <c r="L71">
        <v>91104</v>
      </c>
      <c r="M71" t="s">
        <v>43</v>
      </c>
      <c r="N71" t="s">
        <v>372</v>
      </c>
      <c r="O71" t="s">
        <v>45</v>
      </c>
      <c r="P71" t="s">
        <v>58</v>
      </c>
      <c r="Q71" t="s">
        <v>373</v>
      </c>
      <c r="R71">
        <v>671.93</v>
      </c>
      <c r="S71">
        <v>7</v>
      </c>
      <c r="T71">
        <v>0</v>
      </c>
      <c r="U71">
        <v>20.157900000000001</v>
      </c>
      <c r="V71" t="str">
        <f t="shared" si="1"/>
        <v>Helen Andreada</v>
      </c>
      <c r="W71">
        <f>Table2[Profit]/Table2[Sales]</f>
        <v>3.0000000000000006E-2</v>
      </c>
    </row>
    <row r="72" spans="1:23" x14ac:dyDescent="0.25">
      <c r="A72">
        <v>71</v>
      </c>
      <c r="B72" t="s">
        <v>597</v>
      </c>
      <c r="C72" s="1">
        <v>41934</v>
      </c>
      <c r="D72" s="1">
        <v>41940</v>
      </c>
      <c r="E72" t="s">
        <v>49</v>
      </c>
      <c r="F72" t="s">
        <v>598</v>
      </c>
      <c r="G72" t="s">
        <v>599</v>
      </c>
      <c r="H72" t="s">
        <v>101</v>
      </c>
      <c r="I72" t="s">
        <v>26</v>
      </c>
      <c r="J72" t="s">
        <v>600</v>
      </c>
      <c r="K72" t="s">
        <v>491</v>
      </c>
      <c r="L72">
        <v>43055</v>
      </c>
      <c r="M72" t="s">
        <v>145</v>
      </c>
      <c r="N72" t="s">
        <v>601</v>
      </c>
      <c r="O72" t="s">
        <v>31</v>
      </c>
      <c r="P72" t="s">
        <v>64</v>
      </c>
      <c r="Q72" t="s">
        <v>602</v>
      </c>
      <c r="R72">
        <v>93.888000000000005</v>
      </c>
      <c r="S72">
        <v>4</v>
      </c>
      <c r="T72">
        <v>0.2</v>
      </c>
      <c r="U72">
        <v>12.909599999999999</v>
      </c>
      <c r="V72" t="str">
        <f t="shared" si="1"/>
        <v>Maureen Gastineau</v>
      </c>
      <c r="W72">
        <f>Table2[Profit]/Table2[Sales]</f>
        <v>0.13749999999999998</v>
      </c>
    </row>
    <row r="73" spans="1:23" x14ac:dyDescent="0.25">
      <c r="A73">
        <v>72</v>
      </c>
      <c r="B73" t="s">
        <v>603</v>
      </c>
      <c r="C73" s="1">
        <v>42709</v>
      </c>
      <c r="D73" s="1">
        <v>42713</v>
      </c>
      <c r="E73" t="s">
        <v>49</v>
      </c>
      <c r="F73" t="s">
        <v>604</v>
      </c>
      <c r="G73" t="s">
        <v>605</v>
      </c>
      <c r="H73" t="s">
        <v>40</v>
      </c>
      <c r="I73" t="s">
        <v>26</v>
      </c>
      <c r="J73" t="s">
        <v>606</v>
      </c>
      <c r="K73" t="s">
        <v>113</v>
      </c>
      <c r="L73">
        <v>53132</v>
      </c>
      <c r="M73" t="s">
        <v>104</v>
      </c>
      <c r="N73" t="s">
        <v>607</v>
      </c>
      <c r="O73" t="s">
        <v>70</v>
      </c>
      <c r="P73" t="s">
        <v>71</v>
      </c>
      <c r="Q73" t="s">
        <v>608</v>
      </c>
      <c r="R73">
        <v>384.45</v>
      </c>
      <c r="S73">
        <v>11</v>
      </c>
      <c r="T73">
        <v>0</v>
      </c>
      <c r="U73">
        <v>103.8015</v>
      </c>
      <c r="V73" t="str">
        <f t="shared" si="1"/>
        <v>Justin Ellison</v>
      </c>
      <c r="W73">
        <f>Table2[Profit]/Table2[Sales]</f>
        <v>0.27</v>
      </c>
    </row>
    <row r="74" spans="1:23" x14ac:dyDescent="0.25">
      <c r="A74">
        <v>73</v>
      </c>
      <c r="B74" t="s">
        <v>613</v>
      </c>
      <c r="C74" s="1">
        <v>42442</v>
      </c>
      <c r="D74" s="1">
        <v>42445</v>
      </c>
      <c r="E74" t="s">
        <v>185</v>
      </c>
      <c r="F74" t="s">
        <v>614</v>
      </c>
      <c r="G74" t="s">
        <v>615</v>
      </c>
      <c r="H74" t="s">
        <v>101</v>
      </c>
      <c r="I74" t="s">
        <v>26</v>
      </c>
      <c r="J74" t="s">
        <v>616</v>
      </c>
      <c r="K74" t="s">
        <v>303</v>
      </c>
      <c r="L74">
        <v>85254</v>
      </c>
      <c r="M74" t="s">
        <v>43</v>
      </c>
      <c r="N74" t="s">
        <v>617</v>
      </c>
      <c r="O74" t="s">
        <v>45</v>
      </c>
      <c r="P74" t="s">
        <v>77</v>
      </c>
      <c r="Q74" t="s">
        <v>618</v>
      </c>
      <c r="R74">
        <v>157.91999999999999</v>
      </c>
      <c r="S74">
        <v>5</v>
      </c>
      <c r="T74">
        <v>0.2</v>
      </c>
      <c r="U74">
        <v>17.765999999999998</v>
      </c>
      <c r="V74" t="str">
        <f t="shared" si="1"/>
        <v>Tamara Willingham</v>
      </c>
      <c r="W74">
        <f>Table2[Profit]/Table2[Sales]</f>
        <v>0.1125</v>
      </c>
    </row>
    <row r="75" spans="1:23" x14ac:dyDescent="0.25">
      <c r="A75">
        <v>74</v>
      </c>
      <c r="B75" t="s">
        <v>619</v>
      </c>
      <c r="C75" s="1">
        <v>42155</v>
      </c>
      <c r="D75" s="1">
        <v>42157</v>
      </c>
      <c r="E75" t="s">
        <v>185</v>
      </c>
      <c r="F75" t="s">
        <v>620</v>
      </c>
      <c r="G75" t="s">
        <v>621</v>
      </c>
      <c r="H75" t="s">
        <v>40</v>
      </c>
      <c r="I75" t="s">
        <v>26</v>
      </c>
      <c r="J75" t="s">
        <v>622</v>
      </c>
      <c r="K75" t="s">
        <v>42</v>
      </c>
      <c r="L75">
        <v>95123</v>
      </c>
      <c r="M75" t="s">
        <v>43</v>
      </c>
      <c r="N75" t="s">
        <v>623</v>
      </c>
      <c r="O75" t="s">
        <v>45</v>
      </c>
      <c r="P75" t="s">
        <v>89</v>
      </c>
      <c r="Q75" t="s">
        <v>624</v>
      </c>
      <c r="R75">
        <v>58.38</v>
      </c>
      <c r="S75">
        <v>7</v>
      </c>
      <c r="T75">
        <v>0</v>
      </c>
      <c r="U75">
        <v>26.271000000000001</v>
      </c>
      <c r="V75" t="str">
        <f t="shared" si="1"/>
        <v>Stephanie Phelps</v>
      </c>
      <c r="W75">
        <f>Table2[Profit]/Table2[Sales]</f>
        <v>0.45</v>
      </c>
    </row>
    <row r="76" spans="1:23" x14ac:dyDescent="0.25">
      <c r="A76">
        <v>75</v>
      </c>
      <c r="B76" t="s">
        <v>629</v>
      </c>
      <c r="C76" s="1">
        <v>42152</v>
      </c>
      <c r="D76" s="1">
        <v>42158</v>
      </c>
      <c r="E76" t="s">
        <v>49</v>
      </c>
      <c r="F76" t="s">
        <v>630</v>
      </c>
      <c r="G76" t="s">
        <v>631</v>
      </c>
      <c r="H76" t="s">
        <v>101</v>
      </c>
      <c r="I76" t="s">
        <v>26</v>
      </c>
      <c r="J76" t="s">
        <v>94</v>
      </c>
      <c r="K76" t="s">
        <v>95</v>
      </c>
      <c r="L76">
        <v>98105</v>
      </c>
      <c r="M76" t="s">
        <v>43</v>
      </c>
      <c r="N76" t="s">
        <v>632</v>
      </c>
      <c r="O76" t="s">
        <v>45</v>
      </c>
      <c r="P76" t="s">
        <v>67</v>
      </c>
      <c r="Q76" t="s">
        <v>633</v>
      </c>
      <c r="R76">
        <v>6.63</v>
      </c>
      <c r="S76">
        <v>3</v>
      </c>
      <c r="T76">
        <v>0</v>
      </c>
      <c r="U76">
        <v>1.7901</v>
      </c>
      <c r="V76" t="str">
        <f t="shared" si="1"/>
        <v>Neil Knudson</v>
      </c>
      <c r="W76">
        <f>Table2[Profit]/Table2[Sales]</f>
        <v>0.27</v>
      </c>
    </row>
    <row r="77" spans="1:23" x14ac:dyDescent="0.25">
      <c r="A77">
        <v>76</v>
      </c>
      <c r="B77" t="s">
        <v>634</v>
      </c>
      <c r="C77" s="1">
        <v>41699</v>
      </c>
      <c r="D77" s="1">
        <v>41704</v>
      </c>
      <c r="E77" t="s">
        <v>22</v>
      </c>
      <c r="F77" t="s">
        <v>635</v>
      </c>
      <c r="G77" t="s">
        <v>636</v>
      </c>
      <c r="H77" t="s">
        <v>25</v>
      </c>
      <c r="I77" t="s">
        <v>26</v>
      </c>
      <c r="J77" t="s">
        <v>94</v>
      </c>
      <c r="K77" t="s">
        <v>95</v>
      </c>
      <c r="L77">
        <v>98115</v>
      </c>
      <c r="M77" t="s">
        <v>43</v>
      </c>
      <c r="N77" t="s">
        <v>526</v>
      </c>
      <c r="O77" t="s">
        <v>31</v>
      </c>
      <c r="P77" t="s">
        <v>35</v>
      </c>
      <c r="Q77" t="s">
        <v>527</v>
      </c>
      <c r="R77">
        <v>457.56799999999998</v>
      </c>
      <c r="S77">
        <v>2</v>
      </c>
      <c r="T77">
        <v>0.2</v>
      </c>
      <c r="U77">
        <v>51.476399999999998</v>
      </c>
      <c r="V77" t="str">
        <f t="shared" si="1"/>
        <v>Dave Brooks</v>
      </c>
      <c r="W77">
        <f>Table2[Profit]/Table2[Sales]</f>
        <v>0.1125</v>
      </c>
    </row>
    <row r="78" spans="1:23" x14ac:dyDescent="0.25">
      <c r="A78">
        <v>77</v>
      </c>
      <c r="B78" t="s">
        <v>637</v>
      </c>
      <c r="C78" s="1">
        <v>42694</v>
      </c>
      <c r="D78" s="1">
        <v>42698</v>
      </c>
      <c r="E78" t="s">
        <v>49</v>
      </c>
      <c r="F78" t="s">
        <v>638</v>
      </c>
      <c r="G78" t="s">
        <v>639</v>
      </c>
      <c r="H78" t="s">
        <v>25</v>
      </c>
      <c r="I78" t="s">
        <v>26</v>
      </c>
      <c r="J78" t="s">
        <v>640</v>
      </c>
      <c r="K78" t="s">
        <v>641</v>
      </c>
      <c r="L78">
        <v>73034</v>
      </c>
      <c r="M78" t="s">
        <v>104</v>
      </c>
      <c r="N78" t="s">
        <v>642</v>
      </c>
      <c r="O78" t="s">
        <v>45</v>
      </c>
      <c r="P78" t="s">
        <v>46</v>
      </c>
      <c r="Q78" t="s">
        <v>643</v>
      </c>
      <c r="R78">
        <v>14.62</v>
      </c>
      <c r="S78">
        <v>2</v>
      </c>
      <c r="T78">
        <v>0</v>
      </c>
      <c r="U78">
        <v>6.8714000000000004</v>
      </c>
      <c r="V78" t="str">
        <f t="shared" si="1"/>
        <v>Nora Paige</v>
      </c>
      <c r="W78">
        <f>Table2[Profit]/Table2[Sales]</f>
        <v>0.47000000000000003</v>
      </c>
    </row>
    <row r="79" spans="1:23" x14ac:dyDescent="0.25">
      <c r="A79">
        <v>78</v>
      </c>
      <c r="B79" t="s">
        <v>646</v>
      </c>
      <c r="C79" s="1">
        <v>42501</v>
      </c>
      <c r="D79" s="1">
        <v>42502</v>
      </c>
      <c r="E79" t="s">
        <v>185</v>
      </c>
      <c r="F79" t="s">
        <v>647</v>
      </c>
      <c r="G79" t="s">
        <v>648</v>
      </c>
      <c r="H79" t="s">
        <v>25</v>
      </c>
      <c r="I79" t="s">
        <v>26</v>
      </c>
      <c r="J79" t="s">
        <v>41</v>
      </c>
      <c r="K79" t="s">
        <v>42</v>
      </c>
      <c r="L79">
        <v>90045</v>
      </c>
      <c r="M79" t="s">
        <v>43</v>
      </c>
      <c r="N79" t="s">
        <v>649</v>
      </c>
      <c r="O79" t="s">
        <v>45</v>
      </c>
      <c r="P79" t="s">
        <v>89</v>
      </c>
      <c r="Q79" t="s">
        <v>650</v>
      </c>
      <c r="R79">
        <v>5.98</v>
      </c>
      <c r="S79">
        <v>1</v>
      </c>
      <c r="T79">
        <v>0</v>
      </c>
      <c r="U79">
        <v>2.6909999999999998</v>
      </c>
      <c r="V79" t="str">
        <f t="shared" si="1"/>
        <v>Ted Trevino</v>
      </c>
      <c r="W79">
        <f>Table2[Profit]/Table2[Sales]</f>
        <v>0.44999999999999996</v>
      </c>
    </row>
    <row r="80" spans="1:23" x14ac:dyDescent="0.25">
      <c r="A80">
        <v>79</v>
      </c>
      <c r="B80" t="s">
        <v>651</v>
      </c>
      <c r="C80" s="1">
        <v>42366</v>
      </c>
      <c r="D80" s="1">
        <v>42369</v>
      </c>
      <c r="E80" t="s">
        <v>22</v>
      </c>
      <c r="F80" t="s">
        <v>652</v>
      </c>
      <c r="G80" t="s">
        <v>653</v>
      </c>
      <c r="H80" t="s">
        <v>25</v>
      </c>
      <c r="I80" t="s">
        <v>26</v>
      </c>
      <c r="J80" t="s">
        <v>143</v>
      </c>
      <c r="K80" t="s">
        <v>144</v>
      </c>
      <c r="L80">
        <v>19134</v>
      </c>
      <c r="M80" t="s">
        <v>145</v>
      </c>
      <c r="N80" t="s">
        <v>654</v>
      </c>
      <c r="O80" t="s">
        <v>70</v>
      </c>
      <c r="P80" t="s">
        <v>158</v>
      </c>
      <c r="Q80" t="s">
        <v>655</v>
      </c>
      <c r="R80">
        <v>54.384</v>
      </c>
      <c r="S80">
        <v>2</v>
      </c>
      <c r="T80">
        <v>0.2</v>
      </c>
      <c r="U80">
        <v>1.3595999999999999</v>
      </c>
      <c r="V80" t="str">
        <f t="shared" si="1"/>
        <v>Eric Murdock</v>
      </c>
      <c r="W80">
        <f>Table2[Profit]/Table2[Sales]</f>
        <v>2.4999999999999998E-2</v>
      </c>
    </row>
    <row r="81" spans="1:23" x14ac:dyDescent="0.25">
      <c r="A81">
        <v>80</v>
      </c>
      <c r="B81" t="s">
        <v>656</v>
      </c>
      <c r="C81" s="1">
        <v>42690</v>
      </c>
      <c r="D81" s="1">
        <v>42694</v>
      </c>
      <c r="E81" t="s">
        <v>49</v>
      </c>
      <c r="F81" t="s">
        <v>657</v>
      </c>
      <c r="G81" t="s">
        <v>658</v>
      </c>
      <c r="H81" t="s">
        <v>25</v>
      </c>
      <c r="I81" t="s">
        <v>26</v>
      </c>
      <c r="J81" t="s">
        <v>659</v>
      </c>
      <c r="K81" t="s">
        <v>660</v>
      </c>
      <c r="L81">
        <v>88220</v>
      </c>
      <c r="M81" t="s">
        <v>43</v>
      </c>
      <c r="N81" t="s">
        <v>661</v>
      </c>
      <c r="O81" t="s">
        <v>45</v>
      </c>
      <c r="P81" t="s">
        <v>170</v>
      </c>
      <c r="Q81" t="s">
        <v>662</v>
      </c>
      <c r="R81">
        <v>28.4</v>
      </c>
      <c r="S81">
        <v>5</v>
      </c>
      <c r="T81">
        <v>0</v>
      </c>
      <c r="U81">
        <v>13.348000000000001</v>
      </c>
      <c r="V81" t="str">
        <f t="shared" si="1"/>
        <v>Ruben Dartt</v>
      </c>
      <c r="W81">
        <f>Table2[Profit]/Table2[Sales]</f>
        <v>0.47000000000000003</v>
      </c>
    </row>
    <row r="82" spans="1:23" x14ac:dyDescent="0.25">
      <c r="A82">
        <v>81</v>
      </c>
      <c r="B82" t="s">
        <v>663</v>
      </c>
      <c r="C82" s="1">
        <v>42681</v>
      </c>
      <c r="D82" s="1">
        <v>42685</v>
      </c>
      <c r="E82" t="s">
        <v>49</v>
      </c>
      <c r="F82" t="s">
        <v>664</v>
      </c>
      <c r="G82" t="s">
        <v>665</v>
      </c>
      <c r="H82" t="s">
        <v>25</v>
      </c>
      <c r="I82" t="s">
        <v>26</v>
      </c>
      <c r="J82" t="s">
        <v>94</v>
      </c>
      <c r="K82" t="s">
        <v>95</v>
      </c>
      <c r="L82">
        <v>98115</v>
      </c>
      <c r="M82" t="s">
        <v>43</v>
      </c>
      <c r="N82" t="s">
        <v>666</v>
      </c>
      <c r="O82" t="s">
        <v>45</v>
      </c>
      <c r="P82" t="s">
        <v>74</v>
      </c>
      <c r="Q82" t="s">
        <v>667</v>
      </c>
      <c r="R82">
        <v>27.68</v>
      </c>
      <c r="S82">
        <v>2</v>
      </c>
      <c r="T82">
        <v>0.2</v>
      </c>
      <c r="U82">
        <v>9.6880000000000006</v>
      </c>
      <c r="V82" t="str">
        <f t="shared" si="1"/>
        <v>Max Jones</v>
      </c>
      <c r="W82">
        <f>Table2[Profit]/Table2[Sales]</f>
        <v>0.35000000000000003</v>
      </c>
    </row>
    <row r="83" spans="1:23" x14ac:dyDescent="0.25">
      <c r="A83">
        <v>82</v>
      </c>
      <c r="B83" t="s">
        <v>668</v>
      </c>
      <c r="C83" s="1">
        <v>41890</v>
      </c>
      <c r="D83" s="1">
        <v>41894</v>
      </c>
      <c r="E83" t="s">
        <v>49</v>
      </c>
      <c r="F83" t="s">
        <v>669</v>
      </c>
      <c r="G83" t="s">
        <v>670</v>
      </c>
      <c r="H83" t="s">
        <v>25</v>
      </c>
      <c r="I83" t="s">
        <v>26</v>
      </c>
      <c r="J83" t="s">
        <v>671</v>
      </c>
      <c r="K83" t="s">
        <v>103</v>
      </c>
      <c r="L83">
        <v>78207</v>
      </c>
      <c r="M83" t="s">
        <v>104</v>
      </c>
      <c r="N83" t="s">
        <v>672</v>
      </c>
      <c r="O83" t="s">
        <v>45</v>
      </c>
      <c r="P83" t="s">
        <v>67</v>
      </c>
      <c r="Q83" t="s">
        <v>673</v>
      </c>
      <c r="R83">
        <v>9.9359999999999999</v>
      </c>
      <c r="S83">
        <v>3</v>
      </c>
      <c r="T83">
        <v>0.2</v>
      </c>
      <c r="U83">
        <v>2.7324000000000002</v>
      </c>
      <c r="V83" t="str">
        <f t="shared" si="1"/>
        <v>Becky Martin</v>
      </c>
      <c r="W83">
        <f>Table2[Profit]/Table2[Sales]</f>
        <v>0.27500000000000002</v>
      </c>
    </row>
    <row r="84" spans="1:23" x14ac:dyDescent="0.25">
      <c r="A84">
        <v>83</v>
      </c>
      <c r="B84" t="s">
        <v>687</v>
      </c>
      <c r="C84" s="1">
        <v>41856</v>
      </c>
      <c r="D84" s="1">
        <v>41860</v>
      </c>
      <c r="E84" t="s">
        <v>49</v>
      </c>
      <c r="F84" t="s">
        <v>688</v>
      </c>
      <c r="G84" t="s">
        <v>689</v>
      </c>
      <c r="H84" t="s">
        <v>25</v>
      </c>
      <c r="I84" t="s">
        <v>26</v>
      </c>
      <c r="J84" t="s">
        <v>41</v>
      </c>
      <c r="K84" t="s">
        <v>42</v>
      </c>
      <c r="L84">
        <v>90004</v>
      </c>
      <c r="M84" t="s">
        <v>43</v>
      </c>
      <c r="N84" t="s">
        <v>690</v>
      </c>
      <c r="O84" t="s">
        <v>45</v>
      </c>
      <c r="P84" t="s">
        <v>89</v>
      </c>
      <c r="Q84" t="s">
        <v>691</v>
      </c>
      <c r="R84">
        <v>20.94</v>
      </c>
      <c r="S84">
        <v>3</v>
      </c>
      <c r="T84">
        <v>0</v>
      </c>
      <c r="U84">
        <v>9.8417999999999992</v>
      </c>
      <c r="V84" t="str">
        <f t="shared" si="1"/>
        <v>Chad Sievert</v>
      </c>
      <c r="W84">
        <f>Table2[Profit]/Table2[Sales]</f>
        <v>0.46999999999999992</v>
      </c>
    </row>
    <row r="85" spans="1:23" x14ac:dyDescent="0.25">
      <c r="A85">
        <v>84</v>
      </c>
      <c r="B85" t="s">
        <v>696</v>
      </c>
      <c r="C85" s="1">
        <v>41896</v>
      </c>
      <c r="D85" s="1">
        <v>41901</v>
      </c>
      <c r="E85" t="s">
        <v>49</v>
      </c>
      <c r="F85" t="s">
        <v>697</v>
      </c>
      <c r="G85" t="s">
        <v>698</v>
      </c>
      <c r="H85" t="s">
        <v>40</v>
      </c>
      <c r="I85" t="s">
        <v>26</v>
      </c>
      <c r="J85" t="s">
        <v>296</v>
      </c>
      <c r="K85" t="s">
        <v>208</v>
      </c>
      <c r="L85">
        <v>60623</v>
      </c>
      <c r="M85" t="s">
        <v>104</v>
      </c>
      <c r="N85" t="s">
        <v>699</v>
      </c>
      <c r="O85" t="s">
        <v>45</v>
      </c>
      <c r="P85" t="s">
        <v>77</v>
      </c>
      <c r="Q85" t="s">
        <v>700</v>
      </c>
      <c r="R85">
        <v>52.448</v>
      </c>
      <c r="S85">
        <v>2</v>
      </c>
      <c r="T85">
        <v>0.8</v>
      </c>
      <c r="U85">
        <v>-131.12</v>
      </c>
      <c r="V85" t="str">
        <f t="shared" si="1"/>
        <v>Jennifer Braxton</v>
      </c>
      <c r="W85">
        <f>Table2[Profit]/Table2[Sales]</f>
        <v>-2.5</v>
      </c>
    </row>
    <row r="86" spans="1:23" x14ac:dyDescent="0.25">
      <c r="A86">
        <v>85</v>
      </c>
      <c r="B86" t="s">
        <v>703</v>
      </c>
      <c r="C86" s="1">
        <v>42846</v>
      </c>
      <c r="D86" s="1">
        <v>42850</v>
      </c>
      <c r="E86" t="s">
        <v>22</v>
      </c>
      <c r="F86" t="s">
        <v>704</v>
      </c>
      <c r="G86" t="s">
        <v>705</v>
      </c>
      <c r="H86" t="s">
        <v>25</v>
      </c>
      <c r="I86" t="s">
        <v>26</v>
      </c>
      <c r="J86" t="s">
        <v>181</v>
      </c>
      <c r="K86" t="s">
        <v>103</v>
      </c>
      <c r="L86">
        <v>77036</v>
      </c>
      <c r="M86" t="s">
        <v>104</v>
      </c>
      <c r="N86" t="s">
        <v>706</v>
      </c>
      <c r="O86" t="s">
        <v>45</v>
      </c>
      <c r="P86" t="s">
        <v>77</v>
      </c>
      <c r="Q86" t="s">
        <v>707</v>
      </c>
      <c r="R86">
        <v>97.263999999999996</v>
      </c>
      <c r="S86">
        <v>4</v>
      </c>
      <c r="T86">
        <v>0.8</v>
      </c>
      <c r="U86">
        <v>-243.16</v>
      </c>
      <c r="V86" t="str">
        <f t="shared" si="1"/>
        <v>Shirley Jackson</v>
      </c>
      <c r="W86">
        <f>Table2[Profit]/Table2[Sales]</f>
        <v>-2.5</v>
      </c>
    </row>
    <row r="87" spans="1:23" x14ac:dyDescent="0.25">
      <c r="A87">
        <v>86</v>
      </c>
      <c r="B87" t="s">
        <v>708</v>
      </c>
      <c r="C87" s="1">
        <v>42329</v>
      </c>
      <c r="D87" s="1">
        <v>42331</v>
      </c>
      <c r="E87" t="s">
        <v>22</v>
      </c>
      <c r="F87" t="s">
        <v>325</v>
      </c>
      <c r="G87" t="s">
        <v>326</v>
      </c>
      <c r="H87" t="s">
        <v>25</v>
      </c>
      <c r="I87" t="s">
        <v>26</v>
      </c>
      <c r="J87" t="s">
        <v>600</v>
      </c>
      <c r="K87" t="s">
        <v>491</v>
      </c>
      <c r="L87">
        <v>43055</v>
      </c>
      <c r="M87" t="s">
        <v>145</v>
      </c>
      <c r="N87" t="s">
        <v>709</v>
      </c>
      <c r="O87" t="s">
        <v>31</v>
      </c>
      <c r="P87" t="s">
        <v>35</v>
      </c>
      <c r="Q87" t="s">
        <v>710</v>
      </c>
      <c r="R87">
        <v>396.80200000000002</v>
      </c>
      <c r="S87">
        <v>7</v>
      </c>
      <c r="T87">
        <v>0.3</v>
      </c>
      <c r="U87">
        <v>-11.337199999999999</v>
      </c>
      <c r="V87" t="str">
        <f t="shared" si="1"/>
        <v>Joel Eaton</v>
      </c>
      <c r="W87">
        <f>Table2[Profit]/Table2[Sales]</f>
        <v>-2.8571428571428567E-2</v>
      </c>
    </row>
    <row r="88" spans="1:23" x14ac:dyDescent="0.25">
      <c r="A88">
        <v>87</v>
      </c>
      <c r="B88" t="s">
        <v>713</v>
      </c>
      <c r="C88" s="1">
        <v>42353</v>
      </c>
      <c r="D88" s="1">
        <v>42357</v>
      </c>
      <c r="E88" t="s">
        <v>49</v>
      </c>
      <c r="F88" t="s">
        <v>714</v>
      </c>
      <c r="G88" t="s">
        <v>715</v>
      </c>
      <c r="H88" t="s">
        <v>101</v>
      </c>
      <c r="I88" t="s">
        <v>26</v>
      </c>
      <c r="J88" t="s">
        <v>263</v>
      </c>
      <c r="K88" t="s">
        <v>264</v>
      </c>
      <c r="L88">
        <v>10009</v>
      </c>
      <c r="M88" t="s">
        <v>145</v>
      </c>
      <c r="N88" t="s">
        <v>716</v>
      </c>
      <c r="O88" t="s">
        <v>45</v>
      </c>
      <c r="P88" t="s">
        <v>67</v>
      </c>
      <c r="Q88" t="s">
        <v>717</v>
      </c>
      <c r="R88">
        <v>3.28</v>
      </c>
      <c r="S88">
        <v>1</v>
      </c>
      <c r="T88">
        <v>0</v>
      </c>
      <c r="U88">
        <v>1.4104000000000001</v>
      </c>
      <c r="V88" t="str">
        <f t="shared" si="1"/>
        <v>Jim Kriz</v>
      </c>
      <c r="W88">
        <f>Table2[Profit]/Table2[Sales]</f>
        <v>0.43000000000000005</v>
      </c>
    </row>
    <row r="89" spans="1:23" x14ac:dyDescent="0.25">
      <c r="A89">
        <v>88</v>
      </c>
      <c r="B89" t="s">
        <v>718</v>
      </c>
      <c r="C89" s="1">
        <v>41978</v>
      </c>
      <c r="D89" s="1">
        <v>41982</v>
      </c>
      <c r="E89" t="s">
        <v>22</v>
      </c>
      <c r="F89" t="s">
        <v>719</v>
      </c>
      <c r="G89" t="s">
        <v>720</v>
      </c>
      <c r="H89" t="s">
        <v>40</v>
      </c>
      <c r="I89" t="s">
        <v>26</v>
      </c>
      <c r="J89" t="s">
        <v>350</v>
      </c>
      <c r="K89" t="s">
        <v>208</v>
      </c>
      <c r="L89">
        <v>62521</v>
      </c>
      <c r="M89" t="s">
        <v>104</v>
      </c>
      <c r="N89" t="s">
        <v>721</v>
      </c>
      <c r="O89" t="s">
        <v>45</v>
      </c>
      <c r="P89" t="s">
        <v>58</v>
      </c>
      <c r="Q89" t="s">
        <v>722</v>
      </c>
      <c r="R89">
        <v>24.815999999999999</v>
      </c>
      <c r="S89">
        <v>2</v>
      </c>
      <c r="T89">
        <v>0.2</v>
      </c>
      <c r="U89">
        <v>1.8612</v>
      </c>
      <c r="V89" t="str">
        <f t="shared" si="1"/>
        <v>David Kendrick</v>
      </c>
      <c r="W89">
        <f>Table2[Profit]/Table2[Sales]</f>
        <v>7.4999999999999997E-2</v>
      </c>
    </row>
    <row r="90" spans="1:23" x14ac:dyDescent="0.25">
      <c r="A90">
        <v>89</v>
      </c>
      <c r="B90" t="s">
        <v>725</v>
      </c>
      <c r="C90" s="1">
        <v>41962</v>
      </c>
      <c r="D90" s="1">
        <v>41967</v>
      </c>
      <c r="E90" t="s">
        <v>22</v>
      </c>
      <c r="F90" t="s">
        <v>726</v>
      </c>
      <c r="G90" t="s">
        <v>727</v>
      </c>
      <c r="H90" t="s">
        <v>101</v>
      </c>
      <c r="I90" t="s">
        <v>26</v>
      </c>
      <c r="J90" t="s">
        <v>728</v>
      </c>
      <c r="K90" t="s">
        <v>729</v>
      </c>
      <c r="L90">
        <v>71203</v>
      </c>
      <c r="M90" t="s">
        <v>29</v>
      </c>
      <c r="N90" t="s">
        <v>730</v>
      </c>
      <c r="O90" t="s">
        <v>70</v>
      </c>
      <c r="P90" t="s">
        <v>71</v>
      </c>
      <c r="Q90" t="s">
        <v>731</v>
      </c>
      <c r="R90">
        <v>503.96</v>
      </c>
      <c r="S90">
        <v>4</v>
      </c>
      <c r="T90">
        <v>0</v>
      </c>
      <c r="U90">
        <v>131.02959999999999</v>
      </c>
      <c r="V90" t="str">
        <f t="shared" si="1"/>
        <v>Robert Marley</v>
      </c>
      <c r="W90">
        <f>Table2[Profit]/Table2[Sales]</f>
        <v>0.26</v>
      </c>
    </row>
    <row r="91" spans="1:23" x14ac:dyDescent="0.25">
      <c r="A91">
        <v>90</v>
      </c>
      <c r="B91" t="s">
        <v>736</v>
      </c>
      <c r="C91" s="1">
        <v>42702</v>
      </c>
      <c r="D91" s="1">
        <v>42706</v>
      </c>
      <c r="E91" t="s">
        <v>49</v>
      </c>
      <c r="F91" t="s">
        <v>737</v>
      </c>
      <c r="G91" t="s">
        <v>738</v>
      </c>
      <c r="H91" t="s">
        <v>25</v>
      </c>
      <c r="I91" t="s">
        <v>26</v>
      </c>
      <c r="J91" t="s">
        <v>739</v>
      </c>
      <c r="K91" t="s">
        <v>740</v>
      </c>
      <c r="L91">
        <v>6824</v>
      </c>
      <c r="M91" t="s">
        <v>145</v>
      </c>
      <c r="N91" t="s">
        <v>741</v>
      </c>
      <c r="O91" t="s">
        <v>45</v>
      </c>
      <c r="P91" t="s">
        <v>74</v>
      </c>
      <c r="Q91" t="s">
        <v>742</v>
      </c>
      <c r="R91">
        <v>7.16</v>
      </c>
      <c r="S91">
        <v>2</v>
      </c>
      <c r="T91">
        <v>0</v>
      </c>
      <c r="U91">
        <v>3.4367999999999999</v>
      </c>
      <c r="V91" t="str">
        <f t="shared" si="1"/>
        <v>Sally Knutson</v>
      </c>
      <c r="W91">
        <f>Table2[Profit]/Table2[Sales]</f>
        <v>0.48</v>
      </c>
    </row>
    <row r="92" spans="1:23" x14ac:dyDescent="0.25">
      <c r="A92">
        <v>91</v>
      </c>
      <c r="B92" t="s">
        <v>743</v>
      </c>
      <c r="C92" s="1">
        <v>41877</v>
      </c>
      <c r="D92" s="1">
        <v>41881</v>
      </c>
      <c r="E92" t="s">
        <v>49</v>
      </c>
      <c r="F92" t="s">
        <v>744</v>
      </c>
      <c r="G92" t="s">
        <v>745</v>
      </c>
      <c r="H92" t="s">
        <v>101</v>
      </c>
      <c r="I92" t="s">
        <v>26</v>
      </c>
      <c r="J92" t="s">
        <v>41</v>
      </c>
      <c r="K92" t="s">
        <v>42</v>
      </c>
      <c r="L92">
        <v>90032</v>
      </c>
      <c r="M92" t="s">
        <v>43</v>
      </c>
      <c r="N92" t="s">
        <v>746</v>
      </c>
      <c r="O92" t="s">
        <v>70</v>
      </c>
      <c r="P92" t="s">
        <v>158</v>
      </c>
      <c r="Q92" t="s">
        <v>747</v>
      </c>
      <c r="R92">
        <v>176.8</v>
      </c>
      <c r="S92">
        <v>8</v>
      </c>
      <c r="T92">
        <v>0</v>
      </c>
      <c r="U92">
        <v>22.984000000000002</v>
      </c>
      <c r="V92" t="str">
        <f t="shared" si="1"/>
        <v>Frank Merwin</v>
      </c>
      <c r="W92">
        <f>Table2[Profit]/Table2[Sales]</f>
        <v>0.13</v>
      </c>
    </row>
    <row r="93" spans="1:23" x14ac:dyDescent="0.25">
      <c r="A93">
        <v>92</v>
      </c>
      <c r="B93" t="s">
        <v>748</v>
      </c>
      <c r="C93" s="1">
        <v>42567</v>
      </c>
      <c r="D93" s="1">
        <v>42573</v>
      </c>
      <c r="E93" t="s">
        <v>49</v>
      </c>
      <c r="F93" t="s">
        <v>749</v>
      </c>
      <c r="G93" t="s">
        <v>750</v>
      </c>
      <c r="H93" t="s">
        <v>40</v>
      </c>
      <c r="I93" t="s">
        <v>26</v>
      </c>
      <c r="J93" t="s">
        <v>751</v>
      </c>
      <c r="K93" t="s">
        <v>103</v>
      </c>
      <c r="L93">
        <v>75051</v>
      </c>
      <c r="M93" t="s">
        <v>104</v>
      </c>
      <c r="N93" t="s">
        <v>752</v>
      </c>
      <c r="O93" t="s">
        <v>45</v>
      </c>
      <c r="P93" t="s">
        <v>58</v>
      </c>
      <c r="Q93" t="s">
        <v>753</v>
      </c>
      <c r="R93">
        <v>37.223999999999997</v>
      </c>
      <c r="S93">
        <v>3</v>
      </c>
      <c r="T93">
        <v>0.2</v>
      </c>
      <c r="U93">
        <v>3.7223999999999999</v>
      </c>
      <c r="V93" t="str">
        <f t="shared" si="1"/>
        <v>Alice McCarthy</v>
      </c>
      <c r="W93">
        <f>Table2[Profit]/Table2[Sales]</f>
        <v>0.1</v>
      </c>
    </row>
    <row r="94" spans="1:23" x14ac:dyDescent="0.25">
      <c r="A94">
        <v>93</v>
      </c>
      <c r="B94" t="s">
        <v>754</v>
      </c>
      <c r="C94" s="1">
        <v>42289</v>
      </c>
      <c r="D94" s="1">
        <v>42291</v>
      </c>
      <c r="E94" t="s">
        <v>185</v>
      </c>
      <c r="F94" t="s">
        <v>755</v>
      </c>
      <c r="G94" t="s">
        <v>756</v>
      </c>
      <c r="H94" t="s">
        <v>101</v>
      </c>
      <c r="I94" t="s">
        <v>26</v>
      </c>
      <c r="J94" t="s">
        <v>263</v>
      </c>
      <c r="K94" t="s">
        <v>264</v>
      </c>
      <c r="L94">
        <v>10035</v>
      </c>
      <c r="M94" t="s">
        <v>145</v>
      </c>
      <c r="N94" t="s">
        <v>757</v>
      </c>
      <c r="O94" t="s">
        <v>31</v>
      </c>
      <c r="P94" t="s">
        <v>32</v>
      </c>
      <c r="Q94" t="s">
        <v>758</v>
      </c>
      <c r="R94">
        <v>899.13599999999997</v>
      </c>
      <c r="S94">
        <v>4</v>
      </c>
      <c r="T94">
        <v>0.2</v>
      </c>
      <c r="U94">
        <v>112.392</v>
      </c>
      <c r="V94" t="str">
        <f t="shared" si="1"/>
        <v>Mark Packer</v>
      </c>
      <c r="W94">
        <f>Table2[Profit]/Table2[Sales]</f>
        <v>0.125</v>
      </c>
    </row>
    <row r="95" spans="1:23" x14ac:dyDescent="0.25">
      <c r="A95">
        <v>94</v>
      </c>
      <c r="B95" t="s">
        <v>765</v>
      </c>
      <c r="C95" s="1">
        <v>42308</v>
      </c>
      <c r="D95" s="1">
        <v>42314</v>
      </c>
      <c r="E95" t="s">
        <v>49</v>
      </c>
      <c r="F95" t="s">
        <v>766</v>
      </c>
      <c r="G95" t="s">
        <v>767</v>
      </c>
      <c r="H95" t="s">
        <v>40</v>
      </c>
      <c r="I95" t="s">
        <v>26</v>
      </c>
      <c r="J95" t="s">
        <v>768</v>
      </c>
      <c r="K95" t="s">
        <v>42</v>
      </c>
      <c r="L95">
        <v>92374</v>
      </c>
      <c r="M95" t="s">
        <v>43</v>
      </c>
      <c r="N95" t="s">
        <v>169</v>
      </c>
      <c r="O95" t="s">
        <v>45</v>
      </c>
      <c r="P95" t="s">
        <v>170</v>
      </c>
      <c r="Q95" t="s">
        <v>171</v>
      </c>
      <c r="R95">
        <v>14.28</v>
      </c>
      <c r="S95">
        <v>7</v>
      </c>
      <c r="T95">
        <v>0</v>
      </c>
      <c r="U95">
        <v>6.7115999999999998</v>
      </c>
      <c r="V95" t="str">
        <f t="shared" si="1"/>
        <v>Mary Zewe</v>
      </c>
      <c r="W95">
        <f>Table2[Profit]/Table2[Sales]</f>
        <v>0.47000000000000003</v>
      </c>
    </row>
    <row r="96" spans="1:23" x14ac:dyDescent="0.25">
      <c r="A96">
        <v>95</v>
      </c>
      <c r="B96" t="s">
        <v>769</v>
      </c>
      <c r="C96" s="1">
        <v>41719</v>
      </c>
      <c r="D96" s="1">
        <v>41723</v>
      </c>
      <c r="E96" t="s">
        <v>49</v>
      </c>
      <c r="F96" t="s">
        <v>770</v>
      </c>
      <c r="G96" t="s">
        <v>771</v>
      </c>
      <c r="H96" t="s">
        <v>25</v>
      </c>
      <c r="I96" t="s">
        <v>26</v>
      </c>
      <c r="J96" t="s">
        <v>772</v>
      </c>
      <c r="K96" t="s">
        <v>491</v>
      </c>
      <c r="L96">
        <v>45011</v>
      </c>
      <c r="M96" t="s">
        <v>145</v>
      </c>
      <c r="N96" t="s">
        <v>773</v>
      </c>
      <c r="O96" t="s">
        <v>45</v>
      </c>
      <c r="P96" t="s">
        <v>67</v>
      </c>
      <c r="Q96" t="s">
        <v>774</v>
      </c>
      <c r="R96">
        <v>7.4080000000000004</v>
      </c>
      <c r="S96">
        <v>2</v>
      </c>
      <c r="T96">
        <v>0.2</v>
      </c>
      <c r="U96">
        <v>1.2038</v>
      </c>
      <c r="V96" t="str">
        <f t="shared" si="1"/>
        <v>Cassandra Brandow</v>
      </c>
      <c r="W96">
        <f>Table2[Profit]/Table2[Sales]</f>
        <v>0.16249999999999998</v>
      </c>
    </row>
    <row r="97" spans="1:23" x14ac:dyDescent="0.25">
      <c r="A97">
        <v>96</v>
      </c>
      <c r="B97" t="s">
        <v>777</v>
      </c>
      <c r="C97" s="1">
        <v>43045</v>
      </c>
      <c r="D97" s="1">
        <v>43052</v>
      </c>
      <c r="E97" t="s">
        <v>49</v>
      </c>
      <c r="F97" t="s">
        <v>778</v>
      </c>
      <c r="G97" t="s">
        <v>779</v>
      </c>
      <c r="H97" t="s">
        <v>101</v>
      </c>
      <c r="I97" t="s">
        <v>26</v>
      </c>
      <c r="J97" t="s">
        <v>780</v>
      </c>
      <c r="K97" t="s">
        <v>781</v>
      </c>
      <c r="L97">
        <v>7090</v>
      </c>
      <c r="M97" t="s">
        <v>145</v>
      </c>
      <c r="N97" t="s">
        <v>782</v>
      </c>
      <c r="O97" t="s">
        <v>45</v>
      </c>
      <c r="P97" t="s">
        <v>58</v>
      </c>
      <c r="Q97" t="s">
        <v>783</v>
      </c>
      <c r="R97">
        <v>46.26</v>
      </c>
      <c r="S97">
        <v>3</v>
      </c>
      <c r="T97">
        <v>0</v>
      </c>
      <c r="U97">
        <v>12.0276</v>
      </c>
      <c r="V97" t="str">
        <f t="shared" si="1"/>
        <v>Valerie Mitchum</v>
      </c>
      <c r="W97">
        <f>Table2[Profit]/Table2[Sales]</f>
        <v>0.26</v>
      </c>
    </row>
    <row r="98" spans="1:23" x14ac:dyDescent="0.25">
      <c r="A98">
        <v>97</v>
      </c>
      <c r="B98" t="s">
        <v>784</v>
      </c>
      <c r="C98" s="1">
        <v>42922</v>
      </c>
      <c r="D98" s="1">
        <v>42929</v>
      </c>
      <c r="E98" t="s">
        <v>49</v>
      </c>
      <c r="F98" t="s">
        <v>785</v>
      </c>
      <c r="G98" t="s">
        <v>786</v>
      </c>
      <c r="H98" t="s">
        <v>40</v>
      </c>
      <c r="I98" t="s">
        <v>26</v>
      </c>
      <c r="J98" t="s">
        <v>143</v>
      </c>
      <c r="K98" t="s">
        <v>144</v>
      </c>
      <c r="L98">
        <v>19120</v>
      </c>
      <c r="M98" t="s">
        <v>145</v>
      </c>
      <c r="N98" t="s">
        <v>787</v>
      </c>
      <c r="O98" t="s">
        <v>45</v>
      </c>
      <c r="P98" t="s">
        <v>74</v>
      </c>
      <c r="Q98" t="s">
        <v>788</v>
      </c>
      <c r="R98">
        <v>2.9460000000000002</v>
      </c>
      <c r="S98">
        <v>2</v>
      </c>
      <c r="T98">
        <v>0.7</v>
      </c>
      <c r="U98">
        <v>-2.2585999999999999</v>
      </c>
      <c r="V98" t="str">
        <f t="shared" si="1"/>
        <v>Fred Hopkins</v>
      </c>
      <c r="W98">
        <f>Table2[Profit]/Table2[Sales]</f>
        <v>-0.76666666666666661</v>
      </c>
    </row>
    <row r="99" spans="1:23" x14ac:dyDescent="0.25">
      <c r="A99">
        <v>98</v>
      </c>
      <c r="B99" t="s">
        <v>791</v>
      </c>
      <c r="C99" s="1">
        <v>42910</v>
      </c>
      <c r="D99" s="1">
        <v>42915</v>
      </c>
      <c r="E99" t="s">
        <v>49</v>
      </c>
      <c r="F99" t="s">
        <v>792</v>
      </c>
      <c r="G99" t="s">
        <v>793</v>
      </c>
      <c r="H99" t="s">
        <v>25</v>
      </c>
      <c r="I99" t="s">
        <v>26</v>
      </c>
      <c r="J99" t="s">
        <v>794</v>
      </c>
      <c r="K99" t="s">
        <v>491</v>
      </c>
      <c r="L99">
        <v>44312</v>
      </c>
      <c r="M99" t="s">
        <v>145</v>
      </c>
      <c r="N99" t="s">
        <v>795</v>
      </c>
      <c r="O99" t="s">
        <v>45</v>
      </c>
      <c r="P99" t="s">
        <v>89</v>
      </c>
      <c r="Q99" t="s">
        <v>796</v>
      </c>
      <c r="R99">
        <v>21.744</v>
      </c>
      <c r="S99">
        <v>3</v>
      </c>
      <c r="T99">
        <v>0.2</v>
      </c>
      <c r="U99">
        <v>6.7949999999999999</v>
      </c>
      <c r="V99" t="str">
        <f t="shared" si="1"/>
        <v>Maria Bertelson</v>
      </c>
      <c r="W99">
        <f>Table2[Profit]/Table2[Sales]</f>
        <v>0.3125</v>
      </c>
    </row>
    <row r="100" spans="1:23" x14ac:dyDescent="0.25">
      <c r="A100">
        <v>99</v>
      </c>
      <c r="B100" t="s">
        <v>797</v>
      </c>
      <c r="C100" s="1">
        <v>41854</v>
      </c>
      <c r="D100" s="1">
        <v>41856</v>
      </c>
      <c r="E100" t="s">
        <v>185</v>
      </c>
      <c r="F100" t="s">
        <v>798</v>
      </c>
      <c r="G100" t="s">
        <v>799</v>
      </c>
      <c r="H100" t="s">
        <v>25</v>
      </c>
      <c r="I100" t="s">
        <v>26</v>
      </c>
      <c r="J100" t="s">
        <v>800</v>
      </c>
      <c r="K100" t="s">
        <v>450</v>
      </c>
      <c r="L100">
        <v>80219</v>
      </c>
      <c r="M100" t="s">
        <v>43</v>
      </c>
      <c r="N100" t="s">
        <v>801</v>
      </c>
      <c r="O100" t="s">
        <v>31</v>
      </c>
      <c r="P100" t="s">
        <v>55</v>
      </c>
      <c r="Q100" t="s">
        <v>802</v>
      </c>
      <c r="R100">
        <v>218.75</v>
      </c>
      <c r="S100">
        <v>2</v>
      </c>
      <c r="T100">
        <v>0.5</v>
      </c>
      <c r="U100">
        <v>-161.875</v>
      </c>
      <c r="V100" t="str">
        <f t="shared" si="1"/>
        <v>Bruce Stewart</v>
      </c>
      <c r="W100">
        <f>Table2[Profit]/Table2[Sales]</f>
        <v>-0.74</v>
      </c>
    </row>
    <row r="101" spans="1:23" x14ac:dyDescent="0.25">
      <c r="A101">
        <v>100</v>
      </c>
      <c r="B101" t="s">
        <v>805</v>
      </c>
      <c r="C101" s="1">
        <v>43086</v>
      </c>
      <c r="D101" s="1">
        <v>43090</v>
      </c>
      <c r="E101" t="s">
        <v>22</v>
      </c>
      <c r="F101" t="s">
        <v>806</v>
      </c>
      <c r="G101" t="s">
        <v>807</v>
      </c>
      <c r="H101" t="s">
        <v>25</v>
      </c>
      <c r="I101" t="s">
        <v>26</v>
      </c>
      <c r="J101" t="s">
        <v>808</v>
      </c>
      <c r="K101" t="s">
        <v>103</v>
      </c>
      <c r="L101">
        <v>75220</v>
      </c>
      <c r="M101" t="s">
        <v>104</v>
      </c>
      <c r="N101" t="s">
        <v>809</v>
      </c>
      <c r="O101" t="s">
        <v>45</v>
      </c>
      <c r="P101" t="s">
        <v>77</v>
      </c>
      <c r="Q101" t="s">
        <v>810</v>
      </c>
      <c r="R101">
        <v>66.284000000000006</v>
      </c>
      <c r="S101">
        <v>2</v>
      </c>
      <c r="T101">
        <v>0.8</v>
      </c>
      <c r="U101">
        <v>-178.96680000000001</v>
      </c>
      <c r="V101" t="str">
        <f t="shared" si="1"/>
        <v>Logan Currie</v>
      </c>
      <c r="W101">
        <f>Table2[Profit]/Table2[Sales]</f>
        <v>-2.6999999999999997</v>
      </c>
    </row>
    <row r="102" spans="1:23" x14ac:dyDescent="0.25">
      <c r="A102">
        <v>101</v>
      </c>
      <c r="B102" t="s">
        <v>811</v>
      </c>
      <c r="C102" s="1">
        <v>42889</v>
      </c>
      <c r="D102" s="1">
        <v>42893</v>
      </c>
      <c r="E102" t="s">
        <v>49</v>
      </c>
      <c r="F102" t="s">
        <v>812</v>
      </c>
      <c r="G102" t="s">
        <v>813</v>
      </c>
      <c r="H102" t="s">
        <v>40</v>
      </c>
      <c r="I102" t="s">
        <v>26</v>
      </c>
      <c r="J102" t="s">
        <v>606</v>
      </c>
      <c r="K102" t="s">
        <v>328</v>
      </c>
      <c r="L102">
        <v>37064</v>
      </c>
      <c r="M102" t="s">
        <v>29</v>
      </c>
      <c r="N102" t="s">
        <v>814</v>
      </c>
      <c r="O102" t="s">
        <v>31</v>
      </c>
      <c r="P102" t="s">
        <v>64</v>
      </c>
      <c r="Q102" t="s">
        <v>815</v>
      </c>
      <c r="R102">
        <v>35.167999999999999</v>
      </c>
      <c r="S102">
        <v>7</v>
      </c>
      <c r="T102">
        <v>0.2</v>
      </c>
      <c r="U102">
        <v>9.6712000000000007</v>
      </c>
      <c r="V102" t="str">
        <f t="shared" si="1"/>
        <v>Heather Kirkland</v>
      </c>
      <c r="W102">
        <f>Table2[Profit]/Table2[Sales]</f>
        <v>0.27500000000000002</v>
      </c>
    </row>
    <row r="103" spans="1:23" x14ac:dyDescent="0.25">
      <c r="A103">
        <v>102</v>
      </c>
      <c r="B103" t="s">
        <v>816</v>
      </c>
      <c r="C103" s="1">
        <v>43078</v>
      </c>
      <c r="D103" s="1">
        <v>43083</v>
      </c>
      <c r="E103" t="s">
        <v>49</v>
      </c>
      <c r="F103" t="s">
        <v>817</v>
      </c>
      <c r="G103" t="s">
        <v>818</v>
      </c>
      <c r="H103" t="s">
        <v>25</v>
      </c>
      <c r="I103" t="s">
        <v>26</v>
      </c>
      <c r="J103" t="s">
        <v>819</v>
      </c>
      <c r="K103" t="s">
        <v>42</v>
      </c>
      <c r="L103">
        <v>90604</v>
      </c>
      <c r="M103" t="s">
        <v>43</v>
      </c>
      <c r="N103" t="s">
        <v>820</v>
      </c>
      <c r="O103" t="s">
        <v>70</v>
      </c>
      <c r="P103" t="s">
        <v>71</v>
      </c>
      <c r="Q103" t="s">
        <v>821</v>
      </c>
      <c r="R103">
        <v>444.76799999999997</v>
      </c>
      <c r="S103">
        <v>4</v>
      </c>
      <c r="T103">
        <v>0.2</v>
      </c>
      <c r="U103">
        <v>44.476799999999997</v>
      </c>
      <c r="V103" t="str">
        <f t="shared" si="1"/>
        <v>Laurel Elliston</v>
      </c>
      <c r="W103">
        <f>Table2[Profit]/Table2[Sales]</f>
        <v>0.1</v>
      </c>
    </row>
    <row r="104" spans="1:23" x14ac:dyDescent="0.25">
      <c r="A104">
        <v>103</v>
      </c>
      <c r="B104" t="s">
        <v>822</v>
      </c>
      <c r="C104" s="1">
        <v>43070</v>
      </c>
      <c r="D104" s="1">
        <v>43076</v>
      </c>
      <c r="E104" t="s">
        <v>49</v>
      </c>
      <c r="F104" t="s">
        <v>823</v>
      </c>
      <c r="G104" t="s">
        <v>824</v>
      </c>
      <c r="H104" t="s">
        <v>25</v>
      </c>
      <c r="I104" t="s">
        <v>26</v>
      </c>
      <c r="J104" t="s">
        <v>825</v>
      </c>
      <c r="K104" t="s">
        <v>235</v>
      </c>
      <c r="L104">
        <v>48601</v>
      </c>
      <c r="M104" t="s">
        <v>104</v>
      </c>
      <c r="N104" t="s">
        <v>826</v>
      </c>
      <c r="O104" t="s">
        <v>45</v>
      </c>
      <c r="P104" t="s">
        <v>58</v>
      </c>
      <c r="Q104" t="s">
        <v>827</v>
      </c>
      <c r="R104">
        <v>83.92</v>
      </c>
      <c r="S104">
        <v>4</v>
      </c>
      <c r="T104">
        <v>0</v>
      </c>
      <c r="U104">
        <v>5.8743999999999996</v>
      </c>
      <c r="V104" t="str">
        <f t="shared" si="1"/>
        <v>Joseph Holt</v>
      </c>
      <c r="W104">
        <f>Table2[Profit]/Table2[Sales]</f>
        <v>6.9999999999999993E-2</v>
      </c>
    </row>
    <row r="105" spans="1:23" x14ac:dyDescent="0.25">
      <c r="A105">
        <v>104</v>
      </c>
      <c r="B105" t="s">
        <v>834</v>
      </c>
      <c r="C105" s="1">
        <v>42044</v>
      </c>
      <c r="D105" s="1">
        <v>42048</v>
      </c>
      <c r="E105" t="s">
        <v>22</v>
      </c>
      <c r="F105" t="s">
        <v>835</v>
      </c>
      <c r="G105" t="s">
        <v>836</v>
      </c>
      <c r="H105" t="s">
        <v>40</v>
      </c>
      <c r="I105" t="s">
        <v>26</v>
      </c>
      <c r="J105" t="s">
        <v>808</v>
      </c>
      <c r="K105" t="s">
        <v>103</v>
      </c>
      <c r="L105">
        <v>75220</v>
      </c>
      <c r="M105" t="s">
        <v>104</v>
      </c>
      <c r="N105" t="s">
        <v>837</v>
      </c>
      <c r="O105" t="s">
        <v>70</v>
      </c>
      <c r="P105" t="s">
        <v>158</v>
      </c>
      <c r="Q105" t="s">
        <v>838</v>
      </c>
      <c r="R105">
        <v>20.8</v>
      </c>
      <c r="S105">
        <v>2</v>
      </c>
      <c r="T105">
        <v>0.2</v>
      </c>
      <c r="U105">
        <v>6.5</v>
      </c>
      <c r="V105" t="str">
        <f t="shared" si="1"/>
        <v>Michael Stewart</v>
      </c>
      <c r="W105">
        <f>Table2[Profit]/Table2[Sales]</f>
        <v>0.3125</v>
      </c>
    </row>
    <row r="106" spans="1:23" x14ac:dyDescent="0.25">
      <c r="A106">
        <v>105</v>
      </c>
      <c r="B106" t="s">
        <v>839</v>
      </c>
      <c r="C106" s="1">
        <v>42006</v>
      </c>
      <c r="D106" s="1">
        <v>42013</v>
      </c>
      <c r="E106" t="s">
        <v>49</v>
      </c>
      <c r="F106" t="s">
        <v>840</v>
      </c>
      <c r="G106" t="s">
        <v>841</v>
      </c>
      <c r="H106" t="s">
        <v>40</v>
      </c>
      <c r="I106" t="s">
        <v>26</v>
      </c>
      <c r="J106" t="s">
        <v>842</v>
      </c>
      <c r="K106" t="s">
        <v>491</v>
      </c>
      <c r="L106">
        <v>44256</v>
      </c>
      <c r="M106" t="s">
        <v>145</v>
      </c>
      <c r="N106" t="s">
        <v>843</v>
      </c>
      <c r="O106" t="s">
        <v>45</v>
      </c>
      <c r="P106" t="s">
        <v>46</v>
      </c>
      <c r="Q106" t="s">
        <v>844</v>
      </c>
      <c r="R106">
        <v>23.68</v>
      </c>
      <c r="S106">
        <v>2</v>
      </c>
      <c r="T106">
        <v>0.2</v>
      </c>
      <c r="U106">
        <v>8.8800000000000008</v>
      </c>
      <c r="V106" t="str">
        <f t="shared" si="1"/>
        <v>Victoria Wilson</v>
      </c>
      <c r="W106">
        <f>Table2[Profit]/Table2[Sales]</f>
        <v>0.37500000000000006</v>
      </c>
    </row>
    <row r="107" spans="1:23" x14ac:dyDescent="0.25">
      <c r="A107">
        <v>106</v>
      </c>
      <c r="B107" t="s">
        <v>851</v>
      </c>
      <c r="C107" s="1">
        <v>42671</v>
      </c>
      <c r="D107" s="1">
        <v>42675</v>
      </c>
      <c r="E107" t="s">
        <v>49</v>
      </c>
      <c r="F107" t="s">
        <v>852</v>
      </c>
      <c r="G107" t="s">
        <v>853</v>
      </c>
      <c r="H107" t="s">
        <v>25</v>
      </c>
      <c r="I107" t="s">
        <v>26</v>
      </c>
      <c r="J107" t="s">
        <v>41</v>
      </c>
      <c r="K107" t="s">
        <v>42</v>
      </c>
      <c r="L107">
        <v>90032</v>
      </c>
      <c r="M107" t="s">
        <v>43</v>
      </c>
      <c r="N107" t="s">
        <v>752</v>
      </c>
      <c r="O107" t="s">
        <v>45</v>
      </c>
      <c r="P107" t="s">
        <v>58</v>
      </c>
      <c r="Q107" t="s">
        <v>753</v>
      </c>
      <c r="R107">
        <v>93.06</v>
      </c>
      <c r="S107">
        <v>6</v>
      </c>
      <c r="T107">
        <v>0</v>
      </c>
      <c r="U107">
        <v>26.056799999999999</v>
      </c>
      <c r="V107" t="str">
        <f t="shared" si="1"/>
        <v>Jonathan Howell</v>
      </c>
      <c r="W107">
        <f>Table2[Profit]/Table2[Sales]</f>
        <v>0.27999999999999997</v>
      </c>
    </row>
    <row r="108" spans="1:23" x14ac:dyDescent="0.25">
      <c r="A108">
        <v>107</v>
      </c>
      <c r="B108" t="s">
        <v>856</v>
      </c>
      <c r="C108" s="1">
        <v>42362</v>
      </c>
      <c r="D108" s="1">
        <v>42365</v>
      </c>
      <c r="E108" t="s">
        <v>185</v>
      </c>
      <c r="F108" t="s">
        <v>857</v>
      </c>
      <c r="G108" t="s">
        <v>858</v>
      </c>
      <c r="H108" t="s">
        <v>25</v>
      </c>
      <c r="I108" t="s">
        <v>26</v>
      </c>
      <c r="J108" t="s">
        <v>859</v>
      </c>
      <c r="K108" t="s">
        <v>491</v>
      </c>
      <c r="L108">
        <v>43017</v>
      </c>
      <c r="M108" t="s">
        <v>145</v>
      </c>
      <c r="N108" t="s">
        <v>860</v>
      </c>
      <c r="O108" t="s">
        <v>45</v>
      </c>
      <c r="P108" t="s">
        <v>266</v>
      </c>
      <c r="Q108" t="s">
        <v>861</v>
      </c>
      <c r="R108">
        <v>5.5839999999999996</v>
      </c>
      <c r="S108">
        <v>2</v>
      </c>
      <c r="T108">
        <v>0.2</v>
      </c>
      <c r="U108">
        <v>1.8148</v>
      </c>
      <c r="V108" t="str">
        <f t="shared" si="1"/>
        <v>Joni Blumstein</v>
      </c>
      <c r="W108">
        <f>Table2[Profit]/Table2[Sales]</f>
        <v>0.32500000000000001</v>
      </c>
    </row>
    <row r="109" spans="1:23" x14ac:dyDescent="0.25">
      <c r="A109">
        <v>108</v>
      </c>
      <c r="B109" t="s">
        <v>870</v>
      </c>
      <c r="C109" s="1">
        <v>42225</v>
      </c>
      <c r="D109" s="1">
        <v>42232</v>
      </c>
      <c r="E109" t="s">
        <v>49</v>
      </c>
      <c r="F109" t="s">
        <v>871</v>
      </c>
      <c r="G109" t="s">
        <v>872</v>
      </c>
      <c r="H109" t="s">
        <v>40</v>
      </c>
      <c r="I109" t="s">
        <v>26</v>
      </c>
      <c r="J109" t="s">
        <v>873</v>
      </c>
      <c r="K109" t="s">
        <v>235</v>
      </c>
      <c r="L109">
        <v>48227</v>
      </c>
      <c r="M109" t="s">
        <v>104</v>
      </c>
      <c r="N109" t="s">
        <v>874</v>
      </c>
      <c r="O109" t="s">
        <v>45</v>
      </c>
      <c r="P109" t="s">
        <v>67</v>
      </c>
      <c r="Q109" t="s">
        <v>875</v>
      </c>
      <c r="R109">
        <v>2.2000000000000002</v>
      </c>
      <c r="S109">
        <v>1</v>
      </c>
      <c r="T109">
        <v>0</v>
      </c>
      <c r="U109">
        <v>0.96799999999999997</v>
      </c>
      <c r="V109" t="str">
        <f t="shared" si="1"/>
        <v>David Smith</v>
      </c>
      <c r="W109">
        <f>Table2[Profit]/Table2[Sales]</f>
        <v>0.43999999999999995</v>
      </c>
    </row>
    <row r="110" spans="1:23" x14ac:dyDescent="0.25">
      <c r="A110">
        <v>109</v>
      </c>
      <c r="B110" t="s">
        <v>880</v>
      </c>
      <c r="C110" s="1">
        <v>42063</v>
      </c>
      <c r="D110" s="1">
        <v>42067</v>
      </c>
      <c r="E110" t="s">
        <v>49</v>
      </c>
      <c r="F110" t="s">
        <v>881</v>
      </c>
      <c r="G110" t="s">
        <v>882</v>
      </c>
      <c r="H110" t="s">
        <v>25</v>
      </c>
      <c r="I110" t="s">
        <v>26</v>
      </c>
      <c r="J110" t="s">
        <v>375</v>
      </c>
      <c r="K110" t="s">
        <v>328</v>
      </c>
      <c r="L110">
        <v>38401</v>
      </c>
      <c r="M110" t="s">
        <v>29</v>
      </c>
      <c r="N110" t="s">
        <v>883</v>
      </c>
      <c r="O110" t="s">
        <v>31</v>
      </c>
      <c r="P110" t="s">
        <v>35</v>
      </c>
      <c r="Q110" t="s">
        <v>884</v>
      </c>
      <c r="R110">
        <v>161.56800000000001</v>
      </c>
      <c r="S110">
        <v>2</v>
      </c>
      <c r="T110">
        <v>0.2</v>
      </c>
      <c r="U110">
        <v>-28.2744</v>
      </c>
      <c r="V110" t="str">
        <f t="shared" si="1"/>
        <v>Valerie Dominguez</v>
      </c>
      <c r="W110">
        <f>Table2[Profit]/Table2[Sales]</f>
        <v>-0.17499999999999999</v>
      </c>
    </row>
    <row r="111" spans="1:23" x14ac:dyDescent="0.25">
      <c r="A111">
        <v>110</v>
      </c>
      <c r="B111" t="s">
        <v>887</v>
      </c>
      <c r="C111" s="1">
        <v>41895</v>
      </c>
      <c r="D111" s="1">
        <v>41899</v>
      </c>
      <c r="E111" t="s">
        <v>49</v>
      </c>
      <c r="F111" t="s">
        <v>888</v>
      </c>
      <c r="G111" t="s">
        <v>889</v>
      </c>
      <c r="H111" t="s">
        <v>40</v>
      </c>
      <c r="I111" t="s">
        <v>26</v>
      </c>
      <c r="J111" t="s">
        <v>460</v>
      </c>
      <c r="K111" t="s">
        <v>87</v>
      </c>
      <c r="L111">
        <v>28205</v>
      </c>
      <c r="M111" t="s">
        <v>29</v>
      </c>
      <c r="N111" t="s">
        <v>890</v>
      </c>
      <c r="O111" t="s">
        <v>45</v>
      </c>
      <c r="P111" t="s">
        <v>74</v>
      </c>
      <c r="Q111" t="s">
        <v>891</v>
      </c>
      <c r="R111">
        <v>18.648</v>
      </c>
      <c r="S111">
        <v>7</v>
      </c>
      <c r="T111">
        <v>0.7</v>
      </c>
      <c r="U111">
        <v>-12.432</v>
      </c>
      <c r="V111" t="str">
        <f t="shared" si="1"/>
        <v>Erin Ashbrook</v>
      </c>
      <c r="W111">
        <f>Table2[Profit]/Table2[Sales]</f>
        <v>-0.66666666666666674</v>
      </c>
    </row>
    <row r="112" spans="1:23" x14ac:dyDescent="0.25">
      <c r="A112">
        <v>111</v>
      </c>
      <c r="B112" t="s">
        <v>892</v>
      </c>
      <c r="C112" s="1">
        <v>42832</v>
      </c>
      <c r="D112" s="1">
        <v>42837</v>
      </c>
      <c r="E112" t="s">
        <v>49</v>
      </c>
      <c r="F112" t="s">
        <v>370</v>
      </c>
      <c r="G112" t="s">
        <v>371</v>
      </c>
      <c r="H112" t="s">
        <v>101</v>
      </c>
      <c r="I112" t="s">
        <v>26</v>
      </c>
      <c r="J112" t="s">
        <v>893</v>
      </c>
      <c r="K112" t="s">
        <v>53</v>
      </c>
      <c r="L112">
        <v>33614</v>
      </c>
      <c r="M112" t="s">
        <v>29</v>
      </c>
      <c r="N112" t="s">
        <v>894</v>
      </c>
      <c r="O112" t="s">
        <v>31</v>
      </c>
      <c r="P112" t="s">
        <v>55</v>
      </c>
      <c r="Q112" t="s">
        <v>895</v>
      </c>
      <c r="R112">
        <v>233.86</v>
      </c>
      <c r="S112">
        <v>2</v>
      </c>
      <c r="T112">
        <v>0.45</v>
      </c>
      <c r="U112">
        <v>-102.048</v>
      </c>
      <c r="V112" t="str">
        <f t="shared" si="1"/>
        <v>Christopher Schild</v>
      </c>
      <c r="W112">
        <f>Table2[Profit]/Table2[Sales]</f>
        <v>-0.43636363636363634</v>
      </c>
    </row>
    <row r="113" spans="1:23" x14ac:dyDescent="0.25">
      <c r="A113">
        <v>112</v>
      </c>
      <c r="B113" t="s">
        <v>902</v>
      </c>
      <c r="C113" s="1">
        <v>43051</v>
      </c>
      <c r="D113" s="1">
        <v>43055</v>
      </c>
      <c r="E113" t="s">
        <v>49</v>
      </c>
      <c r="F113" t="s">
        <v>903</v>
      </c>
      <c r="G113" t="s">
        <v>904</v>
      </c>
      <c r="H113" t="s">
        <v>40</v>
      </c>
      <c r="I113" t="s">
        <v>26</v>
      </c>
      <c r="J113" t="s">
        <v>905</v>
      </c>
      <c r="K113" t="s">
        <v>42</v>
      </c>
      <c r="L113">
        <v>95051</v>
      </c>
      <c r="M113" t="s">
        <v>43</v>
      </c>
      <c r="N113" t="s">
        <v>906</v>
      </c>
      <c r="O113" t="s">
        <v>45</v>
      </c>
      <c r="P113" t="s">
        <v>89</v>
      </c>
      <c r="Q113" t="s">
        <v>907</v>
      </c>
      <c r="R113">
        <v>10.56</v>
      </c>
      <c r="S113">
        <v>2</v>
      </c>
      <c r="T113">
        <v>0</v>
      </c>
      <c r="U113">
        <v>4.7519999999999998</v>
      </c>
      <c r="V113" t="str">
        <f t="shared" si="1"/>
        <v>David Bremer</v>
      </c>
      <c r="W113">
        <f>Table2[Profit]/Table2[Sales]</f>
        <v>0.44999999999999996</v>
      </c>
    </row>
    <row r="114" spans="1:23" x14ac:dyDescent="0.25">
      <c r="A114">
        <v>113</v>
      </c>
      <c r="B114" t="s">
        <v>908</v>
      </c>
      <c r="C114" s="1">
        <v>42525</v>
      </c>
      <c r="D114" s="1">
        <v>42530</v>
      </c>
      <c r="E114" t="s">
        <v>22</v>
      </c>
      <c r="F114" t="s">
        <v>909</v>
      </c>
      <c r="G114" t="s">
        <v>910</v>
      </c>
      <c r="H114" t="s">
        <v>25</v>
      </c>
      <c r="I114" t="s">
        <v>26</v>
      </c>
      <c r="J114" t="s">
        <v>296</v>
      </c>
      <c r="K114" t="s">
        <v>208</v>
      </c>
      <c r="L114">
        <v>60610</v>
      </c>
      <c r="M114" t="s">
        <v>104</v>
      </c>
      <c r="N114" t="s">
        <v>911</v>
      </c>
      <c r="O114" t="s">
        <v>45</v>
      </c>
      <c r="P114" t="s">
        <v>89</v>
      </c>
      <c r="Q114" t="s">
        <v>912</v>
      </c>
      <c r="R114">
        <v>25.92</v>
      </c>
      <c r="S114">
        <v>5</v>
      </c>
      <c r="T114">
        <v>0.2</v>
      </c>
      <c r="U114">
        <v>9.3960000000000008</v>
      </c>
      <c r="V114" t="str">
        <f t="shared" si="1"/>
        <v>Ken Lonsdale</v>
      </c>
      <c r="W114">
        <f>Table2[Profit]/Table2[Sales]</f>
        <v>0.36249999999999999</v>
      </c>
    </row>
    <row r="115" spans="1:23" x14ac:dyDescent="0.25">
      <c r="A115">
        <v>114</v>
      </c>
      <c r="B115" t="s">
        <v>923</v>
      </c>
      <c r="C115" s="1">
        <v>41791</v>
      </c>
      <c r="D115" s="1">
        <v>41796</v>
      </c>
      <c r="E115" t="s">
        <v>22</v>
      </c>
      <c r="F115" t="s">
        <v>924</v>
      </c>
      <c r="G115" t="s">
        <v>925</v>
      </c>
      <c r="H115" t="s">
        <v>101</v>
      </c>
      <c r="I115" t="s">
        <v>26</v>
      </c>
      <c r="J115" t="s">
        <v>926</v>
      </c>
      <c r="K115" t="s">
        <v>226</v>
      </c>
      <c r="L115">
        <v>55044</v>
      </c>
      <c r="M115" t="s">
        <v>104</v>
      </c>
      <c r="N115" t="s">
        <v>526</v>
      </c>
      <c r="O115" t="s">
        <v>31</v>
      </c>
      <c r="P115" t="s">
        <v>35</v>
      </c>
      <c r="Q115" t="s">
        <v>527</v>
      </c>
      <c r="R115">
        <v>2001.86</v>
      </c>
      <c r="S115">
        <v>7</v>
      </c>
      <c r="T115">
        <v>0</v>
      </c>
      <c r="U115">
        <v>580.5394</v>
      </c>
      <c r="V115" t="str">
        <f t="shared" si="1"/>
        <v>Dianna Wilson</v>
      </c>
      <c r="W115">
        <f>Table2[Profit]/Table2[Sales]</f>
        <v>0.29000000000000004</v>
      </c>
    </row>
    <row r="116" spans="1:23" x14ac:dyDescent="0.25">
      <c r="A116">
        <v>115</v>
      </c>
      <c r="B116" t="s">
        <v>933</v>
      </c>
      <c r="C116" s="1">
        <v>42714</v>
      </c>
      <c r="D116" s="1">
        <v>42719</v>
      </c>
      <c r="E116" t="s">
        <v>22</v>
      </c>
      <c r="F116" t="s">
        <v>934</v>
      </c>
      <c r="G116" t="s">
        <v>935</v>
      </c>
      <c r="H116" t="s">
        <v>25</v>
      </c>
      <c r="I116" t="s">
        <v>26</v>
      </c>
      <c r="J116" t="s">
        <v>126</v>
      </c>
      <c r="K116" t="s">
        <v>42</v>
      </c>
      <c r="L116">
        <v>94109</v>
      </c>
      <c r="M116" t="s">
        <v>43</v>
      </c>
      <c r="N116" t="s">
        <v>936</v>
      </c>
      <c r="O116" t="s">
        <v>31</v>
      </c>
      <c r="P116" t="s">
        <v>35</v>
      </c>
      <c r="Q116" t="s">
        <v>937</v>
      </c>
      <c r="R116">
        <v>321.56799999999998</v>
      </c>
      <c r="S116">
        <v>2</v>
      </c>
      <c r="T116">
        <v>0.2</v>
      </c>
      <c r="U116">
        <v>28.1372</v>
      </c>
      <c r="V116" t="str">
        <f t="shared" si="1"/>
        <v>Logan Haushalter</v>
      </c>
      <c r="W116">
        <f>Table2[Profit]/Table2[Sales]</f>
        <v>8.7500000000000008E-2</v>
      </c>
    </row>
    <row r="117" spans="1:23" x14ac:dyDescent="0.25">
      <c r="A117">
        <v>116</v>
      </c>
      <c r="B117" t="s">
        <v>938</v>
      </c>
      <c r="C117" s="1">
        <v>42624</v>
      </c>
      <c r="D117" s="1">
        <v>42630</v>
      </c>
      <c r="E117" t="s">
        <v>49</v>
      </c>
      <c r="F117" t="s">
        <v>939</v>
      </c>
      <c r="G117" t="s">
        <v>940</v>
      </c>
      <c r="H117" t="s">
        <v>25</v>
      </c>
      <c r="I117" t="s">
        <v>26</v>
      </c>
      <c r="J117" t="s">
        <v>941</v>
      </c>
      <c r="K117" t="s">
        <v>42</v>
      </c>
      <c r="L117">
        <v>92037</v>
      </c>
      <c r="M117" t="s">
        <v>43</v>
      </c>
      <c r="N117" t="s">
        <v>942</v>
      </c>
      <c r="O117" t="s">
        <v>45</v>
      </c>
      <c r="P117" t="s">
        <v>89</v>
      </c>
      <c r="Q117" t="s">
        <v>943</v>
      </c>
      <c r="R117">
        <v>7.61</v>
      </c>
      <c r="S117">
        <v>1</v>
      </c>
      <c r="T117">
        <v>0</v>
      </c>
      <c r="U117">
        <v>3.5767000000000002</v>
      </c>
      <c r="V117" t="str">
        <f t="shared" si="1"/>
        <v>Kelly Collister</v>
      </c>
      <c r="W117">
        <f>Table2[Profit]/Table2[Sales]</f>
        <v>0.47000000000000003</v>
      </c>
    </row>
    <row r="118" spans="1:23" x14ac:dyDescent="0.25">
      <c r="A118">
        <v>117</v>
      </c>
      <c r="B118" t="s">
        <v>944</v>
      </c>
      <c r="C118" s="1">
        <v>42714</v>
      </c>
      <c r="D118" s="1">
        <v>42717</v>
      </c>
      <c r="E118" t="s">
        <v>185</v>
      </c>
      <c r="F118" t="s">
        <v>945</v>
      </c>
      <c r="G118" t="s">
        <v>946</v>
      </c>
      <c r="H118" t="s">
        <v>25</v>
      </c>
      <c r="I118" t="s">
        <v>26</v>
      </c>
      <c r="J118" t="s">
        <v>263</v>
      </c>
      <c r="K118" t="s">
        <v>264</v>
      </c>
      <c r="L118">
        <v>10024</v>
      </c>
      <c r="M118" t="s">
        <v>145</v>
      </c>
      <c r="N118" t="s">
        <v>947</v>
      </c>
      <c r="O118" t="s">
        <v>45</v>
      </c>
      <c r="P118" t="s">
        <v>58</v>
      </c>
      <c r="Q118" t="s">
        <v>948</v>
      </c>
      <c r="R118">
        <v>80.58</v>
      </c>
      <c r="S118">
        <v>6</v>
      </c>
      <c r="T118">
        <v>0</v>
      </c>
      <c r="U118">
        <v>22.5624</v>
      </c>
      <c r="V118" t="str">
        <f t="shared" si="1"/>
        <v>Delfina Latchford</v>
      </c>
      <c r="W118">
        <f>Table2[Profit]/Table2[Sales]</f>
        <v>0.28000000000000003</v>
      </c>
    </row>
    <row r="119" spans="1:23" x14ac:dyDescent="0.25">
      <c r="A119">
        <v>118</v>
      </c>
      <c r="B119" t="s">
        <v>951</v>
      </c>
      <c r="C119" s="1">
        <v>42336</v>
      </c>
      <c r="D119" s="1">
        <v>42342</v>
      </c>
      <c r="E119" t="s">
        <v>49</v>
      </c>
      <c r="F119" t="s">
        <v>952</v>
      </c>
      <c r="G119" t="s">
        <v>953</v>
      </c>
      <c r="H119" t="s">
        <v>40</v>
      </c>
      <c r="I119" t="s">
        <v>26</v>
      </c>
      <c r="J119" t="s">
        <v>296</v>
      </c>
      <c r="K119" t="s">
        <v>208</v>
      </c>
      <c r="L119">
        <v>60623</v>
      </c>
      <c r="M119" t="s">
        <v>104</v>
      </c>
      <c r="N119" t="s">
        <v>921</v>
      </c>
      <c r="O119" t="s">
        <v>31</v>
      </c>
      <c r="P119" t="s">
        <v>64</v>
      </c>
      <c r="Q119" t="s">
        <v>922</v>
      </c>
      <c r="R119">
        <v>12.132</v>
      </c>
      <c r="S119">
        <v>9</v>
      </c>
      <c r="T119">
        <v>0.6</v>
      </c>
      <c r="U119">
        <v>-8.4923999999999999</v>
      </c>
      <c r="V119" t="str">
        <f t="shared" si="1"/>
        <v>Dan Reichenbach</v>
      </c>
      <c r="W119">
        <f>Table2[Profit]/Table2[Sales]</f>
        <v>-0.70000000000000007</v>
      </c>
    </row>
    <row r="120" spans="1:23" x14ac:dyDescent="0.25">
      <c r="A120">
        <v>119</v>
      </c>
      <c r="B120" t="s">
        <v>958</v>
      </c>
      <c r="C120" s="1">
        <v>43070</v>
      </c>
      <c r="D120" s="1">
        <v>43072</v>
      </c>
      <c r="E120" t="s">
        <v>22</v>
      </c>
      <c r="F120" t="s">
        <v>959</v>
      </c>
      <c r="G120" t="s">
        <v>960</v>
      </c>
      <c r="H120" t="s">
        <v>25</v>
      </c>
      <c r="I120" t="s">
        <v>26</v>
      </c>
      <c r="J120" t="s">
        <v>263</v>
      </c>
      <c r="K120" t="s">
        <v>264</v>
      </c>
      <c r="L120">
        <v>10009</v>
      </c>
      <c r="M120" t="s">
        <v>145</v>
      </c>
      <c r="N120" t="s">
        <v>961</v>
      </c>
      <c r="O120" t="s">
        <v>70</v>
      </c>
      <c r="P120" t="s">
        <v>158</v>
      </c>
      <c r="Q120" t="s">
        <v>962</v>
      </c>
      <c r="R120">
        <v>20.37</v>
      </c>
      <c r="S120">
        <v>3</v>
      </c>
      <c r="T120">
        <v>0</v>
      </c>
      <c r="U120">
        <v>6.9257999999999997</v>
      </c>
      <c r="V120" t="str">
        <f t="shared" si="1"/>
        <v>Craig Carreira</v>
      </c>
      <c r="W120">
        <f>Table2[Profit]/Table2[Sales]</f>
        <v>0.33999999999999997</v>
      </c>
    </row>
    <row r="121" spans="1:23" x14ac:dyDescent="0.25">
      <c r="A121">
        <v>120</v>
      </c>
      <c r="B121" t="s">
        <v>967</v>
      </c>
      <c r="C121" s="1">
        <v>42894</v>
      </c>
      <c r="D121" s="1">
        <v>42898</v>
      </c>
      <c r="E121" t="s">
        <v>49</v>
      </c>
      <c r="F121" t="s">
        <v>968</v>
      </c>
      <c r="G121" t="s">
        <v>969</v>
      </c>
      <c r="H121" t="s">
        <v>40</v>
      </c>
      <c r="I121" t="s">
        <v>26</v>
      </c>
      <c r="J121" t="s">
        <v>596</v>
      </c>
      <c r="K121" t="s">
        <v>103</v>
      </c>
      <c r="L121">
        <v>77506</v>
      </c>
      <c r="M121" t="s">
        <v>104</v>
      </c>
      <c r="N121" t="s">
        <v>970</v>
      </c>
      <c r="O121" t="s">
        <v>45</v>
      </c>
      <c r="P121" t="s">
        <v>77</v>
      </c>
      <c r="Q121" t="s">
        <v>971</v>
      </c>
      <c r="R121">
        <v>1.6240000000000001</v>
      </c>
      <c r="S121">
        <v>2</v>
      </c>
      <c r="T121">
        <v>0.8</v>
      </c>
      <c r="U121">
        <v>-4.4660000000000002</v>
      </c>
      <c r="V121" t="str">
        <f t="shared" si="1"/>
        <v>Dorris liebe</v>
      </c>
      <c r="W121">
        <f>Table2[Profit]/Table2[Sales]</f>
        <v>-2.75</v>
      </c>
    </row>
    <row r="122" spans="1:23" x14ac:dyDescent="0.25">
      <c r="A122">
        <v>121</v>
      </c>
      <c r="B122" t="s">
        <v>972</v>
      </c>
      <c r="C122" s="1">
        <v>41901</v>
      </c>
      <c r="D122" s="1">
        <v>41903</v>
      </c>
      <c r="E122" t="s">
        <v>22</v>
      </c>
      <c r="F122" t="s">
        <v>973</v>
      </c>
      <c r="G122" t="s">
        <v>974</v>
      </c>
      <c r="H122" t="s">
        <v>40</v>
      </c>
      <c r="I122" t="s">
        <v>26</v>
      </c>
      <c r="J122" t="s">
        <v>181</v>
      </c>
      <c r="K122" t="s">
        <v>103</v>
      </c>
      <c r="L122">
        <v>77036</v>
      </c>
      <c r="M122" t="s">
        <v>104</v>
      </c>
      <c r="N122" t="s">
        <v>674</v>
      </c>
      <c r="O122" t="s">
        <v>70</v>
      </c>
      <c r="P122" t="s">
        <v>675</v>
      </c>
      <c r="Q122" t="s">
        <v>676</v>
      </c>
      <c r="R122">
        <v>3059.982</v>
      </c>
      <c r="S122">
        <v>3</v>
      </c>
      <c r="T122">
        <v>0.4</v>
      </c>
      <c r="U122">
        <v>-509.99700000000001</v>
      </c>
      <c r="V122" t="str">
        <f t="shared" si="1"/>
        <v>Sean Braxton</v>
      </c>
      <c r="W122">
        <f>Table2[Profit]/Table2[Sales]</f>
        <v>-0.16666666666666669</v>
      </c>
    </row>
    <row r="123" spans="1:23" x14ac:dyDescent="0.25">
      <c r="A123">
        <v>122</v>
      </c>
      <c r="B123" t="s">
        <v>975</v>
      </c>
      <c r="C123" s="1">
        <v>42527</v>
      </c>
      <c r="D123" s="1">
        <v>42534</v>
      </c>
      <c r="E123" t="s">
        <v>49</v>
      </c>
      <c r="F123" t="s">
        <v>976</v>
      </c>
      <c r="G123" t="s">
        <v>977</v>
      </c>
      <c r="H123" t="s">
        <v>25</v>
      </c>
      <c r="I123" t="s">
        <v>26</v>
      </c>
      <c r="J123" t="s">
        <v>296</v>
      </c>
      <c r="K123" t="s">
        <v>208</v>
      </c>
      <c r="L123">
        <v>60610</v>
      </c>
      <c r="M123" t="s">
        <v>104</v>
      </c>
      <c r="N123" t="s">
        <v>978</v>
      </c>
      <c r="O123" t="s">
        <v>70</v>
      </c>
      <c r="P123" t="s">
        <v>71</v>
      </c>
      <c r="Q123" t="s">
        <v>979</v>
      </c>
      <c r="R123">
        <v>328.22399999999999</v>
      </c>
      <c r="S123">
        <v>4</v>
      </c>
      <c r="T123">
        <v>0.2</v>
      </c>
      <c r="U123">
        <v>28.7196</v>
      </c>
      <c r="V123" t="str">
        <f t="shared" si="1"/>
        <v>Roy Collins</v>
      </c>
      <c r="W123">
        <f>Table2[Profit]/Table2[Sales]</f>
        <v>8.7500000000000008E-2</v>
      </c>
    </row>
    <row r="124" spans="1:23" x14ac:dyDescent="0.25">
      <c r="A124">
        <v>123</v>
      </c>
      <c r="B124" t="s">
        <v>980</v>
      </c>
      <c r="C124" s="1">
        <v>42318</v>
      </c>
      <c r="D124" s="1">
        <v>42323</v>
      </c>
      <c r="E124" t="s">
        <v>49</v>
      </c>
      <c r="F124" t="s">
        <v>981</v>
      </c>
      <c r="G124" t="s">
        <v>982</v>
      </c>
      <c r="H124" t="s">
        <v>25</v>
      </c>
      <c r="I124" t="s">
        <v>26</v>
      </c>
      <c r="J124" t="s">
        <v>983</v>
      </c>
      <c r="K124" t="s">
        <v>42</v>
      </c>
      <c r="L124">
        <v>94513</v>
      </c>
      <c r="M124" t="s">
        <v>43</v>
      </c>
      <c r="N124" t="s">
        <v>984</v>
      </c>
      <c r="O124" t="s">
        <v>70</v>
      </c>
      <c r="P124" t="s">
        <v>158</v>
      </c>
      <c r="Q124" t="s">
        <v>985</v>
      </c>
      <c r="R124">
        <v>79.900000000000006</v>
      </c>
      <c r="S124">
        <v>2</v>
      </c>
      <c r="T124">
        <v>0</v>
      </c>
      <c r="U124">
        <v>35.155999999999999</v>
      </c>
      <c r="V124" t="str">
        <f t="shared" si="1"/>
        <v>Alan Hwang</v>
      </c>
      <c r="W124">
        <f>Table2[Profit]/Table2[Sales]</f>
        <v>0.43999999999999995</v>
      </c>
    </row>
    <row r="125" spans="1:23" x14ac:dyDescent="0.25">
      <c r="A125">
        <v>124</v>
      </c>
      <c r="B125" t="s">
        <v>986</v>
      </c>
      <c r="C125" s="1">
        <v>42902</v>
      </c>
      <c r="D125" s="1">
        <v>42906</v>
      </c>
      <c r="E125" t="s">
        <v>49</v>
      </c>
      <c r="F125" t="s">
        <v>987</v>
      </c>
      <c r="G125" t="s">
        <v>988</v>
      </c>
      <c r="H125" t="s">
        <v>40</v>
      </c>
      <c r="I125" t="s">
        <v>26</v>
      </c>
      <c r="J125" t="s">
        <v>989</v>
      </c>
      <c r="K125" t="s">
        <v>87</v>
      </c>
      <c r="L125">
        <v>27514</v>
      </c>
      <c r="M125" t="s">
        <v>29</v>
      </c>
      <c r="N125" t="s">
        <v>990</v>
      </c>
      <c r="O125" t="s">
        <v>45</v>
      </c>
      <c r="P125" t="s">
        <v>67</v>
      </c>
      <c r="Q125" t="s">
        <v>991</v>
      </c>
      <c r="R125">
        <v>14.016</v>
      </c>
      <c r="S125">
        <v>3</v>
      </c>
      <c r="T125">
        <v>0.2</v>
      </c>
      <c r="U125">
        <v>4.7304000000000004</v>
      </c>
      <c r="V125" t="str">
        <f t="shared" si="1"/>
        <v>Claudia Bergmann</v>
      </c>
      <c r="W125">
        <f>Table2[Profit]/Table2[Sales]</f>
        <v>0.33750000000000002</v>
      </c>
    </row>
    <row r="126" spans="1:23" x14ac:dyDescent="0.25">
      <c r="A126">
        <v>125</v>
      </c>
      <c r="B126" t="s">
        <v>992</v>
      </c>
      <c r="C126" s="1">
        <v>42391</v>
      </c>
      <c r="D126" s="1">
        <v>42397</v>
      </c>
      <c r="E126" t="s">
        <v>49</v>
      </c>
      <c r="F126" t="s">
        <v>380</v>
      </c>
      <c r="G126" t="s">
        <v>381</v>
      </c>
      <c r="H126" t="s">
        <v>25</v>
      </c>
      <c r="I126" t="s">
        <v>26</v>
      </c>
      <c r="J126" t="s">
        <v>993</v>
      </c>
      <c r="K126" t="s">
        <v>781</v>
      </c>
      <c r="L126">
        <v>7960</v>
      </c>
      <c r="M126" t="s">
        <v>145</v>
      </c>
      <c r="N126" t="s">
        <v>994</v>
      </c>
      <c r="O126" t="s">
        <v>45</v>
      </c>
      <c r="P126" t="s">
        <v>266</v>
      </c>
      <c r="Q126" t="s">
        <v>995</v>
      </c>
      <c r="R126">
        <v>7.56</v>
      </c>
      <c r="S126">
        <v>6</v>
      </c>
      <c r="T126">
        <v>0</v>
      </c>
      <c r="U126">
        <v>0.3024</v>
      </c>
      <c r="V126" t="str">
        <f t="shared" si="1"/>
        <v>Paul Gonzalez</v>
      </c>
      <c r="W126">
        <f>Table2[Profit]/Table2[Sales]</f>
        <v>0.04</v>
      </c>
    </row>
    <row r="127" spans="1:23" x14ac:dyDescent="0.25">
      <c r="A127">
        <v>126</v>
      </c>
      <c r="B127" t="s">
        <v>996</v>
      </c>
      <c r="C127" s="1">
        <v>43078</v>
      </c>
      <c r="D127" s="1">
        <v>43082</v>
      </c>
      <c r="E127" t="s">
        <v>49</v>
      </c>
      <c r="F127" t="s">
        <v>997</v>
      </c>
      <c r="G127" t="s">
        <v>998</v>
      </c>
      <c r="H127" t="s">
        <v>40</v>
      </c>
      <c r="I127" t="s">
        <v>26</v>
      </c>
      <c r="J127" t="s">
        <v>999</v>
      </c>
      <c r="K127" t="s">
        <v>491</v>
      </c>
      <c r="L127">
        <v>45231</v>
      </c>
      <c r="M127" t="s">
        <v>145</v>
      </c>
      <c r="N127" t="s">
        <v>1000</v>
      </c>
      <c r="O127" t="s">
        <v>45</v>
      </c>
      <c r="P127" t="s">
        <v>58</v>
      </c>
      <c r="Q127" t="s">
        <v>1001</v>
      </c>
      <c r="R127">
        <v>37.207999999999998</v>
      </c>
      <c r="S127">
        <v>1</v>
      </c>
      <c r="T127">
        <v>0.2</v>
      </c>
      <c r="U127">
        <v>-7.4416000000000002</v>
      </c>
      <c r="V127" t="str">
        <f t="shared" si="1"/>
        <v>Christine Abelman</v>
      </c>
      <c r="W127">
        <f>Table2[Profit]/Table2[Sales]</f>
        <v>-0.2</v>
      </c>
    </row>
    <row r="128" spans="1:23" x14ac:dyDescent="0.25">
      <c r="A128">
        <v>127</v>
      </c>
      <c r="B128" t="s">
        <v>1004</v>
      </c>
      <c r="C128" s="1">
        <v>43097</v>
      </c>
      <c r="D128" s="1">
        <v>43102</v>
      </c>
      <c r="E128" t="s">
        <v>22</v>
      </c>
      <c r="F128" t="s">
        <v>1005</v>
      </c>
      <c r="G128" t="s">
        <v>1006</v>
      </c>
      <c r="H128" t="s">
        <v>40</v>
      </c>
      <c r="I128" t="s">
        <v>26</v>
      </c>
      <c r="J128" t="s">
        <v>126</v>
      </c>
      <c r="K128" t="s">
        <v>42</v>
      </c>
      <c r="L128">
        <v>94110</v>
      </c>
      <c r="M128" t="s">
        <v>43</v>
      </c>
      <c r="N128" t="s">
        <v>1007</v>
      </c>
      <c r="O128" t="s">
        <v>45</v>
      </c>
      <c r="P128" t="s">
        <v>58</v>
      </c>
      <c r="Q128" t="s">
        <v>1008</v>
      </c>
      <c r="R128">
        <v>725.84</v>
      </c>
      <c r="S128">
        <v>4</v>
      </c>
      <c r="T128">
        <v>0</v>
      </c>
      <c r="U128">
        <v>210.49359999999999</v>
      </c>
      <c r="V128" t="str">
        <f t="shared" si="1"/>
        <v>Kristen Hastings</v>
      </c>
      <c r="W128">
        <f>Table2[Profit]/Table2[Sales]</f>
        <v>0.28999999999999998</v>
      </c>
    </row>
    <row r="129" spans="1:23" x14ac:dyDescent="0.25">
      <c r="A129">
        <v>128</v>
      </c>
      <c r="B129" t="s">
        <v>1009</v>
      </c>
      <c r="C129" s="1">
        <v>42215</v>
      </c>
      <c r="D129" s="1">
        <v>42216</v>
      </c>
      <c r="E129" t="s">
        <v>185</v>
      </c>
      <c r="F129" t="s">
        <v>594</v>
      </c>
      <c r="G129" t="s">
        <v>595</v>
      </c>
      <c r="H129" t="s">
        <v>25</v>
      </c>
      <c r="I129" t="s">
        <v>26</v>
      </c>
      <c r="J129" t="s">
        <v>126</v>
      </c>
      <c r="K129" t="s">
        <v>42</v>
      </c>
      <c r="L129">
        <v>94109</v>
      </c>
      <c r="M129" t="s">
        <v>43</v>
      </c>
      <c r="N129" t="s">
        <v>1010</v>
      </c>
      <c r="O129" t="s">
        <v>70</v>
      </c>
      <c r="P129" t="s">
        <v>158</v>
      </c>
      <c r="Q129" t="s">
        <v>1011</v>
      </c>
      <c r="R129">
        <v>209.93</v>
      </c>
      <c r="S129">
        <v>7</v>
      </c>
      <c r="T129">
        <v>0</v>
      </c>
      <c r="U129">
        <v>92.369200000000006</v>
      </c>
      <c r="V129" t="str">
        <f t="shared" si="1"/>
        <v>Helen Andreada</v>
      </c>
      <c r="W129">
        <f>Table2[Profit]/Table2[Sales]</f>
        <v>0.44</v>
      </c>
    </row>
    <row r="130" spans="1:23" x14ac:dyDescent="0.25">
      <c r="A130">
        <v>129</v>
      </c>
      <c r="B130" t="s">
        <v>1016</v>
      </c>
      <c r="C130" s="1">
        <v>42994</v>
      </c>
      <c r="D130" s="1">
        <v>42995</v>
      </c>
      <c r="E130" t="s">
        <v>185</v>
      </c>
      <c r="F130" t="s">
        <v>1017</v>
      </c>
      <c r="G130" t="s">
        <v>1018</v>
      </c>
      <c r="H130" t="s">
        <v>40</v>
      </c>
      <c r="I130" t="s">
        <v>26</v>
      </c>
      <c r="J130" t="s">
        <v>1019</v>
      </c>
      <c r="K130" t="s">
        <v>42</v>
      </c>
      <c r="L130">
        <v>90301</v>
      </c>
      <c r="M130" t="s">
        <v>43</v>
      </c>
      <c r="N130" t="s">
        <v>1020</v>
      </c>
      <c r="O130" t="s">
        <v>45</v>
      </c>
      <c r="P130" t="s">
        <v>89</v>
      </c>
      <c r="Q130" t="s">
        <v>1021</v>
      </c>
      <c r="R130">
        <v>8.82</v>
      </c>
      <c r="S130">
        <v>2</v>
      </c>
      <c r="T130">
        <v>0</v>
      </c>
      <c r="U130">
        <v>4.0571999999999999</v>
      </c>
      <c r="V130" t="str">
        <f t="shared" si="1"/>
        <v>Barry Blumstein</v>
      </c>
      <c r="W130">
        <f>Table2[Profit]/Table2[Sales]</f>
        <v>0.45999999999999996</v>
      </c>
    </row>
    <row r="131" spans="1:23" x14ac:dyDescent="0.25">
      <c r="A131">
        <v>130</v>
      </c>
      <c r="B131" t="s">
        <v>1024</v>
      </c>
      <c r="C131" s="1">
        <v>43021</v>
      </c>
      <c r="D131" s="1">
        <v>43025</v>
      </c>
      <c r="E131" t="s">
        <v>49</v>
      </c>
      <c r="F131" t="s">
        <v>1025</v>
      </c>
      <c r="G131" t="s">
        <v>1026</v>
      </c>
      <c r="H131" t="s">
        <v>40</v>
      </c>
      <c r="I131" t="s">
        <v>26</v>
      </c>
      <c r="J131" t="s">
        <v>143</v>
      </c>
      <c r="K131" t="s">
        <v>144</v>
      </c>
      <c r="L131">
        <v>19140</v>
      </c>
      <c r="M131" t="s">
        <v>145</v>
      </c>
      <c r="N131" t="s">
        <v>1027</v>
      </c>
      <c r="O131" t="s">
        <v>45</v>
      </c>
      <c r="P131" t="s">
        <v>89</v>
      </c>
      <c r="Q131" t="s">
        <v>1028</v>
      </c>
      <c r="R131">
        <v>11.648</v>
      </c>
      <c r="S131">
        <v>2</v>
      </c>
      <c r="T131">
        <v>0.2</v>
      </c>
      <c r="U131">
        <v>4.0768000000000004</v>
      </c>
      <c r="V131" t="str">
        <f t="shared" ref="V131:V194" si="2">TRIM(G131)</f>
        <v>Andrew Gjertsen</v>
      </c>
      <c r="W131">
        <f>Table2[Profit]/Table2[Sales]</f>
        <v>0.35000000000000003</v>
      </c>
    </row>
    <row r="132" spans="1:23" x14ac:dyDescent="0.25">
      <c r="A132">
        <v>131</v>
      </c>
      <c r="B132" t="s">
        <v>1035</v>
      </c>
      <c r="C132" s="1">
        <v>42273</v>
      </c>
      <c r="D132" s="1">
        <v>42275</v>
      </c>
      <c r="E132" t="s">
        <v>22</v>
      </c>
      <c r="F132" t="s">
        <v>512</v>
      </c>
      <c r="G132" t="s">
        <v>513</v>
      </c>
      <c r="H132" t="s">
        <v>25</v>
      </c>
      <c r="I132" t="s">
        <v>26</v>
      </c>
      <c r="J132" t="s">
        <v>181</v>
      </c>
      <c r="K132" t="s">
        <v>103</v>
      </c>
      <c r="L132">
        <v>77070</v>
      </c>
      <c r="M132" t="s">
        <v>104</v>
      </c>
      <c r="N132" t="s">
        <v>1036</v>
      </c>
      <c r="O132" t="s">
        <v>45</v>
      </c>
      <c r="P132" t="s">
        <v>74</v>
      </c>
      <c r="Q132" t="s">
        <v>1037</v>
      </c>
      <c r="R132">
        <v>2.08</v>
      </c>
      <c r="S132">
        <v>5</v>
      </c>
      <c r="T132">
        <v>0.8</v>
      </c>
      <c r="U132">
        <v>-3.4319999999999999</v>
      </c>
      <c r="V132" t="str">
        <f t="shared" si="2"/>
        <v>Steven Cartwright</v>
      </c>
      <c r="W132">
        <f>Table2[Profit]/Table2[Sales]</f>
        <v>-1.65</v>
      </c>
    </row>
    <row r="133" spans="1:23" x14ac:dyDescent="0.25">
      <c r="A133">
        <v>132</v>
      </c>
      <c r="B133" t="s">
        <v>1040</v>
      </c>
      <c r="C133" s="1">
        <v>42310</v>
      </c>
      <c r="D133" s="1">
        <v>42314</v>
      </c>
      <c r="E133" t="s">
        <v>49</v>
      </c>
      <c r="F133" t="s">
        <v>1041</v>
      </c>
      <c r="G133" t="s">
        <v>1042</v>
      </c>
      <c r="H133" t="s">
        <v>25</v>
      </c>
      <c r="I133" t="s">
        <v>26</v>
      </c>
      <c r="J133" t="s">
        <v>41</v>
      </c>
      <c r="K133" t="s">
        <v>42</v>
      </c>
      <c r="L133">
        <v>90004</v>
      </c>
      <c r="M133" t="s">
        <v>43</v>
      </c>
      <c r="N133" t="s">
        <v>1043</v>
      </c>
      <c r="O133" t="s">
        <v>31</v>
      </c>
      <c r="P133" t="s">
        <v>55</v>
      </c>
      <c r="Q133" t="s">
        <v>1044</v>
      </c>
      <c r="R133">
        <v>1038.8399999999999</v>
      </c>
      <c r="S133">
        <v>5</v>
      </c>
      <c r="T133">
        <v>0.2</v>
      </c>
      <c r="U133">
        <v>51.942</v>
      </c>
      <c r="V133" t="str">
        <f t="shared" si="2"/>
        <v>Jas O'Carroll</v>
      </c>
      <c r="W133">
        <f>Table2[Profit]/Table2[Sales]</f>
        <v>0.05</v>
      </c>
    </row>
    <row r="134" spans="1:23" x14ac:dyDescent="0.25">
      <c r="A134">
        <v>133</v>
      </c>
      <c r="B134" t="s">
        <v>1045</v>
      </c>
      <c r="C134" s="1">
        <v>42273</v>
      </c>
      <c r="D134" s="1">
        <v>42279</v>
      </c>
      <c r="E134" t="s">
        <v>49</v>
      </c>
      <c r="F134" t="s">
        <v>161</v>
      </c>
      <c r="G134" t="s">
        <v>162</v>
      </c>
      <c r="H134" t="s">
        <v>25</v>
      </c>
      <c r="I134" t="s">
        <v>26</v>
      </c>
      <c r="J134" t="s">
        <v>412</v>
      </c>
      <c r="K134" t="s">
        <v>413</v>
      </c>
      <c r="L134">
        <v>97206</v>
      </c>
      <c r="M134" t="s">
        <v>43</v>
      </c>
      <c r="N134" t="s">
        <v>1046</v>
      </c>
      <c r="O134" t="s">
        <v>45</v>
      </c>
      <c r="P134" t="s">
        <v>89</v>
      </c>
      <c r="Q134" t="s">
        <v>183</v>
      </c>
      <c r="R134">
        <v>141.76</v>
      </c>
      <c r="S134">
        <v>5</v>
      </c>
      <c r="T134">
        <v>0.2</v>
      </c>
      <c r="U134">
        <v>47.844000000000001</v>
      </c>
      <c r="V134" t="str">
        <f t="shared" si="2"/>
        <v>Tracy Blumstein</v>
      </c>
      <c r="W134">
        <f>Table2[Profit]/Table2[Sales]</f>
        <v>0.33750000000000002</v>
      </c>
    </row>
    <row r="135" spans="1:23" x14ac:dyDescent="0.25">
      <c r="A135">
        <v>134</v>
      </c>
      <c r="B135" t="s">
        <v>1051</v>
      </c>
      <c r="C135" s="1">
        <v>42722</v>
      </c>
      <c r="D135" s="1">
        <v>42724</v>
      </c>
      <c r="E135" t="s">
        <v>22</v>
      </c>
      <c r="F135" t="s">
        <v>1052</v>
      </c>
      <c r="G135" t="s">
        <v>1053</v>
      </c>
      <c r="H135" t="s">
        <v>40</v>
      </c>
      <c r="I135" t="s">
        <v>26</v>
      </c>
      <c r="J135" t="s">
        <v>1054</v>
      </c>
      <c r="K135" t="s">
        <v>53</v>
      </c>
      <c r="L135">
        <v>33319</v>
      </c>
      <c r="M135" t="s">
        <v>29</v>
      </c>
      <c r="N135" t="s">
        <v>1055</v>
      </c>
      <c r="O135" t="s">
        <v>45</v>
      </c>
      <c r="P135" t="s">
        <v>74</v>
      </c>
      <c r="Q135" t="s">
        <v>1056</v>
      </c>
      <c r="R135">
        <v>254.05799999999999</v>
      </c>
      <c r="S135">
        <v>7</v>
      </c>
      <c r="T135">
        <v>0.7</v>
      </c>
      <c r="U135">
        <v>-169.37200000000001</v>
      </c>
      <c r="V135" t="str">
        <f t="shared" si="2"/>
        <v>Alan Haines</v>
      </c>
      <c r="W135">
        <f>Table2[Profit]/Table2[Sales]</f>
        <v>-0.66666666666666674</v>
      </c>
    </row>
    <row r="136" spans="1:23" x14ac:dyDescent="0.25">
      <c r="A136">
        <v>135</v>
      </c>
      <c r="B136" t="s">
        <v>1059</v>
      </c>
      <c r="C136" s="1">
        <v>42694</v>
      </c>
      <c r="D136" s="1">
        <v>42698</v>
      </c>
      <c r="E136" t="s">
        <v>22</v>
      </c>
      <c r="F136" t="s">
        <v>1060</v>
      </c>
      <c r="G136" t="s">
        <v>1061</v>
      </c>
      <c r="H136" t="s">
        <v>101</v>
      </c>
      <c r="I136" t="s">
        <v>26</v>
      </c>
      <c r="J136" t="s">
        <v>490</v>
      </c>
      <c r="K136" t="s">
        <v>491</v>
      </c>
      <c r="L136">
        <v>43229</v>
      </c>
      <c r="M136" t="s">
        <v>145</v>
      </c>
      <c r="N136" t="s">
        <v>1062</v>
      </c>
      <c r="O136" t="s">
        <v>45</v>
      </c>
      <c r="P136" t="s">
        <v>266</v>
      </c>
      <c r="Q136" t="s">
        <v>1063</v>
      </c>
      <c r="R136">
        <v>19.096</v>
      </c>
      <c r="S136">
        <v>7</v>
      </c>
      <c r="T136">
        <v>0.2</v>
      </c>
      <c r="U136">
        <v>6.6836000000000002</v>
      </c>
      <c r="V136" t="str">
        <f t="shared" si="2"/>
        <v>Nick Zandusky</v>
      </c>
      <c r="W136">
        <f>Table2[Profit]/Table2[Sales]</f>
        <v>0.35000000000000003</v>
      </c>
    </row>
    <row r="137" spans="1:23" x14ac:dyDescent="0.25">
      <c r="A137">
        <v>136</v>
      </c>
      <c r="B137" t="s">
        <v>1070</v>
      </c>
      <c r="C137" s="1">
        <v>41999</v>
      </c>
      <c r="D137" s="1">
        <v>42001</v>
      </c>
      <c r="E137" t="s">
        <v>185</v>
      </c>
      <c r="F137" t="s">
        <v>1071</v>
      </c>
      <c r="G137" t="s">
        <v>1072</v>
      </c>
      <c r="H137" t="s">
        <v>40</v>
      </c>
      <c r="I137" t="s">
        <v>26</v>
      </c>
      <c r="J137" t="s">
        <v>1073</v>
      </c>
      <c r="K137" t="s">
        <v>450</v>
      </c>
      <c r="L137">
        <v>80906</v>
      </c>
      <c r="M137" t="s">
        <v>43</v>
      </c>
      <c r="N137" t="s">
        <v>1074</v>
      </c>
      <c r="O137" t="s">
        <v>31</v>
      </c>
      <c r="P137" t="s">
        <v>64</v>
      </c>
      <c r="Q137" t="s">
        <v>1075</v>
      </c>
      <c r="R137">
        <v>300.416</v>
      </c>
      <c r="S137">
        <v>8</v>
      </c>
      <c r="T137">
        <v>0.2</v>
      </c>
      <c r="U137">
        <v>78.859200000000001</v>
      </c>
      <c r="V137" t="str">
        <f t="shared" si="2"/>
        <v>Kelly Lampkin</v>
      </c>
      <c r="W137">
        <f>Table2[Profit]/Table2[Sales]</f>
        <v>0.26250000000000001</v>
      </c>
    </row>
    <row r="138" spans="1:23" x14ac:dyDescent="0.25">
      <c r="A138">
        <v>137</v>
      </c>
      <c r="B138" t="s">
        <v>1084</v>
      </c>
      <c r="C138" s="1">
        <v>42671</v>
      </c>
      <c r="D138" s="1">
        <v>42677</v>
      </c>
      <c r="E138" t="s">
        <v>49</v>
      </c>
      <c r="F138" t="s">
        <v>575</v>
      </c>
      <c r="G138" t="s">
        <v>576</v>
      </c>
      <c r="H138" t="s">
        <v>40</v>
      </c>
      <c r="I138" t="s">
        <v>26</v>
      </c>
      <c r="J138" t="s">
        <v>1085</v>
      </c>
      <c r="K138" t="s">
        <v>781</v>
      </c>
      <c r="L138">
        <v>7109</v>
      </c>
      <c r="M138" t="s">
        <v>145</v>
      </c>
      <c r="N138" t="s">
        <v>1086</v>
      </c>
      <c r="O138" t="s">
        <v>45</v>
      </c>
      <c r="P138" t="s">
        <v>89</v>
      </c>
      <c r="Q138" t="s">
        <v>1087</v>
      </c>
      <c r="R138">
        <v>32.4</v>
      </c>
      <c r="S138">
        <v>5</v>
      </c>
      <c r="T138">
        <v>0</v>
      </c>
      <c r="U138">
        <v>15.552</v>
      </c>
      <c r="V138" t="str">
        <f t="shared" si="2"/>
        <v>Jonathan Doherty</v>
      </c>
      <c r="W138">
        <f>Table2[Profit]/Table2[Sales]</f>
        <v>0.48</v>
      </c>
    </row>
    <row r="139" spans="1:23" x14ac:dyDescent="0.25">
      <c r="A139">
        <v>138</v>
      </c>
      <c r="B139" t="s">
        <v>1096</v>
      </c>
      <c r="C139" s="1">
        <v>43058</v>
      </c>
      <c r="D139" s="1">
        <v>43062</v>
      </c>
      <c r="E139" t="s">
        <v>49</v>
      </c>
      <c r="F139" t="s">
        <v>852</v>
      </c>
      <c r="G139" t="s">
        <v>853</v>
      </c>
      <c r="H139" t="s">
        <v>25</v>
      </c>
      <c r="I139" t="s">
        <v>26</v>
      </c>
      <c r="J139" t="s">
        <v>296</v>
      </c>
      <c r="K139" t="s">
        <v>208</v>
      </c>
      <c r="L139">
        <v>60623</v>
      </c>
      <c r="M139" t="s">
        <v>104</v>
      </c>
      <c r="N139" t="s">
        <v>1097</v>
      </c>
      <c r="O139" t="s">
        <v>31</v>
      </c>
      <c r="P139" t="s">
        <v>55</v>
      </c>
      <c r="Q139" t="s">
        <v>1098</v>
      </c>
      <c r="R139">
        <v>219.07499999999999</v>
      </c>
      <c r="S139">
        <v>3</v>
      </c>
      <c r="T139">
        <v>0.5</v>
      </c>
      <c r="U139">
        <v>-131.44499999999999</v>
      </c>
      <c r="V139" t="str">
        <f t="shared" si="2"/>
        <v>Jonathan Howell</v>
      </c>
      <c r="W139">
        <f>Table2[Profit]/Table2[Sales]</f>
        <v>-0.6</v>
      </c>
    </row>
    <row r="140" spans="1:23" x14ac:dyDescent="0.25">
      <c r="A140">
        <v>139</v>
      </c>
      <c r="B140" t="s">
        <v>1099</v>
      </c>
      <c r="C140" s="1">
        <v>42128</v>
      </c>
      <c r="D140" s="1">
        <v>42133</v>
      </c>
      <c r="E140" t="s">
        <v>22</v>
      </c>
      <c r="F140" t="s">
        <v>1100</v>
      </c>
      <c r="G140" t="s">
        <v>1101</v>
      </c>
      <c r="H140" t="s">
        <v>40</v>
      </c>
      <c r="I140" t="s">
        <v>26</v>
      </c>
      <c r="J140" t="s">
        <v>263</v>
      </c>
      <c r="K140" t="s">
        <v>264</v>
      </c>
      <c r="L140">
        <v>10024</v>
      </c>
      <c r="M140" t="s">
        <v>145</v>
      </c>
      <c r="N140" t="s">
        <v>1102</v>
      </c>
      <c r="O140" t="s">
        <v>31</v>
      </c>
      <c r="P140" t="s">
        <v>64</v>
      </c>
      <c r="Q140" t="s">
        <v>1103</v>
      </c>
      <c r="R140">
        <v>26.8</v>
      </c>
      <c r="S140">
        <v>2</v>
      </c>
      <c r="T140">
        <v>0</v>
      </c>
      <c r="U140">
        <v>12.864000000000001</v>
      </c>
      <c r="V140" t="str">
        <f t="shared" si="2"/>
        <v>Alan Schoenberger</v>
      </c>
      <c r="W140">
        <f>Table2[Profit]/Table2[Sales]</f>
        <v>0.48000000000000004</v>
      </c>
    </row>
    <row r="141" spans="1:23" x14ac:dyDescent="0.25">
      <c r="A141">
        <v>140</v>
      </c>
      <c r="B141" t="s">
        <v>1104</v>
      </c>
      <c r="C141" s="1">
        <v>42003</v>
      </c>
      <c r="D141" s="1">
        <v>42008</v>
      </c>
      <c r="E141" t="s">
        <v>49</v>
      </c>
      <c r="F141" t="s">
        <v>336</v>
      </c>
      <c r="G141" t="s">
        <v>337</v>
      </c>
      <c r="H141" t="s">
        <v>40</v>
      </c>
      <c r="I141" t="s">
        <v>26</v>
      </c>
      <c r="J141" t="s">
        <v>1105</v>
      </c>
      <c r="K141" t="s">
        <v>235</v>
      </c>
      <c r="L141">
        <v>48180</v>
      </c>
      <c r="M141" t="s">
        <v>104</v>
      </c>
      <c r="N141" t="s">
        <v>1106</v>
      </c>
      <c r="O141" t="s">
        <v>45</v>
      </c>
      <c r="P141" t="s">
        <v>67</v>
      </c>
      <c r="Q141" t="s">
        <v>1107</v>
      </c>
      <c r="R141">
        <v>9.84</v>
      </c>
      <c r="S141">
        <v>3</v>
      </c>
      <c r="T141">
        <v>0</v>
      </c>
      <c r="U141">
        <v>2.8536000000000001</v>
      </c>
      <c r="V141" t="str">
        <f t="shared" si="2"/>
        <v>Ken Brennan</v>
      </c>
      <c r="W141">
        <f>Table2[Profit]/Table2[Sales]</f>
        <v>0.29000000000000004</v>
      </c>
    </row>
    <row r="142" spans="1:23" x14ac:dyDescent="0.25">
      <c r="A142">
        <v>141</v>
      </c>
      <c r="B142" t="s">
        <v>1108</v>
      </c>
      <c r="C142" s="1">
        <v>41791</v>
      </c>
      <c r="D142" s="1">
        <v>41796</v>
      </c>
      <c r="E142" t="s">
        <v>49</v>
      </c>
      <c r="F142" t="s">
        <v>1109</v>
      </c>
      <c r="G142" t="s">
        <v>1110</v>
      </c>
      <c r="H142" t="s">
        <v>101</v>
      </c>
      <c r="I142" t="s">
        <v>26</v>
      </c>
      <c r="J142" t="s">
        <v>1111</v>
      </c>
      <c r="K142" t="s">
        <v>781</v>
      </c>
      <c r="L142">
        <v>8701</v>
      </c>
      <c r="M142" t="s">
        <v>145</v>
      </c>
      <c r="N142" t="s">
        <v>1112</v>
      </c>
      <c r="O142" t="s">
        <v>45</v>
      </c>
      <c r="P142" t="s">
        <v>74</v>
      </c>
      <c r="Q142" t="s">
        <v>1113</v>
      </c>
      <c r="R142">
        <v>45.48</v>
      </c>
      <c r="S142">
        <v>3</v>
      </c>
      <c r="T142">
        <v>0</v>
      </c>
      <c r="U142">
        <v>20.9208</v>
      </c>
      <c r="V142" t="str">
        <f t="shared" si="2"/>
        <v>Corey Roper</v>
      </c>
      <c r="W142">
        <f>Table2[Profit]/Table2[Sales]</f>
        <v>0.46</v>
      </c>
    </row>
    <row r="143" spans="1:23" x14ac:dyDescent="0.25">
      <c r="A143">
        <v>142</v>
      </c>
      <c r="B143" t="s">
        <v>1116</v>
      </c>
      <c r="C143" s="1">
        <v>42840</v>
      </c>
      <c r="D143" s="1">
        <v>42842</v>
      </c>
      <c r="E143" t="s">
        <v>185</v>
      </c>
      <c r="F143" t="s">
        <v>1117</v>
      </c>
      <c r="G143" t="s">
        <v>1118</v>
      </c>
      <c r="H143" t="s">
        <v>25</v>
      </c>
      <c r="I143" t="s">
        <v>26</v>
      </c>
      <c r="J143" t="s">
        <v>1119</v>
      </c>
      <c r="K143" t="s">
        <v>312</v>
      </c>
      <c r="L143">
        <v>22204</v>
      </c>
      <c r="M143" t="s">
        <v>29</v>
      </c>
      <c r="N143" t="s">
        <v>1120</v>
      </c>
      <c r="O143" t="s">
        <v>45</v>
      </c>
      <c r="P143" t="s">
        <v>67</v>
      </c>
      <c r="Q143" t="s">
        <v>1121</v>
      </c>
      <c r="R143">
        <v>4.8899999999999997</v>
      </c>
      <c r="S143">
        <v>1</v>
      </c>
      <c r="T143">
        <v>0</v>
      </c>
      <c r="U143">
        <v>2.0049000000000001</v>
      </c>
      <c r="V143" t="str">
        <f t="shared" si="2"/>
        <v>Shahid Hopkins</v>
      </c>
      <c r="W143">
        <f>Table2[Profit]/Table2[Sales]</f>
        <v>0.41000000000000003</v>
      </c>
    </row>
    <row r="144" spans="1:23" x14ac:dyDescent="0.25">
      <c r="A144">
        <v>143</v>
      </c>
      <c r="B144" t="s">
        <v>1122</v>
      </c>
      <c r="C144" s="1">
        <v>42625</v>
      </c>
      <c r="D144" s="1">
        <v>42627</v>
      </c>
      <c r="E144" t="s">
        <v>22</v>
      </c>
      <c r="F144" t="s">
        <v>1123</v>
      </c>
      <c r="G144" t="s">
        <v>1124</v>
      </c>
      <c r="H144" t="s">
        <v>40</v>
      </c>
      <c r="I144" t="s">
        <v>26</v>
      </c>
      <c r="J144" t="s">
        <v>1125</v>
      </c>
      <c r="K144" t="s">
        <v>450</v>
      </c>
      <c r="L144">
        <v>80004</v>
      </c>
      <c r="M144" t="s">
        <v>43</v>
      </c>
      <c r="N144" t="s">
        <v>1126</v>
      </c>
      <c r="O144" t="s">
        <v>31</v>
      </c>
      <c r="P144" t="s">
        <v>64</v>
      </c>
      <c r="Q144" t="s">
        <v>1127</v>
      </c>
      <c r="R144">
        <v>15.135999999999999</v>
      </c>
      <c r="S144">
        <v>4</v>
      </c>
      <c r="T144">
        <v>0.2</v>
      </c>
      <c r="U144">
        <v>3.5948000000000002</v>
      </c>
      <c r="V144" t="str">
        <f t="shared" si="2"/>
        <v>Ben Peterman</v>
      </c>
      <c r="W144">
        <f>Table2[Profit]/Table2[Sales]</f>
        <v>0.23750000000000002</v>
      </c>
    </row>
    <row r="145" spans="1:23" x14ac:dyDescent="0.25">
      <c r="A145">
        <v>144</v>
      </c>
      <c r="B145" t="s">
        <v>1132</v>
      </c>
      <c r="C145" s="1">
        <v>41909</v>
      </c>
      <c r="D145" s="1">
        <v>41915</v>
      </c>
      <c r="E145" t="s">
        <v>49</v>
      </c>
      <c r="F145" t="s">
        <v>1133</v>
      </c>
      <c r="G145" t="s">
        <v>1134</v>
      </c>
      <c r="H145" t="s">
        <v>40</v>
      </c>
      <c r="I145" t="s">
        <v>26</v>
      </c>
      <c r="J145" t="s">
        <v>1135</v>
      </c>
      <c r="K145" t="s">
        <v>781</v>
      </c>
      <c r="L145">
        <v>7601</v>
      </c>
      <c r="M145" t="s">
        <v>145</v>
      </c>
      <c r="N145" t="s">
        <v>1136</v>
      </c>
      <c r="O145" t="s">
        <v>31</v>
      </c>
      <c r="P145" t="s">
        <v>64</v>
      </c>
      <c r="Q145" t="s">
        <v>1137</v>
      </c>
      <c r="R145">
        <v>87.54</v>
      </c>
      <c r="S145">
        <v>3</v>
      </c>
      <c r="T145">
        <v>0</v>
      </c>
      <c r="U145">
        <v>37.642200000000003</v>
      </c>
      <c r="V145" t="str">
        <f t="shared" si="2"/>
        <v>Thomas Seio</v>
      </c>
      <c r="W145">
        <f>Table2[Profit]/Table2[Sales]</f>
        <v>0.43</v>
      </c>
    </row>
    <row r="146" spans="1:23" x14ac:dyDescent="0.25">
      <c r="A146">
        <v>145</v>
      </c>
      <c r="B146" t="s">
        <v>1138</v>
      </c>
      <c r="C146" s="1">
        <v>41860</v>
      </c>
      <c r="D146" s="1">
        <v>41867</v>
      </c>
      <c r="E146" t="s">
        <v>49</v>
      </c>
      <c r="F146" t="s">
        <v>1139</v>
      </c>
      <c r="G146" t="s">
        <v>1140</v>
      </c>
      <c r="H146" t="s">
        <v>40</v>
      </c>
      <c r="I146" t="s">
        <v>26</v>
      </c>
      <c r="J146" t="s">
        <v>1141</v>
      </c>
      <c r="K146" t="s">
        <v>53</v>
      </c>
      <c r="L146">
        <v>33710</v>
      </c>
      <c r="M146" t="s">
        <v>29</v>
      </c>
      <c r="N146" t="s">
        <v>1142</v>
      </c>
      <c r="O146" t="s">
        <v>70</v>
      </c>
      <c r="P146" t="s">
        <v>71</v>
      </c>
      <c r="Q146" t="s">
        <v>1143</v>
      </c>
      <c r="R146">
        <v>178.38399999999999</v>
      </c>
      <c r="S146">
        <v>2</v>
      </c>
      <c r="T146">
        <v>0.2</v>
      </c>
      <c r="U146">
        <v>22.297999999999998</v>
      </c>
      <c r="V146" t="str">
        <f t="shared" si="2"/>
        <v>Andy Gerbode</v>
      </c>
      <c r="W146">
        <f>Table2[Profit]/Table2[Sales]</f>
        <v>0.125</v>
      </c>
    </row>
    <row r="147" spans="1:23" x14ac:dyDescent="0.25">
      <c r="A147">
        <v>146</v>
      </c>
      <c r="B147" t="s">
        <v>1146</v>
      </c>
      <c r="C147" s="1">
        <v>42001</v>
      </c>
      <c r="D147" s="1">
        <v>42003</v>
      </c>
      <c r="E147" t="s">
        <v>185</v>
      </c>
      <c r="F147" t="s">
        <v>1147</v>
      </c>
      <c r="G147" t="s">
        <v>1148</v>
      </c>
      <c r="H147" t="s">
        <v>40</v>
      </c>
      <c r="I147" t="s">
        <v>26</v>
      </c>
      <c r="J147" t="s">
        <v>143</v>
      </c>
      <c r="K147" t="s">
        <v>144</v>
      </c>
      <c r="L147">
        <v>19143</v>
      </c>
      <c r="M147" t="s">
        <v>145</v>
      </c>
      <c r="N147" t="s">
        <v>1149</v>
      </c>
      <c r="O147" t="s">
        <v>45</v>
      </c>
      <c r="P147" t="s">
        <v>67</v>
      </c>
      <c r="Q147" t="s">
        <v>1150</v>
      </c>
      <c r="R147">
        <v>99.135999999999996</v>
      </c>
      <c r="S147">
        <v>4</v>
      </c>
      <c r="T147">
        <v>0.2</v>
      </c>
      <c r="U147">
        <v>8.6744000000000003</v>
      </c>
      <c r="V147" t="str">
        <f t="shared" si="2"/>
        <v>Sung Pak</v>
      </c>
      <c r="W147">
        <f>Table2[Profit]/Table2[Sales]</f>
        <v>8.7500000000000008E-2</v>
      </c>
    </row>
    <row r="148" spans="1:23" x14ac:dyDescent="0.25">
      <c r="A148">
        <v>147</v>
      </c>
      <c r="B148" t="s">
        <v>1151</v>
      </c>
      <c r="C148" s="1">
        <v>41947</v>
      </c>
      <c r="D148" s="1">
        <v>41952</v>
      </c>
      <c r="E148" t="s">
        <v>49</v>
      </c>
      <c r="F148" t="s">
        <v>1152</v>
      </c>
      <c r="G148" t="s">
        <v>1153</v>
      </c>
      <c r="H148" t="s">
        <v>101</v>
      </c>
      <c r="I148" t="s">
        <v>26</v>
      </c>
      <c r="J148" t="s">
        <v>263</v>
      </c>
      <c r="K148" t="s">
        <v>264</v>
      </c>
      <c r="L148">
        <v>10024</v>
      </c>
      <c r="M148" t="s">
        <v>145</v>
      </c>
      <c r="N148" t="s">
        <v>1154</v>
      </c>
      <c r="O148" t="s">
        <v>31</v>
      </c>
      <c r="P148" t="s">
        <v>35</v>
      </c>
      <c r="Q148" t="s">
        <v>1155</v>
      </c>
      <c r="R148">
        <v>135.88200000000001</v>
      </c>
      <c r="S148">
        <v>1</v>
      </c>
      <c r="T148">
        <v>0.1</v>
      </c>
      <c r="U148">
        <v>24.1568</v>
      </c>
      <c r="V148" t="str">
        <f t="shared" si="2"/>
        <v>Nathan Mautz</v>
      </c>
      <c r="W148">
        <f>Table2[Profit]/Table2[Sales]</f>
        <v>0.17777777777777778</v>
      </c>
    </row>
    <row r="149" spans="1:23" x14ac:dyDescent="0.25">
      <c r="A149">
        <v>148</v>
      </c>
      <c r="B149" t="s">
        <v>1158</v>
      </c>
      <c r="C149" s="1">
        <v>41901</v>
      </c>
      <c r="D149" s="1">
        <v>41906</v>
      </c>
      <c r="E149" t="s">
        <v>49</v>
      </c>
      <c r="F149" t="s">
        <v>1159</v>
      </c>
      <c r="G149" t="s">
        <v>1160</v>
      </c>
      <c r="H149" t="s">
        <v>40</v>
      </c>
      <c r="I149" t="s">
        <v>26</v>
      </c>
      <c r="J149" t="s">
        <v>1161</v>
      </c>
      <c r="K149" t="s">
        <v>42</v>
      </c>
      <c r="L149">
        <v>90805</v>
      </c>
      <c r="M149" t="s">
        <v>43</v>
      </c>
      <c r="N149" t="s">
        <v>1162</v>
      </c>
      <c r="O149" t="s">
        <v>45</v>
      </c>
      <c r="P149" t="s">
        <v>266</v>
      </c>
      <c r="Q149" t="s">
        <v>1163</v>
      </c>
      <c r="R149">
        <v>7.16</v>
      </c>
      <c r="S149">
        <v>2</v>
      </c>
      <c r="T149">
        <v>0</v>
      </c>
      <c r="U149">
        <v>3.58</v>
      </c>
      <c r="V149" t="str">
        <f t="shared" si="2"/>
        <v>Frank Atkinson</v>
      </c>
      <c r="W149">
        <f>Table2[Profit]/Table2[Sales]</f>
        <v>0.5</v>
      </c>
    </row>
    <row r="150" spans="1:23" x14ac:dyDescent="0.25">
      <c r="A150">
        <v>149</v>
      </c>
      <c r="B150" t="s">
        <v>1164</v>
      </c>
      <c r="C150" s="1">
        <v>42483</v>
      </c>
      <c r="D150" s="1">
        <v>42487</v>
      </c>
      <c r="E150" t="s">
        <v>49</v>
      </c>
      <c r="F150" t="s">
        <v>1165</v>
      </c>
      <c r="G150" t="s">
        <v>1166</v>
      </c>
      <c r="H150" t="s">
        <v>40</v>
      </c>
      <c r="I150" t="s">
        <v>26</v>
      </c>
      <c r="J150" t="s">
        <v>1167</v>
      </c>
      <c r="K150" t="s">
        <v>42</v>
      </c>
      <c r="L150">
        <v>92345</v>
      </c>
      <c r="M150" t="s">
        <v>43</v>
      </c>
      <c r="N150" t="s">
        <v>1080</v>
      </c>
      <c r="O150" t="s">
        <v>45</v>
      </c>
      <c r="P150" t="s">
        <v>74</v>
      </c>
      <c r="Q150" t="s">
        <v>1081</v>
      </c>
      <c r="R150">
        <v>251.52</v>
      </c>
      <c r="S150">
        <v>6</v>
      </c>
      <c r="T150">
        <v>0.2</v>
      </c>
      <c r="U150">
        <v>81.744</v>
      </c>
      <c r="V150" t="str">
        <f t="shared" si="2"/>
        <v>Grace Kelly</v>
      </c>
      <c r="W150">
        <f>Table2[Profit]/Table2[Sales]</f>
        <v>0.32500000000000001</v>
      </c>
    </row>
    <row r="151" spans="1:23" x14ac:dyDescent="0.25">
      <c r="A151">
        <v>150</v>
      </c>
      <c r="B151" t="s">
        <v>1170</v>
      </c>
      <c r="C151" s="1">
        <v>43042</v>
      </c>
      <c r="D151" s="1">
        <v>43044</v>
      </c>
      <c r="E151" t="s">
        <v>22</v>
      </c>
      <c r="F151" t="s">
        <v>1171</v>
      </c>
      <c r="G151" t="s">
        <v>1172</v>
      </c>
      <c r="H151" t="s">
        <v>40</v>
      </c>
      <c r="I151" t="s">
        <v>26</v>
      </c>
      <c r="J151" t="s">
        <v>1173</v>
      </c>
      <c r="K151" t="s">
        <v>328</v>
      </c>
      <c r="L151">
        <v>37130</v>
      </c>
      <c r="M151" t="s">
        <v>29</v>
      </c>
      <c r="N151" t="s">
        <v>1174</v>
      </c>
      <c r="O151" t="s">
        <v>31</v>
      </c>
      <c r="P151" t="s">
        <v>64</v>
      </c>
      <c r="Q151" t="s">
        <v>1175</v>
      </c>
      <c r="R151">
        <v>15.992000000000001</v>
      </c>
      <c r="S151">
        <v>1</v>
      </c>
      <c r="T151">
        <v>0.2</v>
      </c>
      <c r="U151">
        <v>0.99950000000000006</v>
      </c>
      <c r="V151" t="str">
        <f t="shared" si="2"/>
        <v>Don Jones</v>
      </c>
      <c r="W151">
        <f>Table2[Profit]/Table2[Sales]</f>
        <v>6.25E-2</v>
      </c>
    </row>
    <row r="152" spans="1:23" x14ac:dyDescent="0.25">
      <c r="A152">
        <v>151</v>
      </c>
      <c r="B152" t="s">
        <v>1176</v>
      </c>
      <c r="C152" s="1">
        <v>42612</v>
      </c>
      <c r="D152" s="1">
        <v>42614</v>
      </c>
      <c r="E152" t="s">
        <v>185</v>
      </c>
      <c r="F152" t="s">
        <v>1177</v>
      </c>
      <c r="G152" t="s">
        <v>1178</v>
      </c>
      <c r="H152" t="s">
        <v>25</v>
      </c>
      <c r="I152" t="s">
        <v>26</v>
      </c>
      <c r="J152" t="s">
        <v>143</v>
      </c>
      <c r="K152" t="s">
        <v>144</v>
      </c>
      <c r="L152">
        <v>19143</v>
      </c>
      <c r="M152" t="s">
        <v>145</v>
      </c>
      <c r="N152" t="s">
        <v>1179</v>
      </c>
      <c r="O152" t="s">
        <v>70</v>
      </c>
      <c r="P152" t="s">
        <v>71</v>
      </c>
      <c r="Q152" t="s">
        <v>1180</v>
      </c>
      <c r="R152">
        <v>290.89800000000002</v>
      </c>
      <c r="S152">
        <v>3</v>
      </c>
      <c r="T152">
        <v>0.4</v>
      </c>
      <c r="U152">
        <v>-67.876199999999997</v>
      </c>
      <c r="V152" t="str">
        <f t="shared" si="2"/>
        <v>Patrick O'Brill</v>
      </c>
      <c r="W152">
        <f>Table2[Profit]/Table2[Sales]</f>
        <v>-0.23333333333333331</v>
      </c>
    </row>
    <row r="153" spans="1:23" x14ac:dyDescent="0.25">
      <c r="A153">
        <v>152</v>
      </c>
      <c r="B153" t="s">
        <v>1189</v>
      </c>
      <c r="C153" s="1">
        <v>42485</v>
      </c>
      <c r="D153" s="1">
        <v>42489</v>
      </c>
      <c r="E153" t="s">
        <v>22</v>
      </c>
      <c r="F153" t="s">
        <v>1190</v>
      </c>
      <c r="G153" t="s">
        <v>1191</v>
      </c>
      <c r="H153" t="s">
        <v>25</v>
      </c>
      <c r="I153" t="s">
        <v>26</v>
      </c>
      <c r="J153" t="s">
        <v>143</v>
      </c>
      <c r="K153" t="s">
        <v>144</v>
      </c>
      <c r="L153">
        <v>19134</v>
      </c>
      <c r="M153" t="s">
        <v>145</v>
      </c>
      <c r="N153" t="s">
        <v>1192</v>
      </c>
      <c r="O153" t="s">
        <v>70</v>
      </c>
      <c r="P153" t="s">
        <v>71</v>
      </c>
      <c r="Q153" t="s">
        <v>1193</v>
      </c>
      <c r="R153">
        <v>82.8</v>
      </c>
      <c r="S153">
        <v>2</v>
      </c>
      <c r="T153">
        <v>0.4</v>
      </c>
      <c r="U153">
        <v>-20.7</v>
      </c>
      <c r="V153" t="str">
        <f t="shared" si="2"/>
        <v>John Lucas</v>
      </c>
      <c r="W153">
        <f>Table2[Profit]/Table2[Sales]</f>
        <v>-0.25</v>
      </c>
    </row>
    <row r="154" spans="1:23" x14ac:dyDescent="0.25">
      <c r="A154">
        <v>153</v>
      </c>
      <c r="B154" t="s">
        <v>1198</v>
      </c>
      <c r="C154" s="1">
        <v>42248</v>
      </c>
      <c r="D154" s="1">
        <v>42251</v>
      </c>
      <c r="E154" t="s">
        <v>22</v>
      </c>
      <c r="F154" t="s">
        <v>1199</v>
      </c>
      <c r="G154" t="s">
        <v>1200</v>
      </c>
      <c r="H154" t="s">
        <v>25</v>
      </c>
      <c r="I154" t="s">
        <v>26</v>
      </c>
      <c r="J154" t="s">
        <v>41</v>
      </c>
      <c r="K154" t="s">
        <v>42</v>
      </c>
      <c r="L154">
        <v>90045</v>
      </c>
      <c r="M154" t="s">
        <v>43</v>
      </c>
      <c r="N154" t="s">
        <v>1201</v>
      </c>
      <c r="O154" t="s">
        <v>45</v>
      </c>
      <c r="P154" t="s">
        <v>74</v>
      </c>
      <c r="Q154" t="s">
        <v>1202</v>
      </c>
      <c r="R154">
        <v>4.7519999999999998</v>
      </c>
      <c r="S154">
        <v>1</v>
      </c>
      <c r="T154">
        <v>0.2</v>
      </c>
      <c r="U154">
        <v>1.6037999999999999</v>
      </c>
      <c r="V154" t="str">
        <f t="shared" si="2"/>
        <v>Doug Bickford</v>
      </c>
      <c r="W154">
        <f>Table2[Profit]/Table2[Sales]</f>
        <v>0.33749999999999997</v>
      </c>
    </row>
    <row r="155" spans="1:23" x14ac:dyDescent="0.25">
      <c r="A155">
        <v>154</v>
      </c>
      <c r="B155" t="s">
        <v>1208</v>
      </c>
      <c r="C155" s="1">
        <v>41832</v>
      </c>
      <c r="D155" s="1">
        <v>41837</v>
      </c>
      <c r="E155" t="s">
        <v>49</v>
      </c>
      <c r="F155" t="s">
        <v>1209</v>
      </c>
      <c r="G155" t="s">
        <v>1210</v>
      </c>
      <c r="H155" t="s">
        <v>40</v>
      </c>
      <c r="I155" t="s">
        <v>26</v>
      </c>
      <c r="J155" t="s">
        <v>126</v>
      </c>
      <c r="K155" t="s">
        <v>42</v>
      </c>
      <c r="L155">
        <v>94122</v>
      </c>
      <c r="M155" t="s">
        <v>43</v>
      </c>
      <c r="N155" t="s">
        <v>1211</v>
      </c>
      <c r="O155" t="s">
        <v>45</v>
      </c>
      <c r="P155" t="s">
        <v>74</v>
      </c>
      <c r="Q155" t="s">
        <v>1212</v>
      </c>
      <c r="R155">
        <v>7.7119999999999997</v>
      </c>
      <c r="S155">
        <v>2</v>
      </c>
      <c r="T155">
        <v>0.2</v>
      </c>
      <c r="U155">
        <v>2.7955999999999999</v>
      </c>
      <c r="V155" t="str">
        <f t="shared" si="2"/>
        <v>Alyssa Crouse</v>
      </c>
      <c r="W155">
        <f>Table2[Profit]/Table2[Sales]</f>
        <v>0.36249999999999999</v>
      </c>
    </row>
    <row r="156" spans="1:23" x14ac:dyDescent="0.25">
      <c r="A156">
        <v>155</v>
      </c>
      <c r="B156" t="s">
        <v>1215</v>
      </c>
      <c r="C156" s="1">
        <v>42177</v>
      </c>
      <c r="D156" s="1">
        <v>42181</v>
      </c>
      <c r="E156" t="s">
        <v>22</v>
      </c>
      <c r="F156" t="s">
        <v>909</v>
      </c>
      <c r="G156" t="s">
        <v>910</v>
      </c>
      <c r="H156" t="s">
        <v>25</v>
      </c>
      <c r="I156" t="s">
        <v>26</v>
      </c>
      <c r="J156" t="s">
        <v>1216</v>
      </c>
      <c r="K156" t="s">
        <v>120</v>
      </c>
      <c r="L156">
        <v>84041</v>
      </c>
      <c r="M156" t="s">
        <v>43</v>
      </c>
      <c r="N156" t="s">
        <v>1217</v>
      </c>
      <c r="O156" t="s">
        <v>45</v>
      </c>
      <c r="P156" t="s">
        <v>266</v>
      </c>
      <c r="Q156" t="s">
        <v>1218</v>
      </c>
      <c r="R156">
        <v>4.96</v>
      </c>
      <c r="S156">
        <v>4</v>
      </c>
      <c r="T156">
        <v>0</v>
      </c>
      <c r="U156">
        <v>2.3311999999999999</v>
      </c>
      <c r="V156" t="str">
        <f t="shared" si="2"/>
        <v>Ken Lonsdale</v>
      </c>
      <c r="W156">
        <f>Table2[Profit]/Table2[Sales]</f>
        <v>0.47</v>
      </c>
    </row>
    <row r="157" spans="1:23" x14ac:dyDescent="0.25">
      <c r="A157">
        <v>156</v>
      </c>
      <c r="B157" t="s">
        <v>1219</v>
      </c>
      <c r="C157" s="1">
        <v>41742</v>
      </c>
      <c r="D157" s="1">
        <v>41746</v>
      </c>
      <c r="E157" t="s">
        <v>22</v>
      </c>
      <c r="F157" t="s">
        <v>575</v>
      </c>
      <c r="G157" t="s">
        <v>576</v>
      </c>
      <c r="H157" t="s">
        <v>40</v>
      </c>
      <c r="I157" t="s">
        <v>26</v>
      </c>
      <c r="J157" t="s">
        <v>143</v>
      </c>
      <c r="K157" t="s">
        <v>144</v>
      </c>
      <c r="L157">
        <v>19140</v>
      </c>
      <c r="M157" t="s">
        <v>145</v>
      </c>
      <c r="N157" t="s">
        <v>1220</v>
      </c>
      <c r="O157" t="s">
        <v>45</v>
      </c>
      <c r="P157" t="s">
        <v>67</v>
      </c>
      <c r="Q157" t="s">
        <v>1221</v>
      </c>
      <c r="R157">
        <v>17.856000000000002</v>
      </c>
      <c r="S157">
        <v>4</v>
      </c>
      <c r="T157">
        <v>0.2</v>
      </c>
      <c r="U157">
        <v>1.1160000000000001</v>
      </c>
      <c r="V157" t="str">
        <f t="shared" si="2"/>
        <v>Jonathan Doherty</v>
      </c>
      <c r="W157">
        <f>Table2[Profit]/Table2[Sales]</f>
        <v>6.25E-2</v>
      </c>
    </row>
    <row r="158" spans="1:23" x14ac:dyDescent="0.25">
      <c r="A158">
        <v>157</v>
      </c>
      <c r="B158" t="s">
        <v>1224</v>
      </c>
      <c r="C158" s="1">
        <v>42358</v>
      </c>
      <c r="D158" s="1">
        <v>42362</v>
      </c>
      <c r="E158" t="s">
        <v>49</v>
      </c>
      <c r="F158" t="s">
        <v>688</v>
      </c>
      <c r="G158" t="s">
        <v>689</v>
      </c>
      <c r="H158" t="s">
        <v>25</v>
      </c>
      <c r="I158" t="s">
        <v>26</v>
      </c>
      <c r="J158" t="s">
        <v>1225</v>
      </c>
      <c r="K158" t="s">
        <v>103</v>
      </c>
      <c r="L158">
        <v>78745</v>
      </c>
      <c r="M158" t="s">
        <v>104</v>
      </c>
      <c r="N158" t="s">
        <v>121</v>
      </c>
      <c r="O158" t="s">
        <v>45</v>
      </c>
      <c r="P158" t="s">
        <v>58</v>
      </c>
      <c r="Q158" t="s">
        <v>122</v>
      </c>
      <c r="R158">
        <v>88.8</v>
      </c>
      <c r="S158">
        <v>4</v>
      </c>
      <c r="T158">
        <v>0.2</v>
      </c>
      <c r="U158">
        <v>-2.2200000000000002</v>
      </c>
      <c r="V158" t="str">
        <f t="shared" si="2"/>
        <v>Chad Sievert</v>
      </c>
      <c r="W158">
        <f>Table2[Profit]/Table2[Sales]</f>
        <v>-2.5000000000000001E-2</v>
      </c>
    </row>
    <row r="159" spans="1:23" x14ac:dyDescent="0.25">
      <c r="A159">
        <v>158</v>
      </c>
      <c r="B159" t="s">
        <v>1226</v>
      </c>
      <c r="C159" s="1">
        <v>42901</v>
      </c>
      <c r="D159" s="1">
        <v>42905</v>
      </c>
      <c r="E159" t="s">
        <v>49</v>
      </c>
      <c r="F159" t="s">
        <v>1227</v>
      </c>
      <c r="G159" t="s">
        <v>1228</v>
      </c>
      <c r="H159" t="s">
        <v>25</v>
      </c>
      <c r="I159" t="s">
        <v>26</v>
      </c>
      <c r="J159" t="s">
        <v>126</v>
      </c>
      <c r="K159" t="s">
        <v>42</v>
      </c>
      <c r="L159">
        <v>94122</v>
      </c>
      <c r="M159" t="s">
        <v>43</v>
      </c>
      <c r="N159" t="s">
        <v>551</v>
      </c>
      <c r="O159" t="s">
        <v>70</v>
      </c>
      <c r="P159" t="s">
        <v>71</v>
      </c>
      <c r="Q159" t="s">
        <v>552</v>
      </c>
      <c r="R159">
        <v>47.975999999999999</v>
      </c>
      <c r="S159">
        <v>3</v>
      </c>
      <c r="T159">
        <v>0.2</v>
      </c>
      <c r="U159">
        <v>4.7976000000000001</v>
      </c>
      <c r="V159" t="str">
        <f t="shared" si="2"/>
        <v>Clay Cheatham</v>
      </c>
      <c r="W159">
        <f>Table2[Profit]/Table2[Sales]</f>
        <v>0.1</v>
      </c>
    </row>
    <row r="160" spans="1:23" x14ac:dyDescent="0.25">
      <c r="A160">
        <v>159</v>
      </c>
      <c r="B160" t="s">
        <v>1229</v>
      </c>
      <c r="C160" s="1">
        <v>42924</v>
      </c>
      <c r="D160" s="1">
        <v>42928</v>
      </c>
      <c r="E160" t="s">
        <v>49</v>
      </c>
      <c r="F160" t="s">
        <v>1230</v>
      </c>
      <c r="G160" t="s">
        <v>1231</v>
      </c>
      <c r="H160" t="s">
        <v>25</v>
      </c>
      <c r="I160" t="s">
        <v>26</v>
      </c>
      <c r="J160" t="s">
        <v>1232</v>
      </c>
      <c r="K160" t="s">
        <v>1233</v>
      </c>
      <c r="L160">
        <v>1852</v>
      </c>
      <c r="M160" t="s">
        <v>145</v>
      </c>
      <c r="N160" t="s">
        <v>775</v>
      </c>
      <c r="O160" t="s">
        <v>45</v>
      </c>
      <c r="P160" t="s">
        <v>67</v>
      </c>
      <c r="Q160" t="s">
        <v>776</v>
      </c>
      <c r="R160">
        <v>7.56</v>
      </c>
      <c r="S160">
        <v>3</v>
      </c>
      <c r="T160">
        <v>0</v>
      </c>
      <c r="U160">
        <v>3.0996000000000001</v>
      </c>
      <c r="V160" t="str">
        <f t="shared" si="2"/>
        <v>Tamara Dahlen</v>
      </c>
      <c r="W160">
        <f>Table2[Profit]/Table2[Sales]</f>
        <v>0.41000000000000003</v>
      </c>
    </row>
    <row r="161" spans="1:23" x14ac:dyDescent="0.25">
      <c r="A161">
        <v>160</v>
      </c>
      <c r="B161" t="s">
        <v>1236</v>
      </c>
      <c r="C161" s="1">
        <v>42614</v>
      </c>
      <c r="D161" s="1">
        <v>42616</v>
      </c>
      <c r="E161" t="s">
        <v>185</v>
      </c>
      <c r="F161" t="s">
        <v>1237</v>
      </c>
      <c r="G161" t="s">
        <v>1238</v>
      </c>
      <c r="H161" t="s">
        <v>101</v>
      </c>
      <c r="I161" t="s">
        <v>26</v>
      </c>
      <c r="J161" t="s">
        <v>263</v>
      </c>
      <c r="K161" t="s">
        <v>264</v>
      </c>
      <c r="L161">
        <v>10009</v>
      </c>
      <c r="M161" t="s">
        <v>145</v>
      </c>
      <c r="N161" t="s">
        <v>961</v>
      </c>
      <c r="O161" t="s">
        <v>70</v>
      </c>
      <c r="P161" t="s">
        <v>158</v>
      </c>
      <c r="Q161" t="s">
        <v>962</v>
      </c>
      <c r="R161">
        <v>6.79</v>
      </c>
      <c r="S161">
        <v>1</v>
      </c>
      <c r="T161">
        <v>0</v>
      </c>
      <c r="U161">
        <v>2.3086000000000002</v>
      </c>
      <c r="V161" t="str">
        <f t="shared" si="2"/>
        <v>Adam Bellavance</v>
      </c>
      <c r="W161">
        <f>Table2[Profit]/Table2[Sales]</f>
        <v>0.34</v>
      </c>
    </row>
    <row r="162" spans="1:23" x14ac:dyDescent="0.25">
      <c r="A162">
        <v>161</v>
      </c>
      <c r="B162" t="s">
        <v>1245</v>
      </c>
      <c r="C162" s="1">
        <v>42468</v>
      </c>
      <c r="D162" s="1">
        <v>42473</v>
      </c>
      <c r="E162" t="s">
        <v>49</v>
      </c>
      <c r="F162" t="s">
        <v>1246</v>
      </c>
      <c r="G162" t="s">
        <v>1247</v>
      </c>
      <c r="H162" t="s">
        <v>25</v>
      </c>
      <c r="I162" t="s">
        <v>26</v>
      </c>
      <c r="J162" t="s">
        <v>263</v>
      </c>
      <c r="K162" t="s">
        <v>264</v>
      </c>
      <c r="L162">
        <v>10035</v>
      </c>
      <c r="M162" t="s">
        <v>145</v>
      </c>
      <c r="N162" t="s">
        <v>1248</v>
      </c>
      <c r="O162" t="s">
        <v>31</v>
      </c>
      <c r="P162" t="s">
        <v>32</v>
      </c>
      <c r="Q162" t="s">
        <v>1249</v>
      </c>
      <c r="R162">
        <v>388.70400000000001</v>
      </c>
      <c r="S162">
        <v>6</v>
      </c>
      <c r="T162">
        <v>0.2</v>
      </c>
      <c r="U162">
        <v>-4.8587999999999996</v>
      </c>
      <c r="V162" t="str">
        <f t="shared" si="2"/>
        <v>Jeremy Lonsdale</v>
      </c>
      <c r="W162">
        <f>Table2[Profit]/Table2[Sales]</f>
        <v>-1.2499999999999999E-2</v>
      </c>
    </row>
    <row r="163" spans="1:23" x14ac:dyDescent="0.25">
      <c r="A163">
        <v>162</v>
      </c>
      <c r="B163" t="s">
        <v>1256</v>
      </c>
      <c r="C163" s="1">
        <v>42483</v>
      </c>
      <c r="D163" s="1">
        <v>42488</v>
      </c>
      <c r="E163" t="s">
        <v>49</v>
      </c>
      <c r="F163" t="s">
        <v>812</v>
      </c>
      <c r="G163" t="s">
        <v>813</v>
      </c>
      <c r="H163" t="s">
        <v>40</v>
      </c>
      <c r="I163" t="s">
        <v>26</v>
      </c>
      <c r="J163" t="s">
        <v>460</v>
      </c>
      <c r="K163" t="s">
        <v>87</v>
      </c>
      <c r="L163">
        <v>28205</v>
      </c>
      <c r="M163" t="s">
        <v>29</v>
      </c>
      <c r="N163" t="s">
        <v>795</v>
      </c>
      <c r="O163" t="s">
        <v>45</v>
      </c>
      <c r="P163" t="s">
        <v>89</v>
      </c>
      <c r="Q163" t="s">
        <v>796</v>
      </c>
      <c r="R163">
        <v>36.24</v>
      </c>
      <c r="S163">
        <v>5</v>
      </c>
      <c r="T163">
        <v>0.2</v>
      </c>
      <c r="U163">
        <v>11.324999999999999</v>
      </c>
      <c r="V163" t="str">
        <f t="shared" si="2"/>
        <v>Heather Kirkland</v>
      </c>
      <c r="W163">
        <f>Table2[Profit]/Table2[Sales]</f>
        <v>0.31249999999999994</v>
      </c>
    </row>
    <row r="164" spans="1:23" x14ac:dyDescent="0.25">
      <c r="A164">
        <v>163</v>
      </c>
      <c r="B164" t="s">
        <v>1257</v>
      </c>
      <c r="C164" s="1">
        <v>42802</v>
      </c>
      <c r="D164" s="1">
        <v>42805</v>
      </c>
      <c r="E164" t="s">
        <v>185</v>
      </c>
      <c r="F164" t="s">
        <v>1258</v>
      </c>
      <c r="G164" t="s">
        <v>1259</v>
      </c>
      <c r="H164" t="s">
        <v>40</v>
      </c>
      <c r="I164" t="s">
        <v>26</v>
      </c>
      <c r="J164" t="s">
        <v>490</v>
      </c>
      <c r="K164" t="s">
        <v>1260</v>
      </c>
      <c r="L164">
        <v>31907</v>
      </c>
      <c r="M164" t="s">
        <v>29</v>
      </c>
      <c r="N164" t="s">
        <v>1261</v>
      </c>
      <c r="O164" t="s">
        <v>45</v>
      </c>
      <c r="P164" t="s">
        <v>77</v>
      </c>
      <c r="Q164" t="s">
        <v>1262</v>
      </c>
      <c r="R164">
        <v>647.84</v>
      </c>
      <c r="S164">
        <v>8</v>
      </c>
      <c r="T164">
        <v>0</v>
      </c>
      <c r="U164">
        <v>168.4384</v>
      </c>
      <c r="V164" t="str">
        <f t="shared" si="2"/>
        <v>Victoria Brennan</v>
      </c>
      <c r="W164">
        <f>Table2[Profit]/Table2[Sales]</f>
        <v>0.26</v>
      </c>
    </row>
    <row r="165" spans="1:23" x14ac:dyDescent="0.25">
      <c r="A165">
        <v>164</v>
      </c>
      <c r="B165" t="s">
        <v>1265</v>
      </c>
      <c r="C165" s="1">
        <v>43003</v>
      </c>
      <c r="D165" s="1">
        <v>43009</v>
      </c>
      <c r="E165" t="s">
        <v>49</v>
      </c>
      <c r="F165" t="s">
        <v>1266</v>
      </c>
      <c r="G165" t="s">
        <v>1267</v>
      </c>
      <c r="H165" t="s">
        <v>25</v>
      </c>
      <c r="I165" t="s">
        <v>26</v>
      </c>
      <c r="J165" t="s">
        <v>263</v>
      </c>
      <c r="K165" t="s">
        <v>264</v>
      </c>
      <c r="L165">
        <v>10009</v>
      </c>
      <c r="M165" t="s">
        <v>145</v>
      </c>
      <c r="N165" t="s">
        <v>1263</v>
      </c>
      <c r="O165" t="s">
        <v>45</v>
      </c>
      <c r="P165" t="s">
        <v>46</v>
      </c>
      <c r="Q165" t="s">
        <v>1264</v>
      </c>
      <c r="R165">
        <v>20.7</v>
      </c>
      <c r="S165">
        <v>2</v>
      </c>
      <c r="T165">
        <v>0</v>
      </c>
      <c r="U165">
        <v>9.9359999999999999</v>
      </c>
      <c r="V165" t="str">
        <f t="shared" si="2"/>
        <v>Katrina Willman</v>
      </c>
      <c r="W165">
        <f>Table2[Profit]/Table2[Sales]</f>
        <v>0.48000000000000004</v>
      </c>
    </row>
    <row r="166" spans="1:23" x14ac:dyDescent="0.25">
      <c r="A166">
        <v>165</v>
      </c>
      <c r="B166" t="s">
        <v>1274</v>
      </c>
      <c r="C166" s="1">
        <v>41906</v>
      </c>
      <c r="D166" s="1">
        <v>41911</v>
      </c>
      <c r="E166" t="s">
        <v>49</v>
      </c>
      <c r="F166" t="s">
        <v>1275</v>
      </c>
      <c r="G166" t="s">
        <v>1276</v>
      </c>
      <c r="H166" t="s">
        <v>25</v>
      </c>
      <c r="I166" t="s">
        <v>26</v>
      </c>
      <c r="J166" t="s">
        <v>126</v>
      </c>
      <c r="K166" t="s">
        <v>42</v>
      </c>
      <c r="L166">
        <v>94109</v>
      </c>
      <c r="M166" t="s">
        <v>43</v>
      </c>
      <c r="N166" t="s">
        <v>236</v>
      </c>
      <c r="O166" t="s">
        <v>45</v>
      </c>
      <c r="P166" t="s">
        <v>58</v>
      </c>
      <c r="Q166" t="s">
        <v>237</v>
      </c>
      <c r="R166">
        <v>211.96</v>
      </c>
      <c r="S166">
        <v>4</v>
      </c>
      <c r="T166">
        <v>0</v>
      </c>
      <c r="U166">
        <v>8.4784000000000006</v>
      </c>
      <c r="V166" t="str">
        <f t="shared" si="2"/>
        <v>Julia Dunbar</v>
      </c>
      <c r="W166">
        <f>Table2[Profit]/Table2[Sales]</f>
        <v>0.04</v>
      </c>
    </row>
    <row r="167" spans="1:23" x14ac:dyDescent="0.25">
      <c r="A167">
        <v>166</v>
      </c>
      <c r="B167" t="s">
        <v>1277</v>
      </c>
      <c r="C167" s="1">
        <v>42664</v>
      </c>
      <c r="D167" s="1">
        <v>42664</v>
      </c>
      <c r="E167" t="s">
        <v>1278</v>
      </c>
      <c r="F167" t="s">
        <v>1279</v>
      </c>
      <c r="G167" t="s">
        <v>1280</v>
      </c>
      <c r="H167" t="s">
        <v>40</v>
      </c>
      <c r="I167" t="s">
        <v>26</v>
      </c>
      <c r="J167" t="s">
        <v>1281</v>
      </c>
      <c r="K167" t="s">
        <v>740</v>
      </c>
      <c r="L167">
        <v>6040</v>
      </c>
      <c r="M167" t="s">
        <v>145</v>
      </c>
      <c r="N167" t="s">
        <v>1282</v>
      </c>
      <c r="O167" t="s">
        <v>45</v>
      </c>
      <c r="P167" t="s">
        <v>74</v>
      </c>
      <c r="Q167" t="s">
        <v>1283</v>
      </c>
      <c r="R167">
        <v>23.2</v>
      </c>
      <c r="S167">
        <v>4</v>
      </c>
      <c r="T167">
        <v>0</v>
      </c>
      <c r="U167">
        <v>10.44</v>
      </c>
      <c r="V167" t="str">
        <f t="shared" si="2"/>
        <v>Michael Kennedy</v>
      </c>
      <c r="W167">
        <f>Table2[Profit]/Table2[Sales]</f>
        <v>0.45</v>
      </c>
    </row>
    <row r="168" spans="1:23" x14ac:dyDescent="0.25">
      <c r="A168">
        <v>167</v>
      </c>
      <c r="B168" t="s">
        <v>1288</v>
      </c>
      <c r="C168" s="1">
        <v>42884</v>
      </c>
      <c r="D168" s="1">
        <v>42890</v>
      </c>
      <c r="E168" t="s">
        <v>49</v>
      </c>
      <c r="F168" t="s">
        <v>1289</v>
      </c>
      <c r="G168" t="s">
        <v>1290</v>
      </c>
      <c r="H168" t="s">
        <v>25</v>
      </c>
      <c r="I168" t="s">
        <v>26</v>
      </c>
      <c r="J168" t="s">
        <v>1291</v>
      </c>
      <c r="K168" t="s">
        <v>103</v>
      </c>
      <c r="L168">
        <v>78550</v>
      </c>
      <c r="M168" t="s">
        <v>104</v>
      </c>
      <c r="N168" t="s">
        <v>1292</v>
      </c>
      <c r="O168" t="s">
        <v>45</v>
      </c>
      <c r="P168" t="s">
        <v>89</v>
      </c>
      <c r="Q168" t="s">
        <v>1293</v>
      </c>
      <c r="R168">
        <v>25.92</v>
      </c>
      <c r="S168">
        <v>5</v>
      </c>
      <c r="T168">
        <v>0.2</v>
      </c>
      <c r="U168">
        <v>9.3960000000000008</v>
      </c>
      <c r="V168" t="str">
        <f t="shared" si="2"/>
        <v>Guy Thornton</v>
      </c>
      <c r="W168">
        <f>Table2[Profit]/Table2[Sales]</f>
        <v>0.36249999999999999</v>
      </c>
    </row>
    <row r="169" spans="1:23" x14ac:dyDescent="0.25">
      <c r="A169">
        <v>168</v>
      </c>
      <c r="B169" t="s">
        <v>1296</v>
      </c>
      <c r="C169" s="1">
        <v>41843</v>
      </c>
      <c r="D169" s="1">
        <v>41847</v>
      </c>
      <c r="E169" t="s">
        <v>49</v>
      </c>
      <c r="F169" t="s">
        <v>1297</v>
      </c>
      <c r="G169" t="s">
        <v>1298</v>
      </c>
      <c r="H169" t="s">
        <v>25</v>
      </c>
      <c r="I169" t="s">
        <v>26</v>
      </c>
      <c r="J169" t="s">
        <v>1299</v>
      </c>
      <c r="K169" t="s">
        <v>303</v>
      </c>
      <c r="L169">
        <v>85705</v>
      </c>
      <c r="M169" t="s">
        <v>43</v>
      </c>
      <c r="N169" t="s">
        <v>1196</v>
      </c>
      <c r="O169" t="s">
        <v>45</v>
      </c>
      <c r="P169" t="s">
        <v>74</v>
      </c>
      <c r="Q169" t="s">
        <v>1197</v>
      </c>
      <c r="R169">
        <v>8.16</v>
      </c>
      <c r="S169">
        <v>5</v>
      </c>
      <c r="T169">
        <v>0.7</v>
      </c>
      <c r="U169">
        <v>-5.7119999999999997</v>
      </c>
      <c r="V169" t="str">
        <f t="shared" si="2"/>
        <v>Arthur Gainer</v>
      </c>
      <c r="W169">
        <f>Table2[Profit]/Table2[Sales]</f>
        <v>-0.7</v>
      </c>
    </row>
    <row r="170" spans="1:23" x14ac:dyDescent="0.25">
      <c r="A170">
        <v>169</v>
      </c>
      <c r="B170" t="s">
        <v>1306</v>
      </c>
      <c r="C170" s="1">
        <v>42641</v>
      </c>
      <c r="D170" s="1">
        <v>42644</v>
      </c>
      <c r="E170" t="s">
        <v>185</v>
      </c>
      <c r="F170" t="s">
        <v>1307</v>
      </c>
      <c r="G170" t="s">
        <v>1308</v>
      </c>
      <c r="H170" t="s">
        <v>40</v>
      </c>
      <c r="I170" t="s">
        <v>26</v>
      </c>
      <c r="J170" t="s">
        <v>1309</v>
      </c>
      <c r="K170" t="s">
        <v>208</v>
      </c>
      <c r="L170">
        <v>62301</v>
      </c>
      <c r="M170" t="s">
        <v>104</v>
      </c>
      <c r="N170" t="s">
        <v>1310</v>
      </c>
      <c r="O170" t="s">
        <v>45</v>
      </c>
      <c r="P170" t="s">
        <v>89</v>
      </c>
      <c r="Q170" t="s">
        <v>1311</v>
      </c>
      <c r="R170">
        <v>99.135999999999996</v>
      </c>
      <c r="S170">
        <v>4</v>
      </c>
      <c r="T170">
        <v>0.2</v>
      </c>
      <c r="U170">
        <v>30.98</v>
      </c>
      <c r="V170" t="str">
        <f t="shared" si="2"/>
        <v>Muhammed MacIntyre</v>
      </c>
      <c r="W170">
        <f>Table2[Profit]/Table2[Sales]</f>
        <v>0.3125</v>
      </c>
    </row>
    <row r="171" spans="1:23" x14ac:dyDescent="0.25">
      <c r="A171">
        <v>170</v>
      </c>
      <c r="B171" t="s">
        <v>1312</v>
      </c>
      <c r="C171" s="1">
        <v>42974</v>
      </c>
      <c r="D171" s="1">
        <v>42979</v>
      </c>
      <c r="E171" t="s">
        <v>49</v>
      </c>
      <c r="F171" t="s">
        <v>1313</v>
      </c>
      <c r="G171" t="s">
        <v>1314</v>
      </c>
      <c r="H171" t="s">
        <v>40</v>
      </c>
      <c r="I171" t="s">
        <v>26</v>
      </c>
      <c r="J171" t="s">
        <v>606</v>
      </c>
      <c r="K171" t="s">
        <v>1233</v>
      </c>
      <c r="L171">
        <v>2038</v>
      </c>
      <c r="M171" t="s">
        <v>145</v>
      </c>
      <c r="N171" t="s">
        <v>1315</v>
      </c>
      <c r="O171" t="s">
        <v>31</v>
      </c>
      <c r="P171" t="s">
        <v>55</v>
      </c>
      <c r="Q171" t="s">
        <v>1316</v>
      </c>
      <c r="R171">
        <v>1488.424</v>
      </c>
      <c r="S171">
        <v>7</v>
      </c>
      <c r="T171">
        <v>0.3</v>
      </c>
      <c r="U171">
        <v>-297.6848</v>
      </c>
      <c r="V171" t="str">
        <f t="shared" si="2"/>
        <v>Allen Rosenblatt</v>
      </c>
      <c r="W171">
        <f>Table2[Profit]/Table2[Sales]</f>
        <v>-0.2</v>
      </c>
    </row>
    <row r="172" spans="1:23" x14ac:dyDescent="0.25">
      <c r="A172">
        <v>171</v>
      </c>
      <c r="B172" t="s">
        <v>1317</v>
      </c>
      <c r="C172" s="1">
        <v>42122</v>
      </c>
      <c r="D172" s="1">
        <v>42129</v>
      </c>
      <c r="E172" t="s">
        <v>49</v>
      </c>
      <c r="F172" t="s">
        <v>1318</v>
      </c>
      <c r="G172" t="s">
        <v>1319</v>
      </c>
      <c r="H172" t="s">
        <v>25</v>
      </c>
      <c r="I172" t="s">
        <v>26</v>
      </c>
      <c r="J172" t="s">
        <v>181</v>
      </c>
      <c r="K172" t="s">
        <v>103</v>
      </c>
      <c r="L172">
        <v>77095</v>
      </c>
      <c r="M172" t="s">
        <v>104</v>
      </c>
      <c r="N172" t="s">
        <v>1320</v>
      </c>
      <c r="O172" t="s">
        <v>45</v>
      </c>
      <c r="P172" t="s">
        <v>77</v>
      </c>
      <c r="Q172" t="s">
        <v>1321</v>
      </c>
      <c r="R172">
        <v>8.6519999999999992</v>
      </c>
      <c r="S172">
        <v>3</v>
      </c>
      <c r="T172">
        <v>0.8</v>
      </c>
      <c r="U172">
        <v>-20.3322</v>
      </c>
      <c r="V172" t="str">
        <f t="shared" si="2"/>
        <v>Russell Applegate</v>
      </c>
      <c r="W172">
        <f>Table2[Profit]/Table2[Sales]</f>
        <v>-2.35</v>
      </c>
    </row>
    <row r="173" spans="1:23" x14ac:dyDescent="0.25">
      <c r="A173">
        <v>172</v>
      </c>
      <c r="B173" t="s">
        <v>1326</v>
      </c>
      <c r="C173" s="1">
        <v>42671</v>
      </c>
      <c r="D173" s="1">
        <v>42672</v>
      </c>
      <c r="E173" t="s">
        <v>185</v>
      </c>
      <c r="F173" t="s">
        <v>1327</v>
      </c>
      <c r="G173" t="s">
        <v>1328</v>
      </c>
      <c r="H173" t="s">
        <v>40</v>
      </c>
      <c r="I173" t="s">
        <v>26</v>
      </c>
      <c r="J173" t="s">
        <v>126</v>
      </c>
      <c r="K173" t="s">
        <v>42</v>
      </c>
      <c r="L173">
        <v>94109</v>
      </c>
      <c r="M173" t="s">
        <v>43</v>
      </c>
      <c r="N173" t="s">
        <v>1329</v>
      </c>
      <c r="O173" t="s">
        <v>45</v>
      </c>
      <c r="P173" t="s">
        <v>89</v>
      </c>
      <c r="Q173" t="s">
        <v>1330</v>
      </c>
      <c r="R173">
        <v>50.96</v>
      </c>
      <c r="S173">
        <v>7</v>
      </c>
      <c r="T173">
        <v>0</v>
      </c>
      <c r="U173">
        <v>25.48</v>
      </c>
      <c r="V173" t="str">
        <f t="shared" si="2"/>
        <v>Alejandro Savely</v>
      </c>
      <c r="W173">
        <f>Table2[Profit]/Table2[Sales]</f>
        <v>0.5</v>
      </c>
    </row>
    <row r="174" spans="1:23" x14ac:dyDescent="0.25">
      <c r="A174">
        <v>173</v>
      </c>
      <c r="B174" t="s">
        <v>1333</v>
      </c>
      <c r="C174" s="1">
        <v>42181</v>
      </c>
      <c r="D174" s="1">
        <v>42184</v>
      </c>
      <c r="E174" t="s">
        <v>22</v>
      </c>
      <c r="F174" t="s">
        <v>1334</v>
      </c>
      <c r="G174" t="s">
        <v>1335</v>
      </c>
      <c r="H174" t="s">
        <v>40</v>
      </c>
      <c r="I174" t="s">
        <v>26</v>
      </c>
      <c r="J174" t="s">
        <v>1105</v>
      </c>
      <c r="K174" t="s">
        <v>235</v>
      </c>
      <c r="L174">
        <v>48180</v>
      </c>
      <c r="M174" t="s">
        <v>104</v>
      </c>
      <c r="N174" t="s">
        <v>1336</v>
      </c>
      <c r="O174" t="s">
        <v>70</v>
      </c>
      <c r="P174" t="s">
        <v>158</v>
      </c>
      <c r="Q174" t="s">
        <v>1337</v>
      </c>
      <c r="R174">
        <v>41.9</v>
      </c>
      <c r="S174">
        <v>2</v>
      </c>
      <c r="T174">
        <v>0</v>
      </c>
      <c r="U174">
        <v>8.7989999999999995</v>
      </c>
      <c r="V174" t="str">
        <f t="shared" si="2"/>
        <v>Laura Armstrong</v>
      </c>
      <c r="W174">
        <f>Table2[Profit]/Table2[Sales]</f>
        <v>0.21</v>
      </c>
    </row>
    <row r="175" spans="1:23" x14ac:dyDescent="0.25">
      <c r="A175">
        <v>174</v>
      </c>
      <c r="B175" t="s">
        <v>1338</v>
      </c>
      <c r="C175" s="1">
        <v>42335</v>
      </c>
      <c r="D175" s="1">
        <v>42340</v>
      </c>
      <c r="E175" t="s">
        <v>49</v>
      </c>
      <c r="F175" t="s">
        <v>1339</v>
      </c>
      <c r="G175" t="s">
        <v>1340</v>
      </c>
      <c r="H175" t="s">
        <v>25</v>
      </c>
      <c r="I175" t="s">
        <v>26</v>
      </c>
      <c r="J175" t="s">
        <v>1341</v>
      </c>
      <c r="K175" t="s">
        <v>53</v>
      </c>
      <c r="L175">
        <v>33024</v>
      </c>
      <c r="M175" t="s">
        <v>29</v>
      </c>
      <c r="N175" t="s">
        <v>1342</v>
      </c>
      <c r="O175" t="s">
        <v>31</v>
      </c>
      <c r="P175" t="s">
        <v>55</v>
      </c>
      <c r="Q175" t="s">
        <v>1343</v>
      </c>
      <c r="R175">
        <v>375.45749999999998</v>
      </c>
      <c r="S175">
        <v>3</v>
      </c>
      <c r="T175">
        <v>0.45</v>
      </c>
      <c r="U175">
        <v>-157.0095</v>
      </c>
      <c r="V175" t="str">
        <f t="shared" si="2"/>
        <v>Denny Ordway</v>
      </c>
      <c r="W175">
        <f>Table2[Profit]/Table2[Sales]</f>
        <v>-0.41818181818181821</v>
      </c>
    </row>
    <row r="176" spans="1:23" x14ac:dyDescent="0.25">
      <c r="A176">
        <v>175</v>
      </c>
      <c r="B176" t="s">
        <v>1346</v>
      </c>
      <c r="C176" s="1">
        <v>42341</v>
      </c>
      <c r="D176" s="1">
        <v>42345</v>
      </c>
      <c r="E176" t="s">
        <v>49</v>
      </c>
      <c r="F176" t="s">
        <v>1347</v>
      </c>
      <c r="G176" t="s">
        <v>1348</v>
      </c>
      <c r="H176" t="s">
        <v>40</v>
      </c>
      <c r="I176" t="s">
        <v>26</v>
      </c>
      <c r="J176" t="s">
        <v>143</v>
      </c>
      <c r="K176" t="s">
        <v>144</v>
      </c>
      <c r="L176">
        <v>19140</v>
      </c>
      <c r="M176" t="s">
        <v>145</v>
      </c>
      <c r="N176" t="s">
        <v>1349</v>
      </c>
      <c r="O176" t="s">
        <v>70</v>
      </c>
      <c r="P176" t="s">
        <v>675</v>
      </c>
      <c r="Q176" t="s">
        <v>1350</v>
      </c>
      <c r="R176">
        <v>482.34</v>
      </c>
      <c r="S176">
        <v>4</v>
      </c>
      <c r="T176">
        <v>0.7</v>
      </c>
      <c r="U176">
        <v>-337.63799999999998</v>
      </c>
      <c r="V176" t="str">
        <f t="shared" si="2"/>
        <v>Dean Katz</v>
      </c>
      <c r="W176">
        <f>Table2[Profit]/Table2[Sales]</f>
        <v>-0.7</v>
      </c>
    </row>
    <row r="177" spans="1:23" x14ac:dyDescent="0.25">
      <c r="A177">
        <v>176</v>
      </c>
      <c r="B177" t="s">
        <v>1353</v>
      </c>
      <c r="C177" s="1">
        <v>41967</v>
      </c>
      <c r="D177" s="1">
        <v>41969</v>
      </c>
      <c r="E177" t="s">
        <v>185</v>
      </c>
      <c r="F177" t="s">
        <v>1354</v>
      </c>
      <c r="G177" t="s">
        <v>1355</v>
      </c>
      <c r="H177" t="s">
        <v>25</v>
      </c>
      <c r="I177" t="s">
        <v>26</v>
      </c>
      <c r="J177" t="s">
        <v>999</v>
      </c>
      <c r="K177" t="s">
        <v>491</v>
      </c>
      <c r="L177">
        <v>45231</v>
      </c>
      <c r="M177" t="s">
        <v>145</v>
      </c>
      <c r="N177" t="s">
        <v>1356</v>
      </c>
      <c r="O177" t="s">
        <v>45</v>
      </c>
      <c r="P177" t="s">
        <v>67</v>
      </c>
      <c r="Q177" t="s">
        <v>1357</v>
      </c>
      <c r="R177">
        <v>2.6240000000000001</v>
      </c>
      <c r="S177">
        <v>1</v>
      </c>
      <c r="T177">
        <v>0.2</v>
      </c>
      <c r="U177">
        <v>0.4264</v>
      </c>
      <c r="V177" t="str">
        <f t="shared" si="2"/>
        <v>Nathan Gelder</v>
      </c>
      <c r="W177">
        <f>Table2[Profit]/Table2[Sales]</f>
        <v>0.16250000000000001</v>
      </c>
    </row>
    <row r="178" spans="1:23" x14ac:dyDescent="0.25">
      <c r="A178">
        <v>177</v>
      </c>
      <c r="B178" t="s">
        <v>1358</v>
      </c>
      <c r="C178" s="1">
        <v>43080</v>
      </c>
      <c r="D178" s="1">
        <v>43084</v>
      </c>
      <c r="E178" t="s">
        <v>49</v>
      </c>
      <c r="F178" t="s">
        <v>1359</v>
      </c>
      <c r="G178" t="s">
        <v>1360</v>
      </c>
      <c r="H178" t="s">
        <v>25</v>
      </c>
      <c r="I178" t="s">
        <v>26</v>
      </c>
      <c r="J178" t="s">
        <v>263</v>
      </c>
      <c r="K178" t="s">
        <v>264</v>
      </c>
      <c r="L178">
        <v>10009</v>
      </c>
      <c r="M178" t="s">
        <v>145</v>
      </c>
      <c r="N178" t="s">
        <v>1361</v>
      </c>
      <c r="O178" t="s">
        <v>45</v>
      </c>
      <c r="P178" t="s">
        <v>74</v>
      </c>
      <c r="Q178" t="s">
        <v>1362</v>
      </c>
      <c r="R178">
        <v>23.36</v>
      </c>
      <c r="S178">
        <v>4</v>
      </c>
      <c r="T178">
        <v>0.2</v>
      </c>
      <c r="U178">
        <v>7.8840000000000003</v>
      </c>
      <c r="V178" t="str">
        <f t="shared" si="2"/>
        <v>Mike Vittorini</v>
      </c>
      <c r="W178">
        <f>Table2[Profit]/Table2[Sales]</f>
        <v>0.33750000000000002</v>
      </c>
    </row>
    <row r="179" spans="1:23" x14ac:dyDescent="0.25">
      <c r="A179">
        <v>178</v>
      </c>
      <c r="B179" t="s">
        <v>1363</v>
      </c>
      <c r="C179" s="1">
        <v>41903</v>
      </c>
      <c r="D179" s="1">
        <v>41905</v>
      </c>
      <c r="E179" t="s">
        <v>22</v>
      </c>
      <c r="F179" t="s">
        <v>1364</v>
      </c>
      <c r="G179" t="s">
        <v>1365</v>
      </c>
      <c r="H179" t="s">
        <v>25</v>
      </c>
      <c r="I179" t="s">
        <v>26</v>
      </c>
      <c r="J179" t="s">
        <v>1366</v>
      </c>
      <c r="K179" t="s">
        <v>95</v>
      </c>
      <c r="L179">
        <v>98198</v>
      </c>
      <c r="M179" t="s">
        <v>43</v>
      </c>
      <c r="N179" t="s">
        <v>1367</v>
      </c>
      <c r="O179" t="s">
        <v>70</v>
      </c>
      <c r="P179" t="s">
        <v>71</v>
      </c>
      <c r="Q179" t="s">
        <v>1368</v>
      </c>
      <c r="R179">
        <v>246.38399999999999</v>
      </c>
      <c r="S179">
        <v>2</v>
      </c>
      <c r="T179">
        <v>0.2</v>
      </c>
      <c r="U179">
        <v>27.7182</v>
      </c>
      <c r="V179" t="str">
        <f t="shared" si="2"/>
        <v>Jack Garza</v>
      </c>
      <c r="W179">
        <f>Table2[Profit]/Table2[Sales]</f>
        <v>0.1125</v>
      </c>
    </row>
    <row r="180" spans="1:23" x14ac:dyDescent="0.25">
      <c r="A180">
        <v>179</v>
      </c>
      <c r="B180" t="s">
        <v>1371</v>
      </c>
      <c r="C180" s="1">
        <v>41797</v>
      </c>
      <c r="D180" s="1">
        <v>41800</v>
      </c>
      <c r="E180" t="s">
        <v>22</v>
      </c>
      <c r="F180" t="s">
        <v>1372</v>
      </c>
      <c r="G180" t="s">
        <v>1373</v>
      </c>
      <c r="H180" t="s">
        <v>40</v>
      </c>
      <c r="I180" t="s">
        <v>26</v>
      </c>
      <c r="J180" t="s">
        <v>1374</v>
      </c>
      <c r="K180" t="s">
        <v>208</v>
      </c>
      <c r="L180">
        <v>61604</v>
      </c>
      <c r="M180" t="s">
        <v>104</v>
      </c>
      <c r="N180" t="s">
        <v>1375</v>
      </c>
      <c r="O180" t="s">
        <v>45</v>
      </c>
      <c r="P180" t="s">
        <v>74</v>
      </c>
      <c r="Q180" t="s">
        <v>1376</v>
      </c>
      <c r="R180">
        <v>12.462</v>
      </c>
      <c r="S180">
        <v>3</v>
      </c>
      <c r="T180">
        <v>0.8</v>
      </c>
      <c r="U180">
        <v>-20.5623</v>
      </c>
      <c r="V180" t="str">
        <f t="shared" si="2"/>
        <v>Bart Pistole</v>
      </c>
      <c r="W180">
        <f>Table2[Profit]/Table2[Sales]</f>
        <v>-1.6500000000000001</v>
      </c>
    </row>
    <row r="181" spans="1:23" x14ac:dyDescent="0.25">
      <c r="A181">
        <v>180</v>
      </c>
      <c r="B181" t="s">
        <v>1377</v>
      </c>
      <c r="C181" s="1">
        <v>42916</v>
      </c>
      <c r="D181" s="1">
        <v>42921</v>
      </c>
      <c r="E181" t="s">
        <v>49</v>
      </c>
      <c r="F181" t="s">
        <v>1378</v>
      </c>
      <c r="G181" t="s">
        <v>1379</v>
      </c>
      <c r="H181" t="s">
        <v>101</v>
      </c>
      <c r="I181" t="s">
        <v>26</v>
      </c>
      <c r="J181" t="s">
        <v>1380</v>
      </c>
      <c r="K181" t="s">
        <v>1381</v>
      </c>
      <c r="L181">
        <v>89115</v>
      </c>
      <c r="M181" t="s">
        <v>43</v>
      </c>
      <c r="N181" t="s">
        <v>1382</v>
      </c>
      <c r="O181" t="s">
        <v>45</v>
      </c>
      <c r="P181" t="s">
        <v>74</v>
      </c>
      <c r="Q181" t="s">
        <v>1383</v>
      </c>
      <c r="R181">
        <v>75.792000000000002</v>
      </c>
      <c r="S181">
        <v>3</v>
      </c>
      <c r="T181">
        <v>0.2</v>
      </c>
      <c r="U181">
        <v>25.579799999999999</v>
      </c>
      <c r="V181" t="str">
        <f t="shared" si="2"/>
        <v>Victor Preis</v>
      </c>
      <c r="W181">
        <f>Table2[Profit]/Table2[Sales]</f>
        <v>0.33749999999999997</v>
      </c>
    </row>
    <row r="182" spans="1:23" x14ac:dyDescent="0.25">
      <c r="A182">
        <v>181</v>
      </c>
      <c r="B182" t="s">
        <v>1384</v>
      </c>
      <c r="C182" s="1">
        <v>43025</v>
      </c>
      <c r="D182" s="1">
        <v>43027</v>
      </c>
      <c r="E182" t="s">
        <v>22</v>
      </c>
      <c r="F182" t="s">
        <v>1385</v>
      </c>
      <c r="G182" t="s">
        <v>1386</v>
      </c>
      <c r="H182" t="s">
        <v>40</v>
      </c>
      <c r="I182" t="s">
        <v>26</v>
      </c>
      <c r="J182" t="s">
        <v>1387</v>
      </c>
      <c r="K182" t="s">
        <v>1388</v>
      </c>
      <c r="L182">
        <v>2886</v>
      </c>
      <c r="M182" t="s">
        <v>145</v>
      </c>
      <c r="N182" t="s">
        <v>1389</v>
      </c>
      <c r="O182" t="s">
        <v>45</v>
      </c>
      <c r="P182" t="s">
        <v>58</v>
      </c>
      <c r="Q182" t="s">
        <v>1390</v>
      </c>
      <c r="R182">
        <v>49.96</v>
      </c>
      <c r="S182">
        <v>2</v>
      </c>
      <c r="T182">
        <v>0</v>
      </c>
      <c r="U182">
        <v>9.4923999999999999</v>
      </c>
      <c r="V182" t="str">
        <f t="shared" si="2"/>
        <v>Saphhira Shifley</v>
      </c>
      <c r="W182">
        <f>Table2[Profit]/Table2[Sales]</f>
        <v>0.19</v>
      </c>
    </row>
    <row r="183" spans="1:23" x14ac:dyDescent="0.25">
      <c r="A183">
        <v>182</v>
      </c>
      <c r="B183" t="s">
        <v>1393</v>
      </c>
      <c r="C183" s="1">
        <v>42308</v>
      </c>
      <c r="D183" s="1">
        <v>42312</v>
      </c>
      <c r="E183" t="s">
        <v>49</v>
      </c>
      <c r="F183" t="s">
        <v>99</v>
      </c>
      <c r="G183" t="s">
        <v>100</v>
      </c>
      <c r="H183" t="s">
        <v>101</v>
      </c>
      <c r="I183" t="s">
        <v>26</v>
      </c>
      <c r="J183" t="s">
        <v>321</v>
      </c>
      <c r="K183" t="s">
        <v>235</v>
      </c>
      <c r="L183">
        <v>49201</v>
      </c>
      <c r="M183" t="s">
        <v>104</v>
      </c>
      <c r="N183" t="s">
        <v>1394</v>
      </c>
      <c r="O183" t="s">
        <v>45</v>
      </c>
      <c r="P183" t="s">
        <v>572</v>
      </c>
      <c r="Q183" t="s">
        <v>1395</v>
      </c>
      <c r="R183">
        <v>70.12</v>
      </c>
      <c r="S183">
        <v>4</v>
      </c>
      <c r="T183">
        <v>0</v>
      </c>
      <c r="U183">
        <v>21.036000000000001</v>
      </c>
      <c r="V183" t="str">
        <f t="shared" si="2"/>
        <v>Harold Pawlan</v>
      </c>
      <c r="W183">
        <f>Table2[Profit]/Table2[Sales]</f>
        <v>0.3</v>
      </c>
    </row>
    <row r="184" spans="1:23" x14ac:dyDescent="0.25">
      <c r="A184">
        <v>183</v>
      </c>
      <c r="B184" t="s">
        <v>1396</v>
      </c>
      <c r="C184" s="1">
        <v>42621</v>
      </c>
      <c r="D184" s="1">
        <v>42623</v>
      </c>
      <c r="E184" t="s">
        <v>22</v>
      </c>
      <c r="F184" t="s">
        <v>1397</v>
      </c>
      <c r="G184" t="s">
        <v>1398</v>
      </c>
      <c r="H184" t="s">
        <v>25</v>
      </c>
      <c r="I184" t="s">
        <v>26</v>
      </c>
      <c r="J184" t="s">
        <v>181</v>
      </c>
      <c r="K184" t="s">
        <v>103</v>
      </c>
      <c r="L184">
        <v>77036</v>
      </c>
      <c r="M184" t="s">
        <v>104</v>
      </c>
      <c r="N184" t="s">
        <v>1399</v>
      </c>
      <c r="O184" t="s">
        <v>45</v>
      </c>
      <c r="P184" t="s">
        <v>58</v>
      </c>
      <c r="Q184" t="s">
        <v>1400</v>
      </c>
      <c r="R184">
        <v>35.951999999999998</v>
      </c>
      <c r="S184">
        <v>3</v>
      </c>
      <c r="T184">
        <v>0.2</v>
      </c>
      <c r="U184">
        <v>3.5952000000000002</v>
      </c>
      <c r="V184" t="str">
        <f t="shared" si="2"/>
        <v>Anna Gayman</v>
      </c>
      <c r="W184">
        <f>Table2[Profit]/Table2[Sales]</f>
        <v>0.1</v>
      </c>
    </row>
    <row r="185" spans="1:23" x14ac:dyDescent="0.25">
      <c r="A185">
        <v>184</v>
      </c>
      <c r="B185" t="s">
        <v>1403</v>
      </c>
      <c r="C185" s="1">
        <v>41997</v>
      </c>
      <c r="D185" s="1">
        <v>41999</v>
      </c>
      <c r="E185" t="s">
        <v>185</v>
      </c>
      <c r="F185" t="s">
        <v>1404</v>
      </c>
      <c r="G185" t="s">
        <v>1405</v>
      </c>
      <c r="H185" t="s">
        <v>25</v>
      </c>
      <c r="I185" t="s">
        <v>26</v>
      </c>
      <c r="J185" t="s">
        <v>1406</v>
      </c>
      <c r="K185" t="s">
        <v>53</v>
      </c>
      <c r="L185">
        <v>33180</v>
      </c>
      <c r="M185" t="s">
        <v>29</v>
      </c>
      <c r="N185" t="s">
        <v>1407</v>
      </c>
      <c r="O185" t="s">
        <v>45</v>
      </c>
      <c r="P185" t="s">
        <v>89</v>
      </c>
      <c r="Q185" t="s">
        <v>1408</v>
      </c>
      <c r="R185">
        <v>9.5679999999999996</v>
      </c>
      <c r="S185">
        <v>2</v>
      </c>
      <c r="T185">
        <v>0.2</v>
      </c>
      <c r="U185">
        <v>3.4683999999999999</v>
      </c>
      <c r="V185" t="str">
        <f t="shared" si="2"/>
        <v>Luke Foster</v>
      </c>
      <c r="W185">
        <f>Table2[Profit]/Table2[Sales]</f>
        <v>0.36249999999999999</v>
      </c>
    </row>
    <row r="186" spans="1:23" x14ac:dyDescent="0.25">
      <c r="A186">
        <v>185</v>
      </c>
      <c r="B186" t="s">
        <v>1409</v>
      </c>
      <c r="C186" s="1">
        <v>41745</v>
      </c>
      <c r="D186" s="1">
        <v>41749</v>
      </c>
      <c r="E186" t="s">
        <v>49</v>
      </c>
      <c r="F186" t="s">
        <v>620</v>
      </c>
      <c r="G186" t="s">
        <v>621</v>
      </c>
      <c r="H186" t="s">
        <v>40</v>
      </c>
      <c r="I186" t="s">
        <v>26</v>
      </c>
      <c r="J186" t="s">
        <v>514</v>
      </c>
      <c r="K186" t="s">
        <v>87</v>
      </c>
      <c r="L186">
        <v>28403</v>
      </c>
      <c r="M186" t="s">
        <v>29</v>
      </c>
      <c r="N186" t="s">
        <v>1410</v>
      </c>
      <c r="O186" t="s">
        <v>45</v>
      </c>
      <c r="P186" t="s">
        <v>67</v>
      </c>
      <c r="Q186" t="s">
        <v>1411</v>
      </c>
      <c r="R186">
        <v>39.072000000000003</v>
      </c>
      <c r="S186">
        <v>6</v>
      </c>
      <c r="T186">
        <v>0.2</v>
      </c>
      <c r="U186">
        <v>9.7680000000000007</v>
      </c>
      <c r="V186" t="str">
        <f t="shared" si="2"/>
        <v>Stephanie Phelps</v>
      </c>
      <c r="W186">
        <f>Table2[Profit]/Table2[Sales]</f>
        <v>0.25</v>
      </c>
    </row>
    <row r="187" spans="1:23" x14ac:dyDescent="0.25">
      <c r="A187">
        <v>186</v>
      </c>
      <c r="B187" t="s">
        <v>1412</v>
      </c>
      <c r="C187" s="1">
        <v>43093</v>
      </c>
      <c r="D187" s="1">
        <v>43098</v>
      </c>
      <c r="E187" t="s">
        <v>49</v>
      </c>
      <c r="F187" t="s">
        <v>1413</v>
      </c>
      <c r="G187" t="s">
        <v>1414</v>
      </c>
      <c r="H187" t="s">
        <v>25</v>
      </c>
      <c r="I187" t="s">
        <v>26</v>
      </c>
      <c r="J187" t="s">
        <v>263</v>
      </c>
      <c r="K187" t="s">
        <v>264</v>
      </c>
      <c r="L187">
        <v>10024</v>
      </c>
      <c r="M187" t="s">
        <v>145</v>
      </c>
      <c r="N187" t="s">
        <v>1415</v>
      </c>
      <c r="O187" t="s">
        <v>45</v>
      </c>
      <c r="P187" t="s">
        <v>77</v>
      </c>
      <c r="Q187" t="s">
        <v>1416</v>
      </c>
      <c r="R187">
        <v>35.909999999999997</v>
      </c>
      <c r="S187">
        <v>3</v>
      </c>
      <c r="T187">
        <v>0</v>
      </c>
      <c r="U187">
        <v>9.6957000000000004</v>
      </c>
      <c r="V187" t="str">
        <f t="shared" si="2"/>
        <v>Roy Französisch</v>
      </c>
      <c r="W187">
        <f>Table2[Profit]/Table2[Sales]</f>
        <v>0.27</v>
      </c>
    </row>
    <row r="188" spans="1:23" x14ac:dyDescent="0.25">
      <c r="A188">
        <v>187</v>
      </c>
      <c r="B188" t="s">
        <v>1417</v>
      </c>
      <c r="C188" s="1">
        <v>43077</v>
      </c>
      <c r="D188" s="1">
        <v>43081</v>
      </c>
      <c r="E188" t="s">
        <v>49</v>
      </c>
      <c r="F188" t="s">
        <v>1418</v>
      </c>
      <c r="G188" t="s">
        <v>1419</v>
      </c>
      <c r="H188" t="s">
        <v>25</v>
      </c>
      <c r="I188" t="s">
        <v>26</v>
      </c>
      <c r="J188" t="s">
        <v>126</v>
      </c>
      <c r="K188" t="s">
        <v>42</v>
      </c>
      <c r="L188">
        <v>94110</v>
      </c>
      <c r="M188" t="s">
        <v>43</v>
      </c>
      <c r="N188" t="s">
        <v>1401</v>
      </c>
      <c r="O188" t="s">
        <v>70</v>
      </c>
      <c r="P188" t="s">
        <v>158</v>
      </c>
      <c r="Q188" t="s">
        <v>1402</v>
      </c>
      <c r="R188">
        <v>179.95</v>
      </c>
      <c r="S188">
        <v>5</v>
      </c>
      <c r="T188">
        <v>0</v>
      </c>
      <c r="U188">
        <v>37.789499999999997</v>
      </c>
      <c r="V188" t="str">
        <f t="shared" si="2"/>
        <v>Keith Herrera</v>
      </c>
      <c r="W188">
        <f>Table2[Profit]/Table2[Sales]</f>
        <v>0.21</v>
      </c>
    </row>
    <row r="189" spans="1:23" x14ac:dyDescent="0.25">
      <c r="A189">
        <v>188</v>
      </c>
      <c r="B189" t="s">
        <v>1433</v>
      </c>
      <c r="C189" s="1">
        <v>43042</v>
      </c>
      <c r="D189" s="1">
        <v>43046</v>
      </c>
      <c r="E189" t="s">
        <v>49</v>
      </c>
      <c r="F189" t="s">
        <v>1434</v>
      </c>
      <c r="G189" t="s">
        <v>1435</v>
      </c>
      <c r="H189" t="s">
        <v>40</v>
      </c>
      <c r="I189" t="s">
        <v>26</v>
      </c>
      <c r="J189" t="s">
        <v>94</v>
      </c>
      <c r="K189" t="s">
        <v>95</v>
      </c>
      <c r="L189">
        <v>98105</v>
      </c>
      <c r="M189" t="s">
        <v>43</v>
      </c>
      <c r="N189" t="s">
        <v>1436</v>
      </c>
      <c r="O189" t="s">
        <v>45</v>
      </c>
      <c r="P189" t="s">
        <v>89</v>
      </c>
      <c r="Q189" t="s">
        <v>1437</v>
      </c>
      <c r="R189">
        <v>139.86000000000001</v>
      </c>
      <c r="S189">
        <v>7</v>
      </c>
      <c r="T189">
        <v>0</v>
      </c>
      <c r="U189">
        <v>65.734200000000001</v>
      </c>
      <c r="V189" t="str">
        <f t="shared" si="2"/>
        <v>Kimberly Carter</v>
      </c>
      <c r="W189">
        <f>Table2[Profit]/Table2[Sales]</f>
        <v>0.47</v>
      </c>
    </row>
    <row r="190" spans="1:23" x14ac:dyDescent="0.25">
      <c r="A190">
        <v>189</v>
      </c>
      <c r="B190" t="s">
        <v>1438</v>
      </c>
      <c r="C190" s="1">
        <v>42910</v>
      </c>
      <c r="D190" s="1">
        <v>42914</v>
      </c>
      <c r="E190" t="s">
        <v>49</v>
      </c>
      <c r="F190" t="s">
        <v>1439</v>
      </c>
      <c r="G190" t="s">
        <v>1440</v>
      </c>
      <c r="H190" t="s">
        <v>25</v>
      </c>
      <c r="I190" t="s">
        <v>26</v>
      </c>
      <c r="J190" t="s">
        <v>1441</v>
      </c>
      <c r="K190" t="s">
        <v>42</v>
      </c>
      <c r="L190">
        <v>92646</v>
      </c>
      <c r="M190" t="s">
        <v>43</v>
      </c>
      <c r="N190" t="s">
        <v>1442</v>
      </c>
      <c r="O190" t="s">
        <v>45</v>
      </c>
      <c r="P190" t="s">
        <v>67</v>
      </c>
      <c r="Q190" t="s">
        <v>1443</v>
      </c>
      <c r="R190">
        <v>95.92</v>
      </c>
      <c r="S190">
        <v>8</v>
      </c>
      <c r="T190">
        <v>0</v>
      </c>
      <c r="U190">
        <v>25.898399999999999</v>
      </c>
      <c r="V190" t="str">
        <f t="shared" si="2"/>
        <v>Caroline Jumper</v>
      </c>
      <c r="W190">
        <f>Table2[Profit]/Table2[Sales]</f>
        <v>0.26999999999999996</v>
      </c>
    </row>
    <row r="191" spans="1:23" x14ac:dyDescent="0.25">
      <c r="A191">
        <v>190</v>
      </c>
      <c r="B191" t="s">
        <v>1444</v>
      </c>
      <c r="C191" s="1">
        <v>42474</v>
      </c>
      <c r="D191" s="1">
        <v>42478</v>
      </c>
      <c r="E191" t="s">
        <v>49</v>
      </c>
      <c r="F191" t="s">
        <v>1445</v>
      </c>
      <c r="G191" t="s">
        <v>1446</v>
      </c>
      <c r="H191" t="s">
        <v>25</v>
      </c>
      <c r="I191" t="s">
        <v>26</v>
      </c>
      <c r="J191" t="s">
        <v>41</v>
      </c>
      <c r="K191" t="s">
        <v>42</v>
      </c>
      <c r="L191">
        <v>90004</v>
      </c>
      <c r="M191" t="s">
        <v>43</v>
      </c>
      <c r="N191" t="s">
        <v>1447</v>
      </c>
      <c r="O191" t="s">
        <v>31</v>
      </c>
      <c r="P191" t="s">
        <v>35</v>
      </c>
      <c r="Q191" t="s">
        <v>1448</v>
      </c>
      <c r="R191">
        <v>383.8</v>
      </c>
      <c r="S191">
        <v>5</v>
      </c>
      <c r="T191">
        <v>0.2</v>
      </c>
      <c r="U191">
        <v>38.380000000000003</v>
      </c>
      <c r="V191" t="str">
        <f t="shared" si="2"/>
        <v>Philip Brown</v>
      </c>
      <c r="W191">
        <f>Table2[Profit]/Table2[Sales]</f>
        <v>0.1</v>
      </c>
    </row>
    <row r="192" spans="1:23" x14ac:dyDescent="0.25">
      <c r="A192">
        <v>191</v>
      </c>
      <c r="B192" t="s">
        <v>1449</v>
      </c>
      <c r="C192" s="1">
        <v>43045</v>
      </c>
      <c r="D192" s="1">
        <v>43049</v>
      </c>
      <c r="E192" t="s">
        <v>49</v>
      </c>
      <c r="F192" t="s">
        <v>1258</v>
      </c>
      <c r="G192" t="s">
        <v>1259</v>
      </c>
      <c r="H192" t="s">
        <v>40</v>
      </c>
      <c r="I192" t="s">
        <v>26</v>
      </c>
      <c r="J192" t="s">
        <v>1450</v>
      </c>
      <c r="K192" t="s">
        <v>28</v>
      </c>
      <c r="L192">
        <v>40475</v>
      </c>
      <c r="M192" t="s">
        <v>29</v>
      </c>
      <c r="N192" t="s">
        <v>1451</v>
      </c>
      <c r="O192" t="s">
        <v>45</v>
      </c>
      <c r="P192" t="s">
        <v>89</v>
      </c>
      <c r="Q192" t="s">
        <v>1452</v>
      </c>
      <c r="R192">
        <v>5.78</v>
      </c>
      <c r="S192">
        <v>1</v>
      </c>
      <c r="T192">
        <v>0</v>
      </c>
      <c r="U192">
        <v>2.8321999999999998</v>
      </c>
      <c r="V192" t="str">
        <f t="shared" si="2"/>
        <v>Victoria Brennan</v>
      </c>
      <c r="W192">
        <f>Table2[Profit]/Table2[Sales]</f>
        <v>0.48999999999999994</v>
      </c>
    </row>
    <row r="193" spans="1:23" x14ac:dyDescent="0.25">
      <c r="A193">
        <v>192</v>
      </c>
      <c r="B193" t="s">
        <v>1453</v>
      </c>
      <c r="C193" s="1">
        <v>42798</v>
      </c>
      <c r="D193" s="1">
        <v>42803</v>
      </c>
      <c r="E193" t="s">
        <v>49</v>
      </c>
      <c r="F193" t="s">
        <v>1147</v>
      </c>
      <c r="G193" t="s">
        <v>1148</v>
      </c>
      <c r="H193" t="s">
        <v>40</v>
      </c>
      <c r="I193" t="s">
        <v>26</v>
      </c>
      <c r="J193" t="s">
        <v>41</v>
      </c>
      <c r="K193" t="s">
        <v>42</v>
      </c>
      <c r="L193">
        <v>90045</v>
      </c>
      <c r="M193" t="s">
        <v>43</v>
      </c>
      <c r="N193" t="s">
        <v>1454</v>
      </c>
      <c r="O193" t="s">
        <v>45</v>
      </c>
      <c r="P193" t="s">
        <v>67</v>
      </c>
      <c r="Q193" t="s">
        <v>1455</v>
      </c>
      <c r="R193">
        <v>9.32</v>
      </c>
      <c r="S193">
        <v>4</v>
      </c>
      <c r="T193">
        <v>0</v>
      </c>
      <c r="U193">
        <v>2.7027999999999999</v>
      </c>
      <c r="V193" t="str">
        <f t="shared" si="2"/>
        <v>Sung Pak</v>
      </c>
      <c r="W193">
        <f>Table2[Profit]/Table2[Sales]</f>
        <v>0.28999999999999998</v>
      </c>
    </row>
    <row r="194" spans="1:23" x14ac:dyDescent="0.25">
      <c r="A194">
        <v>193</v>
      </c>
      <c r="B194" t="s">
        <v>1458</v>
      </c>
      <c r="C194" s="1">
        <v>41812</v>
      </c>
      <c r="D194" s="1">
        <v>41815</v>
      </c>
      <c r="E194" t="s">
        <v>185</v>
      </c>
      <c r="F194" t="s">
        <v>325</v>
      </c>
      <c r="G194" t="s">
        <v>326</v>
      </c>
      <c r="H194" t="s">
        <v>25</v>
      </c>
      <c r="I194" t="s">
        <v>26</v>
      </c>
      <c r="J194" t="s">
        <v>1459</v>
      </c>
      <c r="K194" t="s">
        <v>450</v>
      </c>
      <c r="L194">
        <v>80027</v>
      </c>
      <c r="M194" t="s">
        <v>43</v>
      </c>
      <c r="N194" t="s">
        <v>1460</v>
      </c>
      <c r="O194" t="s">
        <v>70</v>
      </c>
      <c r="P194" t="s">
        <v>158</v>
      </c>
      <c r="Q194" t="s">
        <v>1461</v>
      </c>
      <c r="R194">
        <v>196.75200000000001</v>
      </c>
      <c r="S194">
        <v>6</v>
      </c>
      <c r="T194">
        <v>0.2</v>
      </c>
      <c r="U194">
        <v>56.566200000000002</v>
      </c>
      <c r="V194" t="str">
        <f t="shared" si="2"/>
        <v>Joel Eaton</v>
      </c>
      <c r="W194">
        <f>Table2[Profit]/Table2[Sales]</f>
        <v>0.28749999999999998</v>
      </c>
    </row>
    <row r="195" spans="1:23" x14ac:dyDescent="0.25">
      <c r="A195">
        <v>194</v>
      </c>
      <c r="B195" t="s">
        <v>1462</v>
      </c>
      <c r="C195" s="1">
        <v>43027</v>
      </c>
      <c r="D195" s="1">
        <v>43031</v>
      </c>
      <c r="E195" t="s">
        <v>49</v>
      </c>
      <c r="F195" t="s">
        <v>1463</v>
      </c>
      <c r="G195" t="s">
        <v>1464</v>
      </c>
      <c r="H195" t="s">
        <v>40</v>
      </c>
      <c r="I195" t="s">
        <v>26</v>
      </c>
      <c r="J195" t="s">
        <v>1465</v>
      </c>
      <c r="K195" t="s">
        <v>1233</v>
      </c>
      <c r="L195">
        <v>1841</v>
      </c>
      <c r="M195" t="s">
        <v>145</v>
      </c>
      <c r="N195" t="s">
        <v>1466</v>
      </c>
      <c r="O195" t="s">
        <v>31</v>
      </c>
      <c r="P195" t="s">
        <v>64</v>
      </c>
      <c r="Q195" t="s">
        <v>1467</v>
      </c>
      <c r="R195">
        <v>56.56</v>
      </c>
      <c r="S195">
        <v>4</v>
      </c>
      <c r="T195">
        <v>0</v>
      </c>
      <c r="U195">
        <v>14.7056</v>
      </c>
      <c r="V195" t="str">
        <f t="shared" ref="V195:V258" si="3">TRIM(G195)</f>
        <v>Michael Paige</v>
      </c>
      <c r="W195">
        <f>Table2[Profit]/Table2[Sales]</f>
        <v>0.26</v>
      </c>
    </row>
    <row r="196" spans="1:23" x14ac:dyDescent="0.25">
      <c r="A196">
        <v>195</v>
      </c>
      <c r="B196" t="s">
        <v>1470</v>
      </c>
      <c r="C196" s="1">
        <v>42968</v>
      </c>
      <c r="D196" s="1">
        <v>42970</v>
      </c>
      <c r="E196" t="s">
        <v>22</v>
      </c>
      <c r="F196" t="s">
        <v>1471</v>
      </c>
      <c r="G196" t="s">
        <v>1472</v>
      </c>
      <c r="H196" t="s">
        <v>25</v>
      </c>
      <c r="I196" t="s">
        <v>26</v>
      </c>
      <c r="J196" t="s">
        <v>321</v>
      </c>
      <c r="K196" t="s">
        <v>1473</v>
      </c>
      <c r="L196">
        <v>39212</v>
      </c>
      <c r="M196" t="s">
        <v>29</v>
      </c>
      <c r="N196" t="s">
        <v>1474</v>
      </c>
      <c r="O196" t="s">
        <v>31</v>
      </c>
      <c r="P196" t="s">
        <v>35</v>
      </c>
      <c r="Q196" t="s">
        <v>1475</v>
      </c>
      <c r="R196">
        <v>866.4</v>
      </c>
      <c r="S196">
        <v>4</v>
      </c>
      <c r="T196">
        <v>0</v>
      </c>
      <c r="U196">
        <v>225.26400000000001</v>
      </c>
      <c r="V196" t="str">
        <f t="shared" si="3"/>
        <v>Natalie Fritzler</v>
      </c>
      <c r="W196">
        <f>Table2[Profit]/Table2[Sales]</f>
        <v>0.26</v>
      </c>
    </row>
    <row r="197" spans="1:23" x14ac:dyDescent="0.25">
      <c r="A197">
        <v>196</v>
      </c>
      <c r="B197" t="s">
        <v>1476</v>
      </c>
      <c r="C197" s="1">
        <v>43062</v>
      </c>
      <c r="D197" s="1">
        <v>43065</v>
      </c>
      <c r="E197" t="s">
        <v>22</v>
      </c>
      <c r="F197" t="s">
        <v>261</v>
      </c>
      <c r="G197" t="s">
        <v>262</v>
      </c>
      <c r="H197" t="s">
        <v>40</v>
      </c>
      <c r="I197" t="s">
        <v>26</v>
      </c>
      <c r="J197" t="s">
        <v>1477</v>
      </c>
      <c r="K197" t="s">
        <v>235</v>
      </c>
      <c r="L197">
        <v>48187</v>
      </c>
      <c r="M197" t="s">
        <v>104</v>
      </c>
      <c r="N197" t="s">
        <v>1478</v>
      </c>
      <c r="O197" t="s">
        <v>31</v>
      </c>
      <c r="P197" t="s">
        <v>64</v>
      </c>
      <c r="Q197" t="s">
        <v>1479</v>
      </c>
      <c r="R197">
        <v>28.4</v>
      </c>
      <c r="S197">
        <v>2</v>
      </c>
      <c r="T197">
        <v>0</v>
      </c>
      <c r="U197">
        <v>11.076000000000001</v>
      </c>
      <c r="V197" t="str">
        <f t="shared" si="3"/>
        <v>Janet Molinari</v>
      </c>
      <c r="W197">
        <f>Table2[Profit]/Table2[Sales]</f>
        <v>0.39</v>
      </c>
    </row>
    <row r="198" spans="1:23" x14ac:dyDescent="0.25">
      <c r="A198">
        <v>197</v>
      </c>
      <c r="B198" t="s">
        <v>1482</v>
      </c>
      <c r="C198" s="1">
        <v>41894</v>
      </c>
      <c r="D198" s="1">
        <v>41895</v>
      </c>
      <c r="E198" t="s">
        <v>185</v>
      </c>
      <c r="F198" t="s">
        <v>1483</v>
      </c>
      <c r="G198" t="s">
        <v>1484</v>
      </c>
      <c r="H198" t="s">
        <v>101</v>
      </c>
      <c r="I198" t="s">
        <v>26</v>
      </c>
      <c r="J198" t="s">
        <v>1485</v>
      </c>
      <c r="K198" t="s">
        <v>264</v>
      </c>
      <c r="L198">
        <v>10801</v>
      </c>
      <c r="M198" t="s">
        <v>145</v>
      </c>
      <c r="N198" t="s">
        <v>1486</v>
      </c>
      <c r="O198" t="s">
        <v>70</v>
      </c>
      <c r="P198" t="s">
        <v>675</v>
      </c>
      <c r="Q198" t="s">
        <v>1487</v>
      </c>
      <c r="R198">
        <v>69.989999999999995</v>
      </c>
      <c r="S198">
        <v>1</v>
      </c>
      <c r="T198">
        <v>0</v>
      </c>
      <c r="U198">
        <v>30.095700000000001</v>
      </c>
      <c r="V198" t="str">
        <f t="shared" si="3"/>
        <v>Shirley Daniels</v>
      </c>
      <c r="W198">
        <f>Table2[Profit]/Table2[Sales]</f>
        <v>0.43000000000000005</v>
      </c>
    </row>
    <row r="199" spans="1:23" x14ac:dyDescent="0.25">
      <c r="A199">
        <v>198</v>
      </c>
      <c r="B199" t="s">
        <v>1488</v>
      </c>
      <c r="C199" s="1">
        <v>43009</v>
      </c>
      <c r="D199" s="1">
        <v>43016</v>
      </c>
      <c r="E199" t="s">
        <v>49</v>
      </c>
      <c r="F199" t="s">
        <v>1489</v>
      </c>
      <c r="G199" t="s">
        <v>1490</v>
      </c>
      <c r="H199" t="s">
        <v>40</v>
      </c>
      <c r="I199" t="s">
        <v>26</v>
      </c>
      <c r="J199" t="s">
        <v>671</v>
      </c>
      <c r="K199" t="s">
        <v>103</v>
      </c>
      <c r="L199">
        <v>78207</v>
      </c>
      <c r="M199" t="s">
        <v>104</v>
      </c>
      <c r="N199" t="s">
        <v>1491</v>
      </c>
      <c r="O199" t="s">
        <v>45</v>
      </c>
      <c r="P199" t="s">
        <v>67</v>
      </c>
      <c r="Q199" t="s">
        <v>1492</v>
      </c>
      <c r="R199">
        <v>6.6719999999999997</v>
      </c>
      <c r="S199">
        <v>6</v>
      </c>
      <c r="T199">
        <v>0.2</v>
      </c>
      <c r="U199">
        <v>0.50039999999999996</v>
      </c>
      <c r="V199" t="str">
        <f t="shared" si="3"/>
        <v>Ken Heidel</v>
      </c>
      <c r="W199">
        <f>Table2[Profit]/Table2[Sales]</f>
        <v>7.4999999999999997E-2</v>
      </c>
    </row>
    <row r="200" spans="1:23" x14ac:dyDescent="0.25">
      <c r="A200">
        <v>199</v>
      </c>
      <c r="B200" t="s">
        <v>1493</v>
      </c>
      <c r="C200" s="1">
        <v>42475</v>
      </c>
      <c r="D200" s="1">
        <v>42481</v>
      </c>
      <c r="E200" t="s">
        <v>49</v>
      </c>
      <c r="F200" t="s">
        <v>1494</v>
      </c>
      <c r="G200" t="s">
        <v>1495</v>
      </c>
      <c r="H200" t="s">
        <v>101</v>
      </c>
      <c r="I200" t="s">
        <v>26</v>
      </c>
      <c r="J200" t="s">
        <v>1496</v>
      </c>
      <c r="K200" t="s">
        <v>87</v>
      </c>
      <c r="L200">
        <v>28052</v>
      </c>
      <c r="M200" t="s">
        <v>29</v>
      </c>
      <c r="N200" t="s">
        <v>1497</v>
      </c>
      <c r="O200" t="s">
        <v>45</v>
      </c>
      <c r="P200" t="s">
        <v>74</v>
      </c>
      <c r="Q200" t="s">
        <v>1498</v>
      </c>
      <c r="R200">
        <v>189.58799999999999</v>
      </c>
      <c r="S200">
        <v>2</v>
      </c>
      <c r="T200">
        <v>0.7</v>
      </c>
      <c r="U200">
        <v>-145.35079999999999</v>
      </c>
      <c r="V200" t="str">
        <f t="shared" si="3"/>
        <v>Ross Baird</v>
      </c>
      <c r="W200">
        <f>Table2[Profit]/Table2[Sales]</f>
        <v>-0.76666666666666661</v>
      </c>
    </row>
    <row r="201" spans="1:23" x14ac:dyDescent="0.25">
      <c r="A201">
        <v>200</v>
      </c>
      <c r="B201" t="s">
        <v>1501</v>
      </c>
      <c r="C201" s="1">
        <v>42527</v>
      </c>
      <c r="D201" s="1">
        <v>42528</v>
      </c>
      <c r="E201" t="s">
        <v>185</v>
      </c>
      <c r="F201" t="s">
        <v>635</v>
      </c>
      <c r="G201" t="s">
        <v>636</v>
      </c>
      <c r="H201" t="s">
        <v>25</v>
      </c>
      <c r="I201" t="s">
        <v>26</v>
      </c>
      <c r="J201" t="s">
        <v>1232</v>
      </c>
      <c r="K201" t="s">
        <v>1233</v>
      </c>
      <c r="L201">
        <v>1852</v>
      </c>
      <c r="M201" t="s">
        <v>145</v>
      </c>
      <c r="N201" t="s">
        <v>1502</v>
      </c>
      <c r="O201" t="s">
        <v>45</v>
      </c>
      <c r="P201" t="s">
        <v>58</v>
      </c>
      <c r="Q201" t="s">
        <v>1503</v>
      </c>
      <c r="R201">
        <v>714.3</v>
      </c>
      <c r="S201">
        <v>5</v>
      </c>
      <c r="T201">
        <v>0</v>
      </c>
      <c r="U201">
        <v>207.14699999999999</v>
      </c>
      <c r="V201" t="str">
        <f t="shared" si="3"/>
        <v>Dave Brooks</v>
      </c>
      <c r="W201">
        <f>Table2[Profit]/Table2[Sales]</f>
        <v>0.28999999999999998</v>
      </c>
    </row>
    <row r="202" spans="1:23" x14ac:dyDescent="0.25">
      <c r="A202">
        <v>201</v>
      </c>
      <c r="B202" t="s">
        <v>1504</v>
      </c>
      <c r="C202" s="1">
        <v>41992</v>
      </c>
      <c r="D202" s="1">
        <v>41998</v>
      </c>
      <c r="E202" t="s">
        <v>49</v>
      </c>
      <c r="F202" t="s">
        <v>1505</v>
      </c>
      <c r="G202" t="s">
        <v>1506</v>
      </c>
      <c r="H202" t="s">
        <v>25</v>
      </c>
      <c r="I202" t="s">
        <v>26</v>
      </c>
      <c r="J202" t="s">
        <v>1507</v>
      </c>
      <c r="K202" t="s">
        <v>53</v>
      </c>
      <c r="L202">
        <v>32216</v>
      </c>
      <c r="M202" t="s">
        <v>29</v>
      </c>
      <c r="N202" t="s">
        <v>1508</v>
      </c>
      <c r="O202" t="s">
        <v>45</v>
      </c>
      <c r="P202" t="s">
        <v>74</v>
      </c>
      <c r="Q202" t="s">
        <v>1509</v>
      </c>
      <c r="R202">
        <v>4.8120000000000003</v>
      </c>
      <c r="S202">
        <v>2</v>
      </c>
      <c r="T202">
        <v>0.7</v>
      </c>
      <c r="U202">
        <v>-3.6892</v>
      </c>
      <c r="V202" t="str">
        <f t="shared" si="3"/>
        <v>Mike Kennedy</v>
      </c>
      <c r="W202">
        <f>Table2[Profit]/Table2[Sales]</f>
        <v>-0.76666666666666661</v>
      </c>
    </row>
    <row r="203" spans="1:23" x14ac:dyDescent="0.25">
      <c r="A203">
        <v>202</v>
      </c>
      <c r="B203" t="s">
        <v>1510</v>
      </c>
      <c r="C203" s="1">
        <v>42533</v>
      </c>
      <c r="D203" s="1">
        <v>42535</v>
      </c>
      <c r="E203" t="s">
        <v>22</v>
      </c>
      <c r="F203" t="s">
        <v>1511</v>
      </c>
      <c r="G203" t="s">
        <v>1512</v>
      </c>
      <c r="H203" t="s">
        <v>101</v>
      </c>
      <c r="I203" t="s">
        <v>26</v>
      </c>
      <c r="J203" t="s">
        <v>296</v>
      </c>
      <c r="K203" t="s">
        <v>208</v>
      </c>
      <c r="L203">
        <v>60623</v>
      </c>
      <c r="M203" t="s">
        <v>104</v>
      </c>
      <c r="N203" t="s">
        <v>1513</v>
      </c>
      <c r="O203" t="s">
        <v>70</v>
      </c>
      <c r="P203" t="s">
        <v>675</v>
      </c>
      <c r="Q203" t="s">
        <v>1514</v>
      </c>
      <c r="R203">
        <v>1007.979</v>
      </c>
      <c r="S203">
        <v>3</v>
      </c>
      <c r="T203">
        <v>0.3</v>
      </c>
      <c r="U203">
        <v>43.199100000000001</v>
      </c>
      <c r="V203" t="str">
        <f t="shared" si="3"/>
        <v>Philisse Overcash</v>
      </c>
      <c r="W203">
        <f>Table2[Profit]/Table2[Sales]</f>
        <v>4.2857142857142858E-2</v>
      </c>
    </row>
    <row r="204" spans="1:23" x14ac:dyDescent="0.25">
      <c r="A204">
        <v>203</v>
      </c>
      <c r="B204" t="s">
        <v>1515</v>
      </c>
      <c r="C204" s="1">
        <v>42993</v>
      </c>
      <c r="D204" s="1">
        <v>42997</v>
      </c>
      <c r="E204" t="s">
        <v>49</v>
      </c>
      <c r="F204" t="s">
        <v>1516</v>
      </c>
      <c r="G204" t="s">
        <v>1517</v>
      </c>
      <c r="H204" t="s">
        <v>40</v>
      </c>
      <c r="I204" t="s">
        <v>26</v>
      </c>
      <c r="J204" t="s">
        <v>181</v>
      </c>
      <c r="K204" t="s">
        <v>103</v>
      </c>
      <c r="L204">
        <v>77070</v>
      </c>
      <c r="M204" t="s">
        <v>104</v>
      </c>
      <c r="N204" t="s">
        <v>1518</v>
      </c>
      <c r="O204" t="s">
        <v>45</v>
      </c>
      <c r="P204" t="s">
        <v>89</v>
      </c>
      <c r="Q204" t="s">
        <v>1519</v>
      </c>
      <c r="R204">
        <v>31.872</v>
      </c>
      <c r="S204">
        <v>8</v>
      </c>
      <c r="T204">
        <v>0.2</v>
      </c>
      <c r="U204">
        <v>11.553599999999999</v>
      </c>
      <c r="V204" t="str">
        <f t="shared" si="3"/>
        <v>Brenda Bowman</v>
      </c>
      <c r="W204">
        <f>Table2[Profit]/Table2[Sales]</f>
        <v>0.36249999999999999</v>
      </c>
    </row>
    <row r="205" spans="1:23" x14ac:dyDescent="0.25">
      <c r="A205">
        <v>204</v>
      </c>
      <c r="B205" t="s">
        <v>1520</v>
      </c>
      <c r="C205" s="1">
        <v>42755</v>
      </c>
      <c r="D205" s="1">
        <v>42758</v>
      </c>
      <c r="E205" t="s">
        <v>22</v>
      </c>
      <c r="F205" t="s">
        <v>474</v>
      </c>
      <c r="G205" t="s">
        <v>475</v>
      </c>
      <c r="H205" t="s">
        <v>40</v>
      </c>
      <c r="I205" t="s">
        <v>26</v>
      </c>
      <c r="J205" t="s">
        <v>263</v>
      </c>
      <c r="K205" t="s">
        <v>264</v>
      </c>
      <c r="L205">
        <v>10024</v>
      </c>
      <c r="M205" t="s">
        <v>145</v>
      </c>
      <c r="N205" t="s">
        <v>1521</v>
      </c>
      <c r="O205" t="s">
        <v>31</v>
      </c>
      <c r="P205" t="s">
        <v>35</v>
      </c>
      <c r="Q205" t="s">
        <v>1522</v>
      </c>
      <c r="R205">
        <v>207.846</v>
      </c>
      <c r="S205">
        <v>3</v>
      </c>
      <c r="T205">
        <v>0.1</v>
      </c>
      <c r="U205">
        <v>2.3094000000000001</v>
      </c>
      <c r="V205" t="str">
        <f t="shared" si="3"/>
        <v>Cynthia Voltz</v>
      </c>
      <c r="W205">
        <f>Table2[Profit]/Table2[Sales]</f>
        <v>1.1111111111111112E-2</v>
      </c>
    </row>
    <row r="206" spans="1:23" x14ac:dyDescent="0.25">
      <c r="A206">
        <v>205</v>
      </c>
      <c r="B206" t="s">
        <v>1523</v>
      </c>
      <c r="C206" s="1">
        <v>42618</v>
      </c>
      <c r="D206" s="1">
        <v>42620</v>
      </c>
      <c r="E206" t="s">
        <v>22</v>
      </c>
      <c r="F206" t="s">
        <v>110</v>
      </c>
      <c r="G206" t="s">
        <v>111</v>
      </c>
      <c r="H206" t="s">
        <v>25</v>
      </c>
      <c r="I206" t="s">
        <v>26</v>
      </c>
      <c r="J206" t="s">
        <v>873</v>
      </c>
      <c r="K206" t="s">
        <v>235</v>
      </c>
      <c r="L206">
        <v>48227</v>
      </c>
      <c r="M206" t="s">
        <v>104</v>
      </c>
      <c r="N206" t="s">
        <v>1524</v>
      </c>
      <c r="O206" t="s">
        <v>31</v>
      </c>
      <c r="P206" t="s">
        <v>64</v>
      </c>
      <c r="Q206" t="s">
        <v>1525</v>
      </c>
      <c r="R206">
        <v>12.22</v>
      </c>
      <c r="S206">
        <v>1</v>
      </c>
      <c r="T206">
        <v>0</v>
      </c>
      <c r="U206">
        <v>3.6659999999999999</v>
      </c>
      <c r="V206" t="str">
        <f t="shared" si="3"/>
        <v>Pete Kriz</v>
      </c>
      <c r="W206">
        <f>Table2[Profit]/Table2[Sales]</f>
        <v>0.3</v>
      </c>
    </row>
    <row r="207" spans="1:23" x14ac:dyDescent="0.25">
      <c r="A207">
        <v>206</v>
      </c>
      <c r="B207" t="s">
        <v>1532</v>
      </c>
      <c r="C207" s="1">
        <v>42814</v>
      </c>
      <c r="D207" s="1">
        <v>42819</v>
      </c>
      <c r="E207" t="s">
        <v>22</v>
      </c>
      <c r="F207" t="s">
        <v>1533</v>
      </c>
      <c r="G207" t="s">
        <v>1534</v>
      </c>
      <c r="H207" t="s">
        <v>25</v>
      </c>
      <c r="I207" t="s">
        <v>26</v>
      </c>
      <c r="J207" t="s">
        <v>490</v>
      </c>
      <c r="K207" t="s">
        <v>251</v>
      </c>
      <c r="L207">
        <v>47201</v>
      </c>
      <c r="M207" t="s">
        <v>104</v>
      </c>
      <c r="N207" t="s">
        <v>1535</v>
      </c>
      <c r="O207" t="s">
        <v>31</v>
      </c>
      <c r="P207" t="s">
        <v>64</v>
      </c>
      <c r="Q207" t="s">
        <v>1536</v>
      </c>
      <c r="R207">
        <v>2.91</v>
      </c>
      <c r="S207">
        <v>1</v>
      </c>
      <c r="T207">
        <v>0</v>
      </c>
      <c r="U207">
        <v>1.3676999999999999</v>
      </c>
      <c r="V207" t="str">
        <f t="shared" si="3"/>
        <v>Troy Blackwell</v>
      </c>
      <c r="W207">
        <f>Table2[Profit]/Table2[Sales]</f>
        <v>0.47</v>
      </c>
    </row>
    <row r="208" spans="1:23" x14ac:dyDescent="0.25">
      <c r="A208">
        <v>207</v>
      </c>
      <c r="B208" t="s">
        <v>1537</v>
      </c>
      <c r="C208" s="1">
        <v>42461</v>
      </c>
      <c r="D208" s="1">
        <v>42463</v>
      </c>
      <c r="E208" t="s">
        <v>22</v>
      </c>
      <c r="F208" t="s">
        <v>1538</v>
      </c>
      <c r="G208" t="s">
        <v>1539</v>
      </c>
      <c r="H208" t="s">
        <v>25</v>
      </c>
      <c r="I208" t="s">
        <v>26</v>
      </c>
      <c r="J208" t="s">
        <v>1540</v>
      </c>
      <c r="K208" t="s">
        <v>264</v>
      </c>
      <c r="L208">
        <v>13021</v>
      </c>
      <c r="M208" t="s">
        <v>145</v>
      </c>
      <c r="N208" t="s">
        <v>1541</v>
      </c>
      <c r="O208" t="s">
        <v>45</v>
      </c>
      <c r="P208" t="s">
        <v>67</v>
      </c>
      <c r="Q208" t="s">
        <v>1542</v>
      </c>
      <c r="R208">
        <v>59.52</v>
      </c>
      <c r="S208">
        <v>3</v>
      </c>
      <c r="T208">
        <v>0</v>
      </c>
      <c r="U208">
        <v>15.475199999999999</v>
      </c>
      <c r="V208" t="str">
        <f t="shared" si="3"/>
        <v>Raymond Buch</v>
      </c>
      <c r="W208">
        <f>Table2[Profit]/Table2[Sales]</f>
        <v>0.25999999999999995</v>
      </c>
    </row>
    <row r="209" spans="1:23" x14ac:dyDescent="0.25">
      <c r="A209">
        <v>208</v>
      </c>
      <c r="B209" t="s">
        <v>1551</v>
      </c>
      <c r="C209" s="1">
        <v>43028</v>
      </c>
      <c r="D209" s="1">
        <v>43032</v>
      </c>
      <c r="E209" t="s">
        <v>49</v>
      </c>
      <c r="F209" t="s">
        <v>1552</v>
      </c>
      <c r="G209" t="s">
        <v>1553</v>
      </c>
      <c r="H209" t="s">
        <v>40</v>
      </c>
      <c r="I209" t="s">
        <v>26</v>
      </c>
      <c r="J209" t="s">
        <v>794</v>
      </c>
      <c r="K209" t="s">
        <v>491</v>
      </c>
      <c r="L209">
        <v>44312</v>
      </c>
      <c r="M209" t="s">
        <v>145</v>
      </c>
      <c r="N209" t="s">
        <v>79</v>
      </c>
      <c r="O209" t="s">
        <v>31</v>
      </c>
      <c r="P209" t="s">
        <v>55</v>
      </c>
      <c r="Q209" t="s">
        <v>80</v>
      </c>
      <c r="R209">
        <v>284.36399999999998</v>
      </c>
      <c r="S209">
        <v>2</v>
      </c>
      <c r="T209">
        <v>0.4</v>
      </c>
      <c r="U209">
        <v>-75.830399999999997</v>
      </c>
      <c r="V209" t="str">
        <f t="shared" si="3"/>
        <v>Ed Braxton</v>
      </c>
      <c r="W209">
        <f>Table2[Profit]/Table2[Sales]</f>
        <v>-0.26666666666666666</v>
      </c>
    </row>
    <row r="210" spans="1:23" x14ac:dyDescent="0.25">
      <c r="A210">
        <v>209</v>
      </c>
      <c r="B210" t="s">
        <v>1556</v>
      </c>
      <c r="C210" s="1">
        <v>42717</v>
      </c>
      <c r="D210" s="1">
        <v>42721</v>
      </c>
      <c r="E210" t="s">
        <v>49</v>
      </c>
      <c r="F210" t="s">
        <v>1489</v>
      </c>
      <c r="G210" t="s">
        <v>1490</v>
      </c>
      <c r="H210" t="s">
        <v>40</v>
      </c>
      <c r="I210" t="s">
        <v>26</v>
      </c>
      <c r="J210" t="s">
        <v>1557</v>
      </c>
      <c r="K210" t="s">
        <v>641</v>
      </c>
      <c r="L210">
        <v>73071</v>
      </c>
      <c r="M210" t="s">
        <v>104</v>
      </c>
      <c r="N210" t="s">
        <v>1558</v>
      </c>
      <c r="O210" t="s">
        <v>70</v>
      </c>
      <c r="P210" t="s">
        <v>158</v>
      </c>
      <c r="Q210" t="s">
        <v>1559</v>
      </c>
      <c r="R210">
        <v>63.88</v>
      </c>
      <c r="S210">
        <v>4</v>
      </c>
      <c r="T210">
        <v>0</v>
      </c>
      <c r="U210">
        <v>24.9132</v>
      </c>
      <c r="V210" t="str">
        <f t="shared" si="3"/>
        <v>Ken Heidel</v>
      </c>
      <c r="W210">
        <f>Table2[Profit]/Table2[Sales]</f>
        <v>0.38999999999999996</v>
      </c>
    </row>
    <row r="211" spans="1:23" x14ac:dyDescent="0.25">
      <c r="A211">
        <v>210</v>
      </c>
      <c r="B211" t="s">
        <v>1560</v>
      </c>
      <c r="C211" s="1">
        <v>41682</v>
      </c>
      <c r="D211" s="1">
        <v>41688</v>
      </c>
      <c r="E211" t="s">
        <v>49</v>
      </c>
      <c r="F211" t="s">
        <v>1561</v>
      </c>
      <c r="G211" t="s">
        <v>1562</v>
      </c>
      <c r="H211" t="s">
        <v>25</v>
      </c>
      <c r="I211" t="s">
        <v>26</v>
      </c>
      <c r="J211" t="s">
        <v>86</v>
      </c>
      <c r="K211" t="s">
        <v>42</v>
      </c>
      <c r="L211">
        <v>94521</v>
      </c>
      <c r="M211" t="s">
        <v>43</v>
      </c>
      <c r="N211" t="s">
        <v>1563</v>
      </c>
      <c r="O211" t="s">
        <v>31</v>
      </c>
      <c r="P211" t="s">
        <v>35</v>
      </c>
      <c r="Q211" t="s">
        <v>1564</v>
      </c>
      <c r="R211">
        <v>129.56800000000001</v>
      </c>
      <c r="S211">
        <v>2</v>
      </c>
      <c r="T211">
        <v>0.2</v>
      </c>
      <c r="U211">
        <v>-24.294</v>
      </c>
      <c r="V211" t="str">
        <f t="shared" si="3"/>
        <v>Sanjit Chand</v>
      </c>
      <c r="W211">
        <f>Table2[Profit]/Table2[Sales]</f>
        <v>-0.1875</v>
      </c>
    </row>
    <row r="212" spans="1:23" x14ac:dyDescent="0.25">
      <c r="A212">
        <v>211</v>
      </c>
      <c r="B212" t="s">
        <v>1565</v>
      </c>
      <c r="C212" s="1">
        <v>42639</v>
      </c>
      <c r="D212" s="1">
        <v>42644</v>
      </c>
      <c r="E212" t="s">
        <v>49</v>
      </c>
      <c r="F212" t="s">
        <v>1471</v>
      </c>
      <c r="G212" t="s">
        <v>1472</v>
      </c>
      <c r="H212" t="s">
        <v>25</v>
      </c>
      <c r="I212" t="s">
        <v>26</v>
      </c>
      <c r="J212" t="s">
        <v>350</v>
      </c>
      <c r="K212" t="s">
        <v>208</v>
      </c>
      <c r="L212">
        <v>62521</v>
      </c>
      <c r="M212" t="s">
        <v>104</v>
      </c>
      <c r="N212" t="s">
        <v>1566</v>
      </c>
      <c r="O212" t="s">
        <v>31</v>
      </c>
      <c r="P212" t="s">
        <v>35</v>
      </c>
      <c r="Q212" t="s">
        <v>1567</v>
      </c>
      <c r="R212">
        <v>747.55799999999999</v>
      </c>
      <c r="S212">
        <v>3</v>
      </c>
      <c r="T212">
        <v>0.3</v>
      </c>
      <c r="U212">
        <v>-96.114599999999996</v>
      </c>
      <c r="V212" t="str">
        <f t="shared" si="3"/>
        <v>Natalie Fritzler</v>
      </c>
      <c r="W212">
        <f>Table2[Profit]/Table2[Sales]</f>
        <v>-0.12857142857142856</v>
      </c>
    </row>
    <row r="213" spans="1:23" x14ac:dyDescent="0.25">
      <c r="A213">
        <v>212</v>
      </c>
      <c r="B213" t="s">
        <v>1569</v>
      </c>
      <c r="C213" s="1">
        <v>42353</v>
      </c>
      <c r="D213" s="1">
        <v>42360</v>
      </c>
      <c r="E213" t="s">
        <v>49</v>
      </c>
      <c r="F213" t="s">
        <v>823</v>
      </c>
      <c r="G213" t="s">
        <v>824</v>
      </c>
      <c r="H213" t="s">
        <v>25</v>
      </c>
      <c r="I213" t="s">
        <v>26</v>
      </c>
      <c r="J213" t="s">
        <v>94</v>
      </c>
      <c r="K213" t="s">
        <v>95</v>
      </c>
      <c r="L213">
        <v>98115</v>
      </c>
      <c r="M213" t="s">
        <v>43</v>
      </c>
      <c r="N213" t="s">
        <v>1570</v>
      </c>
      <c r="O213" t="s">
        <v>45</v>
      </c>
      <c r="P213" t="s">
        <v>77</v>
      </c>
      <c r="Q213" t="s">
        <v>1571</v>
      </c>
      <c r="R213">
        <v>103.92</v>
      </c>
      <c r="S213">
        <v>4</v>
      </c>
      <c r="T213">
        <v>0</v>
      </c>
      <c r="U213">
        <v>36.372</v>
      </c>
      <c r="V213" t="str">
        <f t="shared" si="3"/>
        <v>Joseph Holt</v>
      </c>
      <c r="W213">
        <f>Table2[Profit]/Table2[Sales]</f>
        <v>0.35</v>
      </c>
    </row>
    <row r="214" spans="1:23" x14ac:dyDescent="0.25">
      <c r="A214">
        <v>213</v>
      </c>
      <c r="B214" t="s">
        <v>1576</v>
      </c>
      <c r="C214" s="1">
        <v>42482</v>
      </c>
      <c r="D214" s="1">
        <v>42489</v>
      </c>
      <c r="E214" t="s">
        <v>49</v>
      </c>
      <c r="F214" t="s">
        <v>1577</v>
      </c>
      <c r="G214" t="s">
        <v>1578</v>
      </c>
      <c r="H214" t="s">
        <v>101</v>
      </c>
      <c r="I214" t="s">
        <v>26</v>
      </c>
      <c r="J214" t="s">
        <v>537</v>
      </c>
      <c r="K214" t="s">
        <v>303</v>
      </c>
      <c r="L214">
        <v>85023</v>
      </c>
      <c r="M214" t="s">
        <v>43</v>
      </c>
      <c r="N214" t="s">
        <v>1272</v>
      </c>
      <c r="O214" t="s">
        <v>31</v>
      </c>
      <c r="P214" t="s">
        <v>64</v>
      </c>
      <c r="Q214" t="s">
        <v>1273</v>
      </c>
      <c r="R214">
        <v>23.56</v>
      </c>
      <c r="S214">
        <v>5</v>
      </c>
      <c r="T214">
        <v>0.2</v>
      </c>
      <c r="U214">
        <v>7.0679999999999996</v>
      </c>
      <c r="V214" t="str">
        <f t="shared" si="3"/>
        <v>Tanja Norvell</v>
      </c>
      <c r="W214">
        <f>Table2[Profit]/Table2[Sales]</f>
        <v>0.3</v>
      </c>
    </row>
    <row r="215" spans="1:23" x14ac:dyDescent="0.25">
      <c r="A215">
        <v>214</v>
      </c>
      <c r="B215" t="s">
        <v>1585</v>
      </c>
      <c r="C215" s="1">
        <v>42021</v>
      </c>
      <c r="D215" s="1">
        <v>42028</v>
      </c>
      <c r="E215" t="s">
        <v>49</v>
      </c>
      <c r="F215" t="s">
        <v>1586</v>
      </c>
      <c r="G215" t="s">
        <v>1587</v>
      </c>
      <c r="H215" t="s">
        <v>101</v>
      </c>
      <c r="I215" t="s">
        <v>26</v>
      </c>
      <c r="J215" t="s">
        <v>1588</v>
      </c>
      <c r="K215" t="s">
        <v>208</v>
      </c>
      <c r="L215">
        <v>60068</v>
      </c>
      <c r="M215" t="s">
        <v>104</v>
      </c>
      <c r="N215" t="s">
        <v>1078</v>
      </c>
      <c r="O215" t="s">
        <v>31</v>
      </c>
      <c r="P215" t="s">
        <v>64</v>
      </c>
      <c r="Q215" t="s">
        <v>1079</v>
      </c>
      <c r="R215">
        <v>254.744</v>
      </c>
      <c r="S215">
        <v>7</v>
      </c>
      <c r="T215">
        <v>0.6</v>
      </c>
      <c r="U215">
        <v>-312.06139999999999</v>
      </c>
      <c r="V215" t="str">
        <f t="shared" si="3"/>
        <v>Joni Sundaresam</v>
      </c>
      <c r="W215">
        <f>Table2[Profit]/Table2[Sales]</f>
        <v>-1.2249999999999999</v>
      </c>
    </row>
    <row r="216" spans="1:23" x14ac:dyDescent="0.25">
      <c r="A216">
        <v>215</v>
      </c>
      <c r="B216" t="s">
        <v>1589</v>
      </c>
      <c r="C216" s="1">
        <v>42825</v>
      </c>
      <c r="D216" s="1">
        <v>42829</v>
      </c>
      <c r="E216" t="s">
        <v>49</v>
      </c>
      <c r="F216" t="s">
        <v>871</v>
      </c>
      <c r="G216" t="s">
        <v>872</v>
      </c>
      <c r="H216" t="s">
        <v>40</v>
      </c>
      <c r="I216" t="s">
        <v>26</v>
      </c>
      <c r="J216" t="s">
        <v>1590</v>
      </c>
      <c r="K216" t="s">
        <v>103</v>
      </c>
      <c r="L216">
        <v>79109</v>
      </c>
      <c r="M216" t="s">
        <v>104</v>
      </c>
      <c r="N216" t="s">
        <v>1591</v>
      </c>
      <c r="O216" t="s">
        <v>31</v>
      </c>
      <c r="P216" t="s">
        <v>32</v>
      </c>
      <c r="Q216" t="s">
        <v>1592</v>
      </c>
      <c r="R216">
        <v>205.33279999999999</v>
      </c>
      <c r="S216">
        <v>2</v>
      </c>
      <c r="T216">
        <v>0.32</v>
      </c>
      <c r="U216">
        <v>-36.235199999999999</v>
      </c>
      <c r="V216" t="str">
        <f t="shared" si="3"/>
        <v>David Smith</v>
      </c>
      <c r="W216">
        <f>Table2[Profit]/Table2[Sales]</f>
        <v>-0.17647058823529413</v>
      </c>
    </row>
    <row r="217" spans="1:23" x14ac:dyDescent="0.25">
      <c r="A217">
        <v>216</v>
      </c>
      <c r="B217" t="s">
        <v>1593</v>
      </c>
      <c r="C217" s="1">
        <v>42720</v>
      </c>
      <c r="D217" s="1">
        <v>42724</v>
      </c>
      <c r="E217" t="s">
        <v>22</v>
      </c>
      <c r="F217" t="s">
        <v>959</v>
      </c>
      <c r="G217" t="s">
        <v>960</v>
      </c>
      <c r="H217" t="s">
        <v>25</v>
      </c>
      <c r="I217" t="s">
        <v>26</v>
      </c>
      <c r="J217" t="s">
        <v>296</v>
      </c>
      <c r="K217" t="s">
        <v>208</v>
      </c>
      <c r="L217">
        <v>60610</v>
      </c>
      <c r="M217" t="s">
        <v>104</v>
      </c>
      <c r="N217" t="s">
        <v>1594</v>
      </c>
      <c r="O217" t="s">
        <v>45</v>
      </c>
      <c r="P217" t="s">
        <v>74</v>
      </c>
      <c r="Q217" t="s">
        <v>1595</v>
      </c>
      <c r="R217">
        <v>4.7880000000000003</v>
      </c>
      <c r="S217">
        <v>3</v>
      </c>
      <c r="T217">
        <v>0.8</v>
      </c>
      <c r="U217">
        <v>-7.9001999999999999</v>
      </c>
      <c r="V217" t="str">
        <f t="shared" si="3"/>
        <v>Craig Carreira</v>
      </c>
      <c r="W217">
        <f>Table2[Profit]/Table2[Sales]</f>
        <v>-1.65</v>
      </c>
    </row>
    <row r="218" spans="1:23" x14ac:dyDescent="0.25">
      <c r="A218">
        <v>217</v>
      </c>
      <c r="B218" t="s">
        <v>1596</v>
      </c>
      <c r="C218" s="1">
        <v>42358</v>
      </c>
      <c r="D218" s="1">
        <v>42362</v>
      </c>
      <c r="E218" t="s">
        <v>49</v>
      </c>
      <c r="F218" t="s">
        <v>1597</v>
      </c>
      <c r="G218" t="s">
        <v>1598</v>
      </c>
      <c r="H218" t="s">
        <v>40</v>
      </c>
      <c r="I218" t="s">
        <v>26</v>
      </c>
      <c r="J218" t="s">
        <v>1599</v>
      </c>
      <c r="K218" t="s">
        <v>264</v>
      </c>
      <c r="L218">
        <v>11757</v>
      </c>
      <c r="M218" t="s">
        <v>145</v>
      </c>
      <c r="N218" t="s">
        <v>1600</v>
      </c>
      <c r="O218" t="s">
        <v>45</v>
      </c>
      <c r="P218" t="s">
        <v>89</v>
      </c>
      <c r="Q218" t="s">
        <v>1601</v>
      </c>
      <c r="R218">
        <v>55.48</v>
      </c>
      <c r="S218">
        <v>1</v>
      </c>
      <c r="T218">
        <v>0</v>
      </c>
      <c r="U218">
        <v>26.630400000000002</v>
      </c>
      <c r="V218" t="str">
        <f t="shared" si="3"/>
        <v>Maya Herman</v>
      </c>
      <c r="W218">
        <f>Table2[Profit]/Table2[Sales]</f>
        <v>0.48000000000000004</v>
      </c>
    </row>
    <row r="219" spans="1:23" x14ac:dyDescent="0.25">
      <c r="A219">
        <v>218</v>
      </c>
      <c r="B219" t="s">
        <v>1602</v>
      </c>
      <c r="C219" s="1">
        <v>41952</v>
      </c>
      <c r="D219" s="1">
        <v>41954</v>
      </c>
      <c r="E219" t="s">
        <v>22</v>
      </c>
      <c r="F219" t="s">
        <v>1603</v>
      </c>
      <c r="G219" t="s">
        <v>1604</v>
      </c>
      <c r="H219" t="s">
        <v>25</v>
      </c>
      <c r="I219" t="s">
        <v>26</v>
      </c>
      <c r="J219" t="s">
        <v>126</v>
      </c>
      <c r="K219" t="s">
        <v>42</v>
      </c>
      <c r="L219">
        <v>94110</v>
      </c>
      <c r="M219" t="s">
        <v>43</v>
      </c>
      <c r="N219" t="s">
        <v>1605</v>
      </c>
      <c r="O219" t="s">
        <v>45</v>
      </c>
      <c r="P219" t="s">
        <v>58</v>
      </c>
      <c r="Q219" t="s">
        <v>1606</v>
      </c>
      <c r="R219">
        <v>340.92</v>
      </c>
      <c r="S219">
        <v>3</v>
      </c>
      <c r="T219">
        <v>0</v>
      </c>
      <c r="U219">
        <v>3.4091999999999998</v>
      </c>
      <c r="V219" t="str">
        <f t="shared" si="3"/>
        <v>Jeremy Pistek</v>
      </c>
      <c r="W219">
        <f>Table2[Profit]/Table2[Sales]</f>
        <v>9.9999999999999985E-3</v>
      </c>
    </row>
    <row r="220" spans="1:23" x14ac:dyDescent="0.25">
      <c r="A220">
        <v>219</v>
      </c>
      <c r="B220" t="s">
        <v>1617</v>
      </c>
      <c r="C220" s="1">
        <v>42563</v>
      </c>
      <c r="D220" s="1">
        <v>42570</v>
      </c>
      <c r="E220" t="s">
        <v>49</v>
      </c>
      <c r="F220" t="s">
        <v>1005</v>
      </c>
      <c r="G220" t="s">
        <v>1006</v>
      </c>
      <c r="H220" t="s">
        <v>40</v>
      </c>
      <c r="I220" t="s">
        <v>26</v>
      </c>
      <c r="J220" t="s">
        <v>41</v>
      </c>
      <c r="K220" t="s">
        <v>42</v>
      </c>
      <c r="L220">
        <v>90008</v>
      </c>
      <c r="M220" t="s">
        <v>43</v>
      </c>
      <c r="N220" t="s">
        <v>1618</v>
      </c>
      <c r="O220" t="s">
        <v>70</v>
      </c>
      <c r="P220" t="s">
        <v>71</v>
      </c>
      <c r="Q220" t="s">
        <v>1619</v>
      </c>
      <c r="R220">
        <v>95.76</v>
      </c>
      <c r="S220">
        <v>6</v>
      </c>
      <c r="T220">
        <v>0.2</v>
      </c>
      <c r="U220">
        <v>7.1820000000000004</v>
      </c>
      <c r="V220" t="str">
        <f t="shared" si="3"/>
        <v>Kristen Hastings</v>
      </c>
      <c r="W220">
        <f>Table2[Profit]/Table2[Sales]</f>
        <v>7.4999999999999997E-2</v>
      </c>
    </row>
    <row r="221" spans="1:23" x14ac:dyDescent="0.25">
      <c r="A221">
        <v>220</v>
      </c>
      <c r="B221" t="s">
        <v>1620</v>
      </c>
      <c r="C221" s="1">
        <v>42670</v>
      </c>
      <c r="D221" s="1">
        <v>42676</v>
      </c>
      <c r="E221" t="s">
        <v>49</v>
      </c>
      <c r="F221" t="s">
        <v>1621</v>
      </c>
      <c r="G221" t="s">
        <v>1622</v>
      </c>
      <c r="H221" t="s">
        <v>25</v>
      </c>
      <c r="I221" t="s">
        <v>26</v>
      </c>
      <c r="J221" t="s">
        <v>271</v>
      </c>
      <c r="K221" t="s">
        <v>264</v>
      </c>
      <c r="L221">
        <v>12180</v>
      </c>
      <c r="M221" t="s">
        <v>145</v>
      </c>
      <c r="N221" t="s">
        <v>1102</v>
      </c>
      <c r="O221" t="s">
        <v>31</v>
      </c>
      <c r="P221" t="s">
        <v>64</v>
      </c>
      <c r="Q221" t="s">
        <v>1103</v>
      </c>
      <c r="R221">
        <v>40.200000000000003</v>
      </c>
      <c r="S221">
        <v>3</v>
      </c>
      <c r="T221">
        <v>0</v>
      </c>
      <c r="U221">
        <v>19.295999999999999</v>
      </c>
      <c r="V221" t="str">
        <f t="shared" si="3"/>
        <v>Jeremy Ellison</v>
      </c>
      <c r="W221">
        <f>Table2[Profit]/Table2[Sales]</f>
        <v>0.47999999999999993</v>
      </c>
    </row>
    <row r="222" spans="1:23" x14ac:dyDescent="0.25">
      <c r="A222">
        <v>221</v>
      </c>
      <c r="B222" t="s">
        <v>1623</v>
      </c>
      <c r="C222" s="1">
        <v>42547</v>
      </c>
      <c r="D222" s="1">
        <v>42553</v>
      </c>
      <c r="E222" t="s">
        <v>49</v>
      </c>
      <c r="F222" t="s">
        <v>1624</v>
      </c>
      <c r="G222" t="s">
        <v>1625</v>
      </c>
      <c r="H222" t="s">
        <v>40</v>
      </c>
      <c r="I222" t="s">
        <v>26</v>
      </c>
      <c r="J222" t="s">
        <v>263</v>
      </c>
      <c r="K222" t="s">
        <v>264</v>
      </c>
      <c r="L222">
        <v>10024</v>
      </c>
      <c r="M222" t="s">
        <v>145</v>
      </c>
      <c r="N222" t="s">
        <v>1626</v>
      </c>
      <c r="O222" t="s">
        <v>45</v>
      </c>
      <c r="P222" t="s">
        <v>67</v>
      </c>
      <c r="Q222" t="s">
        <v>1627</v>
      </c>
      <c r="R222">
        <v>14.7</v>
      </c>
      <c r="S222">
        <v>5</v>
      </c>
      <c r="T222">
        <v>0</v>
      </c>
      <c r="U222">
        <v>6.6150000000000002</v>
      </c>
      <c r="V222" t="str">
        <f t="shared" si="3"/>
        <v>John Grady</v>
      </c>
      <c r="W222">
        <f>Table2[Profit]/Table2[Sales]</f>
        <v>0.45</v>
      </c>
    </row>
    <row r="223" spans="1:23" x14ac:dyDescent="0.25">
      <c r="A223">
        <v>222</v>
      </c>
      <c r="B223" t="s">
        <v>1630</v>
      </c>
      <c r="C223" s="1">
        <v>41918</v>
      </c>
      <c r="D223" s="1">
        <v>41922</v>
      </c>
      <c r="E223" t="s">
        <v>49</v>
      </c>
      <c r="F223" t="s">
        <v>1631</v>
      </c>
      <c r="G223" t="s">
        <v>1632</v>
      </c>
      <c r="H223" t="s">
        <v>25</v>
      </c>
      <c r="I223" t="s">
        <v>26</v>
      </c>
      <c r="J223" t="s">
        <v>941</v>
      </c>
      <c r="K223" t="s">
        <v>42</v>
      </c>
      <c r="L223">
        <v>92024</v>
      </c>
      <c r="M223" t="s">
        <v>43</v>
      </c>
      <c r="N223" t="s">
        <v>1633</v>
      </c>
      <c r="O223" t="s">
        <v>70</v>
      </c>
      <c r="P223" t="s">
        <v>158</v>
      </c>
      <c r="Q223" t="s">
        <v>1634</v>
      </c>
      <c r="R223">
        <v>9.09</v>
      </c>
      <c r="S223">
        <v>3</v>
      </c>
      <c r="T223">
        <v>0</v>
      </c>
      <c r="U223">
        <v>1.9089</v>
      </c>
      <c r="V223" t="str">
        <f t="shared" si="3"/>
        <v>Xylona Preis</v>
      </c>
      <c r="W223">
        <f>Table2[Profit]/Table2[Sales]</f>
        <v>0.21000000000000002</v>
      </c>
    </row>
    <row r="224" spans="1:23" x14ac:dyDescent="0.25">
      <c r="A224">
        <v>223</v>
      </c>
      <c r="B224" t="s">
        <v>1635</v>
      </c>
      <c r="C224" s="1">
        <v>41842</v>
      </c>
      <c r="D224" s="1">
        <v>41847</v>
      </c>
      <c r="E224" t="s">
        <v>49</v>
      </c>
      <c r="F224" t="s">
        <v>1636</v>
      </c>
      <c r="G224" t="s">
        <v>1637</v>
      </c>
      <c r="H224" t="s">
        <v>25</v>
      </c>
      <c r="I224" t="s">
        <v>26</v>
      </c>
      <c r="J224" t="s">
        <v>263</v>
      </c>
      <c r="K224" t="s">
        <v>264</v>
      </c>
      <c r="L224">
        <v>10024</v>
      </c>
      <c r="M224" t="s">
        <v>145</v>
      </c>
      <c r="N224" t="s">
        <v>359</v>
      </c>
      <c r="O224" t="s">
        <v>45</v>
      </c>
      <c r="P224" t="s">
        <v>67</v>
      </c>
      <c r="Q224" t="s">
        <v>360</v>
      </c>
      <c r="R224">
        <v>5.96</v>
      </c>
      <c r="S224">
        <v>2</v>
      </c>
      <c r="T224">
        <v>0</v>
      </c>
      <c r="U224">
        <v>1.6688000000000001</v>
      </c>
      <c r="V224" t="str">
        <f t="shared" si="3"/>
        <v>Erin Mull</v>
      </c>
      <c r="W224">
        <f>Table2[Profit]/Table2[Sales]</f>
        <v>0.28000000000000003</v>
      </c>
    </row>
    <row r="225" spans="1:23" x14ac:dyDescent="0.25">
      <c r="A225">
        <v>224</v>
      </c>
      <c r="B225" t="s">
        <v>1640</v>
      </c>
      <c r="C225" s="1">
        <v>42896</v>
      </c>
      <c r="D225" s="1">
        <v>42899</v>
      </c>
      <c r="E225" t="s">
        <v>185</v>
      </c>
      <c r="F225" t="s">
        <v>1641</v>
      </c>
      <c r="G225" t="s">
        <v>1642</v>
      </c>
      <c r="H225" t="s">
        <v>101</v>
      </c>
      <c r="I225" t="s">
        <v>26</v>
      </c>
      <c r="J225" t="s">
        <v>41</v>
      </c>
      <c r="K225" t="s">
        <v>42</v>
      </c>
      <c r="L225">
        <v>90045</v>
      </c>
      <c r="M225" t="s">
        <v>43</v>
      </c>
      <c r="N225" t="s">
        <v>1643</v>
      </c>
      <c r="O225" t="s">
        <v>45</v>
      </c>
      <c r="P225" t="s">
        <v>46</v>
      </c>
      <c r="Q225" t="s">
        <v>1644</v>
      </c>
      <c r="R225">
        <v>29.6</v>
      </c>
      <c r="S225">
        <v>2</v>
      </c>
      <c r="T225">
        <v>0</v>
      </c>
      <c r="U225">
        <v>14.8</v>
      </c>
      <c r="V225" t="str">
        <f t="shared" si="3"/>
        <v>Michelle Tran</v>
      </c>
      <c r="W225">
        <f>Table2[Profit]/Table2[Sales]</f>
        <v>0.5</v>
      </c>
    </row>
    <row r="226" spans="1:23" x14ac:dyDescent="0.25">
      <c r="A226">
        <v>225</v>
      </c>
      <c r="B226" t="s">
        <v>1649</v>
      </c>
      <c r="C226" s="1">
        <v>41941</v>
      </c>
      <c r="D226" s="1">
        <v>41943</v>
      </c>
      <c r="E226" t="s">
        <v>185</v>
      </c>
      <c r="F226" t="s">
        <v>1650</v>
      </c>
      <c r="G226" t="s">
        <v>1651</v>
      </c>
      <c r="H226" t="s">
        <v>25</v>
      </c>
      <c r="I226" t="s">
        <v>26</v>
      </c>
      <c r="J226" t="s">
        <v>296</v>
      </c>
      <c r="K226" t="s">
        <v>208</v>
      </c>
      <c r="L226">
        <v>60610</v>
      </c>
      <c r="M226" t="s">
        <v>104</v>
      </c>
      <c r="N226" t="s">
        <v>1652</v>
      </c>
      <c r="O226" t="s">
        <v>70</v>
      </c>
      <c r="P226" t="s">
        <v>71</v>
      </c>
      <c r="Q226" t="s">
        <v>1653</v>
      </c>
      <c r="R226">
        <v>2735.9520000000002</v>
      </c>
      <c r="S226">
        <v>6</v>
      </c>
      <c r="T226">
        <v>0.2</v>
      </c>
      <c r="U226">
        <v>341.99400000000003</v>
      </c>
      <c r="V226" t="str">
        <f t="shared" si="3"/>
        <v>Sue Ann Reed</v>
      </c>
      <c r="W226">
        <f>Table2[Profit]/Table2[Sales]</f>
        <v>0.125</v>
      </c>
    </row>
    <row r="227" spans="1:23" x14ac:dyDescent="0.25">
      <c r="A227">
        <v>226</v>
      </c>
      <c r="B227" t="s">
        <v>1654</v>
      </c>
      <c r="C227" s="1">
        <v>41799</v>
      </c>
      <c r="D227" s="1">
        <v>41803</v>
      </c>
      <c r="E227" t="s">
        <v>22</v>
      </c>
      <c r="F227" t="s">
        <v>1655</v>
      </c>
      <c r="G227" t="s">
        <v>1656</v>
      </c>
      <c r="H227" t="s">
        <v>101</v>
      </c>
      <c r="I227" t="s">
        <v>26</v>
      </c>
      <c r="J227" t="s">
        <v>1657</v>
      </c>
      <c r="K227" t="s">
        <v>103</v>
      </c>
      <c r="L227">
        <v>77340</v>
      </c>
      <c r="M227" t="s">
        <v>104</v>
      </c>
      <c r="N227" t="s">
        <v>1658</v>
      </c>
      <c r="O227" t="s">
        <v>70</v>
      </c>
      <c r="P227" t="s">
        <v>71</v>
      </c>
      <c r="Q227" t="s">
        <v>1659</v>
      </c>
      <c r="R227">
        <v>7.992</v>
      </c>
      <c r="S227">
        <v>1</v>
      </c>
      <c r="T227">
        <v>0.2</v>
      </c>
      <c r="U227">
        <v>0.59940000000000004</v>
      </c>
      <c r="V227" t="str">
        <f t="shared" si="3"/>
        <v>Carl Weiss</v>
      </c>
      <c r="W227">
        <f>Table2[Profit]/Table2[Sales]</f>
        <v>7.5000000000000011E-2</v>
      </c>
    </row>
    <row r="228" spans="1:23" x14ac:dyDescent="0.25">
      <c r="A228">
        <v>227</v>
      </c>
      <c r="B228" t="s">
        <v>1662</v>
      </c>
      <c r="C228" s="1">
        <v>41896</v>
      </c>
      <c r="D228" s="1">
        <v>41901</v>
      </c>
      <c r="E228" t="s">
        <v>49</v>
      </c>
      <c r="F228" t="s">
        <v>1663</v>
      </c>
      <c r="G228" t="s">
        <v>1664</v>
      </c>
      <c r="H228" t="s">
        <v>25</v>
      </c>
      <c r="I228" t="s">
        <v>26</v>
      </c>
      <c r="J228" t="s">
        <v>382</v>
      </c>
      <c r="K228" t="s">
        <v>264</v>
      </c>
      <c r="L228">
        <v>14609</v>
      </c>
      <c r="M228" t="s">
        <v>145</v>
      </c>
      <c r="N228" t="s">
        <v>1665</v>
      </c>
      <c r="O228" t="s">
        <v>45</v>
      </c>
      <c r="P228" t="s">
        <v>58</v>
      </c>
      <c r="Q228" t="s">
        <v>1666</v>
      </c>
      <c r="R228">
        <v>449.15</v>
      </c>
      <c r="S228">
        <v>5</v>
      </c>
      <c r="T228">
        <v>0</v>
      </c>
      <c r="U228">
        <v>8.9830000000000005</v>
      </c>
      <c r="V228" t="str">
        <f t="shared" si="3"/>
        <v>Astrea Jones</v>
      </c>
      <c r="W228">
        <f>Table2[Profit]/Table2[Sales]</f>
        <v>2.0000000000000004E-2</v>
      </c>
    </row>
    <row r="229" spans="1:23" x14ac:dyDescent="0.25">
      <c r="A229">
        <v>228</v>
      </c>
      <c r="B229" t="s">
        <v>1669</v>
      </c>
      <c r="C229" s="1">
        <v>42499</v>
      </c>
      <c r="D229" s="1">
        <v>42504</v>
      </c>
      <c r="E229" t="s">
        <v>49</v>
      </c>
      <c r="F229" t="s">
        <v>1670</v>
      </c>
      <c r="G229" t="s">
        <v>1671</v>
      </c>
      <c r="H229" t="s">
        <v>25</v>
      </c>
      <c r="I229" t="s">
        <v>26</v>
      </c>
      <c r="J229" t="s">
        <v>94</v>
      </c>
      <c r="K229" t="s">
        <v>95</v>
      </c>
      <c r="L229">
        <v>98115</v>
      </c>
      <c r="M229" t="s">
        <v>43</v>
      </c>
      <c r="N229" t="s">
        <v>1672</v>
      </c>
      <c r="O229" t="s">
        <v>70</v>
      </c>
      <c r="P229" t="s">
        <v>158</v>
      </c>
      <c r="Q229" t="s">
        <v>1673</v>
      </c>
      <c r="R229">
        <v>93.98</v>
      </c>
      <c r="S229">
        <v>2</v>
      </c>
      <c r="T229">
        <v>0</v>
      </c>
      <c r="U229">
        <v>13.1572</v>
      </c>
      <c r="V229" t="str">
        <f t="shared" si="3"/>
        <v>Sonia Sunley</v>
      </c>
      <c r="W229">
        <f>Table2[Profit]/Table2[Sales]</f>
        <v>0.13999999999999999</v>
      </c>
    </row>
    <row r="230" spans="1:23" x14ac:dyDescent="0.25">
      <c r="A230">
        <v>229</v>
      </c>
      <c r="B230" t="s">
        <v>1674</v>
      </c>
      <c r="C230" s="1">
        <v>42447</v>
      </c>
      <c r="D230" s="1">
        <v>42450</v>
      </c>
      <c r="E230" t="s">
        <v>22</v>
      </c>
      <c r="F230" t="s">
        <v>1675</v>
      </c>
      <c r="G230" t="s">
        <v>1676</v>
      </c>
      <c r="H230" t="s">
        <v>25</v>
      </c>
      <c r="I230" t="s">
        <v>26</v>
      </c>
      <c r="J230" t="s">
        <v>327</v>
      </c>
      <c r="K230" t="s">
        <v>328</v>
      </c>
      <c r="L230">
        <v>38109</v>
      </c>
      <c r="M230" t="s">
        <v>29</v>
      </c>
      <c r="N230" t="s">
        <v>1677</v>
      </c>
      <c r="O230" t="s">
        <v>31</v>
      </c>
      <c r="P230" t="s">
        <v>55</v>
      </c>
      <c r="Q230" t="s">
        <v>1678</v>
      </c>
      <c r="R230">
        <v>189.88200000000001</v>
      </c>
      <c r="S230">
        <v>3</v>
      </c>
      <c r="T230">
        <v>0.4</v>
      </c>
      <c r="U230">
        <v>-94.941000000000003</v>
      </c>
      <c r="V230" t="str">
        <f t="shared" si="3"/>
        <v>Rose O'Brian</v>
      </c>
      <c r="W230">
        <f>Table2[Profit]/Table2[Sales]</f>
        <v>-0.5</v>
      </c>
    </row>
    <row r="231" spans="1:23" x14ac:dyDescent="0.25">
      <c r="A231">
        <v>230</v>
      </c>
      <c r="B231" t="s">
        <v>1679</v>
      </c>
      <c r="C231" s="1">
        <v>42365</v>
      </c>
      <c r="D231" s="1">
        <v>42369</v>
      </c>
      <c r="E231" t="s">
        <v>49</v>
      </c>
      <c r="F231" t="s">
        <v>1680</v>
      </c>
      <c r="G231" t="s">
        <v>1681</v>
      </c>
      <c r="H231" t="s">
        <v>25</v>
      </c>
      <c r="I231" t="s">
        <v>26</v>
      </c>
      <c r="J231" t="s">
        <v>1682</v>
      </c>
      <c r="K231" t="s">
        <v>1683</v>
      </c>
      <c r="L231">
        <v>72701</v>
      </c>
      <c r="M231" t="s">
        <v>29</v>
      </c>
      <c r="N231" t="s">
        <v>1684</v>
      </c>
      <c r="O231" t="s">
        <v>45</v>
      </c>
      <c r="P231" t="s">
        <v>170</v>
      </c>
      <c r="Q231" t="s">
        <v>1685</v>
      </c>
      <c r="R231">
        <v>105.42</v>
      </c>
      <c r="S231">
        <v>2</v>
      </c>
      <c r="T231">
        <v>0</v>
      </c>
      <c r="U231">
        <v>51.655799999999999</v>
      </c>
      <c r="V231" t="str">
        <f t="shared" si="3"/>
        <v>Maribeth Dona</v>
      </c>
      <c r="W231">
        <f>Table2[Profit]/Table2[Sales]</f>
        <v>0.49</v>
      </c>
    </row>
    <row r="232" spans="1:23" x14ac:dyDescent="0.25">
      <c r="A232">
        <v>231</v>
      </c>
      <c r="B232" t="s">
        <v>1686</v>
      </c>
      <c r="C232" s="1">
        <v>42576</v>
      </c>
      <c r="D232" s="1">
        <v>42582</v>
      </c>
      <c r="E232" t="s">
        <v>49</v>
      </c>
      <c r="F232" t="s">
        <v>1561</v>
      </c>
      <c r="G232" t="s">
        <v>1562</v>
      </c>
      <c r="H232" t="s">
        <v>25</v>
      </c>
      <c r="I232" t="s">
        <v>26</v>
      </c>
      <c r="J232" t="s">
        <v>1687</v>
      </c>
      <c r="K232" t="s">
        <v>42</v>
      </c>
      <c r="L232">
        <v>92627</v>
      </c>
      <c r="M232" t="s">
        <v>43</v>
      </c>
      <c r="N232" t="s">
        <v>1688</v>
      </c>
      <c r="O232" t="s">
        <v>45</v>
      </c>
      <c r="P232" t="s">
        <v>74</v>
      </c>
      <c r="Q232" t="s">
        <v>1689</v>
      </c>
      <c r="R232">
        <v>119.616</v>
      </c>
      <c r="S232">
        <v>8</v>
      </c>
      <c r="T232">
        <v>0.2</v>
      </c>
      <c r="U232">
        <v>40.370399999999997</v>
      </c>
      <c r="V232" t="str">
        <f t="shared" si="3"/>
        <v>Sanjit Chand</v>
      </c>
      <c r="W232">
        <f>Table2[Profit]/Table2[Sales]</f>
        <v>0.33749999999999997</v>
      </c>
    </row>
    <row r="233" spans="1:23" x14ac:dyDescent="0.25">
      <c r="A233">
        <v>232</v>
      </c>
      <c r="B233" t="s">
        <v>1694</v>
      </c>
      <c r="C233" s="1">
        <v>42520</v>
      </c>
      <c r="D233" s="1">
        <v>42525</v>
      </c>
      <c r="E233" t="s">
        <v>49</v>
      </c>
      <c r="F233" t="s">
        <v>1695</v>
      </c>
      <c r="G233" t="s">
        <v>1696</v>
      </c>
      <c r="H233" t="s">
        <v>40</v>
      </c>
      <c r="I233" t="s">
        <v>26</v>
      </c>
      <c r="J233" t="s">
        <v>1697</v>
      </c>
      <c r="K233" t="s">
        <v>450</v>
      </c>
      <c r="L233">
        <v>80134</v>
      </c>
      <c r="M233" t="s">
        <v>43</v>
      </c>
      <c r="N233" t="s">
        <v>1698</v>
      </c>
      <c r="O233" t="s">
        <v>45</v>
      </c>
      <c r="P233" t="s">
        <v>74</v>
      </c>
      <c r="Q233" t="s">
        <v>1699</v>
      </c>
      <c r="R233">
        <v>22.62</v>
      </c>
      <c r="S233">
        <v>2</v>
      </c>
      <c r="T233">
        <v>0.7</v>
      </c>
      <c r="U233">
        <v>-15.08</v>
      </c>
      <c r="V233" t="str">
        <f t="shared" si="3"/>
        <v>Maribeth Yedwab</v>
      </c>
      <c r="W233">
        <f>Table2[Profit]/Table2[Sales]</f>
        <v>-0.66666666666666663</v>
      </c>
    </row>
    <row r="234" spans="1:23" x14ac:dyDescent="0.25">
      <c r="A234">
        <v>233</v>
      </c>
      <c r="B234" t="s">
        <v>1708</v>
      </c>
      <c r="C234" s="1">
        <v>43051</v>
      </c>
      <c r="D234" s="1">
        <v>43054</v>
      </c>
      <c r="E234" t="s">
        <v>22</v>
      </c>
      <c r="F234" t="s">
        <v>1552</v>
      </c>
      <c r="G234" t="s">
        <v>1553</v>
      </c>
      <c r="H234" t="s">
        <v>40</v>
      </c>
      <c r="I234" t="s">
        <v>26</v>
      </c>
      <c r="J234" t="s">
        <v>263</v>
      </c>
      <c r="K234" t="s">
        <v>264</v>
      </c>
      <c r="L234">
        <v>10024</v>
      </c>
      <c r="M234" t="s">
        <v>145</v>
      </c>
      <c r="N234" t="s">
        <v>538</v>
      </c>
      <c r="O234" t="s">
        <v>45</v>
      </c>
      <c r="P234" t="s">
        <v>74</v>
      </c>
      <c r="Q234" t="s">
        <v>539</v>
      </c>
      <c r="R234">
        <v>15.92</v>
      </c>
      <c r="S234">
        <v>5</v>
      </c>
      <c r="T234">
        <v>0.2</v>
      </c>
      <c r="U234">
        <v>5.3730000000000002</v>
      </c>
      <c r="V234" t="str">
        <f t="shared" si="3"/>
        <v>Ed Braxton</v>
      </c>
      <c r="W234">
        <f>Table2[Profit]/Table2[Sales]</f>
        <v>0.33750000000000002</v>
      </c>
    </row>
    <row r="235" spans="1:23" x14ac:dyDescent="0.25">
      <c r="A235">
        <v>234</v>
      </c>
      <c r="B235" t="s">
        <v>1709</v>
      </c>
      <c r="C235" s="1">
        <v>42079</v>
      </c>
      <c r="D235" s="1">
        <v>42085</v>
      </c>
      <c r="E235" t="s">
        <v>49</v>
      </c>
      <c r="F235" t="s">
        <v>1710</v>
      </c>
      <c r="G235" t="s">
        <v>1711</v>
      </c>
      <c r="H235" t="s">
        <v>25</v>
      </c>
      <c r="I235" t="s">
        <v>26</v>
      </c>
      <c r="J235" t="s">
        <v>1712</v>
      </c>
      <c r="K235" t="s">
        <v>1260</v>
      </c>
      <c r="L235">
        <v>30318</v>
      </c>
      <c r="M235" t="s">
        <v>29</v>
      </c>
      <c r="N235" t="s">
        <v>1713</v>
      </c>
      <c r="O235" t="s">
        <v>45</v>
      </c>
      <c r="P235" t="s">
        <v>67</v>
      </c>
      <c r="Q235" t="s">
        <v>1714</v>
      </c>
      <c r="R235">
        <v>2.74</v>
      </c>
      <c r="S235">
        <v>1</v>
      </c>
      <c r="T235">
        <v>0</v>
      </c>
      <c r="U235">
        <v>0.73980000000000001</v>
      </c>
      <c r="V235" t="str">
        <f t="shared" si="3"/>
        <v>Christopher Martinez</v>
      </c>
      <c r="W235">
        <f>Table2[Profit]/Table2[Sales]</f>
        <v>0.26999999999999996</v>
      </c>
    </row>
    <row r="236" spans="1:23" x14ac:dyDescent="0.25">
      <c r="A236">
        <v>235</v>
      </c>
      <c r="B236" t="s">
        <v>1720</v>
      </c>
      <c r="C236" s="1">
        <v>43065</v>
      </c>
      <c r="D236" s="1">
        <v>43066</v>
      </c>
      <c r="E236" t="s">
        <v>185</v>
      </c>
      <c r="F236" t="s">
        <v>1721</v>
      </c>
      <c r="G236" t="s">
        <v>1722</v>
      </c>
      <c r="H236" t="s">
        <v>25</v>
      </c>
      <c r="I236" t="s">
        <v>26</v>
      </c>
      <c r="J236" t="s">
        <v>1723</v>
      </c>
      <c r="K236" t="s">
        <v>590</v>
      </c>
      <c r="L236">
        <v>64118</v>
      </c>
      <c r="M236" t="s">
        <v>104</v>
      </c>
      <c r="N236" t="s">
        <v>1724</v>
      </c>
      <c r="O236" t="s">
        <v>31</v>
      </c>
      <c r="P236" t="s">
        <v>64</v>
      </c>
      <c r="Q236" t="s">
        <v>1725</v>
      </c>
      <c r="R236">
        <v>126.3</v>
      </c>
      <c r="S236">
        <v>3</v>
      </c>
      <c r="T236">
        <v>0</v>
      </c>
      <c r="U236">
        <v>40.415999999999997</v>
      </c>
      <c r="V236" t="str">
        <f t="shared" si="3"/>
        <v>Lynn Smith</v>
      </c>
      <c r="W236">
        <f>Table2[Profit]/Table2[Sales]</f>
        <v>0.32</v>
      </c>
    </row>
    <row r="237" spans="1:23" x14ac:dyDescent="0.25">
      <c r="A237">
        <v>236</v>
      </c>
      <c r="B237" t="s">
        <v>1728</v>
      </c>
      <c r="C237" s="1">
        <v>42663</v>
      </c>
      <c r="D237" s="1">
        <v>42666</v>
      </c>
      <c r="E237" t="s">
        <v>185</v>
      </c>
      <c r="F237" t="s">
        <v>1404</v>
      </c>
      <c r="G237" t="s">
        <v>1405</v>
      </c>
      <c r="H237" t="s">
        <v>25</v>
      </c>
      <c r="I237" t="s">
        <v>26</v>
      </c>
      <c r="J237" t="s">
        <v>600</v>
      </c>
      <c r="K237" t="s">
        <v>491</v>
      </c>
      <c r="L237">
        <v>43055</v>
      </c>
      <c r="M237" t="s">
        <v>145</v>
      </c>
      <c r="N237" t="s">
        <v>359</v>
      </c>
      <c r="O237" t="s">
        <v>45</v>
      </c>
      <c r="P237" t="s">
        <v>67</v>
      </c>
      <c r="Q237" t="s">
        <v>360</v>
      </c>
      <c r="R237">
        <v>7.1520000000000001</v>
      </c>
      <c r="S237">
        <v>3</v>
      </c>
      <c r="T237">
        <v>0.2</v>
      </c>
      <c r="U237">
        <v>0.71519999999999995</v>
      </c>
      <c r="V237" t="str">
        <f t="shared" si="3"/>
        <v>Luke Foster</v>
      </c>
      <c r="W237">
        <f>Table2[Profit]/Table2[Sales]</f>
        <v>9.9999999999999992E-2</v>
      </c>
    </row>
    <row r="238" spans="1:23" x14ac:dyDescent="0.25">
      <c r="A238">
        <v>237</v>
      </c>
      <c r="B238" t="s">
        <v>1729</v>
      </c>
      <c r="C238" s="1">
        <v>43090</v>
      </c>
      <c r="D238" s="1">
        <v>43094</v>
      </c>
      <c r="E238" t="s">
        <v>49</v>
      </c>
      <c r="F238" t="s">
        <v>1730</v>
      </c>
      <c r="G238" t="s">
        <v>1731</v>
      </c>
      <c r="H238" t="s">
        <v>25</v>
      </c>
      <c r="I238" t="s">
        <v>26</v>
      </c>
      <c r="J238" t="s">
        <v>41</v>
      </c>
      <c r="K238" t="s">
        <v>42</v>
      </c>
      <c r="L238">
        <v>90049</v>
      </c>
      <c r="M238" t="s">
        <v>43</v>
      </c>
      <c r="N238" t="s">
        <v>1732</v>
      </c>
      <c r="O238" t="s">
        <v>45</v>
      </c>
      <c r="P238" t="s">
        <v>67</v>
      </c>
      <c r="Q238" t="s">
        <v>1733</v>
      </c>
      <c r="R238">
        <v>6.63</v>
      </c>
      <c r="S238">
        <v>3</v>
      </c>
      <c r="T238">
        <v>0</v>
      </c>
      <c r="U238">
        <v>1.7901</v>
      </c>
      <c r="V238" t="str">
        <f t="shared" si="3"/>
        <v>Bradley Nguyen</v>
      </c>
      <c r="W238">
        <f>Table2[Profit]/Table2[Sales]</f>
        <v>0.27</v>
      </c>
    </row>
    <row r="239" spans="1:23" x14ac:dyDescent="0.25">
      <c r="A239">
        <v>238</v>
      </c>
      <c r="B239" t="s">
        <v>1736</v>
      </c>
      <c r="C239" s="1">
        <v>42757</v>
      </c>
      <c r="D239" s="1">
        <v>42762</v>
      </c>
      <c r="E239" t="s">
        <v>49</v>
      </c>
      <c r="F239" t="s">
        <v>524</v>
      </c>
      <c r="G239" t="s">
        <v>525</v>
      </c>
      <c r="H239" t="s">
        <v>101</v>
      </c>
      <c r="I239" t="s">
        <v>26</v>
      </c>
      <c r="J239" t="s">
        <v>1737</v>
      </c>
      <c r="K239" t="s">
        <v>1738</v>
      </c>
      <c r="L239">
        <v>59405</v>
      </c>
      <c r="M239" t="s">
        <v>43</v>
      </c>
      <c r="N239" t="s">
        <v>1739</v>
      </c>
      <c r="O239" t="s">
        <v>70</v>
      </c>
      <c r="P239" t="s">
        <v>1204</v>
      </c>
      <c r="Q239" t="s">
        <v>1740</v>
      </c>
      <c r="R239">
        <v>2999.95</v>
      </c>
      <c r="S239">
        <v>5</v>
      </c>
      <c r="T239">
        <v>0</v>
      </c>
      <c r="U239">
        <v>1379.9770000000001</v>
      </c>
      <c r="V239" t="str">
        <f t="shared" si="3"/>
        <v>Alan Dominguez</v>
      </c>
      <c r="W239">
        <f>Table2[Profit]/Table2[Sales]</f>
        <v>0.46000000000000008</v>
      </c>
    </row>
    <row r="240" spans="1:23" x14ac:dyDescent="0.25">
      <c r="A240">
        <v>239</v>
      </c>
      <c r="B240" t="s">
        <v>1747</v>
      </c>
      <c r="C240" s="1">
        <v>42085</v>
      </c>
      <c r="D240" s="1">
        <v>42089</v>
      </c>
      <c r="E240" t="s">
        <v>49</v>
      </c>
      <c r="F240" t="s">
        <v>1748</v>
      </c>
      <c r="G240" t="s">
        <v>1749</v>
      </c>
      <c r="H240" t="s">
        <v>25</v>
      </c>
      <c r="I240" t="s">
        <v>26</v>
      </c>
      <c r="J240" t="s">
        <v>181</v>
      </c>
      <c r="K240" t="s">
        <v>103</v>
      </c>
      <c r="L240">
        <v>77041</v>
      </c>
      <c r="M240" t="s">
        <v>104</v>
      </c>
      <c r="N240" t="s">
        <v>227</v>
      </c>
      <c r="O240" t="s">
        <v>70</v>
      </c>
      <c r="P240" t="s">
        <v>158</v>
      </c>
      <c r="Q240" t="s">
        <v>228</v>
      </c>
      <c r="R240">
        <v>18.391999999999999</v>
      </c>
      <c r="S240">
        <v>1</v>
      </c>
      <c r="T240">
        <v>0.2</v>
      </c>
      <c r="U240">
        <v>5.2877000000000001</v>
      </c>
      <c r="V240" t="str">
        <f t="shared" si="3"/>
        <v>Dean Braden</v>
      </c>
      <c r="W240">
        <f>Table2[Profit]/Table2[Sales]</f>
        <v>0.28750000000000003</v>
      </c>
    </row>
    <row r="241" spans="1:23" x14ac:dyDescent="0.25">
      <c r="A241">
        <v>240</v>
      </c>
      <c r="B241" t="s">
        <v>1754</v>
      </c>
      <c r="C241" s="1">
        <v>42758</v>
      </c>
      <c r="D241" s="1">
        <v>42760</v>
      </c>
      <c r="E241" t="s">
        <v>185</v>
      </c>
      <c r="F241" t="s">
        <v>1755</v>
      </c>
      <c r="G241" t="s">
        <v>1756</v>
      </c>
      <c r="H241" t="s">
        <v>40</v>
      </c>
      <c r="I241" t="s">
        <v>26</v>
      </c>
      <c r="J241" t="s">
        <v>873</v>
      </c>
      <c r="K241" t="s">
        <v>235</v>
      </c>
      <c r="L241">
        <v>48234</v>
      </c>
      <c r="M241" t="s">
        <v>104</v>
      </c>
      <c r="N241" t="s">
        <v>1677</v>
      </c>
      <c r="O241" t="s">
        <v>31</v>
      </c>
      <c r="P241" t="s">
        <v>55</v>
      </c>
      <c r="Q241" t="s">
        <v>1678</v>
      </c>
      <c r="R241">
        <v>210.98</v>
      </c>
      <c r="S241">
        <v>2</v>
      </c>
      <c r="T241">
        <v>0</v>
      </c>
      <c r="U241">
        <v>21.097999999999999</v>
      </c>
      <c r="V241" t="str">
        <f t="shared" si="3"/>
        <v>Matt Connell</v>
      </c>
      <c r="W241">
        <f>Table2[Profit]/Table2[Sales]</f>
        <v>0.1</v>
      </c>
    </row>
    <row r="242" spans="1:23" x14ac:dyDescent="0.25">
      <c r="A242">
        <v>241</v>
      </c>
      <c r="B242" t="s">
        <v>1757</v>
      </c>
      <c r="C242" s="1">
        <v>42511</v>
      </c>
      <c r="D242" s="1">
        <v>42513</v>
      </c>
      <c r="E242" t="s">
        <v>185</v>
      </c>
      <c r="F242" t="s">
        <v>934</v>
      </c>
      <c r="G242" t="s">
        <v>935</v>
      </c>
      <c r="H242" t="s">
        <v>25</v>
      </c>
      <c r="I242" t="s">
        <v>26</v>
      </c>
      <c r="J242" t="s">
        <v>41</v>
      </c>
      <c r="K242" t="s">
        <v>42</v>
      </c>
      <c r="L242">
        <v>90032</v>
      </c>
      <c r="M242" t="s">
        <v>43</v>
      </c>
      <c r="N242" t="s">
        <v>1758</v>
      </c>
      <c r="O242" t="s">
        <v>70</v>
      </c>
      <c r="P242" t="s">
        <v>71</v>
      </c>
      <c r="Q242" t="s">
        <v>1759</v>
      </c>
      <c r="R242">
        <v>55.176000000000002</v>
      </c>
      <c r="S242">
        <v>3</v>
      </c>
      <c r="T242">
        <v>0.2</v>
      </c>
      <c r="U242">
        <v>-12.4146</v>
      </c>
      <c r="V242" t="str">
        <f t="shared" si="3"/>
        <v>Logan Haushalter</v>
      </c>
      <c r="W242">
        <f>Table2[Profit]/Table2[Sales]</f>
        <v>-0.22500000000000001</v>
      </c>
    </row>
    <row r="243" spans="1:23" x14ac:dyDescent="0.25">
      <c r="A243">
        <v>242</v>
      </c>
      <c r="B243" t="s">
        <v>1761</v>
      </c>
      <c r="C243" s="1">
        <v>42364</v>
      </c>
      <c r="D243" s="1">
        <v>42371</v>
      </c>
      <c r="E243" t="s">
        <v>49</v>
      </c>
      <c r="F243" t="s">
        <v>1762</v>
      </c>
      <c r="G243" t="s">
        <v>1763</v>
      </c>
      <c r="H243" t="s">
        <v>25</v>
      </c>
      <c r="I243" t="s">
        <v>26</v>
      </c>
      <c r="J243" t="s">
        <v>1465</v>
      </c>
      <c r="K243" t="s">
        <v>1233</v>
      </c>
      <c r="L243">
        <v>1841</v>
      </c>
      <c r="M243" t="s">
        <v>145</v>
      </c>
      <c r="N243" t="s">
        <v>1764</v>
      </c>
      <c r="O243" t="s">
        <v>45</v>
      </c>
      <c r="P243" t="s">
        <v>266</v>
      </c>
      <c r="Q243" t="s">
        <v>556</v>
      </c>
      <c r="R243">
        <v>22.2</v>
      </c>
      <c r="S243">
        <v>5</v>
      </c>
      <c r="T243">
        <v>0</v>
      </c>
      <c r="U243">
        <v>10.433999999999999</v>
      </c>
      <c r="V243" t="str">
        <f t="shared" si="3"/>
        <v>Brian Dahlen</v>
      </c>
      <c r="W243">
        <f>Table2[Profit]/Table2[Sales]</f>
        <v>0.47</v>
      </c>
    </row>
    <row r="244" spans="1:23" x14ac:dyDescent="0.25">
      <c r="A244">
        <v>243</v>
      </c>
      <c r="B244" t="s">
        <v>1765</v>
      </c>
      <c r="C244" s="1">
        <v>43029</v>
      </c>
      <c r="D244" s="1">
        <v>43034</v>
      </c>
      <c r="E244" t="s">
        <v>49</v>
      </c>
      <c r="F244" t="s">
        <v>1766</v>
      </c>
      <c r="G244" t="s">
        <v>1767</v>
      </c>
      <c r="H244" t="s">
        <v>101</v>
      </c>
      <c r="I244" t="s">
        <v>26</v>
      </c>
      <c r="J244" t="s">
        <v>1768</v>
      </c>
      <c r="K244" t="s">
        <v>53</v>
      </c>
      <c r="L244">
        <v>33801</v>
      </c>
      <c r="M244" t="s">
        <v>29</v>
      </c>
      <c r="N244" t="s">
        <v>1769</v>
      </c>
      <c r="O244" t="s">
        <v>31</v>
      </c>
      <c r="P244" t="s">
        <v>35</v>
      </c>
      <c r="Q244" t="s">
        <v>1770</v>
      </c>
      <c r="R244">
        <v>683.952</v>
      </c>
      <c r="S244">
        <v>3</v>
      </c>
      <c r="T244">
        <v>0.2</v>
      </c>
      <c r="U244">
        <v>42.747</v>
      </c>
      <c r="V244" t="str">
        <f t="shared" si="3"/>
        <v>Patricia Hirasaki</v>
      </c>
      <c r="W244">
        <f>Table2[Profit]/Table2[Sales]</f>
        <v>6.25E-2</v>
      </c>
    </row>
    <row r="245" spans="1:23" x14ac:dyDescent="0.25">
      <c r="A245">
        <v>244</v>
      </c>
      <c r="B245" t="s">
        <v>1771</v>
      </c>
      <c r="C245" s="1">
        <v>42250</v>
      </c>
      <c r="D245" s="1">
        <v>42254</v>
      </c>
      <c r="E245" t="s">
        <v>49</v>
      </c>
      <c r="F245" t="s">
        <v>1772</v>
      </c>
      <c r="G245" t="s">
        <v>1773</v>
      </c>
      <c r="H245" t="s">
        <v>25</v>
      </c>
      <c r="I245" t="s">
        <v>26</v>
      </c>
      <c r="J245" t="s">
        <v>143</v>
      </c>
      <c r="K245" t="s">
        <v>144</v>
      </c>
      <c r="L245">
        <v>19134</v>
      </c>
      <c r="M245" t="s">
        <v>145</v>
      </c>
      <c r="N245" t="s">
        <v>1774</v>
      </c>
      <c r="O245" t="s">
        <v>45</v>
      </c>
      <c r="P245" t="s">
        <v>58</v>
      </c>
      <c r="Q245" t="s">
        <v>1775</v>
      </c>
      <c r="R245">
        <v>36.335999999999999</v>
      </c>
      <c r="S245">
        <v>3</v>
      </c>
      <c r="T245">
        <v>0.2</v>
      </c>
      <c r="U245">
        <v>-7.2671999999999999</v>
      </c>
      <c r="V245" t="str">
        <f t="shared" si="3"/>
        <v>Mike Gockenbach</v>
      </c>
      <c r="W245">
        <f>Table2[Profit]/Table2[Sales]</f>
        <v>-0.2</v>
      </c>
    </row>
    <row r="246" spans="1:23" x14ac:dyDescent="0.25">
      <c r="A246">
        <v>245</v>
      </c>
      <c r="B246" t="s">
        <v>1780</v>
      </c>
      <c r="C246" s="1">
        <v>42315</v>
      </c>
      <c r="D246" s="1">
        <v>42317</v>
      </c>
      <c r="E246" t="s">
        <v>22</v>
      </c>
      <c r="F246" t="s">
        <v>1781</v>
      </c>
      <c r="G246" t="s">
        <v>1782</v>
      </c>
      <c r="H246" t="s">
        <v>40</v>
      </c>
      <c r="I246" t="s">
        <v>26</v>
      </c>
      <c r="J246" t="s">
        <v>41</v>
      </c>
      <c r="K246" t="s">
        <v>42</v>
      </c>
      <c r="L246">
        <v>90036</v>
      </c>
      <c r="M246" t="s">
        <v>43</v>
      </c>
      <c r="N246" t="s">
        <v>1783</v>
      </c>
      <c r="O246" t="s">
        <v>31</v>
      </c>
      <c r="P246" t="s">
        <v>35</v>
      </c>
      <c r="Q246" t="s">
        <v>1784</v>
      </c>
      <c r="R246">
        <v>190.72</v>
      </c>
      <c r="S246">
        <v>1</v>
      </c>
      <c r="T246">
        <v>0.2</v>
      </c>
      <c r="U246">
        <v>11.92</v>
      </c>
      <c r="V246" t="str">
        <f t="shared" si="3"/>
        <v>Karen Bern</v>
      </c>
      <c r="W246">
        <f>Table2[Profit]/Table2[Sales]</f>
        <v>6.25E-2</v>
      </c>
    </row>
    <row r="247" spans="1:23" x14ac:dyDescent="0.25">
      <c r="A247">
        <v>246</v>
      </c>
      <c r="B247" t="s">
        <v>1785</v>
      </c>
      <c r="C247" s="1">
        <v>42985</v>
      </c>
      <c r="D247" s="1">
        <v>42989</v>
      </c>
      <c r="E247" t="s">
        <v>49</v>
      </c>
      <c r="F247" t="s">
        <v>1786</v>
      </c>
      <c r="G247" t="s">
        <v>1787</v>
      </c>
      <c r="H247" t="s">
        <v>25</v>
      </c>
      <c r="I247" t="s">
        <v>26</v>
      </c>
      <c r="J247" t="s">
        <v>41</v>
      </c>
      <c r="K247" t="s">
        <v>42</v>
      </c>
      <c r="L247">
        <v>90032</v>
      </c>
      <c r="M247" t="s">
        <v>43</v>
      </c>
      <c r="N247" t="s">
        <v>1788</v>
      </c>
      <c r="O247" t="s">
        <v>31</v>
      </c>
      <c r="P247" t="s">
        <v>64</v>
      </c>
      <c r="Q247" t="s">
        <v>1789</v>
      </c>
      <c r="R247">
        <v>47.94</v>
      </c>
      <c r="S247">
        <v>3</v>
      </c>
      <c r="T247">
        <v>0</v>
      </c>
      <c r="U247">
        <v>2.3969999999999998</v>
      </c>
      <c r="V247" t="str">
        <f t="shared" si="3"/>
        <v>Jasper Cacioppo</v>
      </c>
      <c r="W247">
        <f>Table2[Profit]/Table2[Sales]</f>
        <v>4.9999999999999996E-2</v>
      </c>
    </row>
    <row r="248" spans="1:23" x14ac:dyDescent="0.25">
      <c r="A248">
        <v>247</v>
      </c>
      <c r="B248" t="s">
        <v>1790</v>
      </c>
      <c r="C248" s="1">
        <v>42519</v>
      </c>
      <c r="D248" s="1">
        <v>42522</v>
      </c>
      <c r="E248" t="s">
        <v>22</v>
      </c>
      <c r="F248" t="s">
        <v>1791</v>
      </c>
      <c r="G248" t="s">
        <v>1792</v>
      </c>
      <c r="H248" t="s">
        <v>25</v>
      </c>
      <c r="I248" t="s">
        <v>26</v>
      </c>
      <c r="J248" t="s">
        <v>1793</v>
      </c>
      <c r="K248" t="s">
        <v>351</v>
      </c>
      <c r="L248">
        <v>36116</v>
      </c>
      <c r="M248" t="s">
        <v>29</v>
      </c>
      <c r="N248" t="s">
        <v>1794</v>
      </c>
      <c r="O248" t="s">
        <v>70</v>
      </c>
      <c r="P248" t="s">
        <v>71</v>
      </c>
      <c r="Q248" t="s">
        <v>1795</v>
      </c>
      <c r="R248">
        <v>979.95</v>
      </c>
      <c r="S248">
        <v>5</v>
      </c>
      <c r="T248">
        <v>0</v>
      </c>
      <c r="U248">
        <v>274.38600000000002</v>
      </c>
      <c r="V248" t="str">
        <f t="shared" si="3"/>
        <v>Rob Lucas</v>
      </c>
      <c r="W248">
        <f>Table2[Profit]/Table2[Sales]</f>
        <v>0.28000000000000003</v>
      </c>
    </row>
    <row r="249" spans="1:23" x14ac:dyDescent="0.25">
      <c r="A249">
        <v>248</v>
      </c>
      <c r="B249" t="s">
        <v>1796</v>
      </c>
      <c r="C249" s="1">
        <v>42561</v>
      </c>
      <c r="D249" s="1">
        <v>42567</v>
      </c>
      <c r="E249" t="s">
        <v>49</v>
      </c>
      <c r="F249" t="s">
        <v>1797</v>
      </c>
      <c r="G249" t="s">
        <v>1798</v>
      </c>
      <c r="H249" t="s">
        <v>25</v>
      </c>
      <c r="I249" t="s">
        <v>26</v>
      </c>
      <c r="J249" t="s">
        <v>1799</v>
      </c>
      <c r="K249" t="s">
        <v>303</v>
      </c>
      <c r="L249">
        <v>85204</v>
      </c>
      <c r="M249" t="s">
        <v>43</v>
      </c>
      <c r="N249" t="s">
        <v>1800</v>
      </c>
      <c r="O249" t="s">
        <v>45</v>
      </c>
      <c r="P249" t="s">
        <v>58</v>
      </c>
      <c r="Q249" t="s">
        <v>1801</v>
      </c>
      <c r="R249">
        <v>16.768000000000001</v>
      </c>
      <c r="S249">
        <v>2</v>
      </c>
      <c r="T249">
        <v>0.2</v>
      </c>
      <c r="U249">
        <v>1.4672000000000001</v>
      </c>
      <c r="V249" t="str">
        <f t="shared" si="3"/>
        <v>Allen Armold</v>
      </c>
      <c r="W249">
        <f>Table2[Profit]/Table2[Sales]</f>
        <v>8.7499999999999994E-2</v>
      </c>
    </row>
    <row r="250" spans="1:23" x14ac:dyDescent="0.25">
      <c r="A250">
        <v>249</v>
      </c>
      <c r="B250" t="s">
        <v>1802</v>
      </c>
      <c r="C250" s="1">
        <v>42981</v>
      </c>
      <c r="D250" s="1">
        <v>42986</v>
      </c>
      <c r="E250" t="s">
        <v>22</v>
      </c>
      <c r="F250" t="s">
        <v>1803</v>
      </c>
      <c r="G250" t="s">
        <v>1804</v>
      </c>
      <c r="H250" t="s">
        <v>25</v>
      </c>
      <c r="I250" t="s">
        <v>26</v>
      </c>
      <c r="J250" t="s">
        <v>296</v>
      </c>
      <c r="K250" t="s">
        <v>208</v>
      </c>
      <c r="L250">
        <v>60653</v>
      </c>
      <c r="M250" t="s">
        <v>104</v>
      </c>
      <c r="N250" t="s">
        <v>1805</v>
      </c>
      <c r="O250" t="s">
        <v>45</v>
      </c>
      <c r="P250" t="s">
        <v>74</v>
      </c>
      <c r="Q250" t="s">
        <v>1806</v>
      </c>
      <c r="R250">
        <v>42.616</v>
      </c>
      <c r="S250">
        <v>7</v>
      </c>
      <c r="T250">
        <v>0.8</v>
      </c>
      <c r="U250">
        <v>-68.185599999999994</v>
      </c>
      <c r="V250" t="str">
        <f t="shared" si="3"/>
        <v>Emily Phan</v>
      </c>
      <c r="W250">
        <f>Table2[Profit]/Table2[Sales]</f>
        <v>-1.5999999999999999</v>
      </c>
    </row>
    <row r="251" spans="1:23" x14ac:dyDescent="0.25">
      <c r="A251">
        <v>250</v>
      </c>
      <c r="B251" t="s">
        <v>1807</v>
      </c>
      <c r="C251" s="1">
        <v>42341</v>
      </c>
      <c r="D251" s="1">
        <v>42346</v>
      </c>
      <c r="E251" t="s">
        <v>49</v>
      </c>
      <c r="F251" t="s">
        <v>755</v>
      </c>
      <c r="G251" t="s">
        <v>756</v>
      </c>
      <c r="H251" t="s">
        <v>101</v>
      </c>
      <c r="I251" t="s">
        <v>26</v>
      </c>
      <c r="J251" t="s">
        <v>263</v>
      </c>
      <c r="K251" t="s">
        <v>264</v>
      </c>
      <c r="L251">
        <v>10009</v>
      </c>
      <c r="M251" t="s">
        <v>145</v>
      </c>
      <c r="N251" t="s">
        <v>1808</v>
      </c>
      <c r="O251" t="s">
        <v>45</v>
      </c>
      <c r="P251" t="s">
        <v>74</v>
      </c>
      <c r="Q251" t="s">
        <v>1809</v>
      </c>
      <c r="R251">
        <v>10.752000000000001</v>
      </c>
      <c r="S251">
        <v>4</v>
      </c>
      <c r="T251">
        <v>0.2</v>
      </c>
      <c r="U251">
        <v>3.36</v>
      </c>
      <c r="V251" t="str">
        <f t="shared" si="3"/>
        <v>Mark Packer</v>
      </c>
      <c r="W251">
        <f>Table2[Profit]/Table2[Sales]</f>
        <v>0.31249999999999994</v>
      </c>
    </row>
    <row r="252" spans="1:23" x14ac:dyDescent="0.25">
      <c r="A252">
        <v>251</v>
      </c>
      <c r="B252" t="s">
        <v>1810</v>
      </c>
      <c r="C252" s="1">
        <v>42345</v>
      </c>
      <c r="D252" s="1">
        <v>42349</v>
      </c>
      <c r="E252" t="s">
        <v>49</v>
      </c>
      <c r="F252" t="s">
        <v>1811</v>
      </c>
      <c r="G252" t="s">
        <v>1812</v>
      </c>
      <c r="H252" t="s">
        <v>25</v>
      </c>
      <c r="I252" t="s">
        <v>26</v>
      </c>
      <c r="J252" t="s">
        <v>27</v>
      </c>
      <c r="K252" t="s">
        <v>28</v>
      </c>
      <c r="L252">
        <v>42420</v>
      </c>
      <c r="M252" t="s">
        <v>29</v>
      </c>
      <c r="N252" t="s">
        <v>1813</v>
      </c>
      <c r="O252" t="s">
        <v>45</v>
      </c>
      <c r="P252" t="s">
        <v>77</v>
      </c>
      <c r="Q252" t="s">
        <v>1814</v>
      </c>
      <c r="R252">
        <v>152.94</v>
      </c>
      <c r="S252">
        <v>3</v>
      </c>
      <c r="T252">
        <v>0</v>
      </c>
      <c r="U252">
        <v>41.293799999999997</v>
      </c>
      <c r="V252" t="str">
        <f t="shared" si="3"/>
        <v>Darren Koutras</v>
      </c>
      <c r="W252">
        <f>Table2[Profit]/Table2[Sales]</f>
        <v>0.26999999999999996</v>
      </c>
    </row>
    <row r="253" spans="1:23" x14ac:dyDescent="0.25">
      <c r="A253">
        <v>252</v>
      </c>
      <c r="B253" t="s">
        <v>1817</v>
      </c>
      <c r="C253" s="1">
        <v>41671</v>
      </c>
      <c r="D253" s="1">
        <v>41673</v>
      </c>
      <c r="E253" t="s">
        <v>185</v>
      </c>
      <c r="F253" t="s">
        <v>1818</v>
      </c>
      <c r="G253" t="s">
        <v>1819</v>
      </c>
      <c r="H253" t="s">
        <v>25</v>
      </c>
      <c r="I253" t="s">
        <v>26</v>
      </c>
      <c r="J253" t="s">
        <v>1820</v>
      </c>
      <c r="K253" t="s">
        <v>113</v>
      </c>
      <c r="L253">
        <v>54302</v>
      </c>
      <c r="M253" t="s">
        <v>104</v>
      </c>
      <c r="N253" t="s">
        <v>1821</v>
      </c>
      <c r="O253" t="s">
        <v>70</v>
      </c>
      <c r="P253" t="s">
        <v>158</v>
      </c>
      <c r="Q253" t="s">
        <v>1822</v>
      </c>
      <c r="R253">
        <v>468.9</v>
      </c>
      <c r="S253">
        <v>6</v>
      </c>
      <c r="T253">
        <v>0</v>
      </c>
      <c r="U253">
        <v>206.316</v>
      </c>
      <c r="V253" t="str">
        <f t="shared" si="3"/>
        <v>Bradley Drucker</v>
      </c>
      <c r="W253">
        <f>Table2[Profit]/Table2[Sales]</f>
        <v>0.44</v>
      </c>
    </row>
    <row r="254" spans="1:23" x14ac:dyDescent="0.25">
      <c r="A254">
        <v>253</v>
      </c>
      <c r="B254" t="s">
        <v>1823</v>
      </c>
      <c r="C254" s="1">
        <v>42565</v>
      </c>
      <c r="D254" s="1">
        <v>42568</v>
      </c>
      <c r="E254" t="s">
        <v>185</v>
      </c>
      <c r="F254" t="s">
        <v>217</v>
      </c>
      <c r="G254" t="s">
        <v>218</v>
      </c>
      <c r="H254" t="s">
        <v>40</v>
      </c>
      <c r="I254" t="s">
        <v>26</v>
      </c>
      <c r="J254" t="s">
        <v>1299</v>
      </c>
      <c r="K254" t="s">
        <v>303</v>
      </c>
      <c r="L254">
        <v>85705</v>
      </c>
      <c r="M254" t="s">
        <v>43</v>
      </c>
      <c r="N254" t="s">
        <v>1824</v>
      </c>
      <c r="O254" t="s">
        <v>70</v>
      </c>
      <c r="P254" t="s">
        <v>71</v>
      </c>
      <c r="Q254" t="s">
        <v>1825</v>
      </c>
      <c r="R254">
        <v>380.86399999999998</v>
      </c>
      <c r="S254">
        <v>8</v>
      </c>
      <c r="T254">
        <v>0.2</v>
      </c>
      <c r="U254">
        <v>38.086399999999998</v>
      </c>
      <c r="V254" t="str">
        <f t="shared" si="3"/>
        <v>Erin Smith</v>
      </c>
      <c r="W254">
        <f>Table2[Profit]/Table2[Sales]</f>
        <v>0.1</v>
      </c>
    </row>
    <row r="255" spans="1:23" x14ac:dyDescent="0.25">
      <c r="A255">
        <v>254</v>
      </c>
      <c r="B255" t="s">
        <v>1826</v>
      </c>
      <c r="C255" s="1">
        <v>42356</v>
      </c>
      <c r="D255" s="1">
        <v>42361</v>
      </c>
      <c r="E255" t="s">
        <v>49</v>
      </c>
      <c r="F255" t="s">
        <v>1827</v>
      </c>
      <c r="G255" t="s">
        <v>1828</v>
      </c>
      <c r="H255" t="s">
        <v>25</v>
      </c>
      <c r="I255" t="s">
        <v>26</v>
      </c>
      <c r="J255" t="s">
        <v>311</v>
      </c>
      <c r="K255" t="s">
        <v>491</v>
      </c>
      <c r="L255">
        <v>45503</v>
      </c>
      <c r="M255" t="s">
        <v>145</v>
      </c>
      <c r="N255" t="s">
        <v>1665</v>
      </c>
      <c r="O255" t="s">
        <v>45</v>
      </c>
      <c r="P255" t="s">
        <v>58</v>
      </c>
      <c r="Q255" t="s">
        <v>1666</v>
      </c>
      <c r="R255">
        <v>646.77599999999995</v>
      </c>
      <c r="S255">
        <v>9</v>
      </c>
      <c r="T255">
        <v>0.2</v>
      </c>
      <c r="U255">
        <v>-145.52459999999999</v>
      </c>
      <c r="V255" t="str">
        <f t="shared" si="3"/>
        <v>Liz MacKendrick</v>
      </c>
      <c r="W255">
        <f>Table2[Profit]/Table2[Sales]</f>
        <v>-0.22500000000000001</v>
      </c>
    </row>
    <row r="256" spans="1:23" x14ac:dyDescent="0.25">
      <c r="A256">
        <v>255</v>
      </c>
      <c r="B256" t="s">
        <v>1829</v>
      </c>
      <c r="C256" s="1">
        <v>41770</v>
      </c>
      <c r="D256" s="1">
        <v>41775</v>
      </c>
      <c r="E256" t="s">
        <v>49</v>
      </c>
      <c r="F256" t="s">
        <v>380</v>
      </c>
      <c r="G256" t="s">
        <v>381</v>
      </c>
      <c r="H256" t="s">
        <v>25</v>
      </c>
      <c r="I256" t="s">
        <v>26</v>
      </c>
      <c r="J256" t="s">
        <v>102</v>
      </c>
      <c r="K256" t="s">
        <v>103</v>
      </c>
      <c r="L256">
        <v>76106</v>
      </c>
      <c r="M256" t="s">
        <v>104</v>
      </c>
      <c r="N256" t="s">
        <v>1830</v>
      </c>
      <c r="O256" t="s">
        <v>70</v>
      </c>
      <c r="P256" t="s">
        <v>158</v>
      </c>
      <c r="Q256" t="s">
        <v>1831</v>
      </c>
      <c r="R256">
        <v>58.112000000000002</v>
      </c>
      <c r="S256">
        <v>2</v>
      </c>
      <c r="T256">
        <v>0.2</v>
      </c>
      <c r="U256">
        <v>7.2640000000000002</v>
      </c>
      <c r="V256" t="str">
        <f t="shared" si="3"/>
        <v>Paul Gonzalez</v>
      </c>
      <c r="W256">
        <f>Table2[Profit]/Table2[Sales]</f>
        <v>0.125</v>
      </c>
    </row>
    <row r="257" spans="1:23" x14ac:dyDescent="0.25">
      <c r="A257">
        <v>256</v>
      </c>
      <c r="B257" t="s">
        <v>1834</v>
      </c>
      <c r="C257" s="1">
        <v>43058</v>
      </c>
      <c r="D257" s="1">
        <v>43061</v>
      </c>
      <c r="E257" t="s">
        <v>185</v>
      </c>
      <c r="F257" t="s">
        <v>1835</v>
      </c>
      <c r="G257" t="s">
        <v>1836</v>
      </c>
      <c r="H257" t="s">
        <v>101</v>
      </c>
      <c r="I257" t="s">
        <v>26</v>
      </c>
      <c r="J257" t="s">
        <v>263</v>
      </c>
      <c r="K257" t="s">
        <v>264</v>
      </c>
      <c r="L257">
        <v>10035</v>
      </c>
      <c r="M257" t="s">
        <v>145</v>
      </c>
      <c r="N257" t="s">
        <v>1837</v>
      </c>
      <c r="O257" t="s">
        <v>45</v>
      </c>
      <c r="P257" t="s">
        <v>74</v>
      </c>
      <c r="Q257" t="s">
        <v>1838</v>
      </c>
      <c r="R257">
        <v>41.28</v>
      </c>
      <c r="S257">
        <v>6</v>
      </c>
      <c r="T257">
        <v>0.2</v>
      </c>
      <c r="U257">
        <v>13.932</v>
      </c>
      <c r="V257" t="str">
        <f t="shared" si="3"/>
        <v>Adrian Shami</v>
      </c>
      <c r="W257">
        <f>Table2[Profit]/Table2[Sales]</f>
        <v>0.33750000000000002</v>
      </c>
    </row>
    <row r="258" spans="1:23" x14ac:dyDescent="0.25">
      <c r="A258">
        <v>257</v>
      </c>
      <c r="B258" t="s">
        <v>1841</v>
      </c>
      <c r="C258" s="1">
        <v>42323</v>
      </c>
      <c r="D258" s="1">
        <v>42325</v>
      </c>
      <c r="E258" t="s">
        <v>22</v>
      </c>
      <c r="F258" t="s">
        <v>1347</v>
      </c>
      <c r="G258" t="s">
        <v>1348</v>
      </c>
      <c r="H258" t="s">
        <v>40</v>
      </c>
      <c r="I258" t="s">
        <v>26</v>
      </c>
      <c r="J258" t="s">
        <v>296</v>
      </c>
      <c r="K258" t="s">
        <v>208</v>
      </c>
      <c r="L258">
        <v>60653</v>
      </c>
      <c r="M258" t="s">
        <v>104</v>
      </c>
      <c r="N258" t="s">
        <v>272</v>
      </c>
      <c r="O258" t="s">
        <v>45</v>
      </c>
      <c r="P258" t="s">
        <v>58</v>
      </c>
      <c r="Q258" t="s">
        <v>273</v>
      </c>
      <c r="R258">
        <v>250.27199999999999</v>
      </c>
      <c r="S258">
        <v>9</v>
      </c>
      <c r="T258">
        <v>0.2</v>
      </c>
      <c r="U258">
        <v>15.641999999999999</v>
      </c>
      <c r="V258" t="str">
        <f t="shared" si="3"/>
        <v>Dean Katz</v>
      </c>
      <c r="W258">
        <f>Table2[Profit]/Table2[Sales]</f>
        <v>6.25E-2</v>
      </c>
    </row>
    <row r="259" spans="1:23" x14ac:dyDescent="0.25">
      <c r="A259">
        <v>258</v>
      </c>
      <c r="B259" t="s">
        <v>1843</v>
      </c>
      <c r="C259" s="1">
        <v>42475</v>
      </c>
      <c r="D259" s="1">
        <v>42477</v>
      </c>
      <c r="E259" t="s">
        <v>22</v>
      </c>
      <c r="F259" t="s">
        <v>1844</v>
      </c>
      <c r="G259" t="s">
        <v>1845</v>
      </c>
      <c r="H259" t="s">
        <v>25</v>
      </c>
      <c r="I259" t="s">
        <v>26</v>
      </c>
      <c r="J259" t="s">
        <v>126</v>
      </c>
      <c r="K259" t="s">
        <v>42</v>
      </c>
      <c r="L259">
        <v>94110</v>
      </c>
      <c r="M259" t="s">
        <v>43</v>
      </c>
      <c r="N259" t="s">
        <v>1846</v>
      </c>
      <c r="O259" t="s">
        <v>31</v>
      </c>
      <c r="P259" t="s">
        <v>35</v>
      </c>
      <c r="Q259" t="s">
        <v>1847</v>
      </c>
      <c r="R259">
        <v>1121.568</v>
      </c>
      <c r="S259">
        <v>2</v>
      </c>
      <c r="T259">
        <v>0.2</v>
      </c>
      <c r="U259">
        <v>0</v>
      </c>
      <c r="V259" t="str">
        <f t="shared" ref="V259:V322" si="4">TRIM(G259)</f>
        <v>Bill Donatelli</v>
      </c>
      <c r="W259">
        <f>Table2[Profit]/Table2[Sales]</f>
        <v>0</v>
      </c>
    </row>
    <row r="260" spans="1:23" x14ac:dyDescent="0.25">
      <c r="A260">
        <v>259</v>
      </c>
      <c r="B260" t="s">
        <v>1848</v>
      </c>
      <c r="C260" s="1">
        <v>42989</v>
      </c>
      <c r="D260" s="1">
        <v>42990</v>
      </c>
      <c r="E260" t="s">
        <v>185</v>
      </c>
      <c r="F260" t="s">
        <v>488</v>
      </c>
      <c r="G260" t="s">
        <v>489</v>
      </c>
      <c r="H260" t="s">
        <v>25</v>
      </c>
      <c r="I260" t="s">
        <v>26</v>
      </c>
      <c r="J260" t="s">
        <v>1507</v>
      </c>
      <c r="K260" t="s">
        <v>53</v>
      </c>
      <c r="L260">
        <v>32216</v>
      </c>
      <c r="M260" t="s">
        <v>29</v>
      </c>
      <c r="N260" t="s">
        <v>1849</v>
      </c>
      <c r="O260" t="s">
        <v>31</v>
      </c>
      <c r="P260" t="s">
        <v>64</v>
      </c>
      <c r="Q260" t="s">
        <v>1850</v>
      </c>
      <c r="R260">
        <v>34.503999999999998</v>
      </c>
      <c r="S260">
        <v>1</v>
      </c>
      <c r="T260">
        <v>0.2</v>
      </c>
      <c r="U260">
        <v>6.0381999999999998</v>
      </c>
      <c r="V260" t="str">
        <f t="shared" si="4"/>
        <v>Ryan Crowe</v>
      </c>
      <c r="W260">
        <f>Table2[Profit]/Table2[Sales]</f>
        <v>0.17500000000000002</v>
      </c>
    </row>
    <row r="261" spans="1:23" x14ac:dyDescent="0.25">
      <c r="A261">
        <v>260</v>
      </c>
      <c r="B261" t="s">
        <v>1851</v>
      </c>
      <c r="C261" s="1">
        <v>43063</v>
      </c>
      <c r="D261" s="1">
        <v>43067</v>
      </c>
      <c r="E261" t="s">
        <v>49</v>
      </c>
      <c r="F261" t="s">
        <v>1852</v>
      </c>
      <c r="G261" t="s">
        <v>1853</v>
      </c>
      <c r="H261" t="s">
        <v>25</v>
      </c>
      <c r="I261" t="s">
        <v>26</v>
      </c>
      <c r="J261" t="s">
        <v>181</v>
      </c>
      <c r="K261" t="s">
        <v>103</v>
      </c>
      <c r="L261">
        <v>77070</v>
      </c>
      <c r="M261" t="s">
        <v>104</v>
      </c>
      <c r="N261" t="s">
        <v>1854</v>
      </c>
      <c r="O261" t="s">
        <v>45</v>
      </c>
      <c r="P261" t="s">
        <v>266</v>
      </c>
      <c r="Q261" t="s">
        <v>1855</v>
      </c>
      <c r="R261">
        <v>10.824</v>
      </c>
      <c r="S261">
        <v>3</v>
      </c>
      <c r="T261">
        <v>0.2</v>
      </c>
      <c r="U261">
        <v>2.5707</v>
      </c>
      <c r="V261" t="str">
        <f t="shared" si="4"/>
        <v>Greg Tran</v>
      </c>
      <c r="W261">
        <f>Table2[Profit]/Table2[Sales]</f>
        <v>0.23749999999999999</v>
      </c>
    </row>
    <row r="262" spans="1:23" x14ac:dyDescent="0.25">
      <c r="A262">
        <v>261</v>
      </c>
      <c r="B262" t="s">
        <v>1856</v>
      </c>
      <c r="C262" s="1">
        <v>42915</v>
      </c>
      <c r="D262" s="1">
        <v>42919</v>
      </c>
      <c r="E262" t="s">
        <v>22</v>
      </c>
      <c r="F262" t="s">
        <v>1347</v>
      </c>
      <c r="G262" t="s">
        <v>1348</v>
      </c>
      <c r="H262" t="s">
        <v>40</v>
      </c>
      <c r="I262" t="s">
        <v>26</v>
      </c>
      <c r="J262" t="s">
        <v>1857</v>
      </c>
      <c r="K262" t="s">
        <v>42</v>
      </c>
      <c r="L262">
        <v>92804</v>
      </c>
      <c r="M262" t="s">
        <v>43</v>
      </c>
      <c r="N262" t="s">
        <v>1858</v>
      </c>
      <c r="O262" t="s">
        <v>45</v>
      </c>
      <c r="P262" t="s">
        <v>58</v>
      </c>
      <c r="Q262" t="s">
        <v>1859</v>
      </c>
      <c r="R262">
        <v>1295.78</v>
      </c>
      <c r="S262">
        <v>2</v>
      </c>
      <c r="T262">
        <v>0</v>
      </c>
      <c r="U262">
        <v>310.98719999999997</v>
      </c>
      <c r="V262" t="str">
        <f t="shared" si="4"/>
        <v>Dean Katz</v>
      </c>
      <c r="W262">
        <f>Table2[Profit]/Table2[Sales]</f>
        <v>0.24</v>
      </c>
    </row>
    <row r="263" spans="1:23" x14ac:dyDescent="0.25">
      <c r="A263">
        <v>262</v>
      </c>
      <c r="B263" t="s">
        <v>1860</v>
      </c>
      <c r="C263" s="1">
        <v>41701</v>
      </c>
      <c r="D263" s="1">
        <v>41705</v>
      </c>
      <c r="E263" t="s">
        <v>22</v>
      </c>
      <c r="F263" t="s">
        <v>1861</v>
      </c>
      <c r="G263" t="s">
        <v>1862</v>
      </c>
      <c r="H263" t="s">
        <v>25</v>
      </c>
      <c r="I263" t="s">
        <v>26</v>
      </c>
      <c r="J263" t="s">
        <v>514</v>
      </c>
      <c r="K263" t="s">
        <v>87</v>
      </c>
      <c r="L263">
        <v>28403</v>
      </c>
      <c r="M263" t="s">
        <v>29</v>
      </c>
      <c r="N263" t="s">
        <v>1863</v>
      </c>
      <c r="O263" t="s">
        <v>45</v>
      </c>
      <c r="P263" t="s">
        <v>67</v>
      </c>
      <c r="Q263" t="s">
        <v>1864</v>
      </c>
      <c r="R263">
        <v>19.456</v>
      </c>
      <c r="S263">
        <v>4</v>
      </c>
      <c r="T263">
        <v>0.2</v>
      </c>
      <c r="U263">
        <v>3.4047999999999998</v>
      </c>
      <c r="V263" t="str">
        <f t="shared" si="4"/>
        <v>Ashley Jarboe</v>
      </c>
      <c r="W263">
        <f>Table2[Profit]/Table2[Sales]</f>
        <v>0.17499999999999999</v>
      </c>
    </row>
    <row r="264" spans="1:23" x14ac:dyDescent="0.25">
      <c r="A264">
        <v>263</v>
      </c>
      <c r="B264" t="s">
        <v>1865</v>
      </c>
      <c r="C264" s="1">
        <v>42531</v>
      </c>
      <c r="D264" s="1">
        <v>42536</v>
      </c>
      <c r="E264" t="s">
        <v>49</v>
      </c>
      <c r="F264" t="s">
        <v>1866</v>
      </c>
      <c r="G264" t="s">
        <v>1867</v>
      </c>
      <c r="H264" t="s">
        <v>25</v>
      </c>
      <c r="I264" t="s">
        <v>26</v>
      </c>
      <c r="J264" t="s">
        <v>41</v>
      </c>
      <c r="K264" t="s">
        <v>42</v>
      </c>
      <c r="L264">
        <v>90045</v>
      </c>
      <c r="M264" t="s">
        <v>43</v>
      </c>
      <c r="N264" t="s">
        <v>1868</v>
      </c>
      <c r="O264" t="s">
        <v>45</v>
      </c>
      <c r="P264" t="s">
        <v>46</v>
      </c>
      <c r="Q264" t="s">
        <v>1869</v>
      </c>
      <c r="R264">
        <v>20.7</v>
      </c>
      <c r="S264">
        <v>2</v>
      </c>
      <c r="T264">
        <v>0</v>
      </c>
      <c r="U264">
        <v>9.9359999999999999</v>
      </c>
      <c r="V264" t="str">
        <f t="shared" si="4"/>
        <v>Olvera Toch</v>
      </c>
      <c r="W264">
        <f>Table2[Profit]/Table2[Sales]</f>
        <v>0.48000000000000004</v>
      </c>
    </row>
    <row r="265" spans="1:23" x14ac:dyDescent="0.25">
      <c r="A265">
        <v>264</v>
      </c>
      <c r="B265" t="s">
        <v>1874</v>
      </c>
      <c r="C265" s="1">
        <v>43059</v>
      </c>
      <c r="D265" s="1">
        <v>43061</v>
      </c>
      <c r="E265" t="s">
        <v>22</v>
      </c>
      <c r="F265" t="s">
        <v>1875</v>
      </c>
      <c r="G265" t="s">
        <v>1876</v>
      </c>
      <c r="H265" t="s">
        <v>25</v>
      </c>
      <c r="I265" t="s">
        <v>26</v>
      </c>
      <c r="J265" t="s">
        <v>126</v>
      </c>
      <c r="K265" t="s">
        <v>42</v>
      </c>
      <c r="L265">
        <v>94110</v>
      </c>
      <c r="M265" t="s">
        <v>43</v>
      </c>
      <c r="N265" t="s">
        <v>1478</v>
      </c>
      <c r="O265" t="s">
        <v>31</v>
      </c>
      <c r="P265" t="s">
        <v>64</v>
      </c>
      <c r="Q265" t="s">
        <v>1479</v>
      </c>
      <c r="R265">
        <v>42.6</v>
      </c>
      <c r="S265">
        <v>3</v>
      </c>
      <c r="T265">
        <v>0</v>
      </c>
      <c r="U265">
        <v>16.614000000000001</v>
      </c>
      <c r="V265" t="str">
        <f t="shared" si="4"/>
        <v>Liz Pelletier</v>
      </c>
      <c r="W265">
        <f>Table2[Profit]/Table2[Sales]</f>
        <v>0.39</v>
      </c>
    </row>
    <row r="266" spans="1:23" x14ac:dyDescent="0.25">
      <c r="A266">
        <v>265</v>
      </c>
      <c r="B266" t="s">
        <v>1879</v>
      </c>
      <c r="C266" s="1">
        <v>41896</v>
      </c>
      <c r="D266" s="1">
        <v>41900</v>
      </c>
      <c r="E266" t="s">
        <v>22</v>
      </c>
      <c r="F266" t="s">
        <v>1880</v>
      </c>
      <c r="G266" t="s">
        <v>1881</v>
      </c>
      <c r="H266" t="s">
        <v>25</v>
      </c>
      <c r="I266" t="s">
        <v>26</v>
      </c>
      <c r="J266" t="s">
        <v>893</v>
      </c>
      <c r="K266" t="s">
        <v>53</v>
      </c>
      <c r="L266">
        <v>33614</v>
      </c>
      <c r="M266" t="s">
        <v>29</v>
      </c>
      <c r="N266" t="s">
        <v>1882</v>
      </c>
      <c r="O266" t="s">
        <v>45</v>
      </c>
      <c r="P266" t="s">
        <v>77</v>
      </c>
      <c r="Q266" t="s">
        <v>1883</v>
      </c>
      <c r="R266">
        <v>13</v>
      </c>
      <c r="S266">
        <v>5</v>
      </c>
      <c r="T266">
        <v>0.2</v>
      </c>
      <c r="U266">
        <v>1.3</v>
      </c>
      <c r="V266" t="str">
        <f t="shared" si="4"/>
        <v>Cynthia Arntzen</v>
      </c>
      <c r="W266">
        <f>Table2[Profit]/Table2[Sales]</f>
        <v>0.1</v>
      </c>
    </row>
    <row r="267" spans="1:23" x14ac:dyDescent="0.25">
      <c r="A267">
        <v>266</v>
      </c>
      <c r="B267" t="s">
        <v>1886</v>
      </c>
      <c r="C267" s="1">
        <v>42345</v>
      </c>
      <c r="D267" s="1">
        <v>42347</v>
      </c>
      <c r="E267" t="s">
        <v>185</v>
      </c>
      <c r="F267" t="s">
        <v>1887</v>
      </c>
      <c r="G267" t="s">
        <v>1888</v>
      </c>
      <c r="H267" t="s">
        <v>25</v>
      </c>
      <c r="I267" t="s">
        <v>26</v>
      </c>
      <c r="J267" t="s">
        <v>94</v>
      </c>
      <c r="K267" t="s">
        <v>95</v>
      </c>
      <c r="L267">
        <v>98105</v>
      </c>
      <c r="M267" t="s">
        <v>43</v>
      </c>
      <c r="N267" t="s">
        <v>1889</v>
      </c>
      <c r="O267" t="s">
        <v>45</v>
      </c>
      <c r="P267" t="s">
        <v>266</v>
      </c>
      <c r="Q267" t="s">
        <v>1890</v>
      </c>
      <c r="R267">
        <v>3.96</v>
      </c>
      <c r="S267">
        <v>2</v>
      </c>
      <c r="T267">
        <v>0</v>
      </c>
      <c r="U267">
        <v>0</v>
      </c>
      <c r="V267" t="str">
        <f t="shared" si="4"/>
        <v>Jeremy Farry</v>
      </c>
      <c r="W267">
        <f>Table2[Profit]/Table2[Sales]</f>
        <v>0</v>
      </c>
    </row>
    <row r="268" spans="1:23" x14ac:dyDescent="0.25">
      <c r="A268">
        <v>267</v>
      </c>
      <c r="B268" t="s">
        <v>1891</v>
      </c>
      <c r="C268" s="1">
        <v>43076</v>
      </c>
      <c r="D268" s="1">
        <v>43079</v>
      </c>
      <c r="E268" t="s">
        <v>185</v>
      </c>
      <c r="F268" t="s">
        <v>1892</v>
      </c>
      <c r="G268" t="s">
        <v>1893</v>
      </c>
      <c r="H268" t="s">
        <v>25</v>
      </c>
      <c r="I268" t="s">
        <v>26</v>
      </c>
      <c r="J268" t="s">
        <v>41</v>
      </c>
      <c r="K268" t="s">
        <v>42</v>
      </c>
      <c r="L268">
        <v>90008</v>
      </c>
      <c r="M268" t="s">
        <v>43</v>
      </c>
      <c r="N268" t="s">
        <v>1894</v>
      </c>
      <c r="O268" t="s">
        <v>70</v>
      </c>
      <c r="P268" t="s">
        <v>71</v>
      </c>
      <c r="Q268" t="s">
        <v>1895</v>
      </c>
      <c r="R268">
        <v>374.37599999999998</v>
      </c>
      <c r="S268">
        <v>3</v>
      </c>
      <c r="T268">
        <v>0.2</v>
      </c>
      <c r="U268">
        <v>46.796999999999997</v>
      </c>
      <c r="V268" t="str">
        <f t="shared" si="4"/>
        <v>Frank Preis</v>
      </c>
      <c r="W268">
        <f>Table2[Profit]/Table2[Sales]</f>
        <v>0.125</v>
      </c>
    </row>
    <row r="269" spans="1:23" x14ac:dyDescent="0.25">
      <c r="A269">
        <v>268</v>
      </c>
      <c r="B269" t="s">
        <v>1896</v>
      </c>
      <c r="C269" s="1">
        <v>43009</v>
      </c>
      <c r="D269" s="1">
        <v>43016</v>
      </c>
      <c r="E269" t="s">
        <v>49</v>
      </c>
      <c r="F269" t="s">
        <v>1897</v>
      </c>
      <c r="G269" t="s">
        <v>1898</v>
      </c>
      <c r="H269" t="s">
        <v>40</v>
      </c>
      <c r="I269" t="s">
        <v>26</v>
      </c>
      <c r="J269" t="s">
        <v>94</v>
      </c>
      <c r="K269" t="s">
        <v>95</v>
      </c>
      <c r="L269">
        <v>98105</v>
      </c>
      <c r="M269" t="s">
        <v>43</v>
      </c>
      <c r="N269" t="s">
        <v>1899</v>
      </c>
      <c r="O269" t="s">
        <v>45</v>
      </c>
      <c r="P269" t="s">
        <v>89</v>
      </c>
      <c r="Q269" t="s">
        <v>1900</v>
      </c>
      <c r="R269">
        <v>91.84</v>
      </c>
      <c r="S269">
        <v>8</v>
      </c>
      <c r="T269">
        <v>0</v>
      </c>
      <c r="U269">
        <v>45.001600000000003</v>
      </c>
      <c r="V269" t="str">
        <f t="shared" si="4"/>
        <v>Ellis Ballard</v>
      </c>
      <c r="W269">
        <f>Table2[Profit]/Table2[Sales]</f>
        <v>0.49</v>
      </c>
    </row>
    <row r="270" spans="1:23" x14ac:dyDescent="0.25">
      <c r="A270">
        <v>269</v>
      </c>
      <c r="B270" t="s">
        <v>1907</v>
      </c>
      <c r="C270" s="1">
        <v>43097</v>
      </c>
      <c r="D270" s="1">
        <v>43104</v>
      </c>
      <c r="E270" t="s">
        <v>49</v>
      </c>
      <c r="F270" t="s">
        <v>1908</v>
      </c>
      <c r="G270" t="s">
        <v>1909</v>
      </c>
      <c r="H270" t="s">
        <v>25</v>
      </c>
      <c r="I270" t="s">
        <v>26</v>
      </c>
      <c r="J270" t="s">
        <v>263</v>
      </c>
      <c r="K270" t="s">
        <v>264</v>
      </c>
      <c r="L270">
        <v>10024</v>
      </c>
      <c r="M270" t="s">
        <v>145</v>
      </c>
      <c r="N270" t="s">
        <v>1868</v>
      </c>
      <c r="O270" t="s">
        <v>45</v>
      </c>
      <c r="P270" t="s">
        <v>46</v>
      </c>
      <c r="Q270" t="s">
        <v>1869</v>
      </c>
      <c r="R270">
        <v>72.45</v>
      </c>
      <c r="S270">
        <v>7</v>
      </c>
      <c r="T270">
        <v>0</v>
      </c>
      <c r="U270">
        <v>34.776000000000003</v>
      </c>
      <c r="V270" t="str">
        <f t="shared" si="4"/>
        <v>Jennifer Ferguson</v>
      </c>
      <c r="W270">
        <f>Table2[Profit]/Table2[Sales]</f>
        <v>0.48000000000000004</v>
      </c>
    </row>
    <row r="271" spans="1:23" x14ac:dyDescent="0.25">
      <c r="A271">
        <v>270</v>
      </c>
      <c r="B271" t="s">
        <v>1912</v>
      </c>
      <c r="C271" s="1">
        <v>42677</v>
      </c>
      <c r="D271" s="1">
        <v>42681</v>
      </c>
      <c r="E271" t="s">
        <v>49</v>
      </c>
      <c r="F271" t="s">
        <v>1913</v>
      </c>
      <c r="G271" t="s">
        <v>1914</v>
      </c>
      <c r="H271" t="s">
        <v>25</v>
      </c>
      <c r="I271" t="s">
        <v>26</v>
      </c>
      <c r="J271" t="s">
        <v>1915</v>
      </c>
      <c r="K271" t="s">
        <v>95</v>
      </c>
      <c r="L271">
        <v>98270</v>
      </c>
      <c r="M271" t="s">
        <v>43</v>
      </c>
      <c r="N271" t="s">
        <v>1916</v>
      </c>
      <c r="O271" t="s">
        <v>45</v>
      </c>
      <c r="P271" t="s">
        <v>67</v>
      </c>
      <c r="Q271" t="s">
        <v>1917</v>
      </c>
      <c r="R271">
        <v>8.82</v>
      </c>
      <c r="S271">
        <v>3</v>
      </c>
      <c r="T271">
        <v>0</v>
      </c>
      <c r="U271">
        <v>2.3814000000000002</v>
      </c>
      <c r="V271" t="str">
        <f t="shared" si="4"/>
        <v>Sarah Foster</v>
      </c>
      <c r="W271">
        <f>Table2[Profit]/Table2[Sales]</f>
        <v>0.27</v>
      </c>
    </row>
    <row r="272" spans="1:23" x14ac:dyDescent="0.25">
      <c r="A272">
        <v>271</v>
      </c>
      <c r="B272" t="s">
        <v>1918</v>
      </c>
      <c r="C272" s="1">
        <v>42265</v>
      </c>
      <c r="D272" s="1">
        <v>42269</v>
      </c>
      <c r="E272" t="s">
        <v>22</v>
      </c>
      <c r="F272" t="s">
        <v>1919</v>
      </c>
      <c r="G272" t="s">
        <v>1920</v>
      </c>
      <c r="H272" t="s">
        <v>25</v>
      </c>
      <c r="I272" t="s">
        <v>26</v>
      </c>
      <c r="J272" t="s">
        <v>1161</v>
      </c>
      <c r="K272" t="s">
        <v>42</v>
      </c>
      <c r="L272">
        <v>90805</v>
      </c>
      <c r="M272" t="s">
        <v>43</v>
      </c>
      <c r="N272" t="s">
        <v>1899</v>
      </c>
      <c r="O272" t="s">
        <v>45</v>
      </c>
      <c r="P272" t="s">
        <v>89</v>
      </c>
      <c r="Q272" t="s">
        <v>1900</v>
      </c>
      <c r="R272">
        <v>160.72</v>
      </c>
      <c r="S272">
        <v>14</v>
      </c>
      <c r="T272">
        <v>0</v>
      </c>
      <c r="U272">
        <v>78.752799999999993</v>
      </c>
      <c r="V272" t="str">
        <f t="shared" si="4"/>
        <v>Trudy Glocke</v>
      </c>
      <c r="W272">
        <f>Table2[Profit]/Table2[Sales]</f>
        <v>0.48999999999999994</v>
      </c>
    </row>
    <row r="273" spans="1:23" x14ac:dyDescent="0.25">
      <c r="A273">
        <v>272</v>
      </c>
      <c r="B273" t="s">
        <v>1923</v>
      </c>
      <c r="C273" s="1">
        <v>42936</v>
      </c>
      <c r="D273" s="1">
        <v>42942</v>
      </c>
      <c r="E273" t="s">
        <v>49</v>
      </c>
      <c r="F273" t="s">
        <v>1924</v>
      </c>
      <c r="G273" t="s">
        <v>1925</v>
      </c>
      <c r="H273" t="s">
        <v>25</v>
      </c>
      <c r="I273" t="s">
        <v>26</v>
      </c>
      <c r="J273" t="s">
        <v>296</v>
      </c>
      <c r="K273" t="s">
        <v>208</v>
      </c>
      <c r="L273">
        <v>60610</v>
      </c>
      <c r="M273" t="s">
        <v>104</v>
      </c>
      <c r="N273" t="s">
        <v>540</v>
      </c>
      <c r="O273" t="s">
        <v>45</v>
      </c>
      <c r="P273" t="s">
        <v>58</v>
      </c>
      <c r="Q273" t="s">
        <v>541</v>
      </c>
      <c r="R273">
        <v>69.712000000000003</v>
      </c>
      <c r="S273">
        <v>2</v>
      </c>
      <c r="T273">
        <v>0.2</v>
      </c>
      <c r="U273">
        <v>8.7140000000000004</v>
      </c>
      <c r="V273" t="str">
        <f t="shared" si="4"/>
        <v>Carlos Soltero</v>
      </c>
      <c r="W273">
        <f>Table2[Profit]/Table2[Sales]</f>
        <v>0.125</v>
      </c>
    </row>
    <row r="274" spans="1:23" x14ac:dyDescent="0.25">
      <c r="A274">
        <v>273</v>
      </c>
      <c r="B274" t="s">
        <v>1928</v>
      </c>
      <c r="C274" s="1">
        <v>42257</v>
      </c>
      <c r="D274" s="1">
        <v>42261</v>
      </c>
      <c r="E274" t="s">
        <v>49</v>
      </c>
      <c r="F274" t="s">
        <v>1929</v>
      </c>
      <c r="G274" t="s">
        <v>1930</v>
      </c>
      <c r="H274" t="s">
        <v>25</v>
      </c>
      <c r="I274" t="s">
        <v>26</v>
      </c>
      <c r="J274" t="s">
        <v>41</v>
      </c>
      <c r="K274" t="s">
        <v>42</v>
      </c>
      <c r="L274">
        <v>90004</v>
      </c>
      <c r="M274" t="s">
        <v>43</v>
      </c>
      <c r="N274" t="s">
        <v>1931</v>
      </c>
      <c r="O274" t="s">
        <v>45</v>
      </c>
      <c r="P274" t="s">
        <v>572</v>
      </c>
      <c r="Q274" t="s">
        <v>1932</v>
      </c>
      <c r="R274">
        <v>51.52</v>
      </c>
      <c r="S274">
        <v>4</v>
      </c>
      <c r="T274">
        <v>0</v>
      </c>
      <c r="U274">
        <v>1.5456000000000001</v>
      </c>
      <c r="V274" t="str">
        <f t="shared" si="4"/>
        <v>Charles Crestani</v>
      </c>
      <c r="W274">
        <f>Table2[Profit]/Table2[Sales]</f>
        <v>0.03</v>
      </c>
    </row>
    <row r="275" spans="1:23" x14ac:dyDescent="0.25">
      <c r="A275">
        <v>274</v>
      </c>
      <c r="B275" t="s">
        <v>1933</v>
      </c>
      <c r="C275" s="1">
        <v>43070</v>
      </c>
      <c r="D275" s="1">
        <v>43074</v>
      </c>
      <c r="E275" t="s">
        <v>49</v>
      </c>
      <c r="F275" t="s">
        <v>1934</v>
      </c>
      <c r="G275" t="s">
        <v>1935</v>
      </c>
      <c r="H275" t="s">
        <v>25</v>
      </c>
      <c r="I275" t="s">
        <v>26</v>
      </c>
      <c r="J275" t="s">
        <v>800</v>
      </c>
      <c r="K275" t="s">
        <v>450</v>
      </c>
      <c r="L275">
        <v>80219</v>
      </c>
      <c r="M275" t="s">
        <v>43</v>
      </c>
      <c r="N275" t="s">
        <v>189</v>
      </c>
      <c r="O275" t="s">
        <v>70</v>
      </c>
      <c r="P275" t="s">
        <v>71</v>
      </c>
      <c r="Q275" t="s">
        <v>190</v>
      </c>
      <c r="R275">
        <v>470.37599999999998</v>
      </c>
      <c r="S275">
        <v>3</v>
      </c>
      <c r="T275">
        <v>0.2</v>
      </c>
      <c r="U275">
        <v>52.917299999999997</v>
      </c>
      <c r="V275" t="str">
        <f t="shared" si="4"/>
        <v>Dianna Vittorini</v>
      </c>
      <c r="W275">
        <f>Table2[Profit]/Table2[Sales]</f>
        <v>0.1125</v>
      </c>
    </row>
    <row r="276" spans="1:23" x14ac:dyDescent="0.25">
      <c r="A276">
        <v>275</v>
      </c>
      <c r="B276" t="s">
        <v>1940</v>
      </c>
      <c r="C276" s="1">
        <v>42188</v>
      </c>
      <c r="D276" s="1">
        <v>42194</v>
      </c>
      <c r="E276" t="s">
        <v>49</v>
      </c>
      <c r="F276" t="s">
        <v>1941</v>
      </c>
      <c r="G276" t="s">
        <v>1942</v>
      </c>
      <c r="H276" t="s">
        <v>25</v>
      </c>
      <c r="I276" t="s">
        <v>26</v>
      </c>
      <c r="J276" t="s">
        <v>1450</v>
      </c>
      <c r="K276" t="s">
        <v>28</v>
      </c>
      <c r="L276">
        <v>40475</v>
      </c>
      <c r="M276" t="s">
        <v>29</v>
      </c>
      <c r="N276" t="s">
        <v>1431</v>
      </c>
      <c r="O276" t="s">
        <v>31</v>
      </c>
      <c r="P276" t="s">
        <v>35</v>
      </c>
      <c r="Q276" t="s">
        <v>1432</v>
      </c>
      <c r="R276">
        <v>70.98</v>
      </c>
      <c r="S276">
        <v>1</v>
      </c>
      <c r="T276">
        <v>0</v>
      </c>
      <c r="U276">
        <v>4.9686000000000003</v>
      </c>
      <c r="V276" t="str">
        <f t="shared" si="4"/>
        <v>Bruce Degenhardt</v>
      </c>
      <c r="W276">
        <f>Table2[Profit]/Table2[Sales]</f>
        <v>7.0000000000000007E-2</v>
      </c>
    </row>
    <row r="277" spans="1:23" x14ac:dyDescent="0.25">
      <c r="A277">
        <v>276</v>
      </c>
      <c r="B277" t="s">
        <v>1945</v>
      </c>
      <c r="C277" s="1">
        <v>42449</v>
      </c>
      <c r="D277" s="1">
        <v>42453</v>
      </c>
      <c r="E277" t="s">
        <v>49</v>
      </c>
      <c r="F277" t="s">
        <v>1946</v>
      </c>
      <c r="G277" t="s">
        <v>1947</v>
      </c>
      <c r="H277" t="s">
        <v>25</v>
      </c>
      <c r="I277" t="s">
        <v>26</v>
      </c>
      <c r="J277" t="s">
        <v>1948</v>
      </c>
      <c r="K277" t="s">
        <v>413</v>
      </c>
      <c r="L277">
        <v>97301</v>
      </c>
      <c r="M277" t="s">
        <v>43</v>
      </c>
      <c r="N277" t="s">
        <v>1949</v>
      </c>
      <c r="O277" t="s">
        <v>70</v>
      </c>
      <c r="P277" t="s">
        <v>71</v>
      </c>
      <c r="Q277" t="s">
        <v>1950</v>
      </c>
      <c r="R277">
        <v>84.784000000000006</v>
      </c>
      <c r="S277">
        <v>2</v>
      </c>
      <c r="T277">
        <v>0.2</v>
      </c>
      <c r="U277">
        <v>-20.136199999999999</v>
      </c>
      <c r="V277" t="str">
        <f t="shared" si="4"/>
        <v>Zuschuss Carroll</v>
      </c>
      <c r="W277">
        <f>Table2[Profit]/Table2[Sales]</f>
        <v>-0.23749999999999996</v>
      </c>
    </row>
    <row r="278" spans="1:23" x14ac:dyDescent="0.25">
      <c r="A278">
        <v>277</v>
      </c>
      <c r="B278" t="s">
        <v>1955</v>
      </c>
      <c r="C278" s="1">
        <v>41648</v>
      </c>
      <c r="D278" s="1">
        <v>41652</v>
      </c>
      <c r="E278" t="s">
        <v>49</v>
      </c>
      <c r="F278" t="s">
        <v>1956</v>
      </c>
      <c r="G278" t="s">
        <v>1957</v>
      </c>
      <c r="H278" t="s">
        <v>25</v>
      </c>
      <c r="I278" t="s">
        <v>26</v>
      </c>
      <c r="J278" t="s">
        <v>1958</v>
      </c>
      <c r="K278" t="s">
        <v>103</v>
      </c>
      <c r="L278">
        <v>78041</v>
      </c>
      <c r="M278" t="s">
        <v>104</v>
      </c>
      <c r="N278" t="s">
        <v>1959</v>
      </c>
      <c r="O278" t="s">
        <v>45</v>
      </c>
      <c r="P278" t="s">
        <v>67</v>
      </c>
      <c r="Q278" t="s">
        <v>1960</v>
      </c>
      <c r="R278">
        <v>9.3439999999999994</v>
      </c>
      <c r="S278">
        <v>2</v>
      </c>
      <c r="T278">
        <v>0.2</v>
      </c>
      <c r="U278">
        <v>1.1679999999999999</v>
      </c>
      <c r="V278" t="str">
        <f t="shared" si="4"/>
        <v>Melanie Seite</v>
      </c>
      <c r="W278">
        <f>Table2[Profit]/Table2[Sales]</f>
        <v>0.125</v>
      </c>
    </row>
    <row r="279" spans="1:23" x14ac:dyDescent="0.25">
      <c r="A279">
        <v>278</v>
      </c>
      <c r="B279" t="s">
        <v>1961</v>
      </c>
      <c r="C279" s="1">
        <v>41859</v>
      </c>
      <c r="D279" s="1">
        <v>41866</v>
      </c>
      <c r="E279" t="s">
        <v>49</v>
      </c>
      <c r="F279" t="s">
        <v>1962</v>
      </c>
      <c r="G279" t="s">
        <v>1963</v>
      </c>
      <c r="H279" t="s">
        <v>25</v>
      </c>
      <c r="I279" t="s">
        <v>26</v>
      </c>
      <c r="J279" t="s">
        <v>941</v>
      </c>
      <c r="K279" t="s">
        <v>42</v>
      </c>
      <c r="L279">
        <v>92024</v>
      </c>
      <c r="M279" t="s">
        <v>43</v>
      </c>
      <c r="N279" t="s">
        <v>1964</v>
      </c>
      <c r="O279" t="s">
        <v>45</v>
      </c>
      <c r="P279" t="s">
        <v>77</v>
      </c>
      <c r="Q279" t="s">
        <v>1965</v>
      </c>
      <c r="R279">
        <v>76.12</v>
      </c>
      <c r="S279">
        <v>2</v>
      </c>
      <c r="T279">
        <v>0</v>
      </c>
      <c r="U279">
        <v>22.0748</v>
      </c>
      <c r="V279" t="str">
        <f t="shared" si="4"/>
        <v>Lena Radford</v>
      </c>
      <c r="W279">
        <f>Table2[Profit]/Table2[Sales]</f>
        <v>0.28999999999999998</v>
      </c>
    </row>
    <row r="280" spans="1:23" x14ac:dyDescent="0.25">
      <c r="A280">
        <v>279</v>
      </c>
      <c r="B280" t="s">
        <v>1968</v>
      </c>
      <c r="C280" s="1">
        <v>42565</v>
      </c>
      <c r="D280" s="1">
        <v>42567</v>
      </c>
      <c r="E280" t="s">
        <v>185</v>
      </c>
      <c r="F280" t="s">
        <v>1969</v>
      </c>
      <c r="G280" t="s">
        <v>1970</v>
      </c>
      <c r="H280" t="s">
        <v>25</v>
      </c>
      <c r="I280" t="s">
        <v>26</v>
      </c>
      <c r="J280" t="s">
        <v>143</v>
      </c>
      <c r="K280" t="s">
        <v>144</v>
      </c>
      <c r="L280">
        <v>19134</v>
      </c>
      <c r="M280" t="s">
        <v>145</v>
      </c>
      <c r="N280" t="s">
        <v>1971</v>
      </c>
      <c r="O280" t="s">
        <v>45</v>
      </c>
      <c r="P280" t="s">
        <v>572</v>
      </c>
      <c r="Q280" t="s">
        <v>1972</v>
      </c>
      <c r="R280">
        <v>11.632</v>
      </c>
      <c r="S280">
        <v>2</v>
      </c>
      <c r="T280">
        <v>0.2</v>
      </c>
      <c r="U280">
        <v>1.0178</v>
      </c>
      <c r="V280" t="str">
        <f t="shared" si="4"/>
        <v>Theone Pippenger</v>
      </c>
      <c r="W280">
        <f>Table2[Profit]/Table2[Sales]</f>
        <v>8.7500000000000008E-2</v>
      </c>
    </row>
    <row r="281" spans="1:23" x14ac:dyDescent="0.25">
      <c r="A281">
        <v>280</v>
      </c>
      <c r="B281" t="s">
        <v>1973</v>
      </c>
      <c r="C281" s="1">
        <v>42567</v>
      </c>
      <c r="D281" s="1">
        <v>42572</v>
      </c>
      <c r="E281" t="s">
        <v>49</v>
      </c>
      <c r="F281" t="s">
        <v>1974</v>
      </c>
      <c r="G281" t="s">
        <v>1975</v>
      </c>
      <c r="H281" t="s">
        <v>25</v>
      </c>
      <c r="I281" t="s">
        <v>26</v>
      </c>
      <c r="J281" t="s">
        <v>143</v>
      </c>
      <c r="K281" t="s">
        <v>144</v>
      </c>
      <c r="L281">
        <v>19120</v>
      </c>
      <c r="M281" t="s">
        <v>145</v>
      </c>
      <c r="N281" t="s">
        <v>1976</v>
      </c>
      <c r="O281" t="s">
        <v>70</v>
      </c>
      <c r="P281" t="s">
        <v>71</v>
      </c>
      <c r="Q281" t="s">
        <v>1977</v>
      </c>
      <c r="R281">
        <v>143.982</v>
      </c>
      <c r="S281">
        <v>3</v>
      </c>
      <c r="T281">
        <v>0.4</v>
      </c>
      <c r="U281">
        <v>-28.796399999999998</v>
      </c>
      <c r="V281" t="str">
        <f t="shared" si="4"/>
        <v>Chloris Kastensmidt</v>
      </c>
      <c r="W281">
        <f>Table2[Profit]/Table2[Sales]</f>
        <v>-0.19999999999999998</v>
      </c>
    </row>
    <row r="282" spans="1:23" x14ac:dyDescent="0.25">
      <c r="A282">
        <v>281</v>
      </c>
      <c r="B282" t="s">
        <v>1978</v>
      </c>
      <c r="C282" s="1">
        <v>41713</v>
      </c>
      <c r="D282" s="1">
        <v>41717</v>
      </c>
      <c r="E282" t="s">
        <v>49</v>
      </c>
      <c r="F282" t="s">
        <v>1979</v>
      </c>
      <c r="G282" t="s">
        <v>1980</v>
      </c>
      <c r="H282" t="s">
        <v>25</v>
      </c>
      <c r="I282" t="s">
        <v>26</v>
      </c>
      <c r="J282" t="s">
        <v>893</v>
      </c>
      <c r="K282" t="s">
        <v>53</v>
      </c>
      <c r="L282">
        <v>33614</v>
      </c>
      <c r="M282" t="s">
        <v>29</v>
      </c>
      <c r="N282" t="s">
        <v>1981</v>
      </c>
      <c r="O282" t="s">
        <v>45</v>
      </c>
      <c r="P282" t="s">
        <v>58</v>
      </c>
      <c r="Q282" t="s">
        <v>1982</v>
      </c>
      <c r="R282">
        <v>142.77600000000001</v>
      </c>
      <c r="S282">
        <v>1</v>
      </c>
      <c r="T282">
        <v>0.2</v>
      </c>
      <c r="U282">
        <v>17.847000000000001</v>
      </c>
      <c r="V282" t="str">
        <f t="shared" si="4"/>
        <v>Alan Shonely</v>
      </c>
      <c r="W282">
        <f>Table2[Profit]/Table2[Sales]</f>
        <v>0.125</v>
      </c>
    </row>
    <row r="283" spans="1:23" x14ac:dyDescent="0.25">
      <c r="A283">
        <v>282</v>
      </c>
      <c r="B283" t="s">
        <v>1985</v>
      </c>
      <c r="C283" s="1">
        <v>41782</v>
      </c>
      <c r="D283" s="1">
        <v>41786</v>
      </c>
      <c r="E283" t="s">
        <v>49</v>
      </c>
      <c r="F283" t="s">
        <v>1986</v>
      </c>
      <c r="G283" t="s">
        <v>1987</v>
      </c>
      <c r="H283" t="s">
        <v>25</v>
      </c>
      <c r="I283" t="s">
        <v>26</v>
      </c>
      <c r="J283" t="s">
        <v>143</v>
      </c>
      <c r="K283" t="s">
        <v>144</v>
      </c>
      <c r="L283">
        <v>19134</v>
      </c>
      <c r="M283" t="s">
        <v>145</v>
      </c>
      <c r="N283" t="s">
        <v>1988</v>
      </c>
      <c r="O283" t="s">
        <v>45</v>
      </c>
      <c r="P283" t="s">
        <v>74</v>
      </c>
      <c r="Q283" t="s">
        <v>1989</v>
      </c>
      <c r="R283">
        <v>3.282</v>
      </c>
      <c r="S283">
        <v>2</v>
      </c>
      <c r="T283">
        <v>0.7</v>
      </c>
      <c r="U283">
        <v>-2.6255999999999999</v>
      </c>
      <c r="V283" t="str">
        <f t="shared" si="4"/>
        <v>Andrew Roberts</v>
      </c>
      <c r="W283">
        <f>Table2[Profit]/Table2[Sales]</f>
        <v>-0.79999999999999993</v>
      </c>
    </row>
    <row r="284" spans="1:23" x14ac:dyDescent="0.25">
      <c r="A284">
        <v>283</v>
      </c>
      <c r="B284" t="s">
        <v>1992</v>
      </c>
      <c r="C284" s="1">
        <v>42488</v>
      </c>
      <c r="D284" s="1">
        <v>42491</v>
      </c>
      <c r="E284" t="s">
        <v>185</v>
      </c>
      <c r="F284" t="s">
        <v>1993</v>
      </c>
      <c r="G284" t="s">
        <v>1994</v>
      </c>
      <c r="H284" t="s">
        <v>40</v>
      </c>
      <c r="I284" t="s">
        <v>26</v>
      </c>
      <c r="J284" t="s">
        <v>808</v>
      </c>
      <c r="K284" t="s">
        <v>103</v>
      </c>
      <c r="L284">
        <v>75217</v>
      </c>
      <c r="M284" t="s">
        <v>104</v>
      </c>
      <c r="N284" t="s">
        <v>1367</v>
      </c>
      <c r="O284" t="s">
        <v>70</v>
      </c>
      <c r="P284" t="s">
        <v>71</v>
      </c>
      <c r="Q284" t="s">
        <v>1368</v>
      </c>
      <c r="R284">
        <v>369.57600000000002</v>
      </c>
      <c r="S284">
        <v>3</v>
      </c>
      <c r="T284">
        <v>0.2</v>
      </c>
      <c r="U284">
        <v>41.577300000000001</v>
      </c>
      <c r="V284" t="str">
        <f t="shared" si="4"/>
        <v>Nona Balk</v>
      </c>
      <c r="W284">
        <f>Table2[Profit]/Table2[Sales]</f>
        <v>0.1125</v>
      </c>
    </row>
    <row r="285" spans="1:23" x14ac:dyDescent="0.25">
      <c r="A285">
        <v>284</v>
      </c>
      <c r="B285" t="s">
        <v>1997</v>
      </c>
      <c r="C285" s="1">
        <v>42624</v>
      </c>
      <c r="D285" s="1">
        <v>42626</v>
      </c>
      <c r="E285" t="s">
        <v>22</v>
      </c>
      <c r="F285" t="s">
        <v>1998</v>
      </c>
      <c r="G285" t="s">
        <v>1999</v>
      </c>
      <c r="H285" t="s">
        <v>40</v>
      </c>
      <c r="I285" t="s">
        <v>26</v>
      </c>
      <c r="J285" t="s">
        <v>143</v>
      </c>
      <c r="K285" t="s">
        <v>144</v>
      </c>
      <c r="L285">
        <v>19143</v>
      </c>
      <c r="M285" t="s">
        <v>145</v>
      </c>
      <c r="N285" t="s">
        <v>2000</v>
      </c>
      <c r="O285" t="s">
        <v>45</v>
      </c>
      <c r="P285" t="s">
        <v>89</v>
      </c>
      <c r="Q285" t="s">
        <v>2001</v>
      </c>
      <c r="R285">
        <v>8.4480000000000004</v>
      </c>
      <c r="S285">
        <v>2</v>
      </c>
      <c r="T285">
        <v>0.2</v>
      </c>
      <c r="U285">
        <v>2.64</v>
      </c>
      <c r="V285" t="str">
        <f t="shared" si="4"/>
        <v>Giulietta Dortch</v>
      </c>
      <c r="W285">
        <f>Table2[Profit]/Table2[Sales]</f>
        <v>0.3125</v>
      </c>
    </row>
    <row r="286" spans="1:23" x14ac:dyDescent="0.25">
      <c r="A286">
        <v>285</v>
      </c>
      <c r="B286" t="s">
        <v>2004</v>
      </c>
      <c r="C286" s="1">
        <v>43053</v>
      </c>
      <c r="D286" s="1">
        <v>43056</v>
      </c>
      <c r="E286" t="s">
        <v>22</v>
      </c>
      <c r="F286" t="s">
        <v>2005</v>
      </c>
      <c r="G286" t="s">
        <v>2006</v>
      </c>
      <c r="H286" t="s">
        <v>25</v>
      </c>
      <c r="I286" t="s">
        <v>26</v>
      </c>
      <c r="J286" t="s">
        <v>2007</v>
      </c>
      <c r="K286" t="s">
        <v>491</v>
      </c>
      <c r="L286">
        <v>43123</v>
      </c>
      <c r="M286" t="s">
        <v>145</v>
      </c>
      <c r="N286" t="s">
        <v>917</v>
      </c>
      <c r="O286" t="s">
        <v>70</v>
      </c>
      <c r="P286" t="s">
        <v>71</v>
      </c>
      <c r="Q286" t="s">
        <v>918</v>
      </c>
      <c r="R286">
        <v>119.94</v>
      </c>
      <c r="S286">
        <v>10</v>
      </c>
      <c r="T286">
        <v>0.4</v>
      </c>
      <c r="U286">
        <v>15.992000000000001</v>
      </c>
      <c r="V286" t="str">
        <f t="shared" si="4"/>
        <v>Clytie Kelty</v>
      </c>
      <c r="W286">
        <f>Table2[Profit]/Table2[Sales]</f>
        <v>0.13333333333333333</v>
      </c>
    </row>
    <row r="287" spans="1:23" x14ac:dyDescent="0.25">
      <c r="A287">
        <v>286</v>
      </c>
      <c r="B287" t="s">
        <v>2010</v>
      </c>
      <c r="C287" s="1">
        <v>42965</v>
      </c>
      <c r="D287" s="1">
        <v>42970</v>
      </c>
      <c r="E287" t="s">
        <v>22</v>
      </c>
      <c r="F287" t="s">
        <v>2011</v>
      </c>
      <c r="G287" t="s">
        <v>2012</v>
      </c>
      <c r="H287" t="s">
        <v>40</v>
      </c>
      <c r="I287" t="s">
        <v>26</v>
      </c>
      <c r="J287" t="s">
        <v>263</v>
      </c>
      <c r="K287" t="s">
        <v>264</v>
      </c>
      <c r="L287">
        <v>10011</v>
      </c>
      <c r="M287" t="s">
        <v>145</v>
      </c>
      <c r="N287" t="s">
        <v>2013</v>
      </c>
      <c r="O287" t="s">
        <v>31</v>
      </c>
      <c r="P287" t="s">
        <v>64</v>
      </c>
      <c r="Q287" t="s">
        <v>2014</v>
      </c>
      <c r="R287">
        <v>40.479999999999997</v>
      </c>
      <c r="S287">
        <v>2</v>
      </c>
      <c r="T287">
        <v>0</v>
      </c>
      <c r="U287">
        <v>15.7872</v>
      </c>
      <c r="V287" t="str">
        <f t="shared" si="4"/>
        <v>Nat Gilpin</v>
      </c>
      <c r="W287">
        <f>Table2[Profit]/Table2[Sales]</f>
        <v>0.39</v>
      </c>
    </row>
    <row r="288" spans="1:23" x14ac:dyDescent="0.25">
      <c r="A288">
        <v>287</v>
      </c>
      <c r="B288" t="s">
        <v>2021</v>
      </c>
      <c r="C288" s="1">
        <v>41999</v>
      </c>
      <c r="D288" s="1">
        <v>42004</v>
      </c>
      <c r="E288" t="s">
        <v>49</v>
      </c>
      <c r="F288" t="s">
        <v>2022</v>
      </c>
      <c r="G288" t="s">
        <v>2023</v>
      </c>
      <c r="H288" t="s">
        <v>25</v>
      </c>
      <c r="I288" t="s">
        <v>26</v>
      </c>
      <c r="J288" t="s">
        <v>296</v>
      </c>
      <c r="K288" t="s">
        <v>208</v>
      </c>
      <c r="L288">
        <v>60610</v>
      </c>
      <c r="M288" t="s">
        <v>104</v>
      </c>
      <c r="N288" t="s">
        <v>2024</v>
      </c>
      <c r="O288" t="s">
        <v>45</v>
      </c>
      <c r="P288" t="s">
        <v>74</v>
      </c>
      <c r="Q288" t="s">
        <v>2025</v>
      </c>
      <c r="R288">
        <v>8.69</v>
      </c>
      <c r="S288">
        <v>5</v>
      </c>
      <c r="T288">
        <v>0.8</v>
      </c>
      <c r="U288">
        <v>-14.773</v>
      </c>
      <c r="V288" t="str">
        <f t="shared" si="4"/>
        <v>Christina Anderson</v>
      </c>
      <c r="W288">
        <f>Table2[Profit]/Table2[Sales]</f>
        <v>-1.7</v>
      </c>
    </row>
    <row r="289" spans="1:23" x14ac:dyDescent="0.25">
      <c r="A289">
        <v>288</v>
      </c>
      <c r="B289" t="s">
        <v>2026</v>
      </c>
      <c r="C289" s="1">
        <v>42337</v>
      </c>
      <c r="D289" s="1">
        <v>42341</v>
      </c>
      <c r="E289" t="s">
        <v>49</v>
      </c>
      <c r="F289" t="s">
        <v>2027</v>
      </c>
      <c r="G289" t="s">
        <v>2028</v>
      </c>
      <c r="H289" t="s">
        <v>40</v>
      </c>
      <c r="I289" t="s">
        <v>26</v>
      </c>
      <c r="J289" t="s">
        <v>2029</v>
      </c>
      <c r="K289" t="s">
        <v>235</v>
      </c>
      <c r="L289">
        <v>48126</v>
      </c>
      <c r="M289" t="s">
        <v>104</v>
      </c>
      <c r="N289" t="s">
        <v>2030</v>
      </c>
      <c r="O289" t="s">
        <v>31</v>
      </c>
      <c r="P289" t="s">
        <v>35</v>
      </c>
      <c r="Q289" t="s">
        <v>2031</v>
      </c>
      <c r="R289">
        <v>301.95999999999998</v>
      </c>
      <c r="S289">
        <v>2</v>
      </c>
      <c r="T289">
        <v>0</v>
      </c>
      <c r="U289">
        <v>87.568399999999997</v>
      </c>
      <c r="V289" t="str">
        <f t="shared" si="4"/>
        <v>Sylvia Foulston</v>
      </c>
      <c r="W289">
        <f>Table2[Profit]/Table2[Sales]</f>
        <v>0.29000000000000004</v>
      </c>
    </row>
    <row r="290" spans="1:23" x14ac:dyDescent="0.25">
      <c r="A290">
        <v>289</v>
      </c>
      <c r="B290" t="s">
        <v>2036</v>
      </c>
      <c r="C290" s="1">
        <v>42993</v>
      </c>
      <c r="D290" s="1">
        <v>42997</v>
      </c>
      <c r="E290" t="s">
        <v>49</v>
      </c>
      <c r="F290" t="s">
        <v>2037</v>
      </c>
      <c r="G290" t="s">
        <v>2038</v>
      </c>
      <c r="H290" t="s">
        <v>101</v>
      </c>
      <c r="I290" t="s">
        <v>26</v>
      </c>
      <c r="J290" t="s">
        <v>263</v>
      </c>
      <c r="K290" t="s">
        <v>264</v>
      </c>
      <c r="L290">
        <v>10009</v>
      </c>
      <c r="M290" t="s">
        <v>145</v>
      </c>
      <c r="N290" t="s">
        <v>2039</v>
      </c>
      <c r="O290" t="s">
        <v>31</v>
      </c>
      <c r="P290" t="s">
        <v>64</v>
      </c>
      <c r="Q290" t="s">
        <v>2040</v>
      </c>
      <c r="R290">
        <v>35.56</v>
      </c>
      <c r="S290">
        <v>7</v>
      </c>
      <c r="T290">
        <v>0</v>
      </c>
      <c r="U290">
        <v>12.090400000000001</v>
      </c>
      <c r="V290" t="str">
        <f t="shared" si="4"/>
        <v>Meg O'Connel</v>
      </c>
      <c r="W290">
        <f>Table2[Profit]/Table2[Sales]</f>
        <v>0.34</v>
      </c>
    </row>
    <row r="291" spans="1:23" x14ac:dyDescent="0.25">
      <c r="A291">
        <v>290</v>
      </c>
      <c r="B291" t="s">
        <v>2041</v>
      </c>
      <c r="C291" s="1">
        <v>42874</v>
      </c>
      <c r="D291" s="1">
        <v>42878</v>
      </c>
      <c r="E291" t="s">
        <v>49</v>
      </c>
      <c r="F291" t="s">
        <v>2042</v>
      </c>
      <c r="G291" t="s">
        <v>2043</v>
      </c>
      <c r="H291" t="s">
        <v>25</v>
      </c>
      <c r="I291" t="s">
        <v>26</v>
      </c>
      <c r="J291" t="s">
        <v>94</v>
      </c>
      <c r="K291" t="s">
        <v>95</v>
      </c>
      <c r="L291">
        <v>98115</v>
      </c>
      <c r="M291" t="s">
        <v>43</v>
      </c>
      <c r="N291" t="s">
        <v>2044</v>
      </c>
      <c r="O291" t="s">
        <v>45</v>
      </c>
      <c r="P291" t="s">
        <v>77</v>
      </c>
      <c r="Q291" t="s">
        <v>2045</v>
      </c>
      <c r="R291">
        <v>97.16</v>
      </c>
      <c r="S291">
        <v>2</v>
      </c>
      <c r="T291">
        <v>0</v>
      </c>
      <c r="U291">
        <v>28.176400000000001</v>
      </c>
      <c r="V291" t="str">
        <f t="shared" si="4"/>
        <v>Annie Thurman</v>
      </c>
      <c r="W291">
        <f>Table2[Profit]/Table2[Sales]</f>
        <v>0.29000000000000004</v>
      </c>
    </row>
    <row r="292" spans="1:23" x14ac:dyDescent="0.25">
      <c r="A292">
        <v>291</v>
      </c>
      <c r="B292" t="s">
        <v>2046</v>
      </c>
      <c r="C292" s="1">
        <v>43086</v>
      </c>
      <c r="D292" s="1">
        <v>43090</v>
      </c>
      <c r="E292" t="s">
        <v>49</v>
      </c>
      <c r="F292" t="s">
        <v>806</v>
      </c>
      <c r="G292" t="s">
        <v>807</v>
      </c>
      <c r="H292" t="s">
        <v>25</v>
      </c>
      <c r="I292" t="s">
        <v>26</v>
      </c>
      <c r="J292" t="s">
        <v>126</v>
      </c>
      <c r="K292" t="s">
        <v>42</v>
      </c>
      <c r="L292">
        <v>94122</v>
      </c>
      <c r="M292" t="s">
        <v>43</v>
      </c>
      <c r="N292" t="s">
        <v>2047</v>
      </c>
      <c r="O292" t="s">
        <v>45</v>
      </c>
      <c r="P292" t="s">
        <v>74</v>
      </c>
      <c r="Q292" t="s">
        <v>2048</v>
      </c>
      <c r="R292">
        <v>15.24</v>
      </c>
      <c r="S292">
        <v>5</v>
      </c>
      <c r="T292">
        <v>0.2</v>
      </c>
      <c r="U292">
        <v>5.1435000000000004</v>
      </c>
      <c r="V292" t="str">
        <f t="shared" si="4"/>
        <v>Logan Currie</v>
      </c>
      <c r="W292">
        <f>Table2[Profit]/Table2[Sales]</f>
        <v>0.33750000000000002</v>
      </c>
    </row>
    <row r="293" spans="1:23" x14ac:dyDescent="0.25">
      <c r="A293">
        <v>292</v>
      </c>
      <c r="B293" t="s">
        <v>2049</v>
      </c>
      <c r="C293" s="1">
        <v>42715</v>
      </c>
      <c r="D293" s="1">
        <v>42717</v>
      </c>
      <c r="E293" t="s">
        <v>22</v>
      </c>
      <c r="F293" t="s">
        <v>2050</v>
      </c>
      <c r="G293" t="s">
        <v>2051</v>
      </c>
      <c r="H293" t="s">
        <v>25</v>
      </c>
      <c r="I293" t="s">
        <v>26</v>
      </c>
      <c r="J293" t="s">
        <v>449</v>
      </c>
      <c r="K293" t="s">
        <v>450</v>
      </c>
      <c r="L293">
        <v>80013</v>
      </c>
      <c r="M293" t="s">
        <v>43</v>
      </c>
      <c r="N293" t="s">
        <v>2052</v>
      </c>
      <c r="O293" t="s">
        <v>45</v>
      </c>
      <c r="P293" t="s">
        <v>58</v>
      </c>
      <c r="Q293" t="s">
        <v>2053</v>
      </c>
      <c r="R293">
        <v>243.38399999999999</v>
      </c>
      <c r="S293">
        <v>3</v>
      </c>
      <c r="T293">
        <v>0.2</v>
      </c>
      <c r="U293">
        <v>-51.719099999999997</v>
      </c>
      <c r="V293" t="str">
        <f t="shared" si="4"/>
        <v>Fred McMath</v>
      </c>
      <c r="W293">
        <f>Table2[Profit]/Table2[Sales]</f>
        <v>-0.21249999999999999</v>
      </c>
    </row>
    <row r="294" spans="1:23" x14ac:dyDescent="0.25">
      <c r="A294">
        <v>293</v>
      </c>
      <c r="B294" t="s">
        <v>2058</v>
      </c>
      <c r="C294" s="1">
        <v>43002</v>
      </c>
      <c r="D294" s="1">
        <v>43004</v>
      </c>
      <c r="E294" t="s">
        <v>22</v>
      </c>
      <c r="F294" t="s">
        <v>1762</v>
      </c>
      <c r="G294" t="s">
        <v>1763</v>
      </c>
      <c r="H294" t="s">
        <v>25</v>
      </c>
      <c r="I294" t="s">
        <v>26</v>
      </c>
      <c r="J294" t="s">
        <v>1406</v>
      </c>
      <c r="K294" t="s">
        <v>53</v>
      </c>
      <c r="L294">
        <v>33180</v>
      </c>
      <c r="M294" t="s">
        <v>29</v>
      </c>
      <c r="N294" t="s">
        <v>2059</v>
      </c>
      <c r="O294" t="s">
        <v>70</v>
      </c>
      <c r="P294" t="s">
        <v>158</v>
      </c>
      <c r="Q294" t="s">
        <v>2060</v>
      </c>
      <c r="R294">
        <v>17.88</v>
      </c>
      <c r="S294">
        <v>3</v>
      </c>
      <c r="T294">
        <v>0.2</v>
      </c>
      <c r="U294">
        <v>2.4584999999999999</v>
      </c>
      <c r="V294" t="str">
        <f t="shared" si="4"/>
        <v>Brian Dahlen</v>
      </c>
      <c r="W294">
        <f>Table2[Profit]/Table2[Sales]</f>
        <v>0.13750000000000001</v>
      </c>
    </row>
    <row r="295" spans="1:23" x14ac:dyDescent="0.25">
      <c r="A295">
        <v>294</v>
      </c>
      <c r="B295" t="s">
        <v>2061</v>
      </c>
      <c r="C295" s="1">
        <v>42281</v>
      </c>
      <c r="D295" s="1">
        <v>42286</v>
      </c>
      <c r="E295" t="s">
        <v>22</v>
      </c>
      <c r="F295" t="s">
        <v>2062</v>
      </c>
      <c r="G295" t="s">
        <v>2063</v>
      </c>
      <c r="H295" t="s">
        <v>40</v>
      </c>
      <c r="I295" t="s">
        <v>26</v>
      </c>
      <c r="J295" t="s">
        <v>2064</v>
      </c>
      <c r="K295" t="s">
        <v>1260</v>
      </c>
      <c r="L295">
        <v>31088</v>
      </c>
      <c r="M295" t="s">
        <v>29</v>
      </c>
      <c r="N295" t="s">
        <v>2065</v>
      </c>
      <c r="O295" t="s">
        <v>31</v>
      </c>
      <c r="P295" t="s">
        <v>35</v>
      </c>
      <c r="Q295" t="s">
        <v>2066</v>
      </c>
      <c r="R295">
        <v>392.94</v>
      </c>
      <c r="S295">
        <v>3</v>
      </c>
      <c r="T295">
        <v>0</v>
      </c>
      <c r="U295">
        <v>43.223399999999998</v>
      </c>
      <c r="V295" t="str">
        <f t="shared" si="4"/>
        <v>Denny Joy</v>
      </c>
      <c r="W295">
        <f>Table2[Profit]/Table2[Sales]</f>
        <v>0.11</v>
      </c>
    </row>
    <row r="296" spans="1:23" x14ac:dyDescent="0.25">
      <c r="A296">
        <v>295</v>
      </c>
      <c r="B296" t="s">
        <v>2067</v>
      </c>
      <c r="C296" s="1">
        <v>42597</v>
      </c>
      <c r="D296" s="1">
        <v>42603</v>
      </c>
      <c r="E296" t="s">
        <v>49</v>
      </c>
      <c r="F296" t="s">
        <v>2068</v>
      </c>
      <c r="G296" t="s">
        <v>2069</v>
      </c>
      <c r="H296" t="s">
        <v>25</v>
      </c>
      <c r="I296" t="s">
        <v>26</v>
      </c>
      <c r="J296" t="s">
        <v>449</v>
      </c>
      <c r="K296" t="s">
        <v>450</v>
      </c>
      <c r="L296">
        <v>80013</v>
      </c>
      <c r="M296" t="s">
        <v>43</v>
      </c>
      <c r="N296" t="s">
        <v>2070</v>
      </c>
      <c r="O296" t="s">
        <v>45</v>
      </c>
      <c r="P296" t="s">
        <v>74</v>
      </c>
      <c r="Q296" t="s">
        <v>2071</v>
      </c>
      <c r="R296">
        <v>18.882000000000001</v>
      </c>
      <c r="S296">
        <v>3</v>
      </c>
      <c r="T296">
        <v>0.7</v>
      </c>
      <c r="U296">
        <v>-13.8468</v>
      </c>
      <c r="V296" t="str">
        <f t="shared" si="4"/>
        <v>Max Engle</v>
      </c>
      <c r="W296">
        <f>Table2[Profit]/Table2[Sales]</f>
        <v>-0.73333333333333328</v>
      </c>
    </row>
    <row r="297" spans="1:23" x14ac:dyDescent="0.25">
      <c r="A297">
        <v>296</v>
      </c>
      <c r="B297" t="s">
        <v>2074</v>
      </c>
      <c r="C297" s="1">
        <v>42510</v>
      </c>
      <c r="D297" s="1">
        <v>42515</v>
      </c>
      <c r="E297" t="s">
        <v>49</v>
      </c>
      <c r="F297" t="s">
        <v>433</v>
      </c>
      <c r="G297" t="s">
        <v>434</v>
      </c>
      <c r="H297" t="s">
        <v>101</v>
      </c>
      <c r="I297" t="s">
        <v>26</v>
      </c>
      <c r="J297" t="s">
        <v>2075</v>
      </c>
      <c r="K297" t="s">
        <v>42</v>
      </c>
      <c r="L297">
        <v>94591</v>
      </c>
      <c r="M297" t="s">
        <v>43</v>
      </c>
      <c r="N297" t="s">
        <v>913</v>
      </c>
      <c r="O297" t="s">
        <v>31</v>
      </c>
      <c r="P297" t="s">
        <v>64</v>
      </c>
      <c r="Q297" t="s">
        <v>914</v>
      </c>
      <c r="R297">
        <v>1049.2</v>
      </c>
      <c r="S297">
        <v>5</v>
      </c>
      <c r="T297">
        <v>0</v>
      </c>
      <c r="U297">
        <v>272.79199999999997</v>
      </c>
      <c r="V297" t="str">
        <f t="shared" si="4"/>
        <v>Rick Bensley</v>
      </c>
      <c r="W297">
        <f>Table2[Profit]/Table2[Sales]</f>
        <v>0.25999999999999995</v>
      </c>
    </row>
    <row r="298" spans="1:23" x14ac:dyDescent="0.25">
      <c r="A298">
        <v>297</v>
      </c>
      <c r="B298" t="s">
        <v>2078</v>
      </c>
      <c r="C298" s="1">
        <v>42722</v>
      </c>
      <c r="D298" s="1">
        <v>42726</v>
      </c>
      <c r="E298" t="s">
        <v>49</v>
      </c>
      <c r="F298" t="s">
        <v>2079</v>
      </c>
      <c r="G298" t="s">
        <v>2080</v>
      </c>
      <c r="H298" t="s">
        <v>40</v>
      </c>
      <c r="I298" t="s">
        <v>26</v>
      </c>
      <c r="J298" t="s">
        <v>402</v>
      </c>
      <c r="K298" t="s">
        <v>226</v>
      </c>
      <c r="L298">
        <v>55407</v>
      </c>
      <c r="M298" t="s">
        <v>104</v>
      </c>
      <c r="N298" t="s">
        <v>2081</v>
      </c>
      <c r="O298" t="s">
        <v>31</v>
      </c>
      <c r="P298" t="s">
        <v>64</v>
      </c>
      <c r="Q298" t="s">
        <v>2082</v>
      </c>
      <c r="R298">
        <v>18.84</v>
      </c>
      <c r="S298">
        <v>3</v>
      </c>
      <c r="T298">
        <v>0</v>
      </c>
      <c r="U298">
        <v>6.0288000000000004</v>
      </c>
      <c r="V298" t="str">
        <f t="shared" si="4"/>
        <v>Justin Deggeller</v>
      </c>
      <c r="W298">
        <f>Table2[Profit]/Table2[Sales]</f>
        <v>0.32</v>
      </c>
    </row>
    <row r="299" spans="1:23" x14ac:dyDescent="0.25">
      <c r="A299">
        <v>298</v>
      </c>
      <c r="B299" t="s">
        <v>2083</v>
      </c>
      <c r="C299" s="1">
        <v>42946</v>
      </c>
      <c r="D299" s="1">
        <v>42950</v>
      </c>
      <c r="E299" t="s">
        <v>22</v>
      </c>
      <c r="F299" t="s">
        <v>2084</v>
      </c>
      <c r="G299" t="s">
        <v>2085</v>
      </c>
      <c r="H299" t="s">
        <v>25</v>
      </c>
      <c r="I299" t="s">
        <v>26</v>
      </c>
      <c r="J299" t="s">
        <v>2086</v>
      </c>
      <c r="K299" t="s">
        <v>42</v>
      </c>
      <c r="L299">
        <v>92691</v>
      </c>
      <c r="M299" t="s">
        <v>43</v>
      </c>
      <c r="N299" t="s">
        <v>2087</v>
      </c>
      <c r="O299" t="s">
        <v>45</v>
      </c>
      <c r="P299" t="s">
        <v>58</v>
      </c>
      <c r="Q299" t="s">
        <v>2088</v>
      </c>
      <c r="R299">
        <v>330.4</v>
      </c>
      <c r="S299">
        <v>2</v>
      </c>
      <c r="T299">
        <v>0</v>
      </c>
      <c r="U299">
        <v>85.903999999999996</v>
      </c>
      <c r="V299" t="str">
        <f t="shared" si="4"/>
        <v>John Lee</v>
      </c>
      <c r="W299">
        <f>Table2[Profit]/Table2[Sales]</f>
        <v>0.26</v>
      </c>
    </row>
    <row r="300" spans="1:23" x14ac:dyDescent="0.25">
      <c r="A300">
        <v>299</v>
      </c>
      <c r="B300" t="s">
        <v>2091</v>
      </c>
      <c r="C300" s="1">
        <v>42896</v>
      </c>
      <c r="D300" s="1">
        <v>42901</v>
      </c>
      <c r="E300" t="s">
        <v>49</v>
      </c>
      <c r="F300" t="s">
        <v>2092</v>
      </c>
      <c r="G300" t="s">
        <v>2093</v>
      </c>
      <c r="H300" t="s">
        <v>25</v>
      </c>
      <c r="I300" t="s">
        <v>26</v>
      </c>
      <c r="J300" t="s">
        <v>2094</v>
      </c>
      <c r="K300" t="s">
        <v>235</v>
      </c>
      <c r="L300">
        <v>48307</v>
      </c>
      <c r="M300" t="s">
        <v>104</v>
      </c>
      <c r="N300" t="s">
        <v>900</v>
      </c>
      <c r="O300" t="s">
        <v>70</v>
      </c>
      <c r="P300" t="s">
        <v>158</v>
      </c>
      <c r="Q300" t="s">
        <v>1760</v>
      </c>
      <c r="R300">
        <v>132.52000000000001</v>
      </c>
      <c r="S300">
        <v>4</v>
      </c>
      <c r="T300">
        <v>0</v>
      </c>
      <c r="U300">
        <v>54.333199999999998</v>
      </c>
      <c r="V300" t="str">
        <f t="shared" si="4"/>
        <v>Sean Christensen</v>
      </c>
      <c r="W300">
        <f>Table2[Profit]/Table2[Sales]</f>
        <v>0.41</v>
      </c>
    </row>
    <row r="301" spans="1:23" x14ac:dyDescent="0.25">
      <c r="A301">
        <v>300</v>
      </c>
      <c r="B301" t="s">
        <v>2095</v>
      </c>
      <c r="C301" s="1">
        <v>42937</v>
      </c>
      <c r="D301" s="1">
        <v>42941</v>
      </c>
      <c r="E301" t="s">
        <v>49</v>
      </c>
      <c r="F301" t="s">
        <v>614</v>
      </c>
      <c r="G301" t="s">
        <v>615</v>
      </c>
      <c r="H301" t="s">
        <v>101</v>
      </c>
      <c r="I301" t="s">
        <v>26</v>
      </c>
      <c r="J301" t="s">
        <v>2096</v>
      </c>
      <c r="K301" t="s">
        <v>781</v>
      </c>
      <c r="L301">
        <v>7060</v>
      </c>
      <c r="M301" t="s">
        <v>145</v>
      </c>
      <c r="N301" t="s">
        <v>2097</v>
      </c>
      <c r="O301" t="s">
        <v>45</v>
      </c>
      <c r="P301" t="s">
        <v>89</v>
      </c>
      <c r="Q301" t="s">
        <v>2098</v>
      </c>
      <c r="R301">
        <v>6.48</v>
      </c>
      <c r="S301">
        <v>1</v>
      </c>
      <c r="T301">
        <v>0</v>
      </c>
      <c r="U301">
        <v>3.1751999999999998</v>
      </c>
      <c r="V301" t="str">
        <f t="shared" si="4"/>
        <v>Tamara Willingham</v>
      </c>
      <c r="W301">
        <f>Table2[Profit]/Table2[Sales]</f>
        <v>0.48999999999999994</v>
      </c>
    </row>
    <row r="302" spans="1:23" x14ac:dyDescent="0.25">
      <c r="A302">
        <v>301</v>
      </c>
      <c r="B302" t="s">
        <v>2099</v>
      </c>
      <c r="C302" s="1">
        <v>43099</v>
      </c>
      <c r="D302" s="1">
        <v>43105</v>
      </c>
      <c r="E302" t="s">
        <v>49</v>
      </c>
      <c r="F302" t="s">
        <v>2100</v>
      </c>
      <c r="G302" t="s">
        <v>2101</v>
      </c>
      <c r="H302" t="s">
        <v>101</v>
      </c>
      <c r="I302" t="s">
        <v>26</v>
      </c>
      <c r="J302" t="s">
        <v>490</v>
      </c>
      <c r="K302" t="s">
        <v>251</v>
      </c>
      <c r="L302">
        <v>47201</v>
      </c>
      <c r="M302" t="s">
        <v>104</v>
      </c>
      <c r="N302" t="s">
        <v>2102</v>
      </c>
      <c r="O302" t="s">
        <v>45</v>
      </c>
      <c r="P302" t="s">
        <v>77</v>
      </c>
      <c r="Q302" t="s">
        <v>2103</v>
      </c>
      <c r="R302">
        <v>209.3</v>
      </c>
      <c r="S302">
        <v>2</v>
      </c>
      <c r="T302">
        <v>0</v>
      </c>
      <c r="U302">
        <v>56.511000000000003</v>
      </c>
      <c r="V302" t="str">
        <f t="shared" si="4"/>
        <v>Chuck Clark</v>
      </c>
      <c r="W302">
        <f>Table2[Profit]/Table2[Sales]</f>
        <v>0.27</v>
      </c>
    </row>
    <row r="303" spans="1:23" x14ac:dyDescent="0.25">
      <c r="A303">
        <v>302</v>
      </c>
      <c r="B303" t="s">
        <v>2104</v>
      </c>
      <c r="C303" s="1">
        <v>42461</v>
      </c>
      <c r="D303" s="1">
        <v>42468</v>
      </c>
      <c r="E303" t="s">
        <v>49</v>
      </c>
      <c r="F303" t="s">
        <v>1017</v>
      </c>
      <c r="G303" t="s">
        <v>1018</v>
      </c>
      <c r="H303" t="s">
        <v>40</v>
      </c>
      <c r="I303" t="s">
        <v>26</v>
      </c>
      <c r="J303" t="s">
        <v>2105</v>
      </c>
      <c r="K303" t="s">
        <v>303</v>
      </c>
      <c r="L303">
        <v>85635</v>
      </c>
      <c r="M303" t="s">
        <v>43</v>
      </c>
      <c r="N303" t="s">
        <v>2106</v>
      </c>
      <c r="O303" t="s">
        <v>45</v>
      </c>
      <c r="P303" t="s">
        <v>266</v>
      </c>
      <c r="Q303" t="s">
        <v>556</v>
      </c>
      <c r="R303">
        <v>31.56</v>
      </c>
      <c r="S303">
        <v>5</v>
      </c>
      <c r="T303">
        <v>0.2</v>
      </c>
      <c r="U303">
        <v>9.8625000000000007</v>
      </c>
      <c r="V303" t="str">
        <f t="shared" si="4"/>
        <v>Barry Blumstein</v>
      </c>
      <c r="W303">
        <f>Table2[Profit]/Table2[Sales]</f>
        <v>0.31250000000000006</v>
      </c>
    </row>
    <row r="304" spans="1:23" x14ac:dyDescent="0.25">
      <c r="A304">
        <v>303</v>
      </c>
      <c r="B304" t="s">
        <v>2109</v>
      </c>
      <c r="C304" s="1">
        <v>42715</v>
      </c>
      <c r="D304" s="1">
        <v>42720</v>
      </c>
      <c r="E304" t="s">
        <v>22</v>
      </c>
      <c r="F304" t="s">
        <v>2110</v>
      </c>
      <c r="G304" t="s">
        <v>2111</v>
      </c>
      <c r="H304" t="s">
        <v>40</v>
      </c>
      <c r="I304" t="s">
        <v>26</v>
      </c>
      <c r="J304" t="s">
        <v>2112</v>
      </c>
      <c r="K304" t="s">
        <v>95</v>
      </c>
      <c r="L304">
        <v>98661</v>
      </c>
      <c r="M304" t="s">
        <v>43</v>
      </c>
      <c r="N304" t="s">
        <v>1351</v>
      </c>
      <c r="O304" t="s">
        <v>31</v>
      </c>
      <c r="P304" t="s">
        <v>64</v>
      </c>
      <c r="Q304" t="s">
        <v>1352</v>
      </c>
      <c r="R304">
        <v>14.8</v>
      </c>
      <c r="S304">
        <v>4</v>
      </c>
      <c r="T304">
        <v>0</v>
      </c>
      <c r="U304">
        <v>6.0679999999999996</v>
      </c>
      <c r="V304" t="str">
        <f t="shared" si="4"/>
        <v>Anthony Rawles</v>
      </c>
      <c r="W304">
        <f>Table2[Profit]/Table2[Sales]</f>
        <v>0.41</v>
      </c>
    </row>
    <row r="305" spans="1:23" x14ac:dyDescent="0.25">
      <c r="A305">
        <v>304</v>
      </c>
      <c r="B305" t="s">
        <v>2115</v>
      </c>
      <c r="C305" s="1">
        <v>42666</v>
      </c>
      <c r="D305" s="1">
        <v>42672</v>
      </c>
      <c r="E305" t="s">
        <v>49</v>
      </c>
      <c r="F305" t="s">
        <v>2116</v>
      </c>
      <c r="G305" t="s">
        <v>2117</v>
      </c>
      <c r="H305" t="s">
        <v>101</v>
      </c>
      <c r="I305" t="s">
        <v>26</v>
      </c>
      <c r="J305" t="s">
        <v>263</v>
      </c>
      <c r="K305" t="s">
        <v>264</v>
      </c>
      <c r="L305">
        <v>10024</v>
      </c>
      <c r="M305" t="s">
        <v>145</v>
      </c>
      <c r="N305" t="s">
        <v>313</v>
      </c>
      <c r="O305" t="s">
        <v>45</v>
      </c>
      <c r="P305" t="s">
        <v>89</v>
      </c>
      <c r="Q305" t="s">
        <v>314</v>
      </c>
      <c r="R305">
        <v>379.4</v>
      </c>
      <c r="S305">
        <v>10</v>
      </c>
      <c r="T305">
        <v>0</v>
      </c>
      <c r="U305">
        <v>178.31800000000001</v>
      </c>
      <c r="V305" t="str">
        <f t="shared" si="4"/>
        <v>Steven Roelle</v>
      </c>
      <c r="W305">
        <f>Table2[Profit]/Table2[Sales]</f>
        <v>0.47000000000000008</v>
      </c>
    </row>
    <row r="306" spans="1:23" x14ac:dyDescent="0.25">
      <c r="A306">
        <v>305</v>
      </c>
      <c r="B306" t="s">
        <v>2118</v>
      </c>
      <c r="C306" s="1">
        <v>42905</v>
      </c>
      <c r="D306" s="1">
        <v>42909</v>
      </c>
      <c r="E306" t="s">
        <v>49</v>
      </c>
      <c r="F306" t="s">
        <v>1313</v>
      </c>
      <c r="G306" t="s">
        <v>1314</v>
      </c>
      <c r="H306" t="s">
        <v>40</v>
      </c>
      <c r="I306" t="s">
        <v>26</v>
      </c>
      <c r="J306" t="s">
        <v>263</v>
      </c>
      <c r="K306" t="s">
        <v>264</v>
      </c>
      <c r="L306">
        <v>10035</v>
      </c>
      <c r="M306" t="s">
        <v>145</v>
      </c>
      <c r="N306" t="s">
        <v>289</v>
      </c>
      <c r="O306" t="s">
        <v>45</v>
      </c>
      <c r="P306" t="s">
        <v>89</v>
      </c>
      <c r="Q306" t="s">
        <v>290</v>
      </c>
      <c r="R306">
        <v>97.82</v>
      </c>
      <c r="S306">
        <v>2</v>
      </c>
      <c r="T306">
        <v>0</v>
      </c>
      <c r="U306">
        <v>45.9754</v>
      </c>
      <c r="V306" t="str">
        <f t="shared" si="4"/>
        <v>Allen Rosenblatt</v>
      </c>
      <c r="W306">
        <f>Table2[Profit]/Table2[Sales]</f>
        <v>0.47000000000000003</v>
      </c>
    </row>
    <row r="307" spans="1:23" x14ac:dyDescent="0.25">
      <c r="A307">
        <v>306</v>
      </c>
      <c r="B307" t="s">
        <v>2119</v>
      </c>
      <c r="C307" s="1">
        <v>42604</v>
      </c>
      <c r="D307" s="1">
        <v>42610</v>
      </c>
      <c r="E307" t="s">
        <v>49</v>
      </c>
      <c r="F307" t="s">
        <v>2120</v>
      </c>
      <c r="G307" t="s">
        <v>2121</v>
      </c>
      <c r="H307" t="s">
        <v>25</v>
      </c>
      <c r="I307" t="s">
        <v>26</v>
      </c>
      <c r="J307" t="s">
        <v>490</v>
      </c>
      <c r="K307" t="s">
        <v>491</v>
      </c>
      <c r="L307">
        <v>43229</v>
      </c>
      <c r="M307" t="s">
        <v>145</v>
      </c>
      <c r="N307" t="s">
        <v>2122</v>
      </c>
      <c r="O307" t="s">
        <v>45</v>
      </c>
      <c r="P307" t="s">
        <v>77</v>
      </c>
      <c r="Q307" t="s">
        <v>2123</v>
      </c>
      <c r="R307">
        <v>113.55200000000001</v>
      </c>
      <c r="S307">
        <v>2</v>
      </c>
      <c r="T307">
        <v>0.2</v>
      </c>
      <c r="U307">
        <v>8.5164000000000009</v>
      </c>
      <c r="V307" t="str">
        <f t="shared" si="4"/>
        <v>Craig Reiter</v>
      </c>
      <c r="W307">
        <f>Table2[Profit]/Table2[Sales]</f>
        <v>7.4999999999999997E-2</v>
      </c>
    </row>
    <row r="308" spans="1:23" x14ac:dyDescent="0.25">
      <c r="A308">
        <v>307</v>
      </c>
      <c r="B308" t="s">
        <v>2128</v>
      </c>
      <c r="C308" s="1">
        <v>42632</v>
      </c>
      <c r="D308" s="1">
        <v>42632</v>
      </c>
      <c r="E308" t="s">
        <v>1278</v>
      </c>
      <c r="F308" t="s">
        <v>2129</v>
      </c>
      <c r="G308" t="s">
        <v>2130</v>
      </c>
      <c r="H308" t="s">
        <v>101</v>
      </c>
      <c r="I308" t="s">
        <v>26</v>
      </c>
      <c r="J308" t="s">
        <v>449</v>
      </c>
      <c r="K308" t="s">
        <v>208</v>
      </c>
      <c r="L308">
        <v>60505</v>
      </c>
      <c r="M308" t="s">
        <v>104</v>
      </c>
      <c r="N308" t="s">
        <v>1702</v>
      </c>
      <c r="O308" t="s">
        <v>31</v>
      </c>
      <c r="P308" t="s">
        <v>35</v>
      </c>
      <c r="Q308" t="s">
        <v>1703</v>
      </c>
      <c r="R308">
        <v>701.37199999999996</v>
      </c>
      <c r="S308">
        <v>2</v>
      </c>
      <c r="T308">
        <v>0.3</v>
      </c>
      <c r="U308">
        <v>-50.097999999999999</v>
      </c>
      <c r="V308" t="str">
        <f t="shared" si="4"/>
        <v>Eugene Hildebrand</v>
      </c>
      <c r="W308">
        <f>Table2[Profit]/Table2[Sales]</f>
        <v>-7.1428571428571425E-2</v>
      </c>
    </row>
    <row r="309" spans="1:23" x14ac:dyDescent="0.25">
      <c r="A309">
        <v>308</v>
      </c>
      <c r="B309" t="s">
        <v>2131</v>
      </c>
      <c r="C309" s="1">
        <v>42240</v>
      </c>
      <c r="D309" s="1">
        <v>42244</v>
      </c>
      <c r="E309" t="s">
        <v>49</v>
      </c>
      <c r="F309" t="s">
        <v>770</v>
      </c>
      <c r="G309" t="s">
        <v>771</v>
      </c>
      <c r="H309" t="s">
        <v>25</v>
      </c>
      <c r="I309" t="s">
        <v>26</v>
      </c>
      <c r="J309" t="s">
        <v>1119</v>
      </c>
      <c r="K309" t="s">
        <v>103</v>
      </c>
      <c r="L309">
        <v>76017</v>
      </c>
      <c r="M309" t="s">
        <v>104</v>
      </c>
      <c r="N309" t="s">
        <v>1981</v>
      </c>
      <c r="O309" t="s">
        <v>45</v>
      </c>
      <c r="P309" t="s">
        <v>58</v>
      </c>
      <c r="Q309" t="s">
        <v>1982</v>
      </c>
      <c r="R309">
        <v>999.43200000000002</v>
      </c>
      <c r="S309">
        <v>7</v>
      </c>
      <c r="T309">
        <v>0.2</v>
      </c>
      <c r="U309">
        <v>124.929</v>
      </c>
      <c r="V309" t="str">
        <f t="shared" si="4"/>
        <v>Cassandra Brandow</v>
      </c>
      <c r="W309">
        <f>Table2[Profit]/Table2[Sales]</f>
        <v>0.125</v>
      </c>
    </row>
    <row r="310" spans="1:23" x14ac:dyDescent="0.25">
      <c r="A310">
        <v>309</v>
      </c>
      <c r="B310" t="s">
        <v>2134</v>
      </c>
      <c r="C310" s="1">
        <v>42455</v>
      </c>
      <c r="D310" s="1">
        <v>42459</v>
      </c>
      <c r="E310" t="s">
        <v>49</v>
      </c>
      <c r="F310" t="s">
        <v>2135</v>
      </c>
      <c r="G310" t="s">
        <v>2136</v>
      </c>
      <c r="H310" t="s">
        <v>40</v>
      </c>
      <c r="I310" t="s">
        <v>26</v>
      </c>
      <c r="J310" t="s">
        <v>263</v>
      </c>
      <c r="K310" t="s">
        <v>264</v>
      </c>
      <c r="L310">
        <v>10011</v>
      </c>
      <c r="M310" t="s">
        <v>145</v>
      </c>
      <c r="N310" t="s">
        <v>832</v>
      </c>
      <c r="O310" t="s">
        <v>45</v>
      </c>
      <c r="P310" t="s">
        <v>58</v>
      </c>
      <c r="Q310" t="s">
        <v>833</v>
      </c>
      <c r="R310">
        <v>459.95</v>
      </c>
      <c r="S310">
        <v>5</v>
      </c>
      <c r="T310">
        <v>0</v>
      </c>
      <c r="U310">
        <v>18.398</v>
      </c>
      <c r="V310" t="str">
        <f t="shared" si="4"/>
        <v>Sibella Parks</v>
      </c>
      <c r="W310">
        <f>Table2[Profit]/Table2[Sales]</f>
        <v>0.04</v>
      </c>
    </row>
    <row r="311" spans="1:23" x14ac:dyDescent="0.25">
      <c r="A311">
        <v>310</v>
      </c>
      <c r="B311" t="s">
        <v>2137</v>
      </c>
      <c r="C311" s="1">
        <v>42678</v>
      </c>
      <c r="D311" s="1">
        <v>42678</v>
      </c>
      <c r="E311" t="s">
        <v>1278</v>
      </c>
      <c r="F311" t="s">
        <v>976</v>
      </c>
      <c r="G311" t="s">
        <v>977</v>
      </c>
      <c r="H311" t="s">
        <v>25</v>
      </c>
      <c r="I311" t="s">
        <v>26</v>
      </c>
      <c r="J311" t="s">
        <v>1459</v>
      </c>
      <c r="K311" t="s">
        <v>28</v>
      </c>
      <c r="L311">
        <v>40214</v>
      </c>
      <c r="M311" t="s">
        <v>29</v>
      </c>
      <c r="N311" t="s">
        <v>492</v>
      </c>
      <c r="O311" t="s">
        <v>45</v>
      </c>
      <c r="P311" t="s">
        <v>266</v>
      </c>
      <c r="Q311" t="s">
        <v>493</v>
      </c>
      <c r="R311">
        <v>10.74</v>
      </c>
      <c r="S311">
        <v>3</v>
      </c>
      <c r="T311">
        <v>0</v>
      </c>
      <c r="U311">
        <v>5.2625999999999999</v>
      </c>
      <c r="V311" t="str">
        <f t="shared" si="4"/>
        <v>Roy Collins</v>
      </c>
      <c r="W311">
        <f>Table2[Profit]/Table2[Sales]</f>
        <v>0.49</v>
      </c>
    </row>
    <row r="312" spans="1:23" x14ac:dyDescent="0.25">
      <c r="A312">
        <v>311</v>
      </c>
      <c r="B312" t="s">
        <v>2138</v>
      </c>
      <c r="C312" s="1">
        <v>42894</v>
      </c>
      <c r="D312" s="1">
        <v>42896</v>
      </c>
      <c r="E312" t="s">
        <v>22</v>
      </c>
      <c r="F312" t="s">
        <v>2139</v>
      </c>
      <c r="G312" t="s">
        <v>2140</v>
      </c>
      <c r="H312" t="s">
        <v>40</v>
      </c>
      <c r="I312" t="s">
        <v>26</v>
      </c>
      <c r="J312" t="s">
        <v>808</v>
      </c>
      <c r="K312" t="s">
        <v>103</v>
      </c>
      <c r="L312">
        <v>75081</v>
      </c>
      <c r="M312" t="s">
        <v>104</v>
      </c>
      <c r="N312" t="s">
        <v>2141</v>
      </c>
      <c r="O312" t="s">
        <v>45</v>
      </c>
      <c r="P312" t="s">
        <v>572</v>
      </c>
      <c r="Q312" t="s">
        <v>2142</v>
      </c>
      <c r="R312">
        <v>23.76</v>
      </c>
      <c r="S312">
        <v>3</v>
      </c>
      <c r="T312">
        <v>0.2</v>
      </c>
      <c r="U312">
        <v>2.0790000000000002</v>
      </c>
      <c r="V312" t="str">
        <f t="shared" si="4"/>
        <v>Tiffany House</v>
      </c>
      <c r="W312">
        <f>Table2[Profit]/Table2[Sales]</f>
        <v>8.7500000000000008E-2</v>
      </c>
    </row>
    <row r="313" spans="1:23" x14ac:dyDescent="0.25">
      <c r="A313">
        <v>312</v>
      </c>
      <c r="B313" t="s">
        <v>2145</v>
      </c>
      <c r="C313" s="1">
        <v>41997</v>
      </c>
      <c r="D313" s="1">
        <v>41999</v>
      </c>
      <c r="E313" t="s">
        <v>185</v>
      </c>
      <c r="F313" t="s">
        <v>2146</v>
      </c>
      <c r="G313" t="s">
        <v>2147</v>
      </c>
      <c r="H313" t="s">
        <v>25</v>
      </c>
      <c r="I313" t="s">
        <v>26</v>
      </c>
      <c r="J313" t="s">
        <v>2148</v>
      </c>
      <c r="K313" t="s">
        <v>491</v>
      </c>
      <c r="L313">
        <v>44105</v>
      </c>
      <c r="M313" t="s">
        <v>145</v>
      </c>
      <c r="N313" t="s">
        <v>2149</v>
      </c>
      <c r="O313" t="s">
        <v>31</v>
      </c>
      <c r="P313" t="s">
        <v>64</v>
      </c>
      <c r="Q313" t="s">
        <v>2150</v>
      </c>
      <c r="R313">
        <v>30.36</v>
      </c>
      <c r="S313">
        <v>5</v>
      </c>
      <c r="T313">
        <v>0.2</v>
      </c>
      <c r="U313">
        <v>8.7285000000000004</v>
      </c>
      <c r="V313" t="str">
        <f t="shared" si="4"/>
        <v>Resi Pölking</v>
      </c>
      <c r="W313">
        <f>Table2[Profit]/Table2[Sales]</f>
        <v>0.28750000000000003</v>
      </c>
    </row>
    <row r="314" spans="1:23" x14ac:dyDescent="0.25">
      <c r="A314">
        <v>313</v>
      </c>
      <c r="B314" t="s">
        <v>2151</v>
      </c>
      <c r="C314" s="1">
        <v>42895</v>
      </c>
      <c r="D314" s="1">
        <v>42899</v>
      </c>
      <c r="E314" t="s">
        <v>49</v>
      </c>
      <c r="F314" t="s">
        <v>2037</v>
      </c>
      <c r="G314" t="s">
        <v>2038</v>
      </c>
      <c r="H314" t="s">
        <v>101</v>
      </c>
      <c r="I314" t="s">
        <v>26</v>
      </c>
      <c r="J314" t="s">
        <v>296</v>
      </c>
      <c r="K314" t="s">
        <v>208</v>
      </c>
      <c r="L314">
        <v>60653</v>
      </c>
      <c r="M314" t="s">
        <v>104</v>
      </c>
      <c r="N314" t="s">
        <v>2152</v>
      </c>
      <c r="O314" t="s">
        <v>31</v>
      </c>
      <c r="P314" t="s">
        <v>64</v>
      </c>
      <c r="Q314" t="s">
        <v>2153</v>
      </c>
      <c r="R314">
        <v>23.975999999999999</v>
      </c>
      <c r="S314">
        <v>3</v>
      </c>
      <c r="T314">
        <v>0.6</v>
      </c>
      <c r="U314">
        <v>-14.3856</v>
      </c>
      <c r="V314" t="str">
        <f t="shared" si="4"/>
        <v>Meg O'Connel</v>
      </c>
      <c r="W314">
        <f>Table2[Profit]/Table2[Sales]</f>
        <v>-0.6</v>
      </c>
    </row>
    <row r="315" spans="1:23" x14ac:dyDescent="0.25">
      <c r="A315">
        <v>314</v>
      </c>
      <c r="B315" t="s">
        <v>2157</v>
      </c>
      <c r="C315" s="1">
        <v>42901</v>
      </c>
      <c r="D315" s="1">
        <v>42908</v>
      </c>
      <c r="E315" t="s">
        <v>49</v>
      </c>
      <c r="F315" t="s">
        <v>1230</v>
      </c>
      <c r="G315" t="s">
        <v>1231</v>
      </c>
      <c r="H315" t="s">
        <v>25</v>
      </c>
      <c r="I315" t="s">
        <v>26</v>
      </c>
      <c r="J315" t="s">
        <v>1309</v>
      </c>
      <c r="K315" t="s">
        <v>208</v>
      </c>
      <c r="L315">
        <v>62301</v>
      </c>
      <c r="M315" t="s">
        <v>104</v>
      </c>
      <c r="N315" t="s">
        <v>2158</v>
      </c>
      <c r="O315" t="s">
        <v>45</v>
      </c>
      <c r="P315" t="s">
        <v>67</v>
      </c>
      <c r="Q315" t="s">
        <v>2159</v>
      </c>
      <c r="R315">
        <v>19.559999999999999</v>
      </c>
      <c r="S315">
        <v>5</v>
      </c>
      <c r="T315">
        <v>0.2</v>
      </c>
      <c r="U315">
        <v>1.7115</v>
      </c>
      <c r="V315" t="str">
        <f t="shared" si="4"/>
        <v>Tamara Dahlen</v>
      </c>
      <c r="W315">
        <f>Table2[Profit]/Table2[Sales]</f>
        <v>8.7500000000000008E-2</v>
      </c>
    </row>
    <row r="316" spans="1:23" x14ac:dyDescent="0.25">
      <c r="A316">
        <v>315</v>
      </c>
      <c r="B316" t="s">
        <v>2160</v>
      </c>
      <c r="C316" s="1">
        <v>43074</v>
      </c>
      <c r="D316" s="1">
        <v>43077</v>
      </c>
      <c r="E316" t="s">
        <v>185</v>
      </c>
      <c r="F316" t="s">
        <v>2161</v>
      </c>
      <c r="G316" t="s">
        <v>2162</v>
      </c>
      <c r="H316" t="s">
        <v>25</v>
      </c>
      <c r="I316" t="s">
        <v>26</v>
      </c>
      <c r="J316" t="s">
        <v>490</v>
      </c>
      <c r="K316" t="s">
        <v>251</v>
      </c>
      <c r="L316">
        <v>47201</v>
      </c>
      <c r="M316" t="s">
        <v>104</v>
      </c>
      <c r="N316" t="s">
        <v>2163</v>
      </c>
      <c r="O316" t="s">
        <v>45</v>
      </c>
      <c r="P316" t="s">
        <v>77</v>
      </c>
      <c r="Q316" t="s">
        <v>2164</v>
      </c>
      <c r="R316">
        <v>61.44</v>
      </c>
      <c r="S316">
        <v>3</v>
      </c>
      <c r="T316">
        <v>0</v>
      </c>
      <c r="U316">
        <v>16.588799999999999</v>
      </c>
      <c r="V316" t="str">
        <f t="shared" si="4"/>
        <v>Rob Beeghly</v>
      </c>
      <c r="W316">
        <f>Table2[Profit]/Table2[Sales]</f>
        <v>0.27</v>
      </c>
    </row>
    <row r="317" spans="1:23" x14ac:dyDescent="0.25">
      <c r="A317">
        <v>316</v>
      </c>
      <c r="B317" t="s">
        <v>2167</v>
      </c>
      <c r="C317" s="1">
        <v>42812</v>
      </c>
      <c r="D317" s="1">
        <v>42817</v>
      </c>
      <c r="E317" t="s">
        <v>49</v>
      </c>
      <c r="F317" t="s">
        <v>2168</v>
      </c>
      <c r="G317" t="s">
        <v>2169</v>
      </c>
      <c r="H317" t="s">
        <v>25</v>
      </c>
      <c r="I317" t="s">
        <v>26</v>
      </c>
      <c r="J317" t="s">
        <v>2170</v>
      </c>
      <c r="K317" t="s">
        <v>103</v>
      </c>
      <c r="L317">
        <v>75701</v>
      </c>
      <c r="M317" t="s">
        <v>104</v>
      </c>
      <c r="N317" t="s">
        <v>2171</v>
      </c>
      <c r="O317" t="s">
        <v>45</v>
      </c>
      <c r="P317" t="s">
        <v>77</v>
      </c>
      <c r="Q317" t="s">
        <v>2172</v>
      </c>
      <c r="R317">
        <v>2.6880000000000002</v>
      </c>
      <c r="S317">
        <v>3</v>
      </c>
      <c r="T317">
        <v>0.8</v>
      </c>
      <c r="U317">
        <v>-7.3920000000000003</v>
      </c>
      <c r="V317" t="str">
        <f t="shared" si="4"/>
        <v>Carol Darley</v>
      </c>
      <c r="W317">
        <f>Table2[Profit]/Table2[Sales]</f>
        <v>-2.75</v>
      </c>
    </row>
    <row r="318" spans="1:23" x14ac:dyDescent="0.25">
      <c r="A318">
        <v>317</v>
      </c>
      <c r="B318" t="s">
        <v>2179</v>
      </c>
      <c r="C318" s="1">
        <v>42693</v>
      </c>
      <c r="D318" s="1">
        <v>42698</v>
      </c>
      <c r="E318" t="s">
        <v>49</v>
      </c>
      <c r="F318" t="s">
        <v>2180</v>
      </c>
      <c r="G318" t="s">
        <v>2181</v>
      </c>
      <c r="H318" t="s">
        <v>25</v>
      </c>
      <c r="I318" t="s">
        <v>26</v>
      </c>
      <c r="J318" t="s">
        <v>263</v>
      </c>
      <c r="K318" t="s">
        <v>264</v>
      </c>
      <c r="L318">
        <v>10024</v>
      </c>
      <c r="M318" t="s">
        <v>145</v>
      </c>
      <c r="N318" t="s">
        <v>2182</v>
      </c>
      <c r="O318" t="s">
        <v>45</v>
      </c>
      <c r="P318" t="s">
        <v>74</v>
      </c>
      <c r="Q318" t="s">
        <v>2183</v>
      </c>
      <c r="R318">
        <v>14.352</v>
      </c>
      <c r="S318">
        <v>3</v>
      </c>
      <c r="T318">
        <v>0.2</v>
      </c>
      <c r="U318">
        <v>4.6643999999999997</v>
      </c>
      <c r="V318" t="str">
        <f t="shared" si="4"/>
        <v>Doug Jacobs</v>
      </c>
      <c r="W318">
        <f>Table2[Profit]/Table2[Sales]</f>
        <v>0.32499999999999996</v>
      </c>
    </row>
    <row r="319" spans="1:23" x14ac:dyDescent="0.25">
      <c r="A319">
        <v>318</v>
      </c>
      <c r="B319" t="s">
        <v>2186</v>
      </c>
      <c r="C319" s="1">
        <v>43043</v>
      </c>
      <c r="D319" s="1">
        <v>43043</v>
      </c>
      <c r="E319" t="s">
        <v>1278</v>
      </c>
      <c r="F319" t="s">
        <v>2187</v>
      </c>
      <c r="G319" t="s">
        <v>2188</v>
      </c>
      <c r="H319" t="s">
        <v>40</v>
      </c>
      <c r="I319" t="s">
        <v>26</v>
      </c>
      <c r="J319" t="s">
        <v>2189</v>
      </c>
      <c r="K319" t="s">
        <v>87</v>
      </c>
      <c r="L319">
        <v>27217</v>
      </c>
      <c r="M319" t="s">
        <v>29</v>
      </c>
      <c r="N319" t="s">
        <v>2190</v>
      </c>
      <c r="O319" t="s">
        <v>70</v>
      </c>
      <c r="P319" t="s">
        <v>675</v>
      </c>
      <c r="Q319" t="s">
        <v>2191</v>
      </c>
      <c r="R319">
        <v>7999.98</v>
      </c>
      <c r="S319">
        <v>4</v>
      </c>
      <c r="T319">
        <v>0.5</v>
      </c>
      <c r="U319">
        <v>-3839.9904000000001</v>
      </c>
      <c r="V319" t="str">
        <f t="shared" si="4"/>
        <v>Grant Thornton</v>
      </c>
      <c r="W319">
        <f>Table2[Profit]/Table2[Sales]</f>
        <v>-0.48000000000000004</v>
      </c>
    </row>
    <row r="320" spans="1:23" x14ac:dyDescent="0.25">
      <c r="A320">
        <v>319</v>
      </c>
      <c r="B320" t="s">
        <v>2192</v>
      </c>
      <c r="C320" s="1">
        <v>41825</v>
      </c>
      <c r="D320" s="1">
        <v>41828</v>
      </c>
      <c r="E320" t="s">
        <v>185</v>
      </c>
      <c r="F320" t="s">
        <v>2193</v>
      </c>
      <c r="G320" t="s">
        <v>2194</v>
      </c>
      <c r="H320" t="s">
        <v>25</v>
      </c>
      <c r="I320" t="s">
        <v>26</v>
      </c>
      <c r="J320" t="s">
        <v>321</v>
      </c>
      <c r="K320" t="s">
        <v>1473</v>
      </c>
      <c r="L320">
        <v>39212</v>
      </c>
      <c r="M320" t="s">
        <v>29</v>
      </c>
      <c r="N320" t="s">
        <v>1300</v>
      </c>
      <c r="O320" t="s">
        <v>70</v>
      </c>
      <c r="P320" t="s">
        <v>158</v>
      </c>
      <c r="Q320" t="s">
        <v>1301</v>
      </c>
      <c r="R320">
        <v>479.97</v>
      </c>
      <c r="S320">
        <v>3</v>
      </c>
      <c r="T320">
        <v>0</v>
      </c>
      <c r="U320">
        <v>163.18979999999999</v>
      </c>
      <c r="V320" t="str">
        <f t="shared" si="4"/>
        <v>Michael Chen</v>
      </c>
      <c r="W320">
        <f>Table2[Profit]/Table2[Sales]</f>
        <v>0.33999999999999997</v>
      </c>
    </row>
    <row r="321" spans="1:23" x14ac:dyDescent="0.25">
      <c r="A321">
        <v>320</v>
      </c>
      <c r="B321" t="s">
        <v>2197</v>
      </c>
      <c r="C321" s="1">
        <v>43094</v>
      </c>
      <c r="D321" s="1">
        <v>43098</v>
      </c>
      <c r="E321" t="s">
        <v>49</v>
      </c>
      <c r="F321" t="s">
        <v>2198</v>
      </c>
      <c r="G321" t="s">
        <v>2199</v>
      </c>
      <c r="H321" t="s">
        <v>25</v>
      </c>
      <c r="I321" t="s">
        <v>26</v>
      </c>
      <c r="J321" t="s">
        <v>263</v>
      </c>
      <c r="K321" t="s">
        <v>264</v>
      </c>
      <c r="L321">
        <v>10035</v>
      </c>
      <c r="M321" t="s">
        <v>145</v>
      </c>
      <c r="N321" t="s">
        <v>2200</v>
      </c>
      <c r="O321" t="s">
        <v>31</v>
      </c>
      <c r="P321" t="s">
        <v>32</v>
      </c>
      <c r="Q321" t="s">
        <v>2201</v>
      </c>
      <c r="R321">
        <v>191.98400000000001</v>
      </c>
      <c r="S321">
        <v>2</v>
      </c>
      <c r="T321">
        <v>0.2</v>
      </c>
      <c r="U321">
        <v>4.7995999999999999</v>
      </c>
      <c r="V321" t="str">
        <f t="shared" si="4"/>
        <v>Ralph Arnett</v>
      </c>
      <c r="W321">
        <f>Table2[Profit]/Table2[Sales]</f>
        <v>2.4999999999999998E-2</v>
      </c>
    </row>
    <row r="322" spans="1:23" x14ac:dyDescent="0.25">
      <c r="A322">
        <v>321</v>
      </c>
      <c r="B322" t="s">
        <v>2202</v>
      </c>
      <c r="C322" s="1">
        <v>41811</v>
      </c>
      <c r="D322" s="1">
        <v>41813</v>
      </c>
      <c r="E322" t="s">
        <v>22</v>
      </c>
      <c r="F322" t="s">
        <v>2203</v>
      </c>
      <c r="G322" t="s">
        <v>2204</v>
      </c>
      <c r="H322" t="s">
        <v>25</v>
      </c>
      <c r="I322" t="s">
        <v>26</v>
      </c>
      <c r="J322" t="s">
        <v>2205</v>
      </c>
      <c r="K322" t="s">
        <v>312</v>
      </c>
      <c r="L322">
        <v>22980</v>
      </c>
      <c r="M322" t="s">
        <v>29</v>
      </c>
      <c r="N322" t="s">
        <v>2206</v>
      </c>
      <c r="O322" t="s">
        <v>31</v>
      </c>
      <c r="P322" t="s">
        <v>64</v>
      </c>
      <c r="Q322" t="s">
        <v>2207</v>
      </c>
      <c r="R322">
        <v>104.01</v>
      </c>
      <c r="S322">
        <v>1</v>
      </c>
      <c r="T322">
        <v>0</v>
      </c>
      <c r="U322">
        <v>14.561400000000001</v>
      </c>
      <c r="V322" t="str">
        <f t="shared" si="4"/>
        <v>Naresj Patel</v>
      </c>
      <c r="W322">
        <f>Table2[Profit]/Table2[Sales]</f>
        <v>0.14000000000000001</v>
      </c>
    </row>
    <row r="323" spans="1:23" x14ac:dyDescent="0.25">
      <c r="A323">
        <v>322</v>
      </c>
      <c r="B323" t="s">
        <v>2210</v>
      </c>
      <c r="C323" s="1">
        <v>42091</v>
      </c>
      <c r="D323" s="1">
        <v>42096</v>
      </c>
      <c r="E323" t="s">
        <v>49</v>
      </c>
      <c r="F323" t="s">
        <v>2211</v>
      </c>
      <c r="G323" t="s">
        <v>2212</v>
      </c>
      <c r="H323" t="s">
        <v>25</v>
      </c>
      <c r="I323" t="s">
        <v>26</v>
      </c>
      <c r="J323" t="s">
        <v>41</v>
      </c>
      <c r="K323" t="s">
        <v>42</v>
      </c>
      <c r="L323">
        <v>90036</v>
      </c>
      <c r="M323" t="s">
        <v>43</v>
      </c>
      <c r="N323" t="s">
        <v>2213</v>
      </c>
      <c r="O323" t="s">
        <v>70</v>
      </c>
      <c r="P323" t="s">
        <v>158</v>
      </c>
      <c r="Q323" t="s">
        <v>2214</v>
      </c>
      <c r="R323">
        <v>166.24</v>
      </c>
      <c r="S323">
        <v>1</v>
      </c>
      <c r="T323">
        <v>0</v>
      </c>
      <c r="U323">
        <v>24.936</v>
      </c>
      <c r="V323" t="str">
        <f t="shared" ref="V323:V386" si="5">TRIM(G323)</f>
        <v>Alan Barnes</v>
      </c>
      <c r="W323">
        <f>Table2[Profit]/Table2[Sales]</f>
        <v>0.15</v>
      </c>
    </row>
    <row r="324" spans="1:23" x14ac:dyDescent="0.25">
      <c r="A324">
        <v>323</v>
      </c>
      <c r="B324" t="s">
        <v>2217</v>
      </c>
      <c r="C324" s="1">
        <v>42138</v>
      </c>
      <c r="D324" s="1">
        <v>42141</v>
      </c>
      <c r="E324" t="s">
        <v>185</v>
      </c>
      <c r="F324" t="s">
        <v>2218</v>
      </c>
      <c r="G324" t="s">
        <v>2219</v>
      </c>
      <c r="H324" t="s">
        <v>101</v>
      </c>
      <c r="I324" t="s">
        <v>26</v>
      </c>
      <c r="J324" t="s">
        <v>2220</v>
      </c>
      <c r="K324" t="s">
        <v>144</v>
      </c>
      <c r="L324">
        <v>19013</v>
      </c>
      <c r="M324" t="s">
        <v>145</v>
      </c>
      <c r="N324" t="s">
        <v>1149</v>
      </c>
      <c r="O324" t="s">
        <v>45</v>
      </c>
      <c r="P324" t="s">
        <v>67</v>
      </c>
      <c r="Q324" t="s">
        <v>1150</v>
      </c>
      <c r="R324">
        <v>198.27199999999999</v>
      </c>
      <c r="S324">
        <v>8</v>
      </c>
      <c r="T324">
        <v>0.2</v>
      </c>
      <c r="U324">
        <v>17.348800000000001</v>
      </c>
      <c r="V324" t="str">
        <f t="shared" si="5"/>
        <v>Jesus Ocampo</v>
      </c>
      <c r="W324">
        <f>Table2[Profit]/Table2[Sales]</f>
        <v>8.7500000000000008E-2</v>
      </c>
    </row>
    <row r="325" spans="1:23" x14ac:dyDescent="0.25">
      <c r="A325">
        <v>324</v>
      </c>
      <c r="B325" t="s">
        <v>2229</v>
      </c>
      <c r="C325" s="1">
        <v>42980</v>
      </c>
      <c r="D325" s="1">
        <v>42986</v>
      </c>
      <c r="E325" t="s">
        <v>49</v>
      </c>
      <c r="F325" t="s">
        <v>968</v>
      </c>
      <c r="G325" t="s">
        <v>969</v>
      </c>
      <c r="H325" t="s">
        <v>40</v>
      </c>
      <c r="I325" t="s">
        <v>26</v>
      </c>
      <c r="J325" t="s">
        <v>2148</v>
      </c>
      <c r="K325" t="s">
        <v>491</v>
      </c>
      <c r="L325">
        <v>44105</v>
      </c>
      <c r="M325" t="s">
        <v>145</v>
      </c>
      <c r="N325" t="s">
        <v>814</v>
      </c>
      <c r="O325" t="s">
        <v>31</v>
      </c>
      <c r="P325" t="s">
        <v>64</v>
      </c>
      <c r="Q325" t="s">
        <v>815</v>
      </c>
      <c r="R325">
        <v>15.071999999999999</v>
      </c>
      <c r="S325">
        <v>3</v>
      </c>
      <c r="T325">
        <v>0.2</v>
      </c>
      <c r="U325">
        <v>4.1448</v>
      </c>
      <c r="V325" t="str">
        <f t="shared" si="5"/>
        <v>Dorris liebe</v>
      </c>
      <c r="W325">
        <f>Table2[Profit]/Table2[Sales]</f>
        <v>0.27500000000000002</v>
      </c>
    </row>
    <row r="326" spans="1:23" x14ac:dyDescent="0.25">
      <c r="A326">
        <v>325</v>
      </c>
      <c r="B326" t="s">
        <v>2230</v>
      </c>
      <c r="C326" s="1">
        <v>42678</v>
      </c>
      <c r="D326" s="1">
        <v>42682</v>
      </c>
      <c r="E326" t="s">
        <v>22</v>
      </c>
      <c r="F326" t="s">
        <v>1327</v>
      </c>
      <c r="G326" t="s">
        <v>1328</v>
      </c>
      <c r="H326" t="s">
        <v>40</v>
      </c>
      <c r="I326" t="s">
        <v>26</v>
      </c>
      <c r="J326" t="s">
        <v>94</v>
      </c>
      <c r="K326" t="s">
        <v>95</v>
      </c>
      <c r="L326">
        <v>98103</v>
      </c>
      <c r="M326" t="s">
        <v>43</v>
      </c>
      <c r="N326" t="s">
        <v>2231</v>
      </c>
      <c r="O326" t="s">
        <v>31</v>
      </c>
      <c r="P326" t="s">
        <v>64</v>
      </c>
      <c r="Q326" t="s">
        <v>2232</v>
      </c>
      <c r="R326">
        <v>209.88</v>
      </c>
      <c r="S326">
        <v>3</v>
      </c>
      <c r="T326">
        <v>0</v>
      </c>
      <c r="U326">
        <v>35.679600000000001</v>
      </c>
      <c r="V326" t="str">
        <f t="shared" si="5"/>
        <v>Alejandro Savely</v>
      </c>
      <c r="W326">
        <f>Table2[Profit]/Table2[Sales]</f>
        <v>0.17</v>
      </c>
    </row>
    <row r="327" spans="1:23" x14ac:dyDescent="0.25">
      <c r="A327">
        <v>326</v>
      </c>
      <c r="B327" t="s">
        <v>2233</v>
      </c>
      <c r="C327" s="1">
        <v>42103</v>
      </c>
      <c r="D327" s="1">
        <v>42108</v>
      </c>
      <c r="E327" t="s">
        <v>49</v>
      </c>
      <c r="F327" t="s">
        <v>2234</v>
      </c>
      <c r="G327" t="s">
        <v>2235</v>
      </c>
      <c r="H327" t="s">
        <v>25</v>
      </c>
      <c r="I327" t="s">
        <v>26</v>
      </c>
      <c r="J327" t="s">
        <v>1161</v>
      </c>
      <c r="K327" t="s">
        <v>42</v>
      </c>
      <c r="L327">
        <v>90805</v>
      </c>
      <c r="M327" t="s">
        <v>43</v>
      </c>
      <c r="N327" t="s">
        <v>2236</v>
      </c>
      <c r="O327" t="s">
        <v>31</v>
      </c>
      <c r="P327" t="s">
        <v>55</v>
      </c>
      <c r="Q327" t="s">
        <v>2237</v>
      </c>
      <c r="R327">
        <v>369.91199999999998</v>
      </c>
      <c r="S327">
        <v>3</v>
      </c>
      <c r="T327">
        <v>0.2</v>
      </c>
      <c r="U327">
        <v>-13.871700000000001</v>
      </c>
      <c r="V327" t="str">
        <f t="shared" si="5"/>
        <v>Jay Kimmel</v>
      </c>
      <c r="W327">
        <f>Table2[Profit]/Table2[Sales]</f>
        <v>-3.7500000000000006E-2</v>
      </c>
    </row>
    <row r="328" spans="1:23" x14ac:dyDescent="0.25">
      <c r="A328">
        <v>327</v>
      </c>
      <c r="B328" t="s">
        <v>2238</v>
      </c>
      <c r="C328" s="1">
        <v>41894</v>
      </c>
      <c r="D328" s="1">
        <v>41899</v>
      </c>
      <c r="E328" t="s">
        <v>49</v>
      </c>
      <c r="F328" t="s">
        <v>2239</v>
      </c>
      <c r="G328" t="s">
        <v>2240</v>
      </c>
      <c r="H328" t="s">
        <v>40</v>
      </c>
      <c r="I328" t="s">
        <v>26</v>
      </c>
      <c r="J328" t="s">
        <v>2241</v>
      </c>
      <c r="K328" t="s">
        <v>87</v>
      </c>
      <c r="L328">
        <v>27511</v>
      </c>
      <c r="M328" t="s">
        <v>29</v>
      </c>
      <c r="N328" t="s">
        <v>2242</v>
      </c>
      <c r="O328" t="s">
        <v>45</v>
      </c>
      <c r="P328" t="s">
        <v>89</v>
      </c>
      <c r="Q328" t="s">
        <v>2243</v>
      </c>
      <c r="R328">
        <v>10.368</v>
      </c>
      <c r="S328">
        <v>2</v>
      </c>
      <c r="T328">
        <v>0.2</v>
      </c>
      <c r="U328">
        <v>3.6288</v>
      </c>
      <c r="V328" t="str">
        <f t="shared" si="5"/>
        <v>Brad Norvell</v>
      </c>
      <c r="W328">
        <f>Table2[Profit]/Table2[Sales]</f>
        <v>0.35</v>
      </c>
    </row>
    <row r="329" spans="1:23" x14ac:dyDescent="0.25">
      <c r="A329">
        <v>328</v>
      </c>
      <c r="B329" t="s">
        <v>2246</v>
      </c>
      <c r="C329" s="1">
        <v>41975</v>
      </c>
      <c r="D329" s="1">
        <v>41977</v>
      </c>
      <c r="E329" t="s">
        <v>185</v>
      </c>
      <c r="F329" t="s">
        <v>2247</v>
      </c>
      <c r="G329" t="s">
        <v>2248</v>
      </c>
      <c r="H329" t="s">
        <v>25</v>
      </c>
      <c r="I329" t="s">
        <v>26</v>
      </c>
      <c r="J329" t="s">
        <v>263</v>
      </c>
      <c r="K329" t="s">
        <v>264</v>
      </c>
      <c r="L329">
        <v>10035</v>
      </c>
      <c r="M329" t="s">
        <v>145</v>
      </c>
      <c r="N329" t="s">
        <v>1010</v>
      </c>
      <c r="O329" t="s">
        <v>70</v>
      </c>
      <c r="P329" t="s">
        <v>158</v>
      </c>
      <c r="Q329" t="s">
        <v>1011</v>
      </c>
      <c r="R329">
        <v>119.96</v>
      </c>
      <c r="S329">
        <v>4</v>
      </c>
      <c r="T329">
        <v>0</v>
      </c>
      <c r="U329">
        <v>52.782400000000003</v>
      </c>
      <c r="V329" t="str">
        <f t="shared" si="5"/>
        <v>David Philippe</v>
      </c>
      <c r="W329">
        <f>Table2[Profit]/Table2[Sales]</f>
        <v>0.44000000000000006</v>
      </c>
    </row>
    <row r="330" spans="1:23" x14ac:dyDescent="0.25">
      <c r="A330">
        <v>329</v>
      </c>
      <c r="B330" t="s">
        <v>2251</v>
      </c>
      <c r="C330" s="1">
        <v>41734</v>
      </c>
      <c r="D330" s="1">
        <v>41736</v>
      </c>
      <c r="E330" t="s">
        <v>185</v>
      </c>
      <c r="F330" t="s">
        <v>2252</v>
      </c>
      <c r="G330" t="s">
        <v>2253</v>
      </c>
      <c r="H330" t="s">
        <v>101</v>
      </c>
      <c r="I330" t="s">
        <v>26</v>
      </c>
      <c r="J330" t="s">
        <v>263</v>
      </c>
      <c r="K330" t="s">
        <v>264</v>
      </c>
      <c r="L330">
        <v>10035</v>
      </c>
      <c r="M330" t="s">
        <v>145</v>
      </c>
      <c r="N330" t="s">
        <v>1600</v>
      </c>
      <c r="O330" t="s">
        <v>45</v>
      </c>
      <c r="P330" t="s">
        <v>89</v>
      </c>
      <c r="Q330" t="s">
        <v>1601</v>
      </c>
      <c r="R330">
        <v>55.48</v>
      </c>
      <c r="S330">
        <v>1</v>
      </c>
      <c r="T330">
        <v>0</v>
      </c>
      <c r="U330">
        <v>26.630400000000002</v>
      </c>
      <c r="V330" t="str">
        <f t="shared" si="5"/>
        <v>Tracy Hopkins</v>
      </c>
      <c r="W330">
        <f>Table2[Profit]/Table2[Sales]</f>
        <v>0.48000000000000004</v>
      </c>
    </row>
    <row r="331" spans="1:23" x14ac:dyDescent="0.25">
      <c r="A331">
        <v>330</v>
      </c>
      <c r="B331" t="s">
        <v>2254</v>
      </c>
      <c r="C331" s="1">
        <v>42981</v>
      </c>
      <c r="D331" s="1">
        <v>42985</v>
      </c>
      <c r="E331" t="s">
        <v>49</v>
      </c>
      <c r="F331" t="s">
        <v>2255</v>
      </c>
      <c r="G331" t="s">
        <v>2256</v>
      </c>
      <c r="H331" t="s">
        <v>25</v>
      </c>
      <c r="I331" t="s">
        <v>26</v>
      </c>
      <c r="J331" t="s">
        <v>2257</v>
      </c>
      <c r="K331" t="s">
        <v>53</v>
      </c>
      <c r="L331">
        <v>32137</v>
      </c>
      <c r="M331" t="s">
        <v>29</v>
      </c>
      <c r="N331" t="s">
        <v>2258</v>
      </c>
      <c r="O331" t="s">
        <v>45</v>
      </c>
      <c r="P331" t="s">
        <v>170</v>
      </c>
      <c r="Q331" t="s">
        <v>2259</v>
      </c>
      <c r="R331">
        <v>24.448</v>
      </c>
      <c r="S331">
        <v>4</v>
      </c>
      <c r="T331">
        <v>0.2</v>
      </c>
      <c r="U331">
        <v>8.8623999999999992</v>
      </c>
      <c r="V331" t="str">
        <f t="shared" si="5"/>
        <v>Arthur Prichep</v>
      </c>
      <c r="W331">
        <f>Table2[Profit]/Table2[Sales]</f>
        <v>0.36249999999999993</v>
      </c>
    </row>
    <row r="332" spans="1:23" x14ac:dyDescent="0.25">
      <c r="A332">
        <v>331</v>
      </c>
      <c r="B332" t="s">
        <v>2260</v>
      </c>
      <c r="C332" s="1">
        <v>42874</v>
      </c>
      <c r="D332" s="1">
        <v>42879</v>
      </c>
      <c r="E332" t="s">
        <v>49</v>
      </c>
      <c r="F332" t="s">
        <v>2261</v>
      </c>
      <c r="G332" t="s">
        <v>2262</v>
      </c>
      <c r="H332" t="s">
        <v>40</v>
      </c>
      <c r="I332" t="s">
        <v>26</v>
      </c>
      <c r="J332" t="s">
        <v>2263</v>
      </c>
      <c r="K332" t="s">
        <v>264</v>
      </c>
      <c r="L332">
        <v>10550</v>
      </c>
      <c r="M332" t="s">
        <v>145</v>
      </c>
      <c r="N332" t="s">
        <v>2264</v>
      </c>
      <c r="O332" t="s">
        <v>45</v>
      </c>
      <c r="P332" t="s">
        <v>77</v>
      </c>
      <c r="Q332" t="s">
        <v>2265</v>
      </c>
      <c r="R332">
        <v>281.33999999999997</v>
      </c>
      <c r="S332">
        <v>6</v>
      </c>
      <c r="T332">
        <v>0</v>
      </c>
      <c r="U332">
        <v>109.7226</v>
      </c>
      <c r="V332" t="str">
        <f t="shared" si="5"/>
        <v>Roland Schwarz</v>
      </c>
      <c r="W332">
        <f>Table2[Profit]/Table2[Sales]</f>
        <v>0.39</v>
      </c>
    </row>
    <row r="333" spans="1:23" x14ac:dyDescent="0.25">
      <c r="A333">
        <v>332</v>
      </c>
      <c r="B333" t="s">
        <v>2268</v>
      </c>
      <c r="C333" s="1">
        <v>41821</v>
      </c>
      <c r="D333" s="1">
        <v>41826</v>
      </c>
      <c r="E333" t="s">
        <v>22</v>
      </c>
      <c r="F333" t="s">
        <v>968</v>
      </c>
      <c r="G333" t="s">
        <v>969</v>
      </c>
      <c r="H333" t="s">
        <v>40</v>
      </c>
      <c r="I333" t="s">
        <v>26</v>
      </c>
      <c r="J333" t="s">
        <v>94</v>
      </c>
      <c r="K333" t="s">
        <v>95</v>
      </c>
      <c r="L333">
        <v>98105</v>
      </c>
      <c r="M333" t="s">
        <v>43</v>
      </c>
      <c r="N333" t="s">
        <v>2269</v>
      </c>
      <c r="O333" t="s">
        <v>45</v>
      </c>
      <c r="P333" t="s">
        <v>74</v>
      </c>
      <c r="Q333" t="s">
        <v>2270</v>
      </c>
      <c r="R333">
        <v>19.920000000000002</v>
      </c>
      <c r="S333">
        <v>5</v>
      </c>
      <c r="T333">
        <v>0.2</v>
      </c>
      <c r="U333">
        <v>6.9720000000000004</v>
      </c>
      <c r="V333" t="str">
        <f t="shared" si="5"/>
        <v>Dorris liebe</v>
      </c>
      <c r="W333">
        <f>Table2[Profit]/Table2[Sales]</f>
        <v>0.35</v>
      </c>
    </row>
    <row r="334" spans="1:23" x14ac:dyDescent="0.25">
      <c r="A334">
        <v>333</v>
      </c>
      <c r="B334" t="s">
        <v>2271</v>
      </c>
      <c r="C334" s="1">
        <v>41650</v>
      </c>
      <c r="D334" s="1">
        <v>41653</v>
      </c>
      <c r="E334" t="s">
        <v>185</v>
      </c>
      <c r="F334" t="s">
        <v>2272</v>
      </c>
      <c r="G334" t="s">
        <v>2273</v>
      </c>
      <c r="H334" t="s">
        <v>25</v>
      </c>
      <c r="I334" t="s">
        <v>26</v>
      </c>
      <c r="J334" t="s">
        <v>241</v>
      </c>
      <c r="K334" t="s">
        <v>242</v>
      </c>
      <c r="L334">
        <v>19901</v>
      </c>
      <c r="M334" t="s">
        <v>145</v>
      </c>
      <c r="N334" t="s">
        <v>2015</v>
      </c>
      <c r="O334" t="s">
        <v>31</v>
      </c>
      <c r="P334" t="s">
        <v>64</v>
      </c>
      <c r="Q334" t="s">
        <v>2016</v>
      </c>
      <c r="R334">
        <v>9.94</v>
      </c>
      <c r="S334">
        <v>2</v>
      </c>
      <c r="T334">
        <v>0</v>
      </c>
      <c r="U334">
        <v>3.0813999999999999</v>
      </c>
      <c r="V334" t="str">
        <f t="shared" si="5"/>
        <v>Seth Vernon</v>
      </c>
      <c r="W334">
        <f>Table2[Profit]/Table2[Sales]</f>
        <v>0.31</v>
      </c>
    </row>
    <row r="335" spans="1:23" x14ac:dyDescent="0.25">
      <c r="A335">
        <v>334</v>
      </c>
      <c r="B335" t="s">
        <v>2274</v>
      </c>
      <c r="C335" s="1">
        <v>43002</v>
      </c>
      <c r="D335" s="1">
        <v>43007</v>
      </c>
      <c r="E335" t="s">
        <v>49</v>
      </c>
      <c r="F335" t="s">
        <v>939</v>
      </c>
      <c r="G335" t="s">
        <v>940</v>
      </c>
      <c r="H335" t="s">
        <v>25</v>
      </c>
      <c r="I335" t="s">
        <v>26</v>
      </c>
      <c r="J335" t="s">
        <v>600</v>
      </c>
      <c r="K335" t="s">
        <v>491</v>
      </c>
      <c r="L335">
        <v>43055</v>
      </c>
      <c r="M335" t="s">
        <v>145</v>
      </c>
      <c r="N335" t="s">
        <v>2275</v>
      </c>
      <c r="O335" t="s">
        <v>31</v>
      </c>
      <c r="P335" t="s">
        <v>64</v>
      </c>
      <c r="Q335" t="s">
        <v>2276</v>
      </c>
      <c r="R335">
        <v>103.056</v>
      </c>
      <c r="S335">
        <v>3</v>
      </c>
      <c r="T335">
        <v>0.2</v>
      </c>
      <c r="U335">
        <v>24.4758</v>
      </c>
      <c r="V335" t="str">
        <f t="shared" si="5"/>
        <v>Kelly Collister</v>
      </c>
      <c r="W335">
        <f>Table2[Profit]/Table2[Sales]</f>
        <v>0.23749999999999999</v>
      </c>
    </row>
    <row r="336" spans="1:23" x14ac:dyDescent="0.25">
      <c r="A336">
        <v>335</v>
      </c>
      <c r="B336" t="s">
        <v>2277</v>
      </c>
      <c r="C336" s="1">
        <v>41792</v>
      </c>
      <c r="D336" s="1">
        <v>41797</v>
      </c>
      <c r="E336" t="s">
        <v>49</v>
      </c>
      <c r="F336" t="s">
        <v>2278</v>
      </c>
      <c r="G336" t="s">
        <v>2279</v>
      </c>
      <c r="H336" t="s">
        <v>101</v>
      </c>
      <c r="I336" t="s">
        <v>26</v>
      </c>
      <c r="J336" t="s">
        <v>151</v>
      </c>
      <c r="K336" t="s">
        <v>120</v>
      </c>
      <c r="L336">
        <v>84057</v>
      </c>
      <c r="M336" t="s">
        <v>43</v>
      </c>
      <c r="N336" t="s">
        <v>1700</v>
      </c>
      <c r="O336" t="s">
        <v>45</v>
      </c>
      <c r="P336" t="s">
        <v>74</v>
      </c>
      <c r="Q336" t="s">
        <v>1701</v>
      </c>
      <c r="R336">
        <v>59.808</v>
      </c>
      <c r="S336">
        <v>3</v>
      </c>
      <c r="T336">
        <v>0.2</v>
      </c>
      <c r="U336">
        <v>19.4376</v>
      </c>
      <c r="V336" t="str">
        <f t="shared" si="5"/>
        <v>Christine Kargatis</v>
      </c>
      <c r="W336">
        <f>Table2[Profit]/Table2[Sales]</f>
        <v>0.32500000000000001</v>
      </c>
    </row>
    <row r="337" spans="1:23" x14ac:dyDescent="0.25">
      <c r="A337">
        <v>336</v>
      </c>
      <c r="B337" t="s">
        <v>2280</v>
      </c>
      <c r="C337" s="1">
        <v>42413</v>
      </c>
      <c r="D337" s="1">
        <v>42418</v>
      </c>
      <c r="E337" t="s">
        <v>49</v>
      </c>
      <c r="F337" t="s">
        <v>2281</v>
      </c>
      <c r="G337" t="s">
        <v>2282</v>
      </c>
      <c r="H337" t="s">
        <v>101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2283</v>
      </c>
      <c r="O337" t="s">
        <v>45</v>
      </c>
      <c r="P337" t="s">
        <v>89</v>
      </c>
      <c r="Q337" t="s">
        <v>2284</v>
      </c>
      <c r="R337">
        <v>146.82</v>
      </c>
      <c r="S337">
        <v>3</v>
      </c>
      <c r="T337">
        <v>0</v>
      </c>
      <c r="U337">
        <v>73.41</v>
      </c>
      <c r="V337" t="str">
        <f t="shared" si="5"/>
        <v>Ross DeVincentis</v>
      </c>
      <c r="W337">
        <f>Table2[Profit]/Table2[Sales]</f>
        <v>0.5</v>
      </c>
    </row>
    <row r="338" spans="1:23" x14ac:dyDescent="0.25">
      <c r="A338">
        <v>337</v>
      </c>
      <c r="B338" t="s">
        <v>2285</v>
      </c>
      <c r="C338" s="1">
        <v>42719</v>
      </c>
      <c r="D338" s="1">
        <v>42723</v>
      </c>
      <c r="E338" t="s">
        <v>49</v>
      </c>
      <c r="F338" t="s">
        <v>1463</v>
      </c>
      <c r="G338" t="s">
        <v>1464</v>
      </c>
      <c r="H338" t="s">
        <v>40</v>
      </c>
      <c r="I338" t="s">
        <v>26</v>
      </c>
      <c r="J338" t="s">
        <v>873</v>
      </c>
      <c r="K338" t="s">
        <v>235</v>
      </c>
      <c r="L338">
        <v>48205</v>
      </c>
      <c r="M338" t="s">
        <v>104</v>
      </c>
      <c r="N338" t="s">
        <v>2286</v>
      </c>
      <c r="O338" t="s">
        <v>31</v>
      </c>
      <c r="P338" t="s">
        <v>55</v>
      </c>
      <c r="Q338" t="s">
        <v>2287</v>
      </c>
      <c r="R338">
        <v>1652.94</v>
      </c>
      <c r="S338">
        <v>3</v>
      </c>
      <c r="T338">
        <v>0</v>
      </c>
      <c r="U338">
        <v>231.41159999999999</v>
      </c>
      <c r="V338" t="str">
        <f t="shared" si="5"/>
        <v>Michael Paige</v>
      </c>
      <c r="W338">
        <f>Table2[Profit]/Table2[Sales]</f>
        <v>0.13999999999999999</v>
      </c>
    </row>
    <row r="339" spans="1:23" x14ac:dyDescent="0.25">
      <c r="A339">
        <v>338</v>
      </c>
      <c r="B339" t="s">
        <v>2290</v>
      </c>
      <c r="C339" s="1">
        <v>41919</v>
      </c>
      <c r="D339" s="1">
        <v>41925</v>
      </c>
      <c r="E339" t="s">
        <v>49</v>
      </c>
      <c r="F339" t="s">
        <v>2291</v>
      </c>
      <c r="G339" t="s">
        <v>2292</v>
      </c>
      <c r="H339" t="s">
        <v>101</v>
      </c>
      <c r="I339" t="s">
        <v>26</v>
      </c>
      <c r="J339" t="s">
        <v>143</v>
      </c>
      <c r="K339" t="s">
        <v>144</v>
      </c>
      <c r="L339">
        <v>19140</v>
      </c>
      <c r="M339" t="s">
        <v>145</v>
      </c>
      <c r="N339" t="s">
        <v>2293</v>
      </c>
      <c r="O339" t="s">
        <v>31</v>
      </c>
      <c r="P339" t="s">
        <v>64</v>
      </c>
      <c r="Q339" t="s">
        <v>2294</v>
      </c>
      <c r="R339">
        <v>129.91999999999999</v>
      </c>
      <c r="S339">
        <v>5</v>
      </c>
      <c r="T339">
        <v>0.2</v>
      </c>
      <c r="U339">
        <v>21.111999999999998</v>
      </c>
      <c r="V339" t="str">
        <f t="shared" si="5"/>
        <v>Mathew Reese</v>
      </c>
      <c r="W339">
        <f>Table2[Profit]/Table2[Sales]</f>
        <v>0.16250000000000001</v>
      </c>
    </row>
    <row r="340" spans="1:23" x14ac:dyDescent="0.25">
      <c r="A340">
        <v>339</v>
      </c>
      <c r="B340" t="s">
        <v>2295</v>
      </c>
      <c r="C340" s="1">
        <v>42558</v>
      </c>
      <c r="D340" s="1">
        <v>42563</v>
      </c>
      <c r="E340" t="s">
        <v>49</v>
      </c>
      <c r="F340" t="s">
        <v>2296</v>
      </c>
      <c r="G340" t="s">
        <v>2297</v>
      </c>
      <c r="H340" t="s">
        <v>40</v>
      </c>
      <c r="I340" t="s">
        <v>26</v>
      </c>
      <c r="J340" t="s">
        <v>2298</v>
      </c>
      <c r="K340" t="s">
        <v>53</v>
      </c>
      <c r="L340">
        <v>33012</v>
      </c>
      <c r="M340" t="s">
        <v>29</v>
      </c>
      <c r="N340" t="s">
        <v>2299</v>
      </c>
      <c r="O340" t="s">
        <v>45</v>
      </c>
      <c r="P340" t="s">
        <v>572</v>
      </c>
      <c r="Q340" t="s">
        <v>2300</v>
      </c>
      <c r="R340">
        <v>45.584000000000003</v>
      </c>
      <c r="S340">
        <v>7</v>
      </c>
      <c r="T340">
        <v>0.2</v>
      </c>
      <c r="U340">
        <v>5.1281999999999996</v>
      </c>
      <c r="V340" t="str">
        <f t="shared" si="5"/>
        <v>Steve Chapman</v>
      </c>
      <c r="W340">
        <f>Table2[Profit]/Table2[Sales]</f>
        <v>0.11249999999999999</v>
      </c>
    </row>
    <row r="341" spans="1:23" x14ac:dyDescent="0.25">
      <c r="A341">
        <v>340</v>
      </c>
      <c r="B341" t="s">
        <v>2301</v>
      </c>
      <c r="C341" s="1">
        <v>42994</v>
      </c>
      <c r="D341" s="1">
        <v>42998</v>
      </c>
      <c r="E341" t="s">
        <v>49</v>
      </c>
      <c r="F341" t="s">
        <v>2302</v>
      </c>
      <c r="G341" t="s">
        <v>2303</v>
      </c>
      <c r="H341" t="s">
        <v>25</v>
      </c>
      <c r="I341" t="s">
        <v>26</v>
      </c>
      <c r="J341" t="s">
        <v>1225</v>
      </c>
      <c r="K341" t="s">
        <v>103</v>
      </c>
      <c r="L341">
        <v>78745</v>
      </c>
      <c r="M341" t="s">
        <v>104</v>
      </c>
      <c r="N341" t="s">
        <v>2304</v>
      </c>
      <c r="O341" t="s">
        <v>45</v>
      </c>
      <c r="P341" t="s">
        <v>170</v>
      </c>
      <c r="Q341" t="s">
        <v>2305</v>
      </c>
      <c r="R341">
        <v>17.568000000000001</v>
      </c>
      <c r="S341">
        <v>2</v>
      </c>
      <c r="T341">
        <v>0.2</v>
      </c>
      <c r="U341">
        <v>6.3684000000000003</v>
      </c>
      <c r="V341" t="str">
        <f t="shared" si="5"/>
        <v>Jay Fein</v>
      </c>
      <c r="W341">
        <f>Table2[Profit]/Table2[Sales]</f>
        <v>0.36249999999999999</v>
      </c>
    </row>
    <row r="342" spans="1:23" x14ac:dyDescent="0.25">
      <c r="A342">
        <v>341</v>
      </c>
      <c r="B342" t="s">
        <v>2308</v>
      </c>
      <c r="C342" s="1">
        <v>42707</v>
      </c>
      <c r="D342" s="1">
        <v>42710</v>
      </c>
      <c r="E342" t="s">
        <v>185</v>
      </c>
      <c r="F342" t="s">
        <v>2309</v>
      </c>
      <c r="G342" t="s">
        <v>2310</v>
      </c>
      <c r="H342" t="s">
        <v>25</v>
      </c>
      <c r="I342" t="s">
        <v>26</v>
      </c>
      <c r="J342" t="s">
        <v>2311</v>
      </c>
      <c r="K342" t="s">
        <v>264</v>
      </c>
      <c r="L342">
        <v>11572</v>
      </c>
      <c r="M342" t="s">
        <v>145</v>
      </c>
      <c r="N342" t="s">
        <v>2312</v>
      </c>
      <c r="O342" t="s">
        <v>45</v>
      </c>
      <c r="P342" t="s">
        <v>89</v>
      </c>
      <c r="Q342" t="s">
        <v>2313</v>
      </c>
      <c r="R342">
        <v>182.72</v>
      </c>
      <c r="S342">
        <v>8</v>
      </c>
      <c r="T342">
        <v>0</v>
      </c>
      <c r="U342">
        <v>84.051199999999994</v>
      </c>
      <c r="V342" t="str">
        <f t="shared" si="5"/>
        <v>Emily Grady</v>
      </c>
      <c r="W342">
        <f>Table2[Profit]/Table2[Sales]</f>
        <v>0.45999999999999996</v>
      </c>
    </row>
    <row r="343" spans="1:23" x14ac:dyDescent="0.25">
      <c r="A343">
        <v>342</v>
      </c>
      <c r="B343" t="s">
        <v>2318</v>
      </c>
      <c r="C343" s="1">
        <v>42756</v>
      </c>
      <c r="D343" s="1">
        <v>42760</v>
      </c>
      <c r="E343" t="s">
        <v>49</v>
      </c>
      <c r="F343" t="s">
        <v>2319</v>
      </c>
      <c r="G343" t="s">
        <v>2320</v>
      </c>
      <c r="H343" t="s">
        <v>101</v>
      </c>
      <c r="I343" t="s">
        <v>26</v>
      </c>
      <c r="J343" t="s">
        <v>94</v>
      </c>
      <c r="K343" t="s">
        <v>95</v>
      </c>
      <c r="L343">
        <v>98115</v>
      </c>
      <c r="M343" t="s">
        <v>43</v>
      </c>
      <c r="N343" t="s">
        <v>1750</v>
      </c>
      <c r="O343" t="s">
        <v>45</v>
      </c>
      <c r="P343" t="s">
        <v>58</v>
      </c>
      <c r="Q343" t="s">
        <v>1751</v>
      </c>
      <c r="R343">
        <v>242.94</v>
      </c>
      <c r="S343">
        <v>3</v>
      </c>
      <c r="T343">
        <v>0</v>
      </c>
      <c r="U343">
        <v>9.7175999999999991</v>
      </c>
      <c r="V343" t="str">
        <f t="shared" si="5"/>
        <v>Darrin Sayre</v>
      </c>
      <c r="W343">
        <f>Table2[Profit]/Table2[Sales]</f>
        <v>3.9999999999999994E-2</v>
      </c>
    </row>
    <row r="344" spans="1:23" x14ac:dyDescent="0.25">
      <c r="A344">
        <v>343</v>
      </c>
      <c r="B344" t="s">
        <v>2327</v>
      </c>
      <c r="C344" s="1">
        <v>41890</v>
      </c>
      <c r="D344" s="1">
        <v>41894</v>
      </c>
      <c r="E344" t="s">
        <v>49</v>
      </c>
      <c r="F344" t="s">
        <v>442</v>
      </c>
      <c r="G344" t="s">
        <v>443</v>
      </c>
      <c r="H344" t="s">
        <v>25</v>
      </c>
      <c r="I344" t="s">
        <v>26</v>
      </c>
      <c r="J344" t="s">
        <v>126</v>
      </c>
      <c r="K344" t="s">
        <v>42</v>
      </c>
      <c r="L344">
        <v>94110</v>
      </c>
      <c r="M344" t="s">
        <v>43</v>
      </c>
      <c r="N344" t="s">
        <v>2328</v>
      </c>
      <c r="O344" t="s">
        <v>70</v>
      </c>
      <c r="P344" t="s">
        <v>158</v>
      </c>
      <c r="Q344" t="s">
        <v>2329</v>
      </c>
      <c r="R344">
        <v>49.98</v>
      </c>
      <c r="S344">
        <v>2</v>
      </c>
      <c r="T344">
        <v>0</v>
      </c>
      <c r="U344">
        <v>8.4966000000000008</v>
      </c>
      <c r="V344" t="str">
        <f t="shared" si="5"/>
        <v>Gary Zandusky</v>
      </c>
      <c r="W344">
        <f>Table2[Profit]/Table2[Sales]</f>
        <v>0.17000000000000004</v>
      </c>
    </row>
    <row r="345" spans="1:23" x14ac:dyDescent="0.25">
      <c r="A345">
        <v>344</v>
      </c>
      <c r="B345" t="s">
        <v>2330</v>
      </c>
      <c r="C345" s="1">
        <v>41643</v>
      </c>
      <c r="D345" s="1">
        <v>41647</v>
      </c>
      <c r="E345" t="s">
        <v>49</v>
      </c>
      <c r="F345" t="s">
        <v>2331</v>
      </c>
      <c r="G345" t="s">
        <v>2332</v>
      </c>
      <c r="H345" t="s">
        <v>101</v>
      </c>
      <c r="I345" t="s">
        <v>26</v>
      </c>
      <c r="J345" t="s">
        <v>207</v>
      </c>
      <c r="K345" t="s">
        <v>208</v>
      </c>
      <c r="L345">
        <v>60540</v>
      </c>
      <c r="M345" t="s">
        <v>104</v>
      </c>
      <c r="N345" t="s">
        <v>2333</v>
      </c>
      <c r="O345" t="s">
        <v>45</v>
      </c>
      <c r="P345" t="s">
        <v>46</v>
      </c>
      <c r="Q345" t="s">
        <v>2334</v>
      </c>
      <c r="R345">
        <v>11.784000000000001</v>
      </c>
      <c r="S345">
        <v>3</v>
      </c>
      <c r="T345">
        <v>0.2</v>
      </c>
      <c r="U345">
        <v>4.2717000000000001</v>
      </c>
      <c r="V345" t="str">
        <f t="shared" si="5"/>
        <v>Phillina Ober</v>
      </c>
      <c r="W345">
        <f>Table2[Profit]/Table2[Sales]</f>
        <v>0.36249999999999999</v>
      </c>
    </row>
    <row r="346" spans="1:23" x14ac:dyDescent="0.25">
      <c r="A346">
        <v>345</v>
      </c>
      <c r="B346" t="s">
        <v>2337</v>
      </c>
      <c r="C346" s="1">
        <v>42609</v>
      </c>
      <c r="D346" s="1">
        <v>42614</v>
      </c>
      <c r="E346" t="s">
        <v>49</v>
      </c>
      <c r="F346" t="s">
        <v>2338</v>
      </c>
      <c r="G346" t="s">
        <v>2339</v>
      </c>
      <c r="H346" t="s">
        <v>25</v>
      </c>
      <c r="I346" t="s">
        <v>26</v>
      </c>
      <c r="J346" t="s">
        <v>808</v>
      </c>
      <c r="K346" t="s">
        <v>103</v>
      </c>
      <c r="L346">
        <v>75220</v>
      </c>
      <c r="M346" t="s">
        <v>104</v>
      </c>
      <c r="N346" t="s">
        <v>1931</v>
      </c>
      <c r="O346" t="s">
        <v>45</v>
      </c>
      <c r="P346" t="s">
        <v>572</v>
      </c>
      <c r="Q346" t="s">
        <v>1932</v>
      </c>
      <c r="R346">
        <v>51.52</v>
      </c>
      <c r="S346">
        <v>5</v>
      </c>
      <c r="T346">
        <v>0.2</v>
      </c>
      <c r="U346">
        <v>-10.948</v>
      </c>
      <c r="V346" t="str">
        <f t="shared" si="5"/>
        <v>Sung Shariari</v>
      </c>
      <c r="W346">
        <f>Table2[Profit]/Table2[Sales]</f>
        <v>-0.21249999999999999</v>
      </c>
    </row>
    <row r="347" spans="1:23" x14ac:dyDescent="0.25">
      <c r="A347">
        <v>346</v>
      </c>
      <c r="B347" t="s">
        <v>2344</v>
      </c>
      <c r="C347" s="1">
        <v>41786</v>
      </c>
      <c r="D347" s="1">
        <v>41786</v>
      </c>
      <c r="E347" t="s">
        <v>1278</v>
      </c>
      <c r="F347" t="s">
        <v>1597</v>
      </c>
      <c r="G347" t="s">
        <v>1598</v>
      </c>
      <c r="H347" t="s">
        <v>40</v>
      </c>
      <c r="I347" t="s">
        <v>26</v>
      </c>
      <c r="J347" t="s">
        <v>941</v>
      </c>
      <c r="K347" t="s">
        <v>42</v>
      </c>
      <c r="L347">
        <v>92105</v>
      </c>
      <c r="M347" t="s">
        <v>43</v>
      </c>
      <c r="N347" t="s">
        <v>919</v>
      </c>
      <c r="O347" t="s">
        <v>31</v>
      </c>
      <c r="P347" t="s">
        <v>55</v>
      </c>
      <c r="Q347" t="s">
        <v>920</v>
      </c>
      <c r="R347">
        <v>567.12</v>
      </c>
      <c r="S347">
        <v>10</v>
      </c>
      <c r="T347">
        <v>0.2</v>
      </c>
      <c r="U347">
        <v>-28.356000000000002</v>
      </c>
      <c r="V347" t="str">
        <f t="shared" si="5"/>
        <v>Maya Herman</v>
      </c>
      <c r="W347">
        <f>Table2[Profit]/Table2[Sales]</f>
        <v>-0.05</v>
      </c>
    </row>
    <row r="348" spans="1:23" x14ac:dyDescent="0.25">
      <c r="A348">
        <v>347</v>
      </c>
      <c r="B348" t="s">
        <v>2345</v>
      </c>
      <c r="C348" s="1">
        <v>42449</v>
      </c>
      <c r="D348" s="1">
        <v>42451</v>
      </c>
      <c r="E348" t="s">
        <v>22</v>
      </c>
      <c r="F348" t="s">
        <v>2346</v>
      </c>
      <c r="G348" t="s">
        <v>2347</v>
      </c>
      <c r="H348" t="s">
        <v>25</v>
      </c>
      <c r="I348" t="s">
        <v>26</v>
      </c>
      <c r="J348" t="s">
        <v>2348</v>
      </c>
      <c r="K348" t="s">
        <v>208</v>
      </c>
      <c r="L348">
        <v>60201</v>
      </c>
      <c r="M348" t="s">
        <v>104</v>
      </c>
      <c r="N348" t="s">
        <v>2349</v>
      </c>
      <c r="O348" t="s">
        <v>70</v>
      </c>
      <c r="P348" t="s">
        <v>71</v>
      </c>
      <c r="Q348" t="s">
        <v>2350</v>
      </c>
      <c r="R348">
        <v>11.992000000000001</v>
      </c>
      <c r="S348">
        <v>1</v>
      </c>
      <c r="T348">
        <v>0.2</v>
      </c>
      <c r="U348">
        <v>0.89939999999999998</v>
      </c>
      <c r="V348" t="str">
        <f t="shared" si="5"/>
        <v>Peter Bühler</v>
      </c>
      <c r="W348">
        <f>Table2[Profit]/Table2[Sales]</f>
        <v>7.4999999999999997E-2</v>
      </c>
    </row>
    <row r="349" spans="1:23" x14ac:dyDescent="0.25">
      <c r="A349">
        <v>348</v>
      </c>
      <c r="B349" t="s">
        <v>2351</v>
      </c>
      <c r="C349" s="1">
        <v>43010</v>
      </c>
      <c r="D349" s="1">
        <v>43014</v>
      </c>
      <c r="E349" t="s">
        <v>49</v>
      </c>
      <c r="F349" t="s">
        <v>2352</v>
      </c>
      <c r="G349" t="s">
        <v>2353</v>
      </c>
      <c r="H349" t="s">
        <v>25</v>
      </c>
      <c r="I349" t="s">
        <v>26</v>
      </c>
      <c r="J349" t="s">
        <v>2354</v>
      </c>
      <c r="K349" t="s">
        <v>235</v>
      </c>
      <c r="L349">
        <v>48183</v>
      </c>
      <c r="M349" t="s">
        <v>104</v>
      </c>
      <c r="N349" t="s">
        <v>2355</v>
      </c>
      <c r="O349" t="s">
        <v>45</v>
      </c>
      <c r="P349" t="s">
        <v>74</v>
      </c>
      <c r="Q349" t="s">
        <v>2356</v>
      </c>
      <c r="R349">
        <v>58.05</v>
      </c>
      <c r="S349">
        <v>3</v>
      </c>
      <c r="T349">
        <v>0</v>
      </c>
      <c r="U349">
        <v>26.702999999999999</v>
      </c>
      <c r="V349" t="str">
        <f t="shared" si="5"/>
        <v>Roland Fjeld</v>
      </c>
      <c r="W349">
        <f>Table2[Profit]/Table2[Sales]</f>
        <v>0.46</v>
      </c>
    </row>
    <row r="350" spans="1:23" x14ac:dyDescent="0.25">
      <c r="A350">
        <v>349</v>
      </c>
      <c r="B350" t="s">
        <v>2361</v>
      </c>
      <c r="C350" s="1">
        <v>42467</v>
      </c>
      <c r="D350" s="1">
        <v>42469</v>
      </c>
      <c r="E350" t="s">
        <v>185</v>
      </c>
      <c r="F350" t="s">
        <v>2362</v>
      </c>
      <c r="G350" t="s">
        <v>2363</v>
      </c>
      <c r="H350" t="s">
        <v>40</v>
      </c>
      <c r="I350" t="s">
        <v>26</v>
      </c>
      <c r="J350" t="s">
        <v>126</v>
      </c>
      <c r="K350" t="s">
        <v>42</v>
      </c>
      <c r="L350">
        <v>94110</v>
      </c>
      <c r="M350" t="s">
        <v>43</v>
      </c>
      <c r="N350" t="s">
        <v>2364</v>
      </c>
      <c r="O350" t="s">
        <v>70</v>
      </c>
      <c r="P350" t="s">
        <v>1204</v>
      </c>
      <c r="Q350" t="s">
        <v>2365</v>
      </c>
      <c r="R350">
        <v>1199.9760000000001</v>
      </c>
      <c r="S350">
        <v>3</v>
      </c>
      <c r="T350">
        <v>0.2</v>
      </c>
      <c r="U350">
        <v>374.99250000000001</v>
      </c>
      <c r="V350" t="str">
        <f t="shared" si="5"/>
        <v>Yoseph Carroll</v>
      </c>
      <c r="W350">
        <f>Table2[Profit]/Table2[Sales]</f>
        <v>0.3125</v>
      </c>
    </row>
    <row r="351" spans="1:23" x14ac:dyDescent="0.25">
      <c r="A351">
        <v>350</v>
      </c>
      <c r="B351" t="s">
        <v>2366</v>
      </c>
      <c r="C351" s="1">
        <v>42345</v>
      </c>
      <c r="D351" s="1">
        <v>42350</v>
      </c>
      <c r="E351" t="s">
        <v>49</v>
      </c>
      <c r="F351" t="s">
        <v>1956</v>
      </c>
      <c r="G351" t="s">
        <v>1957</v>
      </c>
      <c r="H351" t="s">
        <v>25</v>
      </c>
      <c r="I351" t="s">
        <v>26</v>
      </c>
      <c r="J351" t="s">
        <v>41</v>
      </c>
      <c r="K351" t="s">
        <v>42</v>
      </c>
      <c r="L351">
        <v>90036</v>
      </c>
      <c r="M351" t="s">
        <v>43</v>
      </c>
      <c r="N351" t="s">
        <v>2152</v>
      </c>
      <c r="O351" t="s">
        <v>31</v>
      </c>
      <c r="P351" t="s">
        <v>64</v>
      </c>
      <c r="Q351" t="s">
        <v>2153</v>
      </c>
      <c r="R351">
        <v>79.92</v>
      </c>
      <c r="S351">
        <v>4</v>
      </c>
      <c r="T351">
        <v>0</v>
      </c>
      <c r="U351">
        <v>28.7712</v>
      </c>
      <c r="V351" t="str">
        <f t="shared" si="5"/>
        <v>Melanie Seite</v>
      </c>
      <c r="W351">
        <f>Table2[Profit]/Table2[Sales]</f>
        <v>0.36</v>
      </c>
    </row>
    <row r="352" spans="1:23" x14ac:dyDescent="0.25">
      <c r="A352">
        <v>351</v>
      </c>
      <c r="B352" t="s">
        <v>2367</v>
      </c>
      <c r="C352" s="1">
        <v>42631</v>
      </c>
      <c r="D352" s="1">
        <v>42635</v>
      </c>
      <c r="E352" t="s">
        <v>49</v>
      </c>
      <c r="F352" t="s">
        <v>1993</v>
      </c>
      <c r="G352" t="s">
        <v>1994</v>
      </c>
      <c r="H352" t="s">
        <v>40</v>
      </c>
      <c r="I352" t="s">
        <v>26</v>
      </c>
      <c r="J352" t="s">
        <v>1507</v>
      </c>
      <c r="K352" t="s">
        <v>53</v>
      </c>
      <c r="L352">
        <v>32216</v>
      </c>
      <c r="M352" t="s">
        <v>29</v>
      </c>
      <c r="N352" t="s">
        <v>2368</v>
      </c>
      <c r="O352" t="s">
        <v>31</v>
      </c>
      <c r="P352" t="s">
        <v>55</v>
      </c>
      <c r="Q352" t="s">
        <v>2369</v>
      </c>
      <c r="R352">
        <v>383.43799999999999</v>
      </c>
      <c r="S352">
        <v>4</v>
      </c>
      <c r="T352">
        <v>0.45</v>
      </c>
      <c r="U352">
        <v>-167.3184</v>
      </c>
      <c r="V352" t="str">
        <f t="shared" si="5"/>
        <v>Nona Balk</v>
      </c>
      <c r="W352">
        <f>Table2[Profit]/Table2[Sales]</f>
        <v>-0.43636363636363634</v>
      </c>
    </row>
    <row r="353" spans="1:23" x14ac:dyDescent="0.25">
      <c r="A353">
        <v>352</v>
      </c>
      <c r="B353" t="s">
        <v>2370</v>
      </c>
      <c r="C353" s="1">
        <v>42002</v>
      </c>
      <c r="D353" s="1">
        <v>42006</v>
      </c>
      <c r="E353" t="s">
        <v>49</v>
      </c>
      <c r="F353" t="s">
        <v>2371</v>
      </c>
      <c r="G353" t="s">
        <v>2372</v>
      </c>
      <c r="H353" t="s">
        <v>25</v>
      </c>
      <c r="I353" t="s">
        <v>26</v>
      </c>
      <c r="J353" t="s">
        <v>2373</v>
      </c>
      <c r="K353" t="s">
        <v>226</v>
      </c>
      <c r="L353">
        <v>55016</v>
      </c>
      <c r="M353" t="s">
        <v>104</v>
      </c>
      <c r="N353" t="s">
        <v>2208</v>
      </c>
      <c r="O353" t="s">
        <v>45</v>
      </c>
      <c r="P353" t="s">
        <v>58</v>
      </c>
      <c r="Q353" t="s">
        <v>2209</v>
      </c>
      <c r="R353">
        <v>24.56</v>
      </c>
      <c r="S353">
        <v>2</v>
      </c>
      <c r="T353">
        <v>0</v>
      </c>
      <c r="U353">
        <v>6.8768000000000002</v>
      </c>
      <c r="V353" t="str">
        <f t="shared" si="5"/>
        <v>Debra Catini</v>
      </c>
      <c r="W353">
        <f>Table2[Profit]/Table2[Sales]</f>
        <v>0.28000000000000003</v>
      </c>
    </row>
    <row r="354" spans="1:23" x14ac:dyDescent="0.25">
      <c r="A354">
        <v>353</v>
      </c>
      <c r="B354" t="s">
        <v>2374</v>
      </c>
      <c r="C354" s="1">
        <v>42939</v>
      </c>
      <c r="D354" s="1">
        <v>42944</v>
      </c>
      <c r="E354" t="s">
        <v>49</v>
      </c>
      <c r="F354" t="s">
        <v>2375</v>
      </c>
      <c r="G354" t="s">
        <v>2376</v>
      </c>
      <c r="H354" t="s">
        <v>40</v>
      </c>
      <c r="I354" t="s">
        <v>26</v>
      </c>
      <c r="J354" t="s">
        <v>263</v>
      </c>
      <c r="K354" t="s">
        <v>264</v>
      </c>
      <c r="L354">
        <v>10009</v>
      </c>
      <c r="M354" t="s">
        <v>145</v>
      </c>
      <c r="N354" t="s">
        <v>1988</v>
      </c>
      <c r="O354" t="s">
        <v>45</v>
      </c>
      <c r="P354" t="s">
        <v>74</v>
      </c>
      <c r="Q354" t="s">
        <v>1989</v>
      </c>
      <c r="R354">
        <v>13.128</v>
      </c>
      <c r="S354">
        <v>3</v>
      </c>
      <c r="T354">
        <v>0.2</v>
      </c>
      <c r="U354">
        <v>4.2666000000000004</v>
      </c>
      <c r="V354" t="str">
        <f t="shared" si="5"/>
        <v>Christine Phan</v>
      </c>
      <c r="W354">
        <f>Table2[Profit]/Table2[Sales]</f>
        <v>0.32500000000000001</v>
      </c>
    </row>
    <row r="355" spans="1:23" x14ac:dyDescent="0.25">
      <c r="A355">
        <v>354</v>
      </c>
      <c r="B355" t="s">
        <v>2377</v>
      </c>
      <c r="C355" s="1">
        <v>42996</v>
      </c>
      <c r="D355" s="1">
        <v>43000</v>
      </c>
      <c r="E355" t="s">
        <v>49</v>
      </c>
      <c r="F355" t="s">
        <v>2378</v>
      </c>
      <c r="G355" t="s">
        <v>2379</v>
      </c>
      <c r="H355" t="s">
        <v>40</v>
      </c>
      <c r="I355" t="s">
        <v>26</v>
      </c>
      <c r="J355" t="s">
        <v>1820</v>
      </c>
      <c r="K355" t="s">
        <v>113</v>
      </c>
      <c r="L355">
        <v>54302</v>
      </c>
      <c r="M355" t="s">
        <v>104</v>
      </c>
      <c r="N355" t="s">
        <v>553</v>
      </c>
      <c r="O355" t="s">
        <v>45</v>
      </c>
      <c r="P355" t="s">
        <v>89</v>
      </c>
      <c r="Q355" t="s">
        <v>2156</v>
      </c>
      <c r="R355">
        <v>22.72</v>
      </c>
      <c r="S355">
        <v>4</v>
      </c>
      <c r="T355">
        <v>0</v>
      </c>
      <c r="U355">
        <v>10.224</v>
      </c>
      <c r="V355" t="str">
        <f t="shared" si="5"/>
        <v>Barry Französisch</v>
      </c>
      <c r="W355">
        <f>Table2[Profit]/Table2[Sales]</f>
        <v>0.45</v>
      </c>
    </row>
    <row r="356" spans="1:23" x14ac:dyDescent="0.25">
      <c r="A356">
        <v>355</v>
      </c>
      <c r="B356" t="s">
        <v>2380</v>
      </c>
      <c r="C356" s="1">
        <v>42247</v>
      </c>
      <c r="D356" s="1">
        <v>42252</v>
      </c>
      <c r="E356" t="s">
        <v>49</v>
      </c>
      <c r="F356" t="s">
        <v>1986</v>
      </c>
      <c r="G356" t="s">
        <v>1987</v>
      </c>
      <c r="H356" t="s">
        <v>25</v>
      </c>
      <c r="I356" t="s">
        <v>26</v>
      </c>
      <c r="J356" t="s">
        <v>41</v>
      </c>
      <c r="K356" t="s">
        <v>42</v>
      </c>
      <c r="L356">
        <v>90004</v>
      </c>
      <c r="M356" t="s">
        <v>43</v>
      </c>
      <c r="N356" t="s">
        <v>1872</v>
      </c>
      <c r="O356" t="s">
        <v>45</v>
      </c>
      <c r="P356" t="s">
        <v>89</v>
      </c>
      <c r="Q356" t="s">
        <v>1873</v>
      </c>
      <c r="R356">
        <v>58.32</v>
      </c>
      <c r="S356">
        <v>9</v>
      </c>
      <c r="T356">
        <v>0</v>
      </c>
      <c r="U356">
        <v>27.993600000000001</v>
      </c>
      <c r="V356" t="str">
        <f t="shared" si="5"/>
        <v>Andrew Roberts</v>
      </c>
      <c r="W356">
        <f>Table2[Profit]/Table2[Sales]</f>
        <v>0.48</v>
      </c>
    </row>
    <row r="357" spans="1:23" x14ac:dyDescent="0.25">
      <c r="A357">
        <v>356</v>
      </c>
      <c r="B357" t="s">
        <v>2381</v>
      </c>
      <c r="C357" s="1">
        <v>43042</v>
      </c>
      <c r="D357" s="1">
        <v>43046</v>
      </c>
      <c r="E357" t="s">
        <v>49</v>
      </c>
      <c r="F357" t="s">
        <v>364</v>
      </c>
      <c r="G357" t="s">
        <v>365</v>
      </c>
      <c r="H357" t="s">
        <v>40</v>
      </c>
      <c r="I357" t="s">
        <v>26</v>
      </c>
      <c r="J357" t="s">
        <v>1712</v>
      </c>
      <c r="K357" t="s">
        <v>1260</v>
      </c>
      <c r="L357">
        <v>30318</v>
      </c>
      <c r="M357" t="s">
        <v>29</v>
      </c>
      <c r="N357" t="s">
        <v>2382</v>
      </c>
      <c r="O357" t="s">
        <v>45</v>
      </c>
      <c r="P357" t="s">
        <v>46</v>
      </c>
      <c r="Q357" t="s">
        <v>2383</v>
      </c>
      <c r="R357">
        <v>12.39</v>
      </c>
      <c r="S357">
        <v>3</v>
      </c>
      <c r="T357">
        <v>0</v>
      </c>
      <c r="U357">
        <v>5.6993999999999998</v>
      </c>
      <c r="V357" t="str">
        <f t="shared" si="5"/>
        <v>Julie Creighton</v>
      </c>
      <c r="W357">
        <f>Table2[Profit]/Table2[Sales]</f>
        <v>0.45999999999999996</v>
      </c>
    </row>
    <row r="358" spans="1:23" x14ac:dyDescent="0.25">
      <c r="A358">
        <v>357</v>
      </c>
      <c r="B358" t="s">
        <v>2384</v>
      </c>
      <c r="C358" s="1">
        <v>42043</v>
      </c>
      <c r="D358" s="1">
        <v>42048</v>
      </c>
      <c r="E358" t="s">
        <v>49</v>
      </c>
      <c r="F358" t="s">
        <v>2385</v>
      </c>
      <c r="G358" t="s">
        <v>2386</v>
      </c>
      <c r="H358" t="s">
        <v>25</v>
      </c>
      <c r="I358" t="s">
        <v>26</v>
      </c>
      <c r="J358" t="s">
        <v>490</v>
      </c>
      <c r="K358" t="s">
        <v>491</v>
      </c>
      <c r="L358">
        <v>43229</v>
      </c>
      <c r="M358" t="s">
        <v>145</v>
      </c>
      <c r="N358" t="s">
        <v>685</v>
      </c>
      <c r="O358" t="s">
        <v>70</v>
      </c>
      <c r="P358" t="s">
        <v>71</v>
      </c>
      <c r="Q358" t="s">
        <v>686</v>
      </c>
      <c r="R358">
        <v>107.982</v>
      </c>
      <c r="S358">
        <v>3</v>
      </c>
      <c r="T358">
        <v>0.4</v>
      </c>
      <c r="U358">
        <v>-26.9955</v>
      </c>
      <c r="V358" t="str">
        <f t="shared" si="5"/>
        <v>Lisa Hazard</v>
      </c>
      <c r="W358">
        <f>Table2[Profit]/Table2[Sales]</f>
        <v>-0.25</v>
      </c>
    </row>
    <row r="359" spans="1:23" x14ac:dyDescent="0.25">
      <c r="A359">
        <v>358</v>
      </c>
      <c r="B359" t="s">
        <v>2387</v>
      </c>
      <c r="C359" s="1">
        <v>41652</v>
      </c>
      <c r="D359" s="1">
        <v>41654</v>
      </c>
      <c r="E359" t="s">
        <v>22</v>
      </c>
      <c r="F359" t="s">
        <v>2388</v>
      </c>
      <c r="G359" t="s">
        <v>2389</v>
      </c>
      <c r="H359" t="s">
        <v>40</v>
      </c>
      <c r="I359" t="s">
        <v>26</v>
      </c>
      <c r="J359" t="s">
        <v>2390</v>
      </c>
      <c r="K359" t="s">
        <v>729</v>
      </c>
      <c r="L359">
        <v>71111</v>
      </c>
      <c r="M359" t="s">
        <v>29</v>
      </c>
      <c r="N359" t="s">
        <v>661</v>
      </c>
      <c r="O359" t="s">
        <v>45</v>
      </c>
      <c r="P359" t="s">
        <v>170</v>
      </c>
      <c r="Q359" t="s">
        <v>662</v>
      </c>
      <c r="R359">
        <v>11.36</v>
      </c>
      <c r="S359">
        <v>2</v>
      </c>
      <c r="T359">
        <v>0</v>
      </c>
      <c r="U359">
        <v>5.3391999999999999</v>
      </c>
      <c r="V359" t="str">
        <f t="shared" si="5"/>
        <v>Chris Selesnick</v>
      </c>
      <c r="W359">
        <f>Table2[Profit]/Table2[Sales]</f>
        <v>0.47000000000000003</v>
      </c>
    </row>
    <row r="360" spans="1:23" x14ac:dyDescent="0.25">
      <c r="A360">
        <v>359</v>
      </c>
      <c r="B360" t="s">
        <v>2399</v>
      </c>
      <c r="C360" s="1">
        <v>41773</v>
      </c>
      <c r="D360" s="1">
        <v>41779</v>
      </c>
      <c r="E360" t="s">
        <v>49</v>
      </c>
      <c r="F360" t="s">
        <v>2400</v>
      </c>
      <c r="G360" t="s">
        <v>2401</v>
      </c>
      <c r="H360" t="s">
        <v>40</v>
      </c>
      <c r="I360" t="s">
        <v>26</v>
      </c>
      <c r="J360" t="s">
        <v>1141</v>
      </c>
      <c r="K360" t="s">
        <v>53</v>
      </c>
      <c r="L360">
        <v>33710</v>
      </c>
      <c r="M360" t="s">
        <v>29</v>
      </c>
      <c r="N360" t="s">
        <v>2402</v>
      </c>
      <c r="O360" t="s">
        <v>31</v>
      </c>
      <c r="P360" t="s">
        <v>64</v>
      </c>
      <c r="Q360" t="s">
        <v>2403</v>
      </c>
      <c r="R360">
        <v>310.88</v>
      </c>
      <c r="S360">
        <v>2</v>
      </c>
      <c r="T360">
        <v>0.2</v>
      </c>
      <c r="U360">
        <v>23.315999999999999</v>
      </c>
      <c r="V360" t="str">
        <f t="shared" si="5"/>
        <v>Anthony Johnson</v>
      </c>
      <c r="W360">
        <f>Table2[Profit]/Table2[Sales]</f>
        <v>7.4999999999999997E-2</v>
      </c>
    </row>
    <row r="361" spans="1:23" x14ac:dyDescent="0.25">
      <c r="A361">
        <v>360</v>
      </c>
      <c r="B361" t="s">
        <v>2404</v>
      </c>
      <c r="C361" s="1">
        <v>42509</v>
      </c>
      <c r="D361" s="1">
        <v>42514</v>
      </c>
      <c r="E361" t="s">
        <v>49</v>
      </c>
      <c r="F361" t="s">
        <v>817</v>
      </c>
      <c r="G361" t="s">
        <v>818</v>
      </c>
      <c r="H361" t="s">
        <v>25</v>
      </c>
      <c r="I361" t="s">
        <v>26</v>
      </c>
      <c r="J361" t="s">
        <v>1119</v>
      </c>
      <c r="K361" t="s">
        <v>312</v>
      </c>
      <c r="L361">
        <v>22204</v>
      </c>
      <c r="M361" t="s">
        <v>29</v>
      </c>
      <c r="N361" t="s">
        <v>2405</v>
      </c>
      <c r="O361" t="s">
        <v>31</v>
      </c>
      <c r="P361" t="s">
        <v>35</v>
      </c>
      <c r="Q361" t="s">
        <v>2406</v>
      </c>
      <c r="R361">
        <v>641.96</v>
      </c>
      <c r="S361">
        <v>2</v>
      </c>
      <c r="T361">
        <v>0</v>
      </c>
      <c r="U361">
        <v>179.74879999999999</v>
      </c>
      <c r="V361" t="str">
        <f t="shared" si="5"/>
        <v>Laurel Elliston</v>
      </c>
      <c r="W361">
        <f>Table2[Profit]/Table2[Sales]</f>
        <v>0.27999999999999997</v>
      </c>
    </row>
    <row r="362" spans="1:23" x14ac:dyDescent="0.25">
      <c r="A362">
        <v>361</v>
      </c>
      <c r="B362" t="s">
        <v>2407</v>
      </c>
      <c r="C362" s="1">
        <v>42765</v>
      </c>
      <c r="D362" s="1">
        <v>42771</v>
      </c>
      <c r="E362" t="s">
        <v>49</v>
      </c>
      <c r="F362" t="s">
        <v>2408</v>
      </c>
      <c r="G362" t="s">
        <v>2409</v>
      </c>
      <c r="H362" t="s">
        <v>40</v>
      </c>
      <c r="I362" t="s">
        <v>26</v>
      </c>
      <c r="J362" t="s">
        <v>1366</v>
      </c>
      <c r="K362" t="s">
        <v>482</v>
      </c>
      <c r="L362">
        <v>50315</v>
      </c>
      <c r="M362" t="s">
        <v>104</v>
      </c>
      <c r="N362" t="s">
        <v>2410</v>
      </c>
      <c r="O362" t="s">
        <v>45</v>
      </c>
      <c r="P362" t="s">
        <v>74</v>
      </c>
      <c r="Q362" t="s">
        <v>2411</v>
      </c>
      <c r="R362">
        <v>18.28</v>
      </c>
      <c r="S362">
        <v>2</v>
      </c>
      <c r="T362">
        <v>0</v>
      </c>
      <c r="U362">
        <v>9.14</v>
      </c>
      <c r="V362" t="str">
        <f t="shared" si="5"/>
        <v>Benjamin Venier</v>
      </c>
      <c r="W362">
        <f>Table2[Profit]/Table2[Sales]</f>
        <v>0.5</v>
      </c>
    </row>
    <row r="363" spans="1:23" x14ac:dyDescent="0.25">
      <c r="A363">
        <v>362</v>
      </c>
      <c r="B363" t="s">
        <v>2418</v>
      </c>
      <c r="C363" s="1">
        <v>41819</v>
      </c>
      <c r="D363" s="1">
        <v>41826</v>
      </c>
      <c r="E363" t="s">
        <v>49</v>
      </c>
      <c r="F363" t="s">
        <v>2419</v>
      </c>
      <c r="G363" t="s">
        <v>2420</v>
      </c>
      <c r="H363" t="s">
        <v>25</v>
      </c>
      <c r="I363" t="s">
        <v>26</v>
      </c>
      <c r="J363" t="s">
        <v>999</v>
      </c>
      <c r="K363" t="s">
        <v>491</v>
      </c>
      <c r="L363">
        <v>45231</v>
      </c>
      <c r="M363" t="s">
        <v>145</v>
      </c>
      <c r="N363" t="s">
        <v>2421</v>
      </c>
      <c r="O363" t="s">
        <v>45</v>
      </c>
      <c r="P363" t="s">
        <v>67</v>
      </c>
      <c r="Q363" t="s">
        <v>2422</v>
      </c>
      <c r="R363">
        <v>32.76</v>
      </c>
      <c r="S363">
        <v>7</v>
      </c>
      <c r="T363">
        <v>0.2</v>
      </c>
      <c r="U363">
        <v>3.6855000000000002</v>
      </c>
      <c r="V363" t="str">
        <f t="shared" si="5"/>
        <v>Dan Lawera</v>
      </c>
      <c r="W363">
        <f>Table2[Profit]/Table2[Sales]</f>
        <v>0.11250000000000002</v>
      </c>
    </row>
    <row r="364" spans="1:23" x14ac:dyDescent="0.25">
      <c r="A364">
        <v>363</v>
      </c>
      <c r="B364" t="s">
        <v>2423</v>
      </c>
      <c r="C364" s="1">
        <v>42237</v>
      </c>
      <c r="D364" s="1">
        <v>42239</v>
      </c>
      <c r="E364" t="s">
        <v>185</v>
      </c>
      <c r="F364" t="s">
        <v>1060</v>
      </c>
      <c r="G364" t="s">
        <v>1061</v>
      </c>
      <c r="H364" t="s">
        <v>101</v>
      </c>
      <c r="I364" t="s">
        <v>26</v>
      </c>
      <c r="J364" t="s">
        <v>126</v>
      </c>
      <c r="K364" t="s">
        <v>42</v>
      </c>
      <c r="L364">
        <v>94110</v>
      </c>
      <c r="M364" t="s">
        <v>43</v>
      </c>
      <c r="N364" t="s">
        <v>2424</v>
      </c>
      <c r="O364" t="s">
        <v>31</v>
      </c>
      <c r="P364" t="s">
        <v>35</v>
      </c>
      <c r="Q364" t="s">
        <v>2425</v>
      </c>
      <c r="R364">
        <v>544.00800000000004</v>
      </c>
      <c r="S364">
        <v>3</v>
      </c>
      <c r="T364">
        <v>0.2</v>
      </c>
      <c r="U364">
        <v>40.800600000000003</v>
      </c>
      <c r="V364" t="str">
        <f t="shared" si="5"/>
        <v>Nick Zandusky</v>
      </c>
      <c r="W364">
        <f>Table2[Profit]/Table2[Sales]</f>
        <v>7.4999999999999997E-2</v>
      </c>
    </row>
    <row r="365" spans="1:23" x14ac:dyDescent="0.25">
      <c r="A365">
        <v>364</v>
      </c>
      <c r="B365" t="s">
        <v>2428</v>
      </c>
      <c r="C365" s="1">
        <v>42280</v>
      </c>
      <c r="D365" s="1">
        <v>42283</v>
      </c>
      <c r="E365" t="s">
        <v>22</v>
      </c>
      <c r="F365" t="s">
        <v>2429</v>
      </c>
      <c r="G365" t="s">
        <v>2430</v>
      </c>
      <c r="H365" t="s">
        <v>25</v>
      </c>
      <c r="I365" t="s">
        <v>26</v>
      </c>
      <c r="J365" t="s">
        <v>490</v>
      </c>
      <c r="K365" t="s">
        <v>491</v>
      </c>
      <c r="L365">
        <v>43229</v>
      </c>
      <c r="M365" t="s">
        <v>145</v>
      </c>
      <c r="N365" t="s">
        <v>1574</v>
      </c>
      <c r="O365" t="s">
        <v>45</v>
      </c>
      <c r="P365" t="s">
        <v>74</v>
      </c>
      <c r="Q365" t="s">
        <v>1575</v>
      </c>
      <c r="R365">
        <v>32.07</v>
      </c>
      <c r="S365">
        <v>5</v>
      </c>
      <c r="T365">
        <v>0.7</v>
      </c>
      <c r="U365">
        <v>-22.449000000000002</v>
      </c>
      <c r="V365" t="str">
        <f t="shared" si="5"/>
        <v>Bryan Mills</v>
      </c>
      <c r="W365">
        <f>Table2[Profit]/Table2[Sales]</f>
        <v>-0.70000000000000007</v>
      </c>
    </row>
    <row r="366" spans="1:23" x14ac:dyDescent="0.25">
      <c r="A366">
        <v>365</v>
      </c>
      <c r="B366" t="s">
        <v>2435</v>
      </c>
      <c r="C366" s="1">
        <v>42147</v>
      </c>
      <c r="D366" s="1">
        <v>42152</v>
      </c>
      <c r="E366" t="s">
        <v>49</v>
      </c>
      <c r="F366" t="s">
        <v>888</v>
      </c>
      <c r="G366" t="s">
        <v>889</v>
      </c>
      <c r="H366" t="s">
        <v>40</v>
      </c>
      <c r="I366" t="s">
        <v>26</v>
      </c>
      <c r="J366" t="s">
        <v>375</v>
      </c>
      <c r="K366" t="s">
        <v>376</v>
      </c>
      <c r="L366">
        <v>29203</v>
      </c>
      <c r="M366" t="s">
        <v>29</v>
      </c>
      <c r="N366" t="s">
        <v>2436</v>
      </c>
      <c r="O366" t="s">
        <v>45</v>
      </c>
      <c r="P366" t="s">
        <v>170</v>
      </c>
      <c r="Q366" t="s">
        <v>2437</v>
      </c>
      <c r="R366">
        <v>186.69</v>
      </c>
      <c r="S366">
        <v>3</v>
      </c>
      <c r="T366">
        <v>0</v>
      </c>
      <c r="U366">
        <v>87.744299999999996</v>
      </c>
      <c r="V366" t="str">
        <f t="shared" si="5"/>
        <v>Erin Ashbrook</v>
      </c>
      <c r="W366">
        <f>Table2[Profit]/Table2[Sales]</f>
        <v>0.47</v>
      </c>
    </row>
    <row r="367" spans="1:23" x14ac:dyDescent="0.25">
      <c r="A367">
        <v>366</v>
      </c>
      <c r="B367" t="s">
        <v>2438</v>
      </c>
      <c r="C367" s="1">
        <v>42811</v>
      </c>
      <c r="D367" s="1">
        <v>42815</v>
      </c>
      <c r="E367" t="s">
        <v>22</v>
      </c>
      <c r="F367" t="s">
        <v>479</v>
      </c>
      <c r="G367" t="s">
        <v>480</v>
      </c>
      <c r="H367" t="s">
        <v>25</v>
      </c>
      <c r="I367" t="s">
        <v>26</v>
      </c>
      <c r="J367" t="s">
        <v>2439</v>
      </c>
      <c r="K367" t="s">
        <v>42</v>
      </c>
      <c r="L367">
        <v>93534</v>
      </c>
      <c r="M367" t="s">
        <v>43</v>
      </c>
      <c r="N367" t="s">
        <v>2440</v>
      </c>
      <c r="O367" t="s">
        <v>45</v>
      </c>
      <c r="P367" t="s">
        <v>74</v>
      </c>
      <c r="Q367" t="s">
        <v>2441</v>
      </c>
      <c r="R367">
        <v>17.456</v>
      </c>
      <c r="S367">
        <v>2</v>
      </c>
      <c r="T367">
        <v>0.2</v>
      </c>
      <c r="U367">
        <v>5.8914</v>
      </c>
      <c r="V367" t="str">
        <f t="shared" si="5"/>
        <v>Clay Ludtke</v>
      </c>
      <c r="W367">
        <f>Table2[Profit]/Table2[Sales]</f>
        <v>0.33750000000000002</v>
      </c>
    </row>
    <row r="368" spans="1:23" x14ac:dyDescent="0.25">
      <c r="A368">
        <v>367</v>
      </c>
      <c r="B368" t="s">
        <v>2442</v>
      </c>
      <c r="C368" s="1">
        <v>42350</v>
      </c>
      <c r="D368" s="1">
        <v>42354</v>
      </c>
      <c r="E368" t="s">
        <v>49</v>
      </c>
      <c r="F368" t="s">
        <v>2443</v>
      </c>
      <c r="G368" t="s">
        <v>2444</v>
      </c>
      <c r="H368" t="s">
        <v>25</v>
      </c>
      <c r="I368" t="s">
        <v>26</v>
      </c>
      <c r="J368" t="s">
        <v>2439</v>
      </c>
      <c r="K368" t="s">
        <v>42</v>
      </c>
      <c r="L368">
        <v>93534</v>
      </c>
      <c r="M368" t="s">
        <v>43</v>
      </c>
      <c r="N368" t="s">
        <v>2445</v>
      </c>
      <c r="O368" t="s">
        <v>31</v>
      </c>
      <c r="P368" t="s">
        <v>35</v>
      </c>
      <c r="Q368" t="s">
        <v>2446</v>
      </c>
      <c r="R368">
        <v>348.928</v>
      </c>
      <c r="S368">
        <v>2</v>
      </c>
      <c r="T368">
        <v>0.2</v>
      </c>
      <c r="U368">
        <v>34.892800000000001</v>
      </c>
      <c r="V368" t="str">
        <f t="shared" si="5"/>
        <v>Liz Thompson</v>
      </c>
      <c r="W368">
        <f>Table2[Profit]/Table2[Sales]</f>
        <v>0.1</v>
      </c>
    </row>
    <row r="369" spans="1:23" x14ac:dyDescent="0.25">
      <c r="A369">
        <v>368</v>
      </c>
      <c r="B369" t="s">
        <v>2447</v>
      </c>
      <c r="C369" s="1">
        <v>42181</v>
      </c>
      <c r="D369" s="1">
        <v>42185</v>
      </c>
      <c r="E369" t="s">
        <v>49</v>
      </c>
      <c r="F369" t="s">
        <v>1650</v>
      </c>
      <c r="G369" t="s">
        <v>1651</v>
      </c>
      <c r="H369" t="s">
        <v>25</v>
      </c>
      <c r="I369" t="s">
        <v>26</v>
      </c>
      <c r="J369" t="s">
        <v>1450</v>
      </c>
      <c r="K369" t="s">
        <v>312</v>
      </c>
      <c r="L369">
        <v>23223</v>
      </c>
      <c r="M369" t="s">
        <v>29</v>
      </c>
      <c r="N369" t="s">
        <v>1480</v>
      </c>
      <c r="O369" t="s">
        <v>45</v>
      </c>
      <c r="P369" t="s">
        <v>74</v>
      </c>
      <c r="Q369" t="s">
        <v>1481</v>
      </c>
      <c r="R369">
        <v>143.96</v>
      </c>
      <c r="S369">
        <v>4</v>
      </c>
      <c r="T369">
        <v>0</v>
      </c>
      <c r="U369">
        <v>69.100800000000007</v>
      </c>
      <c r="V369" t="str">
        <f t="shared" si="5"/>
        <v>Sue Ann Reed</v>
      </c>
      <c r="W369">
        <f>Table2[Profit]/Table2[Sales]</f>
        <v>0.48000000000000004</v>
      </c>
    </row>
    <row r="370" spans="1:23" x14ac:dyDescent="0.25">
      <c r="A370">
        <v>369</v>
      </c>
      <c r="B370" t="s">
        <v>2452</v>
      </c>
      <c r="C370" s="1">
        <v>42510</v>
      </c>
      <c r="D370" s="1">
        <v>42510</v>
      </c>
      <c r="E370" t="s">
        <v>1278</v>
      </c>
      <c r="F370" t="s">
        <v>2453</v>
      </c>
      <c r="G370" t="s">
        <v>2454</v>
      </c>
      <c r="H370" t="s">
        <v>25</v>
      </c>
      <c r="I370" t="s">
        <v>26</v>
      </c>
      <c r="J370" t="s">
        <v>2455</v>
      </c>
      <c r="K370" t="s">
        <v>87</v>
      </c>
      <c r="L370">
        <v>28806</v>
      </c>
      <c r="M370" t="s">
        <v>29</v>
      </c>
      <c r="N370" t="s">
        <v>2456</v>
      </c>
      <c r="O370" t="s">
        <v>70</v>
      </c>
      <c r="P370" t="s">
        <v>71</v>
      </c>
      <c r="Q370" t="s">
        <v>2457</v>
      </c>
      <c r="R370">
        <v>1363.96</v>
      </c>
      <c r="S370">
        <v>5</v>
      </c>
      <c r="T370">
        <v>0.2</v>
      </c>
      <c r="U370">
        <v>85.247500000000002</v>
      </c>
      <c r="V370" t="str">
        <f t="shared" si="5"/>
        <v>Joe Kamberova</v>
      </c>
      <c r="W370">
        <f>Table2[Profit]/Table2[Sales]</f>
        <v>6.25E-2</v>
      </c>
    </row>
    <row r="371" spans="1:23" x14ac:dyDescent="0.25">
      <c r="A371">
        <v>370</v>
      </c>
      <c r="B371" t="s">
        <v>2458</v>
      </c>
      <c r="C371" s="1">
        <v>41902</v>
      </c>
      <c r="D371" s="1">
        <v>41908</v>
      </c>
      <c r="E371" t="s">
        <v>49</v>
      </c>
      <c r="F371" t="s">
        <v>2459</v>
      </c>
      <c r="G371" t="s">
        <v>2460</v>
      </c>
      <c r="H371" t="s">
        <v>25</v>
      </c>
      <c r="I371" t="s">
        <v>26</v>
      </c>
      <c r="J371" t="s">
        <v>126</v>
      </c>
      <c r="K371" t="s">
        <v>42</v>
      </c>
      <c r="L371">
        <v>94110</v>
      </c>
      <c r="M371" t="s">
        <v>43</v>
      </c>
      <c r="N371" t="s">
        <v>2461</v>
      </c>
      <c r="O371" t="s">
        <v>45</v>
      </c>
      <c r="P371" t="s">
        <v>46</v>
      </c>
      <c r="Q371" t="s">
        <v>2462</v>
      </c>
      <c r="R371">
        <v>9.9600000000000009</v>
      </c>
      <c r="S371">
        <v>2</v>
      </c>
      <c r="T371">
        <v>0</v>
      </c>
      <c r="U371">
        <v>4.5815999999999999</v>
      </c>
      <c r="V371" t="str">
        <f t="shared" si="5"/>
        <v>Erica Smith</v>
      </c>
      <c r="W371">
        <f>Table2[Profit]/Table2[Sales]</f>
        <v>0.45999999999999996</v>
      </c>
    </row>
    <row r="372" spans="1:23" x14ac:dyDescent="0.25">
      <c r="A372">
        <v>371</v>
      </c>
      <c r="B372" t="s">
        <v>2463</v>
      </c>
      <c r="C372" s="1">
        <v>42999</v>
      </c>
      <c r="D372" s="1">
        <v>43004</v>
      </c>
      <c r="E372" t="s">
        <v>49</v>
      </c>
      <c r="F372" t="s">
        <v>2464</v>
      </c>
      <c r="G372" t="s">
        <v>2465</v>
      </c>
      <c r="H372" t="s">
        <v>25</v>
      </c>
      <c r="I372" t="s">
        <v>26</v>
      </c>
      <c r="J372" t="s">
        <v>382</v>
      </c>
      <c r="K372" t="s">
        <v>226</v>
      </c>
      <c r="L372">
        <v>55901</v>
      </c>
      <c r="M372" t="s">
        <v>104</v>
      </c>
      <c r="N372" t="s">
        <v>2359</v>
      </c>
      <c r="O372" t="s">
        <v>45</v>
      </c>
      <c r="P372" t="s">
        <v>74</v>
      </c>
      <c r="Q372" t="s">
        <v>2360</v>
      </c>
      <c r="R372">
        <v>20.16</v>
      </c>
      <c r="S372">
        <v>7</v>
      </c>
      <c r="T372">
        <v>0</v>
      </c>
      <c r="U372">
        <v>9.8783999999999992</v>
      </c>
      <c r="V372" t="str">
        <f t="shared" si="5"/>
        <v>Rick Hansen</v>
      </c>
      <c r="W372">
        <f>Table2[Profit]/Table2[Sales]</f>
        <v>0.48999999999999994</v>
      </c>
    </row>
    <row r="373" spans="1:23" x14ac:dyDescent="0.25">
      <c r="A373">
        <v>372</v>
      </c>
      <c r="B373" t="s">
        <v>2466</v>
      </c>
      <c r="C373" s="1">
        <v>42362</v>
      </c>
      <c r="D373" s="1">
        <v>42364</v>
      </c>
      <c r="E373" t="s">
        <v>185</v>
      </c>
      <c r="F373" t="s">
        <v>903</v>
      </c>
      <c r="G373" t="s">
        <v>904</v>
      </c>
      <c r="H373" t="s">
        <v>40</v>
      </c>
      <c r="I373" t="s">
        <v>26</v>
      </c>
      <c r="J373" t="s">
        <v>382</v>
      </c>
      <c r="K373" t="s">
        <v>264</v>
      </c>
      <c r="L373">
        <v>14609</v>
      </c>
      <c r="M373" t="s">
        <v>145</v>
      </c>
      <c r="N373" t="s">
        <v>2467</v>
      </c>
      <c r="O373" t="s">
        <v>45</v>
      </c>
      <c r="P373" t="s">
        <v>89</v>
      </c>
      <c r="Q373" t="s">
        <v>2468</v>
      </c>
      <c r="R373">
        <v>132.79</v>
      </c>
      <c r="S373">
        <v>7</v>
      </c>
      <c r="T373">
        <v>0</v>
      </c>
      <c r="U373">
        <v>63.739199999999997</v>
      </c>
      <c r="V373" t="str">
        <f t="shared" si="5"/>
        <v>David Bremer</v>
      </c>
      <c r="W373">
        <f>Table2[Profit]/Table2[Sales]</f>
        <v>0.48</v>
      </c>
    </row>
    <row r="374" spans="1:23" x14ac:dyDescent="0.25">
      <c r="A374">
        <v>373</v>
      </c>
      <c r="B374" t="s">
        <v>2471</v>
      </c>
      <c r="C374" s="1">
        <v>42335</v>
      </c>
      <c r="D374" s="1">
        <v>42341</v>
      </c>
      <c r="E374" t="s">
        <v>49</v>
      </c>
      <c r="F374" t="s">
        <v>2472</v>
      </c>
      <c r="G374" t="s">
        <v>2473</v>
      </c>
      <c r="H374" t="s">
        <v>25</v>
      </c>
      <c r="I374" t="s">
        <v>26</v>
      </c>
      <c r="J374" t="s">
        <v>2474</v>
      </c>
      <c r="K374" t="s">
        <v>42</v>
      </c>
      <c r="L374">
        <v>92530</v>
      </c>
      <c r="M374" t="s">
        <v>43</v>
      </c>
      <c r="N374" t="s">
        <v>1815</v>
      </c>
      <c r="O374" t="s">
        <v>31</v>
      </c>
      <c r="P374" t="s">
        <v>35</v>
      </c>
      <c r="Q374" t="s">
        <v>1816</v>
      </c>
      <c r="R374">
        <v>283.92</v>
      </c>
      <c r="S374">
        <v>5</v>
      </c>
      <c r="T374">
        <v>0.2</v>
      </c>
      <c r="U374">
        <v>17.745000000000001</v>
      </c>
      <c r="V374" t="str">
        <f t="shared" si="5"/>
        <v>Carlos Daly</v>
      </c>
      <c r="W374">
        <f>Table2[Profit]/Table2[Sales]</f>
        <v>6.25E-2</v>
      </c>
    </row>
    <row r="375" spans="1:23" x14ac:dyDescent="0.25">
      <c r="A375">
        <v>374</v>
      </c>
      <c r="B375" t="s">
        <v>2475</v>
      </c>
      <c r="C375" s="1">
        <v>42786</v>
      </c>
      <c r="D375" s="1">
        <v>42789</v>
      </c>
      <c r="E375" t="s">
        <v>185</v>
      </c>
      <c r="F375" t="s">
        <v>2476</v>
      </c>
      <c r="G375" t="s">
        <v>2477</v>
      </c>
      <c r="H375" t="s">
        <v>40</v>
      </c>
      <c r="I375" t="s">
        <v>26</v>
      </c>
      <c r="J375" t="s">
        <v>941</v>
      </c>
      <c r="K375" t="s">
        <v>42</v>
      </c>
      <c r="L375">
        <v>92105</v>
      </c>
      <c r="M375" t="s">
        <v>43</v>
      </c>
      <c r="N375" t="s">
        <v>2478</v>
      </c>
      <c r="O375" t="s">
        <v>31</v>
      </c>
      <c r="P375" t="s">
        <v>64</v>
      </c>
      <c r="Q375" t="s">
        <v>2479</v>
      </c>
      <c r="R375">
        <v>22.23</v>
      </c>
      <c r="S375">
        <v>1</v>
      </c>
      <c r="T375">
        <v>0</v>
      </c>
      <c r="U375">
        <v>7.3358999999999996</v>
      </c>
      <c r="V375" t="str">
        <f t="shared" si="5"/>
        <v>Helen Wasserman</v>
      </c>
      <c r="W375">
        <f>Table2[Profit]/Table2[Sales]</f>
        <v>0.32999999999999996</v>
      </c>
    </row>
    <row r="376" spans="1:23" x14ac:dyDescent="0.25">
      <c r="A376">
        <v>375</v>
      </c>
      <c r="B376" t="s">
        <v>2480</v>
      </c>
      <c r="C376" s="1">
        <v>42600</v>
      </c>
      <c r="D376" s="1">
        <v>42605</v>
      </c>
      <c r="E376" t="s">
        <v>22</v>
      </c>
      <c r="F376" t="s">
        <v>2476</v>
      </c>
      <c r="G376" t="s">
        <v>2477</v>
      </c>
      <c r="H376" t="s">
        <v>40</v>
      </c>
      <c r="I376" t="s">
        <v>26</v>
      </c>
      <c r="J376" t="s">
        <v>263</v>
      </c>
      <c r="K376" t="s">
        <v>264</v>
      </c>
      <c r="L376">
        <v>10024</v>
      </c>
      <c r="M376" t="s">
        <v>145</v>
      </c>
      <c r="N376" t="s">
        <v>2481</v>
      </c>
      <c r="O376" t="s">
        <v>45</v>
      </c>
      <c r="P376" t="s">
        <v>77</v>
      </c>
      <c r="Q376" t="s">
        <v>2482</v>
      </c>
      <c r="R376">
        <v>355.32</v>
      </c>
      <c r="S376">
        <v>9</v>
      </c>
      <c r="T376">
        <v>0</v>
      </c>
      <c r="U376">
        <v>99.489599999999996</v>
      </c>
      <c r="V376" t="str">
        <f t="shared" si="5"/>
        <v>Helen Wasserman</v>
      </c>
      <c r="W376">
        <f>Table2[Profit]/Table2[Sales]</f>
        <v>0.27999999999999997</v>
      </c>
    </row>
    <row r="377" spans="1:23" x14ac:dyDescent="0.25">
      <c r="A377">
        <v>376</v>
      </c>
      <c r="B377" t="s">
        <v>2483</v>
      </c>
      <c r="C377" s="1">
        <v>42441</v>
      </c>
      <c r="D377" s="1">
        <v>42446</v>
      </c>
      <c r="E377" t="s">
        <v>49</v>
      </c>
      <c r="F377" t="s">
        <v>2484</v>
      </c>
      <c r="G377" t="s">
        <v>2485</v>
      </c>
      <c r="H377" t="s">
        <v>40</v>
      </c>
      <c r="I377" t="s">
        <v>26</v>
      </c>
      <c r="J377" t="s">
        <v>728</v>
      </c>
      <c r="K377" t="s">
        <v>729</v>
      </c>
      <c r="L377">
        <v>71203</v>
      </c>
      <c r="M377" t="s">
        <v>29</v>
      </c>
      <c r="N377" t="s">
        <v>2486</v>
      </c>
      <c r="O377" t="s">
        <v>45</v>
      </c>
      <c r="P377" t="s">
        <v>89</v>
      </c>
      <c r="Q377" t="s">
        <v>2487</v>
      </c>
      <c r="R377">
        <v>12.96</v>
      </c>
      <c r="S377">
        <v>2</v>
      </c>
      <c r="T377">
        <v>0</v>
      </c>
      <c r="U377">
        <v>6.2207999999999997</v>
      </c>
      <c r="V377" t="str">
        <f t="shared" si="5"/>
        <v>Mike Caudle</v>
      </c>
      <c r="W377">
        <f>Table2[Profit]/Table2[Sales]</f>
        <v>0.47999999999999993</v>
      </c>
    </row>
    <row r="378" spans="1:23" x14ac:dyDescent="0.25">
      <c r="A378">
        <v>377</v>
      </c>
      <c r="B378" t="s">
        <v>2488</v>
      </c>
      <c r="C378" s="1">
        <v>42847</v>
      </c>
      <c r="D378" s="1">
        <v>42849</v>
      </c>
      <c r="E378" t="s">
        <v>185</v>
      </c>
      <c r="F378" t="s">
        <v>2489</v>
      </c>
      <c r="G378" t="s">
        <v>2490</v>
      </c>
      <c r="H378" t="s">
        <v>25</v>
      </c>
      <c r="I378" t="s">
        <v>26</v>
      </c>
      <c r="J378" t="s">
        <v>126</v>
      </c>
      <c r="K378" t="s">
        <v>42</v>
      </c>
      <c r="L378">
        <v>94122</v>
      </c>
      <c r="M378" t="s">
        <v>43</v>
      </c>
      <c r="N378" t="s">
        <v>2491</v>
      </c>
      <c r="O378" t="s">
        <v>31</v>
      </c>
      <c r="P378" t="s">
        <v>64</v>
      </c>
      <c r="Q378" t="s">
        <v>2492</v>
      </c>
      <c r="R378">
        <v>18.28</v>
      </c>
      <c r="S378">
        <v>2</v>
      </c>
      <c r="T378">
        <v>0</v>
      </c>
      <c r="U378">
        <v>6.2152000000000003</v>
      </c>
      <c r="V378" t="str">
        <f t="shared" si="5"/>
        <v>Gary McGarr</v>
      </c>
      <c r="W378">
        <f>Table2[Profit]/Table2[Sales]</f>
        <v>0.33999999999999997</v>
      </c>
    </row>
    <row r="379" spans="1:23" x14ac:dyDescent="0.25">
      <c r="A379">
        <v>378</v>
      </c>
      <c r="B379" t="s">
        <v>2493</v>
      </c>
      <c r="C379" s="1">
        <v>41944</v>
      </c>
      <c r="D379" s="1">
        <v>41950</v>
      </c>
      <c r="E379" t="s">
        <v>49</v>
      </c>
      <c r="F379" t="s">
        <v>1318</v>
      </c>
      <c r="G379" t="s">
        <v>1319</v>
      </c>
      <c r="H379" t="s">
        <v>25</v>
      </c>
      <c r="I379" t="s">
        <v>26</v>
      </c>
      <c r="J379" t="s">
        <v>800</v>
      </c>
      <c r="K379" t="s">
        <v>450</v>
      </c>
      <c r="L379">
        <v>80219</v>
      </c>
      <c r="M379" t="s">
        <v>43</v>
      </c>
      <c r="N379" t="s">
        <v>2494</v>
      </c>
      <c r="O379" t="s">
        <v>45</v>
      </c>
      <c r="P379" t="s">
        <v>67</v>
      </c>
      <c r="Q379" t="s">
        <v>2495</v>
      </c>
      <c r="R379">
        <v>43.176000000000002</v>
      </c>
      <c r="S379">
        <v>3</v>
      </c>
      <c r="T379">
        <v>0.2</v>
      </c>
      <c r="U379">
        <v>4.3175999999999997</v>
      </c>
      <c r="V379" t="str">
        <f t="shared" si="5"/>
        <v>Russell Applegate</v>
      </c>
      <c r="W379">
        <f>Table2[Profit]/Table2[Sales]</f>
        <v>9.9999999999999992E-2</v>
      </c>
    </row>
    <row r="380" spans="1:23" x14ac:dyDescent="0.25">
      <c r="A380">
        <v>379</v>
      </c>
      <c r="B380" t="s">
        <v>2498</v>
      </c>
      <c r="C380" s="1">
        <v>42038</v>
      </c>
      <c r="D380" s="1">
        <v>42040</v>
      </c>
      <c r="E380" t="s">
        <v>185</v>
      </c>
      <c r="F380" t="s">
        <v>1797</v>
      </c>
      <c r="G380" t="s">
        <v>1798</v>
      </c>
      <c r="H380" t="s">
        <v>25</v>
      </c>
      <c r="I380" t="s">
        <v>26</v>
      </c>
      <c r="J380" t="s">
        <v>2499</v>
      </c>
      <c r="K380" t="s">
        <v>135</v>
      </c>
      <c r="L380">
        <v>68104</v>
      </c>
      <c r="M380" t="s">
        <v>104</v>
      </c>
      <c r="N380" t="s">
        <v>1478</v>
      </c>
      <c r="O380" t="s">
        <v>31</v>
      </c>
      <c r="P380" t="s">
        <v>64</v>
      </c>
      <c r="Q380" t="s">
        <v>1479</v>
      </c>
      <c r="R380">
        <v>28.4</v>
      </c>
      <c r="S380">
        <v>2</v>
      </c>
      <c r="T380">
        <v>0</v>
      </c>
      <c r="U380">
        <v>11.076000000000001</v>
      </c>
      <c r="V380" t="str">
        <f t="shared" si="5"/>
        <v>Allen Armold</v>
      </c>
      <c r="W380">
        <f>Table2[Profit]/Table2[Sales]</f>
        <v>0.39</v>
      </c>
    </row>
    <row r="381" spans="1:23" x14ac:dyDescent="0.25">
      <c r="A381">
        <v>380</v>
      </c>
      <c r="B381" t="s">
        <v>2502</v>
      </c>
      <c r="C381" s="1">
        <v>41925</v>
      </c>
      <c r="D381" s="1">
        <v>41927</v>
      </c>
      <c r="E381" t="s">
        <v>185</v>
      </c>
      <c r="F381" t="s">
        <v>1946</v>
      </c>
      <c r="G381" t="s">
        <v>1947</v>
      </c>
      <c r="H381" t="s">
        <v>25</v>
      </c>
      <c r="I381" t="s">
        <v>26</v>
      </c>
      <c r="J381" t="s">
        <v>2503</v>
      </c>
      <c r="K381" t="s">
        <v>95</v>
      </c>
      <c r="L381">
        <v>98026</v>
      </c>
      <c r="M381" t="s">
        <v>43</v>
      </c>
      <c r="N381" t="s">
        <v>2504</v>
      </c>
      <c r="O381" t="s">
        <v>45</v>
      </c>
      <c r="P381" t="s">
        <v>67</v>
      </c>
      <c r="Q381" t="s">
        <v>2505</v>
      </c>
      <c r="R381">
        <v>11.52</v>
      </c>
      <c r="S381">
        <v>4</v>
      </c>
      <c r="T381">
        <v>0</v>
      </c>
      <c r="U381">
        <v>3.2256</v>
      </c>
      <c r="V381" t="str">
        <f t="shared" si="5"/>
        <v>Zuschuss Carroll</v>
      </c>
      <c r="W381">
        <f>Table2[Profit]/Table2[Sales]</f>
        <v>0.28000000000000003</v>
      </c>
    </row>
    <row r="382" spans="1:23" x14ac:dyDescent="0.25">
      <c r="A382">
        <v>381</v>
      </c>
      <c r="B382" t="s">
        <v>2508</v>
      </c>
      <c r="C382" s="1">
        <v>42869</v>
      </c>
      <c r="D382" s="1">
        <v>42869</v>
      </c>
      <c r="E382" t="s">
        <v>1278</v>
      </c>
      <c r="F382" t="s">
        <v>2509</v>
      </c>
      <c r="G382" t="s">
        <v>2510</v>
      </c>
      <c r="H382" t="s">
        <v>25</v>
      </c>
      <c r="I382" t="s">
        <v>26</v>
      </c>
      <c r="J382" t="s">
        <v>2511</v>
      </c>
      <c r="K382" t="s">
        <v>42</v>
      </c>
      <c r="L382">
        <v>92704</v>
      </c>
      <c r="M382" t="s">
        <v>43</v>
      </c>
      <c r="N382" t="s">
        <v>2491</v>
      </c>
      <c r="O382" t="s">
        <v>31</v>
      </c>
      <c r="P382" t="s">
        <v>64</v>
      </c>
      <c r="Q382" t="s">
        <v>2492</v>
      </c>
      <c r="R382">
        <v>18.28</v>
      </c>
      <c r="S382">
        <v>2</v>
      </c>
      <c r="T382">
        <v>0</v>
      </c>
      <c r="U382">
        <v>6.2152000000000003</v>
      </c>
      <c r="V382" t="str">
        <f t="shared" si="5"/>
        <v>Pauline Johnson</v>
      </c>
      <c r="W382">
        <f>Table2[Profit]/Table2[Sales]</f>
        <v>0.33999999999999997</v>
      </c>
    </row>
    <row r="383" spans="1:23" x14ac:dyDescent="0.25">
      <c r="A383">
        <v>382</v>
      </c>
      <c r="B383" t="s">
        <v>2514</v>
      </c>
      <c r="C383" s="1">
        <v>42083</v>
      </c>
      <c r="D383" s="1">
        <v>42086</v>
      </c>
      <c r="E383" t="s">
        <v>185</v>
      </c>
      <c r="F383" t="s">
        <v>2515</v>
      </c>
      <c r="G383" t="s">
        <v>2516</v>
      </c>
      <c r="H383" t="s">
        <v>40</v>
      </c>
      <c r="I383" t="s">
        <v>26</v>
      </c>
      <c r="J383" t="s">
        <v>2517</v>
      </c>
      <c r="K383" t="s">
        <v>113</v>
      </c>
      <c r="L383">
        <v>53209</v>
      </c>
      <c r="M383" t="s">
        <v>104</v>
      </c>
      <c r="N383" t="s">
        <v>761</v>
      </c>
      <c r="O383" t="s">
        <v>45</v>
      </c>
      <c r="P383" t="s">
        <v>89</v>
      </c>
      <c r="Q383" t="s">
        <v>762</v>
      </c>
      <c r="R383">
        <v>51.84</v>
      </c>
      <c r="S383">
        <v>8</v>
      </c>
      <c r="T383">
        <v>0</v>
      </c>
      <c r="U383">
        <v>24.883199999999999</v>
      </c>
      <c r="V383" t="str">
        <f t="shared" si="5"/>
        <v>Bart Watters</v>
      </c>
      <c r="W383">
        <f>Table2[Profit]/Table2[Sales]</f>
        <v>0.47999999999999993</v>
      </c>
    </row>
    <row r="384" spans="1:23" x14ac:dyDescent="0.25">
      <c r="A384">
        <v>383</v>
      </c>
      <c r="B384" t="s">
        <v>2518</v>
      </c>
      <c r="C384" s="1">
        <v>42628</v>
      </c>
      <c r="D384" s="1">
        <v>42632</v>
      </c>
      <c r="E384" t="s">
        <v>49</v>
      </c>
      <c r="F384" t="s">
        <v>1748</v>
      </c>
      <c r="G384" t="s">
        <v>1749</v>
      </c>
      <c r="H384" t="s">
        <v>25</v>
      </c>
      <c r="I384" t="s">
        <v>26</v>
      </c>
      <c r="J384" t="s">
        <v>143</v>
      </c>
      <c r="K384" t="s">
        <v>144</v>
      </c>
      <c r="L384">
        <v>19140</v>
      </c>
      <c r="M384" t="s">
        <v>145</v>
      </c>
      <c r="N384" t="s">
        <v>2519</v>
      </c>
      <c r="O384" t="s">
        <v>45</v>
      </c>
      <c r="P384" t="s">
        <v>89</v>
      </c>
      <c r="Q384" t="s">
        <v>2520</v>
      </c>
      <c r="R384">
        <v>5.3440000000000003</v>
      </c>
      <c r="S384">
        <v>1</v>
      </c>
      <c r="T384">
        <v>0.2</v>
      </c>
      <c r="U384">
        <v>1.8704000000000001</v>
      </c>
      <c r="V384" t="str">
        <f t="shared" si="5"/>
        <v>Dean Braden</v>
      </c>
      <c r="W384">
        <f>Table2[Profit]/Table2[Sales]</f>
        <v>0.35</v>
      </c>
    </row>
    <row r="385" spans="1:23" x14ac:dyDescent="0.25">
      <c r="A385">
        <v>384</v>
      </c>
      <c r="B385" t="s">
        <v>2521</v>
      </c>
      <c r="C385" s="1">
        <v>41818</v>
      </c>
      <c r="D385" s="1">
        <v>41822</v>
      </c>
      <c r="E385" t="s">
        <v>49</v>
      </c>
      <c r="F385" t="s">
        <v>1880</v>
      </c>
      <c r="G385" t="s">
        <v>1881</v>
      </c>
      <c r="H385" t="s">
        <v>25</v>
      </c>
      <c r="I385" t="s">
        <v>26</v>
      </c>
      <c r="J385" t="s">
        <v>143</v>
      </c>
      <c r="K385" t="s">
        <v>144</v>
      </c>
      <c r="L385">
        <v>19140</v>
      </c>
      <c r="M385" t="s">
        <v>145</v>
      </c>
      <c r="N385" t="s">
        <v>397</v>
      </c>
      <c r="O385" t="s">
        <v>45</v>
      </c>
      <c r="P385" t="s">
        <v>89</v>
      </c>
      <c r="Q385" t="s">
        <v>398</v>
      </c>
      <c r="R385">
        <v>41.472000000000001</v>
      </c>
      <c r="S385">
        <v>8</v>
      </c>
      <c r="T385">
        <v>0.2</v>
      </c>
      <c r="U385">
        <v>14.5152</v>
      </c>
      <c r="V385" t="str">
        <f t="shared" si="5"/>
        <v>Cynthia Arntzen</v>
      </c>
      <c r="W385">
        <f>Table2[Profit]/Table2[Sales]</f>
        <v>0.35</v>
      </c>
    </row>
    <row r="386" spans="1:23" x14ac:dyDescent="0.25">
      <c r="A386">
        <v>385</v>
      </c>
      <c r="B386" t="s">
        <v>2530</v>
      </c>
      <c r="C386" s="1">
        <v>42906</v>
      </c>
      <c r="D386" s="1">
        <v>42913</v>
      </c>
      <c r="E386" t="s">
        <v>49</v>
      </c>
      <c r="F386" t="s">
        <v>2531</v>
      </c>
      <c r="G386" t="s">
        <v>2532</v>
      </c>
      <c r="H386" t="s">
        <v>25</v>
      </c>
      <c r="I386" t="s">
        <v>26</v>
      </c>
      <c r="J386" t="s">
        <v>1085</v>
      </c>
      <c r="K386" t="s">
        <v>781</v>
      </c>
      <c r="L386">
        <v>7109</v>
      </c>
      <c r="M386" t="s">
        <v>145</v>
      </c>
      <c r="N386" t="s">
        <v>2533</v>
      </c>
      <c r="O386" t="s">
        <v>70</v>
      </c>
      <c r="P386" t="s">
        <v>158</v>
      </c>
      <c r="Q386" t="s">
        <v>2534</v>
      </c>
      <c r="R386">
        <v>239.97</v>
      </c>
      <c r="S386">
        <v>3</v>
      </c>
      <c r="T386">
        <v>0</v>
      </c>
      <c r="U386">
        <v>71.991</v>
      </c>
      <c r="V386" t="str">
        <f t="shared" si="5"/>
        <v>Toby Ritter</v>
      </c>
      <c r="W386">
        <f>Table2[Profit]/Table2[Sales]</f>
        <v>0.3</v>
      </c>
    </row>
    <row r="387" spans="1:23" x14ac:dyDescent="0.25">
      <c r="A387">
        <v>386</v>
      </c>
      <c r="B387" t="s">
        <v>2535</v>
      </c>
      <c r="C387" s="1">
        <v>41768</v>
      </c>
      <c r="D387" s="1">
        <v>41774</v>
      </c>
      <c r="E387" t="s">
        <v>49</v>
      </c>
      <c r="F387" t="s">
        <v>2536</v>
      </c>
      <c r="G387" t="s">
        <v>2537</v>
      </c>
      <c r="H387" t="s">
        <v>25</v>
      </c>
      <c r="I387" t="s">
        <v>26</v>
      </c>
      <c r="J387" t="s">
        <v>126</v>
      </c>
      <c r="K387" t="s">
        <v>42</v>
      </c>
      <c r="L387">
        <v>94110</v>
      </c>
      <c r="M387" t="s">
        <v>43</v>
      </c>
      <c r="N387" t="s">
        <v>2538</v>
      </c>
      <c r="O387" t="s">
        <v>70</v>
      </c>
      <c r="P387" t="s">
        <v>158</v>
      </c>
      <c r="Q387" t="s">
        <v>2539</v>
      </c>
      <c r="R387">
        <v>67.8</v>
      </c>
      <c r="S387">
        <v>4</v>
      </c>
      <c r="T387">
        <v>0</v>
      </c>
      <c r="U387">
        <v>4.0679999999999996</v>
      </c>
      <c r="V387" t="str">
        <f t="shared" ref="V387:V450" si="6">TRIM(G387)</f>
        <v>Patrick Gardner</v>
      </c>
      <c r="W387">
        <f>Table2[Profit]/Table2[Sales]</f>
        <v>0.06</v>
      </c>
    </row>
    <row r="388" spans="1:23" x14ac:dyDescent="0.25">
      <c r="A388">
        <v>387</v>
      </c>
      <c r="B388" t="s">
        <v>2540</v>
      </c>
      <c r="C388" s="1">
        <v>42968</v>
      </c>
      <c r="D388" s="1">
        <v>42975</v>
      </c>
      <c r="E388" t="s">
        <v>49</v>
      </c>
      <c r="F388" t="s">
        <v>1852</v>
      </c>
      <c r="G388" t="s">
        <v>1853</v>
      </c>
      <c r="H388" t="s">
        <v>25</v>
      </c>
      <c r="I388" t="s">
        <v>26</v>
      </c>
      <c r="J388" t="s">
        <v>926</v>
      </c>
      <c r="K388" t="s">
        <v>226</v>
      </c>
      <c r="L388">
        <v>55044</v>
      </c>
      <c r="M388" t="s">
        <v>104</v>
      </c>
      <c r="N388" t="s">
        <v>2541</v>
      </c>
      <c r="O388" t="s">
        <v>45</v>
      </c>
      <c r="P388" t="s">
        <v>266</v>
      </c>
      <c r="Q388" t="s">
        <v>2542</v>
      </c>
      <c r="R388">
        <v>35</v>
      </c>
      <c r="S388">
        <v>7</v>
      </c>
      <c r="T388">
        <v>0</v>
      </c>
      <c r="U388">
        <v>16.8</v>
      </c>
      <c r="V388" t="str">
        <f t="shared" si="6"/>
        <v>Greg Tran</v>
      </c>
      <c r="W388">
        <f>Table2[Profit]/Table2[Sales]</f>
        <v>0.48000000000000004</v>
      </c>
    </row>
    <row r="389" spans="1:23" x14ac:dyDescent="0.25">
      <c r="A389">
        <v>388</v>
      </c>
      <c r="B389" t="s">
        <v>2547</v>
      </c>
      <c r="C389" s="1">
        <v>42902</v>
      </c>
      <c r="D389" s="1">
        <v>42907</v>
      </c>
      <c r="E389" t="s">
        <v>22</v>
      </c>
      <c r="F389" t="s">
        <v>325</v>
      </c>
      <c r="G389" t="s">
        <v>326</v>
      </c>
      <c r="H389" t="s">
        <v>25</v>
      </c>
      <c r="I389" t="s">
        <v>26</v>
      </c>
      <c r="J389" t="s">
        <v>2548</v>
      </c>
      <c r="K389" t="s">
        <v>28</v>
      </c>
      <c r="L389">
        <v>41042</v>
      </c>
      <c r="M389" t="s">
        <v>29</v>
      </c>
      <c r="N389" t="s">
        <v>2549</v>
      </c>
      <c r="O389" t="s">
        <v>31</v>
      </c>
      <c r="P389" t="s">
        <v>35</v>
      </c>
      <c r="Q389" t="s">
        <v>2550</v>
      </c>
      <c r="R389">
        <v>301.95999999999998</v>
      </c>
      <c r="S389">
        <v>2</v>
      </c>
      <c r="T389">
        <v>0</v>
      </c>
      <c r="U389">
        <v>90.587999999999994</v>
      </c>
      <c r="V389" t="str">
        <f t="shared" si="6"/>
        <v>Joel Eaton</v>
      </c>
      <c r="W389">
        <f>Table2[Profit]/Table2[Sales]</f>
        <v>0.3</v>
      </c>
    </row>
    <row r="390" spans="1:23" x14ac:dyDescent="0.25">
      <c r="A390">
        <v>389</v>
      </c>
      <c r="B390" t="s">
        <v>2555</v>
      </c>
      <c r="C390" s="1">
        <v>42574</v>
      </c>
      <c r="D390" s="1">
        <v>42578</v>
      </c>
      <c r="E390" t="s">
        <v>49</v>
      </c>
      <c r="F390" t="s">
        <v>697</v>
      </c>
      <c r="G390" t="s">
        <v>698</v>
      </c>
      <c r="H390" t="s">
        <v>40</v>
      </c>
      <c r="I390" t="s">
        <v>26</v>
      </c>
      <c r="J390" t="s">
        <v>893</v>
      </c>
      <c r="K390" t="s">
        <v>53</v>
      </c>
      <c r="L390">
        <v>33614</v>
      </c>
      <c r="M390" t="s">
        <v>29</v>
      </c>
      <c r="N390" t="s">
        <v>2556</v>
      </c>
      <c r="O390" t="s">
        <v>45</v>
      </c>
      <c r="P390" t="s">
        <v>67</v>
      </c>
      <c r="Q390" t="s">
        <v>2557</v>
      </c>
      <c r="R390">
        <v>35.216000000000001</v>
      </c>
      <c r="S390">
        <v>2</v>
      </c>
      <c r="T390">
        <v>0.2</v>
      </c>
      <c r="U390">
        <v>2.6412</v>
      </c>
      <c r="V390" t="str">
        <f t="shared" si="6"/>
        <v>Jennifer Braxton</v>
      </c>
      <c r="W390">
        <f>Table2[Profit]/Table2[Sales]</f>
        <v>7.4999999999999997E-2</v>
      </c>
    </row>
    <row r="391" spans="1:23" x14ac:dyDescent="0.25">
      <c r="A391">
        <v>390</v>
      </c>
      <c r="B391" t="s">
        <v>2560</v>
      </c>
      <c r="C391" s="1">
        <v>41890</v>
      </c>
      <c r="D391" s="1">
        <v>41895</v>
      </c>
      <c r="E391" t="s">
        <v>22</v>
      </c>
      <c r="F391" t="s">
        <v>2385</v>
      </c>
      <c r="G391" t="s">
        <v>2386</v>
      </c>
      <c r="H391" t="s">
        <v>25</v>
      </c>
      <c r="I391" t="s">
        <v>26</v>
      </c>
      <c r="J391" t="s">
        <v>2170</v>
      </c>
      <c r="K391" t="s">
        <v>103</v>
      </c>
      <c r="L391">
        <v>75701</v>
      </c>
      <c r="M391" t="s">
        <v>104</v>
      </c>
      <c r="N391" t="s">
        <v>2561</v>
      </c>
      <c r="O391" t="s">
        <v>45</v>
      </c>
      <c r="P391" t="s">
        <v>74</v>
      </c>
      <c r="Q391" t="s">
        <v>2562</v>
      </c>
      <c r="R391">
        <v>51.183999999999997</v>
      </c>
      <c r="S391">
        <v>4</v>
      </c>
      <c r="T391">
        <v>0.8</v>
      </c>
      <c r="U391">
        <v>-79.3352</v>
      </c>
      <c r="V391" t="str">
        <f t="shared" si="6"/>
        <v>Lisa Hazard</v>
      </c>
      <c r="W391">
        <f>Table2[Profit]/Table2[Sales]</f>
        <v>-1.55</v>
      </c>
    </row>
    <row r="392" spans="1:23" x14ac:dyDescent="0.25">
      <c r="A392">
        <v>391</v>
      </c>
      <c r="B392" t="s">
        <v>2563</v>
      </c>
      <c r="C392" s="1">
        <v>43043</v>
      </c>
      <c r="D392" s="1">
        <v>43050</v>
      </c>
      <c r="E392" t="s">
        <v>49</v>
      </c>
      <c r="F392" t="s">
        <v>2564</v>
      </c>
      <c r="G392" t="s">
        <v>2565</v>
      </c>
      <c r="H392" t="s">
        <v>101</v>
      </c>
      <c r="I392" t="s">
        <v>26</v>
      </c>
      <c r="J392" t="s">
        <v>375</v>
      </c>
      <c r="K392" t="s">
        <v>328</v>
      </c>
      <c r="L392">
        <v>38401</v>
      </c>
      <c r="M392" t="s">
        <v>29</v>
      </c>
      <c r="N392" t="s">
        <v>2566</v>
      </c>
      <c r="O392" t="s">
        <v>45</v>
      </c>
      <c r="P392" t="s">
        <v>89</v>
      </c>
      <c r="Q392" t="s">
        <v>2567</v>
      </c>
      <c r="R392">
        <v>9.6639999999999997</v>
      </c>
      <c r="S392">
        <v>2</v>
      </c>
      <c r="T392">
        <v>0.2</v>
      </c>
      <c r="U392">
        <v>3.2616000000000001</v>
      </c>
      <c r="V392" t="str">
        <f t="shared" si="6"/>
        <v>James Lanier</v>
      </c>
      <c r="W392">
        <f>Table2[Profit]/Table2[Sales]</f>
        <v>0.33750000000000002</v>
      </c>
    </row>
    <row r="393" spans="1:23" x14ac:dyDescent="0.25">
      <c r="A393">
        <v>392</v>
      </c>
      <c r="B393" t="s">
        <v>2568</v>
      </c>
      <c r="C393" s="1">
        <v>42436</v>
      </c>
      <c r="D393" s="1">
        <v>42441</v>
      </c>
      <c r="E393" t="s">
        <v>49</v>
      </c>
      <c r="F393" t="s">
        <v>1552</v>
      </c>
      <c r="G393" t="s">
        <v>1553</v>
      </c>
      <c r="H393" t="s">
        <v>40</v>
      </c>
      <c r="I393" t="s">
        <v>26</v>
      </c>
      <c r="J393" t="s">
        <v>102</v>
      </c>
      <c r="K393" t="s">
        <v>103</v>
      </c>
      <c r="L393">
        <v>76106</v>
      </c>
      <c r="M393" t="s">
        <v>104</v>
      </c>
      <c r="N393" t="s">
        <v>1549</v>
      </c>
      <c r="O393" t="s">
        <v>70</v>
      </c>
      <c r="P393" t="s">
        <v>71</v>
      </c>
      <c r="Q393" t="s">
        <v>1550</v>
      </c>
      <c r="R393">
        <v>21.071999999999999</v>
      </c>
      <c r="S393">
        <v>3</v>
      </c>
      <c r="T393">
        <v>0.2</v>
      </c>
      <c r="U393">
        <v>1.5804</v>
      </c>
      <c r="V393" t="str">
        <f t="shared" si="6"/>
        <v>Ed Braxton</v>
      </c>
      <c r="W393">
        <f>Table2[Profit]/Table2[Sales]</f>
        <v>7.5000000000000011E-2</v>
      </c>
    </row>
    <row r="394" spans="1:23" x14ac:dyDescent="0.25">
      <c r="A394">
        <v>393</v>
      </c>
      <c r="B394" t="s">
        <v>2569</v>
      </c>
      <c r="C394" s="1">
        <v>42328</v>
      </c>
      <c r="D394" s="1">
        <v>42333</v>
      </c>
      <c r="E394" t="s">
        <v>49</v>
      </c>
      <c r="F394" t="s">
        <v>2570</v>
      </c>
      <c r="G394" t="s">
        <v>2571</v>
      </c>
      <c r="H394" t="s">
        <v>40</v>
      </c>
      <c r="I394" t="s">
        <v>26</v>
      </c>
      <c r="J394" t="s">
        <v>263</v>
      </c>
      <c r="K394" t="s">
        <v>264</v>
      </c>
      <c r="L394">
        <v>10035</v>
      </c>
      <c r="M394" t="s">
        <v>145</v>
      </c>
      <c r="N394" t="s">
        <v>2414</v>
      </c>
      <c r="O394" t="s">
        <v>45</v>
      </c>
      <c r="P394" t="s">
        <v>67</v>
      </c>
      <c r="Q394" t="s">
        <v>2415</v>
      </c>
      <c r="R394">
        <v>60.45</v>
      </c>
      <c r="S394">
        <v>3</v>
      </c>
      <c r="T394">
        <v>0</v>
      </c>
      <c r="U394">
        <v>16.3215</v>
      </c>
      <c r="V394" t="str">
        <f t="shared" si="6"/>
        <v>Brian Moss</v>
      </c>
      <c r="W394">
        <f>Table2[Profit]/Table2[Sales]</f>
        <v>0.27</v>
      </c>
    </row>
    <row r="395" spans="1:23" x14ac:dyDescent="0.25">
      <c r="A395">
        <v>394</v>
      </c>
      <c r="B395" t="s">
        <v>2576</v>
      </c>
      <c r="C395" s="1">
        <v>42681</v>
      </c>
      <c r="D395" s="1">
        <v>42683</v>
      </c>
      <c r="E395" t="s">
        <v>185</v>
      </c>
      <c r="F395" t="s">
        <v>2577</v>
      </c>
      <c r="G395" t="s">
        <v>2578</v>
      </c>
      <c r="H395" t="s">
        <v>40</v>
      </c>
      <c r="I395" t="s">
        <v>26</v>
      </c>
      <c r="J395" t="s">
        <v>41</v>
      </c>
      <c r="K395" t="s">
        <v>42</v>
      </c>
      <c r="L395">
        <v>90036</v>
      </c>
      <c r="M395" t="s">
        <v>43</v>
      </c>
      <c r="N395" t="s">
        <v>2579</v>
      </c>
      <c r="O395" t="s">
        <v>45</v>
      </c>
      <c r="P395" t="s">
        <v>74</v>
      </c>
      <c r="Q395" t="s">
        <v>2580</v>
      </c>
      <c r="R395">
        <v>37.44</v>
      </c>
      <c r="S395">
        <v>4</v>
      </c>
      <c r="T395">
        <v>0.2</v>
      </c>
      <c r="U395">
        <v>11.7</v>
      </c>
      <c r="V395" t="str">
        <f t="shared" si="6"/>
        <v>Eudokia Martin</v>
      </c>
      <c r="W395">
        <f>Table2[Profit]/Table2[Sales]</f>
        <v>0.3125</v>
      </c>
    </row>
    <row r="396" spans="1:23" x14ac:dyDescent="0.25">
      <c r="A396">
        <v>395</v>
      </c>
      <c r="B396" t="s">
        <v>2585</v>
      </c>
      <c r="C396" s="1">
        <v>42290</v>
      </c>
      <c r="D396" s="1">
        <v>42294</v>
      </c>
      <c r="E396" t="s">
        <v>49</v>
      </c>
      <c r="F396" t="s">
        <v>2586</v>
      </c>
      <c r="G396" t="s">
        <v>2587</v>
      </c>
      <c r="H396" t="s">
        <v>25</v>
      </c>
      <c r="I396" t="s">
        <v>26</v>
      </c>
      <c r="J396" t="s">
        <v>1459</v>
      </c>
      <c r="K396" t="s">
        <v>28</v>
      </c>
      <c r="L396">
        <v>40214</v>
      </c>
      <c r="M396" t="s">
        <v>29</v>
      </c>
      <c r="N396" t="s">
        <v>759</v>
      </c>
      <c r="O396" t="s">
        <v>70</v>
      </c>
      <c r="P396" t="s">
        <v>71</v>
      </c>
      <c r="Q396" t="s">
        <v>760</v>
      </c>
      <c r="R396">
        <v>83.72</v>
      </c>
      <c r="S396">
        <v>7</v>
      </c>
      <c r="T396">
        <v>0</v>
      </c>
      <c r="U396">
        <v>23.441600000000001</v>
      </c>
      <c r="V396" t="str">
        <f t="shared" si="6"/>
        <v>Art Foster</v>
      </c>
      <c r="W396">
        <f>Table2[Profit]/Table2[Sales]</f>
        <v>0.28000000000000003</v>
      </c>
    </row>
    <row r="397" spans="1:23" x14ac:dyDescent="0.25">
      <c r="A397">
        <v>396</v>
      </c>
      <c r="B397" t="s">
        <v>2588</v>
      </c>
      <c r="C397" s="1">
        <v>42736</v>
      </c>
      <c r="D397" s="1">
        <v>42741</v>
      </c>
      <c r="E397" t="s">
        <v>49</v>
      </c>
      <c r="F397" t="s">
        <v>2589</v>
      </c>
      <c r="G397" t="s">
        <v>2590</v>
      </c>
      <c r="H397" t="s">
        <v>25</v>
      </c>
      <c r="I397" t="s">
        <v>26</v>
      </c>
      <c r="J397" t="s">
        <v>2591</v>
      </c>
      <c r="K397" t="s">
        <v>491</v>
      </c>
      <c r="L397">
        <v>44052</v>
      </c>
      <c r="M397" t="s">
        <v>145</v>
      </c>
      <c r="N397" t="s">
        <v>2592</v>
      </c>
      <c r="O397" t="s">
        <v>31</v>
      </c>
      <c r="P397" t="s">
        <v>64</v>
      </c>
      <c r="Q397" t="s">
        <v>2593</v>
      </c>
      <c r="R397">
        <v>48.896000000000001</v>
      </c>
      <c r="S397">
        <v>4</v>
      </c>
      <c r="T397">
        <v>0.2</v>
      </c>
      <c r="U397">
        <v>8.5568000000000008</v>
      </c>
      <c r="V397" t="str">
        <f t="shared" si="6"/>
        <v>Guy Armstrong</v>
      </c>
      <c r="W397">
        <f>Table2[Profit]/Table2[Sales]</f>
        <v>0.17500000000000002</v>
      </c>
    </row>
    <row r="398" spans="1:23" x14ac:dyDescent="0.25">
      <c r="A398">
        <v>397</v>
      </c>
      <c r="B398" t="s">
        <v>2594</v>
      </c>
      <c r="C398" s="1">
        <v>41677</v>
      </c>
      <c r="D398" s="1">
        <v>41682</v>
      </c>
      <c r="E398" t="s">
        <v>49</v>
      </c>
      <c r="F398" t="s">
        <v>2595</v>
      </c>
      <c r="G398" t="s">
        <v>2596</v>
      </c>
      <c r="H398" t="s">
        <v>40</v>
      </c>
      <c r="I398" t="s">
        <v>26</v>
      </c>
      <c r="J398" t="s">
        <v>2597</v>
      </c>
      <c r="K398" t="s">
        <v>781</v>
      </c>
      <c r="L398">
        <v>7036</v>
      </c>
      <c r="M398" t="s">
        <v>145</v>
      </c>
      <c r="N398" t="s">
        <v>2598</v>
      </c>
      <c r="O398" t="s">
        <v>70</v>
      </c>
      <c r="P398" t="s">
        <v>158</v>
      </c>
      <c r="Q398" t="s">
        <v>2599</v>
      </c>
      <c r="R398">
        <v>115.36</v>
      </c>
      <c r="S398">
        <v>7</v>
      </c>
      <c r="T398">
        <v>0</v>
      </c>
      <c r="U398">
        <v>49.604799999999997</v>
      </c>
      <c r="V398" t="str">
        <f t="shared" si="6"/>
        <v>Cyma Kinney</v>
      </c>
      <c r="W398">
        <f>Table2[Profit]/Table2[Sales]</f>
        <v>0.43</v>
      </c>
    </row>
    <row r="399" spans="1:23" x14ac:dyDescent="0.25">
      <c r="A399">
        <v>398</v>
      </c>
      <c r="B399" t="s">
        <v>2600</v>
      </c>
      <c r="C399" s="1">
        <v>42541</v>
      </c>
      <c r="D399" s="1">
        <v>42546</v>
      </c>
      <c r="E399" t="s">
        <v>22</v>
      </c>
      <c r="F399" t="s">
        <v>2601</v>
      </c>
      <c r="G399" t="s">
        <v>2602</v>
      </c>
      <c r="H399" t="s">
        <v>40</v>
      </c>
      <c r="I399" t="s">
        <v>26</v>
      </c>
      <c r="J399" t="s">
        <v>2603</v>
      </c>
      <c r="K399" t="s">
        <v>42</v>
      </c>
      <c r="L399">
        <v>93905</v>
      </c>
      <c r="M399" t="s">
        <v>43</v>
      </c>
      <c r="N399" t="s">
        <v>2604</v>
      </c>
      <c r="O399" t="s">
        <v>45</v>
      </c>
      <c r="P399" t="s">
        <v>67</v>
      </c>
      <c r="Q399" t="s">
        <v>2605</v>
      </c>
      <c r="R399">
        <v>5.16</v>
      </c>
      <c r="S399">
        <v>2</v>
      </c>
      <c r="T399">
        <v>0</v>
      </c>
      <c r="U399">
        <v>1.3415999999999999</v>
      </c>
      <c r="V399" t="str">
        <f t="shared" si="6"/>
        <v>Dave Poirier</v>
      </c>
      <c r="W399">
        <f>Table2[Profit]/Table2[Sales]</f>
        <v>0.25999999999999995</v>
      </c>
    </row>
    <row r="400" spans="1:23" x14ac:dyDescent="0.25">
      <c r="A400">
        <v>399</v>
      </c>
      <c r="B400" t="s">
        <v>2608</v>
      </c>
      <c r="C400" s="1">
        <v>42518</v>
      </c>
      <c r="D400" s="1">
        <v>42525</v>
      </c>
      <c r="E400" t="s">
        <v>49</v>
      </c>
      <c r="F400" t="s">
        <v>881</v>
      </c>
      <c r="G400" t="s">
        <v>882</v>
      </c>
      <c r="H400" t="s">
        <v>25</v>
      </c>
      <c r="I400" t="s">
        <v>26</v>
      </c>
      <c r="J400" t="s">
        <v>321</v>
      </c>
      <c r="K400" t="s">
        <v>1473</v>
      </c>
      <c r="L400">
        <v>39212</v>
      </c>
      <c r="M400" t="s">
        <v>29</v>
      </c>
      <c r="N400" t="s">
        <v>1149</v>
      </c>
      <c r="O400" t="s">
        <v>45</v>
      </c>
      <c r="P400" t="s">
        <v>67</v>
      </c>
      <c r="Q400" t="s">
        <v>1150</v>
      </c>
      <c r="R400">
        <v>185.88</v>
      </c>
      <c r="S400">
        <v>6</v>
      </c>
      <c r="T400">
        <v>0</v>
      </c>
      <c r="U400">
        <v>50.187600000000003</v>
      </c>
      <c r="V400" t="str">
        <f t="shared" si="6"/>
        <v>Valerie Dominguez</v>
      </c>
      <c r="W400">
        <f>Table2[Profit]/Table2[Sales]</f>
        <v>0.27</v>
      </c>
    </row>
    <row r="401" spans="1:23" x14ac:dyDescent="0.25">
      <c r="A401">
        <v>400</v>
      </c>
      <c r="B401" t="s">
        <v>2609</v>
      </c>
      <c r="C401" s="1">
        <v>42419</v>
      </c>
      <c r="D401" s="1">
        <v>42424</v>
      </c>
      <c r="E401" t="s">
        <v>49</v>
      </c>
      <c r="F401" t="s">
        <v>1852</v>
      </c>
      <c r="G401" t="s">
        <v>1853</v>
      </c>
      <c r="H401" t="s">
        <v>25</v>
      </c>
      <c r="I401" t="s">
        <v>26</v>
      </c>
      <c r="J401" t="s">
        <v>263</v>
      </c>
      <c r="K401" t="s">
        <v>264</v>
      </c>
      <c r="L401">
        <v>10035</v>
      </c>
      <c r="M401" t="s">
        <v>145</v>
      </c>
      <c r="N401" t="s">
        <v>2478</v>
      </c>
      <c r="O401" t="s">
        <v>31</v>
      </c>
      <c r="P401" t="s">
        <v>64</v>
      </c>
      <c r="Q401" t="s">
        <v>2479</v>
      </c>
      <c r="R401">
        <v>44.46</v>
      </c>
      <c r="S401">
        <v>2</v>
      </c>
      <c r="T401">
        <v>0</v>
      </c>
      <c r="U401">
        <v>14.671799999999999</v>
      </c>
      <c r="V401" t="str">
        <f t="shared" si="6"/>
        <v>Greg Tran</v>
      </c>
      <c r="W401">
        <f>Table2[Profit]/Table2[Sales]</f>
        <v>0.32999999999999996</v>
      </c>
    </row>
    <row r="402" spans="1:23" x14ac:dyDescent="0.25">
      <c r="A402">
        <v>401</v>
      </c>
      <c r="B402" t="s">
        <v>2610</v>
      </c>
      <c r="C402" s="1">
        <v>41854</v>
      </c>
      <c r="D402" s="1">
        <v>41859</v>
      </c>
      <c r="E402" t="s">
        <v>49</v>
      </c>
      <c r="F402" t="s">
        <v>2611</v>
      </c>
      <c r="G402" t="s">
        <v>2612</v>
      </c>
      <c r="H402" t="s">
        <v>25</v>
      </c>
      <c r="I402" t="s">
        <v>26</v>
      </c>
      <c r="J402" t="s">
        <v>263</v>
      </c>
      <c r="K402" t="s">
        <v>264</v>
      </c>
      <c r="L402">
        <v>10035</v>
      </c>
      <c r="M402" t="s">
        <v>145</v>
      </c>
      <c r="N402" t="s">
        <v>2613</v>
      </c>
      <c r="O402" t="s">
        <v>45</v>
      </c>
      <c r="P402" t="s">
        <v>89</v>
      </c>
      <c r="Q402" t="s">
        <v>2614</v>
      </c>
      <c r="R402">
        <v>39.96</v>
      </c>
      <c r="S402">
        <v>2</v>
      </c>
      <c r="T402">
        <v>0</v>
      </c>
      <c r="U402">
        <v>18.781199999999998</v>
      </c>
      <c r="V402" t="str">
        <f t="shared" si="6"/>
        <v>Berenike Kampe</v>
      </c>
      <c r="W402">
        <f>Table2[Profit]/Table2[Sales]</f>
        <v>0.47</v>
      </c>
    </row>
    <row r="403" spans="1:23" x14ac:dyDescent="0.25">
      <c r="A403">
        <v>402</v>
      </c>
      <c r="B403" t="s">
        <v>2619</v>
      </c>
      <c r="C403" s="1">
        <v>42835</v>
      </c>
      <c r="D403" s="1">
        <v>42840</v>
      </c>
      <c r="E403" t="s">
        <v>49</v>
      </c>
      <c r="F403" t="s">
        <v>2620</v>
      </c>
      <c r="G403" t="s">
        <v>2621</v>
      </c>
      <c r="H403" t="s">
        <v>101</v>
      </c>
      <c r="I403" t="s">
        <v>26</v>
      </c>
      <c r="J403" t="s">
        <v>2622</v>
      </c>
      <c r="K403" t="s">
        <v>781</v>
      </c>
      <c r="L403">
        <v>8901</v>
      </c>
      <c r="M403" t="s">
        <v>145</v>
      </c>
      <c r="N403" t="s">
        <v>942</v>
      </c>
      <c r="O403" t="s">
        <v>45</v>
      </c>
      <c r="P403" t="s">
        <v>89</v>
      </c>
      <c r="Q403" t="s">
        <v>943</v>
      </c>
      <c r="R403">
        <v>7.61</v>
      </c>
      <c r="S403">
        <v>1</v>
      </c>
      <c r="T403">
        <v>0</v>
      </c>
      <c r="U403">
        <v>3.5767000000000002</v>
      </c>
      <c r="V403" t="str">
        <f t="shared" si="6"/>
        <v>Sanjit Jacobs</v>
      </c>
      <c r="W403">
        <f>Table2[Profit]/Table2[Sales]</f>
        <v>0.47000000000000003</v>
      </c>
    </row>
    <row r="404" spans="1:23" x14ac:dyDescent="0.25">
      <c r="A404">
        <v>403</v>
      </c>
      <c r="B404" t="s">
        <v>2623</v>
      </c>
      <c r="C404" s="1">
        <v>41799</v>
      </c>
      <c r="D404" s="1">
        <v>41806</v>
      </c>
      <c r="E404" t="s">
        <v>49</v>
      </c>
      <c r="F404" t="s">
        <v>2624</v>
      </c>
      <c r="G404" t="s">
        <v>2625</v>
      </c>
      <c r="H404" t="s">
        <v>25</v>
      </c>
      <c r="I404" t="s">
        <v>26</v>
      </c>
      <c r="J404" t="s">
        <v>126</v>
      </c>
      <c r="K404" t="s">
        <v>42</v>
      </c>
      <c r="L404">
        <v>94122</v>
      </c>
      <c r="M404" t="s">
        <v>43</v>
      </c>
      <c r="N404" t="s">
        <v>1284</v>
      </c>
      <c r="O404" t="s">
        <v>45</v>
      </c>
      <c r="P404" t="s">
        <v>572</v>
      </c>
      <c r="Q404" t="s">
        <v>1285</v>
      </c>
      <c r="R404">
        <v>7.36</v>
      </c>
      <c r="S404">
        <v>2</v>
      </c>
      <c r="T404">
        <v>0</v>
      </c>
      <c r="U404">
        <v>0.1472</v>
      </c>
      <c r="V404" t="str">
        <f t="shared" si="6"/>
        <v>Chuck Magee</v>
      </c>
      <c r="W404">
        <f>Table2[Profit]/Table2[Sales]</f>
        <v>0.02</v>
      </c>
    </row>
    <row r="405" spans="1:23" x14ac:dyDescent="0.25">
      <c r="A405">
        <v>404</v>
      </c>
      <c r="B405" t="s">
        <v>2628</v>
      </c>
      <c r="C405" s="1">
        <v>42374</v>
      </c>
      <c r="D405" s="1">
        <v>42376</v>
      </c>
      <c r="E405" t="s">
        <v>22</v>
      </c>
      <c r="F405" t="s">
        <v>2400</v>
      </c>
      <c r="G405" t="s">
        <v>2401</v>
      </c>
      <c r="H405" t="s">
        <v>40</v>
      </c>
      <c r="I405" t="s">
        <v>26</v>
      </c>
      <c r="J405" t="s">
        <v>1507</v>
      </c>
      <c r="K405" t="s">
        <v>53</v>
      </c>
      <c r="L405">
        <v>32216</v>
      </c>
      <c r="M405" t="s">
        <v>29</v>
      </c>
      <c r="N405" t="s">
        <v>2629</v>
      </c>
      <c r="O405" t="s">
        <v>70</v>
      </c>
      <c r="P405" t="s">
        <v>158</v>
      </c>
      <c r="Q405" t="s">
        <v>2630</v>
      </c>
      <c r="R405">
        <v>191.47200000000001</v>
      </c>
      <c r="S405">
        <v>6</v>
      </c>
      <c r="T405">
        <v>0.2</v>
      </c>
      <c r="U405">
        <v>40.687800000000003</v>
      </c>
      <c r="V405" t="str">
        <f t="shared" si="6"/>
        <v>Anthony Johnson</v>
      </c>
      <c r="W405">
        <f>Table2[Profit]/Table2[Sales]</f>
        <v>0.21249999999999999</v>
      </c>
    </row>
    <row r="406" spans="1:23" x14ac:dyDescent="0.25">
      <c r="A406">
        <v>405</v>
      </c>
      <c r="B406" t="s">
        <v>2635</v>
      </c>
      <c r="C406" s="1">
        <v>41649</v>
      </c>
      <c r="D406" s="1">
        <v>41654</v>
      </c>
      <c r="E406" t="s">
        <v>49</v>
      </c>
      <c r="F406" t="s">
        <v>2636</v>
      </c>
      <c r="G406" t="s">
        <v>2637</v>
      </c>
      <c r="H406" t="s">
        <v>40</v>
      </c>
      <c r="I406" t="s">
        <v>26</v>
      </c>
      <c r="J406" t="s">
        <v>311</v>
      </c>
      <c r="K406" t="s">
        <v>312</v>
      </c>
      <c r="L406">
        <v>22153</v>
      </c>
      <c r="M406" t="s">
        <v>29</v>
      </c>
      <c r="N406" t="s">
        <v>2638</v>
      </c>
      <c r="O406" t="s">
        <v>45</v>
      </c>
      <c r="P406" t="s">
        <v>46</v>
      </c>
      <c r="Q406" t="s">
        <v>2639</v>
      </c>
      <c r="R406">
        <v>2.89</v>
      </c>
      <c r="S406">
        <v>1</v>
      </c>
      <c r="T406">
        <v>0</v>
      </c>
      <c r="U406">
        <v>1.3583000000000001</v>
      </c>
      <c r="V406" t="str">
        <f t="shared" si="6"/>
        <v>Anthony Jacobs</v>
      </c>
      <c r="W406">
        <f>Table2[Profit]/Table2[Sales]</f>
        <v>0.47000000000000003</v>
      </c>
    </row>
    <row r="407" spans="1:23" x14ac:dyDescent="0.25">
      <c r="A407">
        <v>406</v>
      </c>
      <c r="B407" t="s">
        <v>2642</v>
      </c>
      <c r="C407" s="1">
        <v>42642</v>
      </c>
      <c r="D407" s="1">
        <v>42645</v>
      </c>
      <c r="E407" t="s">
        <v>185</v>
      </c>
      <c r="F407" t="s">
        <v>2643</v>
      </c>
      <c r="G407" t="s">
        <v>2644</v>
      </c>
      <c r="H407" t="s">
        <v>40</v>
      </c>
      <c r="I407" t="s">
        <v>26</v>
      </c>
      <c r="J407" t="s">
        <v>143</v>
      </c>
      <c r="K407" t="s">
        <v>144</v>
      </c>
      <c r="L407">
        <v>19140</v>
      </c>
      <c r="M407" t="s">
        <v>145</v>
      </c>
      <c r="N407" t="s">
        <v>2645</v>
      </c>
      <c r="O407" t="s">
        <v>45</v>
      </c>
      <c r="P407" t="s">
        <v>46</v>
      </c>
      <c r="Q407" t="s">
        <v>2646</v>
      </c>
      <c r="R407">
        <v>15.936</v>
      </c>
      <c r="S407">
        <v>4</v>
      </c>
      <c r="T407">
        <v>0.2</v>
      </c>
      <c r="U407">
        <v>5.1791999999999998</v>
      </c>
      <c r="V407" t="str">
        <f t="shared" si="6"/>
        <v>Linda Southworth</v>
      </c>
      <c r="W407">
        <f>Table2[Profit]/Table2[Sales]</f>
        <v>0.32500000000000001</v>
      </c>
    </row>
    <row r="408" spans="1:23" x14ac:dyDescent="0.25">
      <c r="A408">
        <v>407</v>
      </c>
      <c r="B408" t="s">
        <v>2647</v>
      </c>
      <c r="C408" s="1">
        <v>41735</v>
      </c>
      <c r="D408" s="1">
        <v>41739</v>
      </c>
      <c r="E408" t="s">
        <v>49</v>
      </c>
      <c r="F408" t="s">
        <v>2648</v>
      </c>
      <c r="G408" t="s">
        <v>2649</v>
      </c>
      <c r="H408" t="s">
        <v>40</v>
      </c>
      <c r="I408" t="s">
        <v>26</v>
      </c>
      <c r="J408" t="s">
        <v>2439</v>
      </c>
      <c r="K408" t="s">
        <v>144</v>
      </c>
      <c r="L408">
        <v>17602</v>
      </c>
      <c r="M408" t="s">
        <v>145</v>
      </c>
      <c r="N408" t="s">
        <v>2650</v>
      </c>
      <c r="O408" t="s">
        <v>45</v>
      </c>
      <c r="P408" t="s">
        <v>74</v>
      </c>
      <c r="Q408" t="s">
        <v>2651</v>
      </c>
      <c r="R408">
        <v>44.91</v>
      </c>
      <c r="S408">
        <v>6</v>
      </c>
      <c r="T408">
        <v>0.7</v>
      </c>
      <c r="U408">
        <v>-35.927999999999997</v>
      </c>
      <c r="V408" t="str">
        <f t="shared" si="6"/>
        <v>Guy Phonely</v>
      </c>
      <c r="W408">
        <f>Table2[Profit]/Table2[Sales]</f>
        <v>-0.8</v>
      </c>
    </row>
    <row r="409" spans="1:23" x14ac:dyDescent="0.25">
      <c r="A409">
        <v>408</v>
      </c>
      <c r="B409" t="s">
        <v>2652</v>
      </c>
      <c r="C409" s="1">
        <v>42616</v>
      </c>
      <c r="D409" s="1">
        <v>42618</v>
      </c>
      <c r="E409" t="s">
        <v>185</v>
      </c>
      <c r="F409" t="s">
        <v>2653</v>
      </c>
      <c r="G409" t="s">
        <v>2654</v>
      </c>
      <c r="H409" t="s">
        <v>101</v>
      </c>
      <c r="I409" t="s">
        <v>26</v>
      </c>
      <c r="J409" t="s">
        <v>143</v>
      </c>
      <c r="K409" t="s">
        <v>144</v>
      </c>
      <c r="L409">
        <v>19143</v>
      </c>
      <c r="M409" t="s">
        <v>145</v>
      </c>
      <c r="N409" t="s">
        <v>2655</v>
      </c>
      <c r="O409" t="s">
        <v>45</v>
      </c>
      <c r="P409" t="s">
        <v>74</v>
      </c>
      <c r="Q409" t="s">
        <v>2656</v>
      </c>
      <c r="R409">
        <v>1141.47</v>
      </c>
      <c r="S409">
        <v>5</v>
      </c>
      <c r="T409">
        <v>0.7</v>
      </c>
      <c r="U409">
        <v>-760.98</v>
      </c>
      <c r="V409" t="str">
        <f t="shared" si="6"/>
        <v>Paul Knutson</v>
      </c>
      <c r="W409">
        <f>Table2[Profit]/Table2[Sales]</f>
        <v>-0.66666666666666663</v>
      </c>
    </row>
    <row r="410" spans="1:23" x14ac:dyDescent="0.25">
      <c r="A410">
        <v>409</v>
      </c>
      <c r="B410" t="s">
        <v>2657</v>
      </c>
      <c r="C410" s="1">
        <v>42296</v>
      </c>
      <c r="D410" s="1">
        <v>42297</v>
      </c>
      <c r="E410" t="s">
        <v>185</v>
      </c>
      <c r="F410" t="s">
        <v>161</v>
      </c>
      <c r="G410" t="s">
        <v>162</v>
      </c>
      <c r="H410" t="s">
        <v>25</v>
      </c>
      <c r="I410" t="s">
        <v>26</v>
      </c>
      <c r="J410" t="s">
        <v>86</v>
      </c>
      <c r="K410" t="s">
        <v>2658</v>
      </c>
      <c r="L410">
        <v>3301</v>
      </c>
      <c r="M410" t="s">
        <v>145</v>
      </c>
      <c r="N410" t="s">
        <v>2659</v>
      </c>
      <c r="O410" t="s">
        <v>45</v>
      </c>
      <c r="P410" t="s">
        <v>89</v>
      </c>
      <c r="Q410" t="s">
        <v>2660</v>
      </c>
      <c r="R410">
        <v>34.44</v>
      </c>
      <c r="S410">
        <v>3</v>
      </c>
      <c r="T410">
        <v>0</v>
      </c>
      <c r="U410">
        <v>17.22</v>
      </c>
      <c r="V410" t="str">
        <f t="shared" si="6"/>
        <v>Tracy Blumstein</v>
      </c>
      <c r="W410">
        <f>Table2[Profit]/Table2[Sales]</f>
        <v>0.5</v>
      </c>
    </row>
    <row r="411" spans="1:23" x14ac:dyDescent="0.25">
      <c r="A411">
        <v>410</v>
      </c>
      <c r="B411" t="s">
        <v>2661</v>
      </c>
      <c r="C411" s="1">
        <v>41983</v>
      </c>
      <c r="D411" s="1">
        <v>41988</v>
      </c>
      <c r="E411" t="s">
        <v>49</v>
      </c>
      <c r="F411" t="s">
        <v>2662</v>
      </c>
      <c r="G411" t="s">
        <v>2663</v>
      </c>
      <c r="H411" t="s">
        <v>25</v>
      </c>
      <c r="I411" t="s">
        <v>26</v>
      </c>
      <c r="J411" t="s">
        <v>263</v>
      </c>
      <c r="K411" t="s">
        <v>264</v>
      </c>
      <c r="L411">
        <v>10009</v>
      </c>
      <c r="M411" t="s">
        <v>145</v>
      </c>
      <c r="N411" t="s">
        <v>1029</v>
      </c>
      <c r="O411" t="s">
        <v>45</v>
      </c>
      <c r="P411" t="s">
        <v>89</v>
      </c>
      <c r="Q411" t="s">
        <v>1030</v>
      </c>
      <c r="R411">
        <v>11.36</v>
      </c>
      <c r="S411">
        <v>2</v>
      </c>
      <c r="T411">
        <v>0</v>
      </c>
      <c r="U411">
        <v>5.2256</v>
      </c>
      <c r="V411" t="str">
        <f t="shared" si="6"/>
        <v>Sally Matthias</v>
      </c>
      <c r="W411">
        <f>Table2[Profit]/Table2[Sales]</f>
        <v>0.46</v>
      </c>
    </row>
    <row r="412" spans="1:23" x14ac:dyDescent="0.25">
      <c r="A412">
        <v>411</v>
      </c>
      <c r="B412" t="s">
        <v>2664</v>
      </c>
      <c r="C412" s="1">
        <v>42972</v>
      </c>
      <c r="D412" s="1">
        <v>42976</v>
      </c>
      <c r="E412" t="s">
        <v>49</v>
      </c>
      <c r="F412" t="s">
        <v>2589</v>
      </c>
      <c r="G412" t="s">
        <v>2590</v>
      </c>
      <c r="H412" t="s">
        <v>25</v>
      </c>
      <c r="I412" t="s">
        <v>26</v>
      </c>
      <c r="J412" t="s">
        <v>460</v>
      </c>
      <c r="K412" t="s">
        <v>87</v>
      </c>
      <c r="L412">
        <v>28205</v>
      </c>
      <c r="M412" t="s">
        <v>29</v>
      </c>
      <c r="N412" t="s">
        <v>2665</v>
      </c>
      <c r="O412" t="s">
        <v>45</v>
      </c>
      <c r="P412" t="s">
        <v>89</v>
      </c>
      <c r="Q412" t="s">
        <v>2666</v>
      </c>
      <c r="R412">
        <v>192.16</v>
      </c>
      <c r="S412">
        <v>5</v>
      </c>
      <c r="T412">
        <v>0.2</v>
      </c>
      <c r="U412">
        <v>67.256</v>
      </c>
      <c r="V412" t="str">
        <f t="shared" si="6"/>
        <v>Guy Armstrong</v>
      </c>
      <c r="W412">
        <f>Table2[Profit]/Table2[Sales]</f>
        <v>0.35000000000000003</v>
      </c>
    </row>
    <row r="413" spans="1:23" x14ac:dyDescent="0.25">
      <c r="A413">
        <v>412</v>
      </c>
      <c r="B413" t="s">
        <v>2667</v>
      </c>
      <c r="C413" s="1">
        <v>42386</v>
      </c>
      <c r="D413" s="1">
        <v>42390</v>
      </c>
      <c r="E413" t="s">
        <v>49</v>
      </c>
      <c r="F413" t="s">
        <v>2100</v>
      </c>
      <c r="G413" t="s">
        <v>2101</v>
      </c>
      <c r="H413" t="s">
        <v>101</v>
      </c>
      <c r="I413" t="s">
        <v>26</v>
      </c>
      <c r="J413" t="s">
        <v>86</v>
      </c>
      <c r="K413" t="s">
        <v>2658</v>
      </c>
      <c r="L413">
        <v>3301</v>
      </c>
      <c r="M413" t="s">
        <v>145</v>
      </c>
      <c r="N413" t="s">
        <v>898</v>
      </c>
      <c r="O413" t="s">
        <v>31</v>
      </c>
      <c r="P413" t="s">
        <v>64</v>
      </c>
      <c r="Q413" t="s">
        <v>899</v>
      </c>
      <c r="R413">
        <v>322.58999999999997</v>
      </c>
      <c r="S413">
        <v>3</v>
      </c>
      <c r="T413">
        <v>0</v>
      </c>
      <c r="U413">
        <v>64.518000000000001</v>
      </c>
      <c r="V413" t="str">
        <f t="shared" si="6"/>
        <v>Chuck Clark</v>
      </c>
      <c r="W413">
        <f>Table2[Profit]/Table2[Sales]</f>
        <v>0.2</v>
      </c>
    </row>
    <row r="414" spans="1:23" x14ac:dyDescent="0.25">
      <c r="A414">
        <v>413</v>
      </c>
      <c r="B414" t="s">
        <v>2670</v>
      </c>
      <c r="C414" s="1">
        <v>41899</v>
      </c>
      <c r="D414" s="1">
        <v>41903</v>
      </c>
      <c r="E414" t="s">
        <v>49</v>
      </c>
      <c r="F414" t="s">
        <v>2671</v>
      </c>
      <c r="G414" t="s">
        <v>2672</v>
      </c>
      <c r="H414" t="s">
        <v>101</v>
      </c>
      <c r="I414" t="s">
        <v>26</v>
      </c>
      <c r="J414" t="s">
        <v>143</v>
      </c>
      <c r="K414" t="s">
        <v>144</v>
      </c>
      <c r="L414">
        <v>19120</v>
      </c>
      <c r="M414" t="s">
        <v>145</v>
      </c>
      <c r="N414" t="s">
        <v>2673</v>
      </c>
      <c r="O414" t="s">
        <v>45</v>
      </c>
      <c r="P414" t="s">
        <v>74</v>
      </c>
      <c r="Q414" t="s">
        <v>2674</v>
      </c>
      <c r="R414">
        <v>5.8920000000000003</v>
      </c>
      <c r="S414">
        <v>4</v>
      </c>
      <c r="T414">
        <v>0.7</v>
      </c>
      <c r="U414">
        <v>-4.1243999999999996</v>
      </c>
      <c r="V414" t="str">
        <f t="shared" si="6"/>
        <v>Anthony Garverick</v>
      </c>
      <c r="W414">
        <f>Table2[Profit]/Table2[Sales]</f>
        <v>-0.69999999999999984</v>
      </c>
    </row>
    <row r="415" spans="1:23" x14ac:dyDescent="0.25">
      <c r="A415">
        <v>414</v>
      </c>
      <c r="B415" t="s">
        <v>2675</v>
      </c>
      <c r="C415" s="1">
        <v>43069</v>
      </c>
      <c r="D415" s="1">
        <v>43071</v>
      </c>
      <c r="E415" t="s">
        <v>22</v>
      </c>
      <c r="F415" t="s">
        <v>99</v>
      </c>
      <c r="G415" t="s">
        <v>100</v>
      </c>
      <c r="H415" t="s">
        <v>101</v>
      </c>
      <c r="I415" t="s">
        <v>26</v>
      </c>
      <c r="J415" t="s">
        <v>263</v>
      </c>
      <c r="K415" t="s">
        <v>264</v>
      </c>
      <c r="L415">
        <v>10024</v>
      </c>
      <c r="M415" t="s">
        <v>145</v>
      </c>
      <c r="N415" t="s">
        <v>2676</v>
      </c>
      <c r="O415" t="s">
        <v>45</v>
      </c>
      <c r="P415" t="s">
        <v>74</v>
      </c>
      <c r="Q415" t="s">
        <v>2677</v>
      </c>
      <c r="R415">
        <v>68.471999999999994</v>
      </c>
      <c r="S415">
        <v>3</v>
      </c>
      <c r="T415">
        <v>0.2</v>
      </c>
      <c r="U415">
        <v>23.109300000000001</v>
      </c>
      <c r="V415" t="str">
        <f t="shared" si="6"/>
        <v>Harold Pawlan</v>
      </c>
      <c r="W415">
        <f>Table2[Profit]/Table2[Sales]</f>
        <v>0.33750000000000002</v>
      </c>
    </row>
    <row r="416" spans="1:23" x14ac:dyDescent="0.25">
      <c r="A416">
        <v>415</v>
      </c>
      <c r="B416" t="s">
        <v>2678</v>
      </c>
      <c r="C416" s="1">
        <v>42286</v>
      </c>
      <c r="D416" s="1">
        <v>42290</v>
      </c>
      <c r="E416" t="s">
        <v>49</v>
      </c>
      <c r="F416" t="s">
        <v>501</v>
      </c>
      <c r="G416" t="s">
        <v>502</v>
      </c>
      <c r="H416" t="s">
        <v>25</v>
      </c>
      <c r="I416" t="s">
        <v>26</v>
      </c>
      <c r="J416" t="s">
        <v>311</v>
      </c>
      <c r="K416" t="s">
        <v>312</v>
      </c>
      <c r="L416">
        <v>22153</v>
      </c>
      <c r="M416" t="s">
        <v>29</v>
      </c>
      <c r="N416" t="s">
        <v>1611</v>
      </c>
      <c r="O416" t="s">
        <v>45</v>
      </c>
      <c r="P416" t="s">
        <v>58</v>
      </c>
      <c r="Q416" t="s">
        <v>1612</v>
      </c>
      <c r="R416">
        <v>30.84</v>
      </c>
      <c r="S416">
        <v>2</v>
      </c>
      <c r="T416">
        <v>0</v>
      </c>
      <c r="U416">
        <v>8.3268000000000004</v>
      </c>
      <c r="V416" t="str">
        <f t="shared" si="6"/>
        <v>Dave Kipp</v>
      </c>
      <c r="W416">
        <f>Table2[Profit]/Table2[Sales]</f>
        <v>0.27</v>
      </c>
    </row>
    <row r="417" spans="1:23" x14ac:dyDescent="0.25">
      <c r="A417">
        <v>416</v>
      </c>
      <c r="B417" t="s">
        <v>2679</v>
      </c>
      <c r="C417" s="1">
        <v>43092</v>
      </c>
      <c r="D417" s="1">
        <v>43092</v>
      </c>
      <c r="E417" t="s">
        <v>1278</v>
      </c>
      <c r="F417" t="s">
        <v>442</v>
      </c>
      <c r="G417" t="s">
        <v>443</v>
      </c>
      <c r="H417" t="s">
        <v>25</v>
      </c>
      <c r="I417" t="s">
        <v>26</v>
      </c>
      <c r="J417" t="s">
        <v>126</v>
      </c>
      <c r="K417" t="s">
        <v>42</v>
      </c>
      <c r="L417">
        <v>94109</v>
      </c>
      <c r="M417" t="s">
        <v>43</v>
      </c>
      <c r="N417" t="s">
        <v>2225</v>
      </c>
      <c r="O417" t="s">
        <v>45</v>
      </c>
      <c r="P417" t="s">
        <v>67</v>
      </c>
      <c r="Q417" t="s">
        <v>2226</v>
      </c>
      <c r="R417">
        <v>13.48</v>
      </c>
      <c r="S417">
        <v>4</v>
      </c>
      <c r="T417">
        <v>0</v>
      </c>
      <c r="U417">
        <v>5.9311999999999996</v>
      </c>
      <c r="V417" t="str">
        <f t="shared" si="6"/>
        <v>Gary Zandusky</v>
      </c>
      <c r="W417">
        <f>Table2[Profit]/Table2[Sales]</f>
        <v>0.43999999999999995</v>
      </c>
    </row>
    <row r="418" spans="1:23" x14ac:dyDescent="0.25">
      <c r="A418">
        <v>417</v>
      </c>
      <c r="B418" t="s">
        <v>2680</v>
      </c>
      <c r="C418" s="1">
        <v>42665</v>
      </c>
      <c r="D418" s="1">
        <v>42667</v>
      </c>
      <c r="E418" t="s">
        <v>185</v>
      </c>
      <c r="F418" t="s">
        <v>2681</v>
      </c>
      <c r="G418" t="s">
        <v>2682</v>
      </c>
      <c r="H418" t="s">
        <v>101</v>
      </c>
      <c r="I418" t="s">
        <v>26</v>
      </c>
      <c r="J418" t="s">
        <v>873</v>
      </c>
      <c r="K418" t="s">
        <v>235</v>
      </c>
      <c r="L418">
        <v>48227</v>
      </c>
      <c r="M418" t="s">
        <v>104</v>
      </c>
      <c r="N418" t="s">
        <v>2081</v>
      </c>
      <c r="O418" t="s">
        <v>31</v>
      </c>
      <c r="P418" t="s">
        <v>64</v>
      </c>
      <c r="Q418" t="s">
        <v>2082</v>
      </c>
      <c r="R418">
        <v>31.4</v>
      </c>
      <c r="S418">
        <v>5</v>
      </c>
      <c r="T418">
        <v>0</v>
      </c>
      <c r="U418">
        <v>10.048</v>
      </c>
      <c r="V418" t="str">
        <f t="shared" si="6"/>
        <v>Peter McVee</v>
      </c>
      <c r="W418">
        <f>Table2[Profit]/Table2[Sales]</f>
        <v>0.32</v>
      </c>
    </row>
    <row r="419" spans="1:23" x14ac:dyDescent="0.25">
      <c r="A419">
        <v>418</v>
      </c>
      <c r="B419" t="s">
        <v>2683</v>
      </c>
      <c r="C419" s="1">
        <v>41758</v>
      </c>
      <c r="D419" s="1">
        <v>41763</v>
      </c>
      <c r="E419" t="s">
        <v>49</v>
      </c>
      <c r="F419" t="s">
        <v>2684</v>
      </c>
      <c r="G419" t="s">
        <v>2685</v>
      </c>
      <c r="H419" t="s">
        <v>25</v>
      </c>
      <c r="I419" t="s">
        <v>26</v>
      </c>
      <c r="J419" t="s">
        <v>382</v>
      </c>
      <c r="K419" t="s">
        <v>264</v>
      </c>
      <c r="L419">
        <v>14609</v>
      </c>
      <c r="M419" t="s">
        <v>145</v>
      </c>
      <c r="N419" t="s">
        <v>2686</v>
      </c>
      <c r="O419" t="s">
        <v>31</v>
      </c>
      <c r="P419" t="s">
        <v>64</v>
      </c>
      <c r="Q419" t="s">
        <v>2687</v>
      </c>
      <c r="R419">
        <v>17.46</v>
      </c>
      <c r="S419">
        <v>2</v>
      </c>
      <c r="T419">
        <v>0</v>
      </c>
      <c r="U419">
        <v>5.9363999999999999</v>
      </c>
      <c r="V419" t="str">
        <f t="shared" si="6"/>
        <v>Lauren Leatherbury</v>
      </c>
      <c r="W419">
        <f>Table2[Profit]/Table2[Sales]</f>
        <v>0.33999999999999997</v>
      </c>
    </row>
    <row r="420" spans="1:23" x14ac:dyDescent="0.25">
      <c r="A420">
        <v>419</v>
      </c>
      <c r="B420" t="s">
        <v>2688</v>
      </c>
      <c r="C420" s="1">
        <v>42119</v>
      </c>
      <c r="D420" s="1">
        <v>42122</v>
      </c>
      <c r="E420" t="s">
        <v>22</v>
      </c>
      <c r="F420" t="s">
        <v>2689</v>
      </c>
      <c r="G420" t="s">
        <v>2690</v>
      </c>
      <c r="H420" t="s">
        <v>40</v>
      </c>
      <c r="I420" t="s">
        <v>26</v>
      </c>
      <c r="J420" t="s">
        <v>41</v>
      </c>
      <c r="K420" t="s">
        <v>42</v>
      </c>
      <c r="L420">
        <v>90045</v>
      </c>
      <c r="M420" t="s">
        <v>43</v>
      </c>
      <c r="N420" t="s">
        <v>2691</v>
      </c>
      <c r="O420" t="s">
        <v>45</v>
      </c>
      <c r="P420" t="s">
        <v>74</v>
      </c>
      <c r="Q420" t="s">
        <v>2692</v>
      </c>
      <c r="R420">
        <v>13.944000000000001</v>
      </c>
      <c r="S420">
        <v>3</v>
      </c>
      <c r="T420">
        <v>0.2</v>
      </c>
      <c r="U420">
        <v>4.5317999999999996</v>
      </c>
      <c r="V420" t="str">
        <f t="shared" si="6"/>
        <v>Jill Stevenson</v>
      </c>
      <c r="W420">
        <f>Table2[Profit]/Table2[Sales]</f>
        <v>0.32499999999999996</v>
      </c>
    </row>
    <row r="421" spans="1:23" x14ac:dyDescent="0.25">
      <c r="A421">
        <v>420</v>
      </c>
      <c r="B421" t="s">
        <v>2693</v>
      </c>
      <c r="C421" s="1">
        <v>42912</v>
      </c>
      <c r="D421" s="1">
        <v>42918</v>
      </c>
      <c r="E421" t="s">
        <v>49</v>
      </c>
      <c r="F421" t="s">
        <v>1866</v>
      </c>
      <c r="G421" t="s">
        <v>1867</v>
      </c>
      <c r="H421" t="s">
        <v>25</v>
      </c>
      <c r="I421" t="s">
        <v>26</v>
      </c>
      <c r="J421" t="s">
        <v>941</v>
      </c>
      <c r="K421" t="s">
        <v>42</v>
      </c>
      <c r="L421">
        <v>92105</v>
      </c>
      <c r="M421" t="s">
        <v>43</v>
      </c>
      <c r="N421" t="s">
        <v>2694</v>
      </c>
      <c r="O421" t="s">
        <v>45</v>
      </c>
      <c r="P421" t="s">
        <v>58</v>
      </c>
      <c r="Q421" t="s">
        <v>2695</v>
      </c>
      <c r="R421">
        <v>83.76</v>
      </c>
      <c r="S421">
        <v>12</v>
      </c>
      <c r="T421">
        <v>0</v>
      </c>
      <c r="U421">
        <v>1.6752</v>
      </c>
      <c r="V421" t="str">
        <f t="shared" si="6"/>
        <v>Olvera Toch</v>
      </c>
      <c r="W421">
        <f>Table2[Profit]/Table2[Sales]</f>
        <v>0.02</v>
      </c>
    </row>
    <row r="422" spans="1:23" x14ac:dyDescent="0.25">
      <c r="A422">
        <v>421</v>
      </c>
      <c r="B422" t="s">
        <v>2696</v>
      </c>
      <c r="C422" s="1">
        <v>43022</v>
      </c>
      <c r="D422" s="1">
        <v>43027</v>
      </c>
      <c r="E422" t="s">
        <v>49</v>
      </c>
      <c r="F422" t="s">
        <v>2697</v>
      </c>
      <c r="G422" t="s">
        <v>2698</v>
      </c>
      <c r="H422" t="s">
        <v>101</v>
      </c>
      <c r="I422" t="s">
        <v>26</v>
      </c>
      <c r="J422" t="s">
        <v>375</v>
      </c>
      <c r="K422" t="s">
        <v>2699</v>
      </c>
      <c r="L422">
        <v>21044</v>
      </c>
      <c r="M422" t="s">
        <v>145</v>
      </c>
      <c r="N422" t="s">
        <v>287</v>
      </c>
      <c r="O422" t="s">
        <v>45</v>
      </c>
      <c r="P422" t="s">
        <v>74</v>
      </c>
      <c r="Q422" t="s">
        <v>288</v>
      </c>
      <c r="R422">
        <v>37.659999999999997</v>
      </c>
      <c r="S422">
        <v>7</v>
      </c>
      <c r="T422">
        <v>0</v>
      </c>
      <c r="U422">
        <v>18.453399999999998</v>
      </c>
      <c r="V422" t="str">
        <f t="shared" si="6"/>
        <v>Ed Ludwig</v>
      </c>
      <c r="W422">
        <f>Table2[Profit]/Table2[Sales]</f>
        <v>0.49</v>
      </c>
    </row>
    <row r="423" spans="1:23" x14ac:dyDescent="0.25">
      <c r="A423">
        <v>422</v>
      </c>
      <c r="B423" t="s">
        <v>2700</v>
      </c>
      <c r="C423" s="1">
        <v>41982</v>
      </c>
      <c r="D423" s="1">
        <v>41989</v>
      </c>
      <c r="E423" t="s">
        <v>49</v>
      </c>
      <c r="F423" t="s">
        <v>2595</v>
      </c>
      <c r="G423" t="s">
        <v>2596</v>
      </c>
      <c r="H423" t="s">
        <v>40</v>
      </c>
      <c r="I423" t="s">
        <v>26</v>
      </c>
      <c r="J423" t="s">
        <v>126</v>
      </c>
      <c r="K423" t="s">
        <v>42</v>
      </c>
      <c r="L423">
        <v>94122</v>
      </c>
      <c r="M423" t="s">
        <v>43</v>
      </c>
      <c r="N423" t="s">
        <v>1451</v>
      </c>
      <c r="O423" t="s">
        <v>45</v>
      </c>
      <c r="P423" t="s">
        <v>89</v>
      </c>
      <c r="Q423" t="s">
        <v>1452</v>
      </c>
      <c r="R423">
        <v>34.68</v>
      </c>
      <c r="S423">
        <v>6</v>
      </c>
      <c r="T423">
        <v>0</v>
      </c>
      <c r="U423">
        <v>16.993200000000002</v>
      </c>
      <c r="V423" t="str">
        <f t="shared" si="6"/>
        <v>Cyma Kinney</v>
      </c>
      <c r="W423">
        <f>Table2[Profit]/Table2[Sales]</f>
        <v>0.49000000000000005</v>
      </c>
    </row>
    <row r="424" spans="1:23" x14ac:dyDescent="0.25">
      <c r="A424">
        <v>423</v>
      </c>
      <c r="B424" t="s">
        <v>2701</v>
      </c>
      <c r="C424" s="1">
        <v>42906</v>
      </c>
      <c r="D424" s="1">
        <v>42912</v>
      </c>
      <c r="E424" t="s">
        <v>49</v>
      </c>
      <c r="F424" t="s">
        <v>1621</v>
      </c>
      <c r="G424" t="s">
        <v>1622</v>
      </c>
      <c r="H424" t="s">
        <v>25</v>
      </c>
      <c r="I424" t="s">
        <v>26</v>
      </c>
      <c r="J424" t="s">
        <v>1485</v>
      </c>
      <c r="K424" t="s">
        <v>264</v>
      </c>
      <c r="L424">
        <v>10801</v>
      </c>
      <c r="M424" t="s">
        <v>145</v>
      </c>
      <c r="N424" t="s">
        <v>2702</v>
      </c>
      <c r="O424" t="s">
        <v>70</v>
      </c>
      <c r="P424" t="s">
        <v>158</v>
      </c>
      <c r="Q424" t="s">
        <v>2703</v>
      </c>
      <c r="R424">
        <v>149.94999999999999</v>
      </c>
      <c r="S424">
        <v>5</v>
      </c>
      <c r="T424">
        <v>0</v>
      </c>
      <c r="U424">
        <v>14.994999999999999</v>
      </c>
      <c r="V424" t="str">
        <f t="shared" si="6"/>
        <v>Jeremy Ellison</v>
      </c>
      <c r="W424">
        <f>Table2[Profit]/Table2[Sales]</f>
        <v>0.1</v>
      </c>
    </row>
    <row r="425" spans="1:23" x14ac:dyDescent="0.25">
      <c r="A425">
        <v>424</v>
      </c>
      <c r="B425" t="s">
        <v>2704</v>
      </c>
      <c r="C425" s="1">
        <v>42912</v>
      </c>
      <c r="D425" s="1">
        <v>42913</v>
      </c>
      <c r="E425" t="s">
        <v>185</v>
      </c>
      <c r="F425" t="s">
        <v>2252</v>
      </c>
      <c r="G425" t="s">
        <v>2253</v>
      </c>
      <c r="H425" t="s">
        <v>101</v>
      </c>
      <c r="I425" t="s">
        <v>26</v>
      </c>
      <c r="J425" t="s">
        <v>873</v>
      </c>
      <c r="K425" t="s">
        <v>235</v>
      </c>
      <c r="L425">
        <v>48227</v>
      </c>
      <c r="M425" t="s">
        <v>104</v>
      </c>
      <c r="N425" t="s">
        <v>2705</v>
      </c>
      <c r="O425" t="s">
        <v>45</v>
      </c>
      <c r="P425" t="s">
        <v>89</v>
      </c>
      <c r="Q425" t="s">
        <v>2706</v>
      </c>
      <c r="R425">
        <v>4.54</v>
      </c>
      <c r="S425">
        <v>1</v>
      </c>
      <c r="T425">
        <v>0</v>
      </c>
      <c r="U425">
        <v>2.0430000000000001</v>
      </c>
      <c r="V425" t="str">
        <f t="shared" si="6"/>
        <v>Tracy Hopkins</v>
      </c>
      <c r="W425">
        <f>Table2[Profit]/Table2[Sales]</f>
        <v>0.45</v>
      </c>
    </row>
    <row r="426" spans="1:23" x14ac:dyDescent="0.25">
      <c r="A426">
        <v>425</v>
      </c>
      <c r="B426" t="s">
        <v>2711</v>
      </c>
      <c r="C426" s="1">
        <v>42684</v>
      </c>
      <c r="D426" s="1">
        <v>42686</v>
      </c>
      <c r="E426" t="s">
        <v>185</v>
      </c>
      <c r="F426" t="s">
        <v>2712</v>
      </c>
      <c r="G426" t="s">
        <v>2713</v>
      </c>
      <c r="H426" t="s">
        <v>40</v>
      </c>
      <c r="I426" t="s">
        <v>26</v>
      </c>
      <c r="J426" t="s">
        <v>126</v>
      </c>
      <c r="K426" t="s">
        <v>42</v>
      </c>
      <c r="L426">
        <v>94122</v>
      </c>
      <c r="M426" t="s">
        <v>43</v>
      </c>
      <c r="N426" t="s">
        <v>1294</v>
      </c>
      <c r="O426" t="s">
        <v>45</v>
      </c>
      <c r="P426" t="s">
        <v>58</v>
      </c>
      <c r="Q426" t="s">
        <v>1295</v>
      </c>
      <c r="R426">
        <v>155.82</v>
      </c>
      <c r="S426">
        <v>7</v>
      </c>
      <c r="T426">
        <v>0</v>
      </c>
      <c r="U426">
        <v>42.071399999999997</v>
      </c>
      <c r="V426" t="str">
        <f t="shared" si="6"/>
        <v>Pamela Coakley</v>
      </c>
      <c r="W426">
        <f>Table2[Profit]/Table2[Sales]</f>
        <v>0.27</v>
      </c>
    </row>
    <row r="427" spans="1:23" x14ac:dyDescent="0.25">
      <c r="A427">
        <v>426</v>
      </c>
      <c r="B427" t="s">
        <v>2716</v>
      </c>
      <c r="C427" s="1">
        <v>42646</v>
      </c>
      <c r="D427" s="1">
        <v>42649</v>
      </c>
      <c r="E427" t="s">
        <v>22</v>
      </c>
      <c r="F427" t="s">
        <v>2717</v>
      </c>
      <c r="G427" t="s">
        <v>2718</v>
      </c>
      <c r="H427" t="s">
        <v>25</v>
      </c>
      <c r="I427" t="s">
        <v>26</v>
      </c>
      <c r="J427" t="s">
        <v>181</v>
      </c>
      <c r="K427" t="s">
        <v>103</v>
      </c>
      <c r="L427">
        <v>77095</v>
      </c>
      <c r="M427" t="s">
        <v>104</v>
      </c>
      <c r="N427" t="s">
        <v>2719</v>
      </c>
      <c r="O427" t="s">
        <v>45</v>
      </c>
      <c r="P427" t="s">
        <v>170</v>
      </c>
      <c r="Q427" t="s">
        <v>662</v>
      </c>
      <c r="R427">
        <v>15.648</v>
      </c>
      <c r="S427">
        <v>2</v>
      </c>
      <c r="T427">
        <v>0.2</v>
      </c>
      <c r="U427">
        <v>5.0856000000000003</v>
      </c>
      <c r="V427" t="str">
        <f t="shared" si="6"/>
        <v>Hunter Lopez</v>
      </c>
      <c r="W427">
        <f>Table2[Profit]/Table2[Sales]</f>
        <v>0.32500000000000001</v>
      </c>
    </row>
    <row r="428" spans="1:23" x14ac:dyDescent="0.25">
      <c r="A428">
        <v>427</v>
      </c>
      <c r="B428" t="s">
        <v>2720</v>
      </c>
      <c r="C428" s="1">
        <v>41891</v>
      </c>
      <c r="D428" s="1">
        <v>41897</v>
      </c>
      <c r="E428" t="s">
        <v>49</v>
      </c>
      <c r="F428" t="s">
        <v>2721</v>
      </c>
      <c r="G428" t="s">
        <v>2722</v>
      </c>
      <c r="H428" t="s">
        <v>25</v>
      </c>
      <c r="I428" t="s">
        <v>26</v>
      </c>
      <c r="J428" t="s">
        <v>873</v>
      </c>
      <c r="K428" t="s">
        <v>235</v>
      </c>
      <c r="L428">
        <v>48227</v>
      </c>
      <c r="M428" t="s">
        <v>104</v>
      </c>
      <c r="N428" t="s">
        <v>1643</v>
      </c>
      <c r="O428" t="s">
        <v>45</v>
      </c>
      <c r="P428" t="s">
        <v>46</v>
      </c>
      <c r="Q428" t="s">
        <v>1644</v>
      </c>
      <c r="R428">
        <v>103.6</v>
      </c>
      <c r="S428">
        <v>7</v>
      </c>
      <c r="T428">
        <v>0</v>
      </c>
      <c r="U428">
        <v>51.8</v>
      </c>
      <c r="V428" t="str">
        <f t="shared" si="6"/>
        <v>Maribeth Schnelling</v>
      </c>
      <c r="W428">
        <f>Table2[Profit]/Table2[Sales]</f>
        <v>0.5</v>
      </c>
    </row>
    <row r="429" spans="1:23" x14ac:dyDescent="0.25">
      <c r="A429">
        <v>428</v>
      </c>
      <c r="B429" t="s">
        <v>2723</v>
      </c>
      <c r="C429" s="1">
        <v>43037</v>
      </c>
      <c r="D429" s="1">
        <v>43039</v>
      </c>
      <c r="E429" t="s">
        <v>22</v>
      </c>
      <c r="F429" t="s">
        <v>2724</v>
      </c>
      <c r="G429" t="s">
        <v>2725</v>
      </c>
      <c r="H429" t="s">
        <v>40</v>
      </c>
      <c r="I429" t="s">
        <v>26</v>
      </c>
      <c r="J429" t="s">
        <v>1540</v>
      </c>
      <c r="K429" t="s">
        <v>264</v>
      </c>
      <c r="L429">
        <v>13021</v>
      </c>
      <c r="M429" t="s">
        <v>145</v>
      </c>
      <c r="N429" t="s">
        <v>2726</v>
      </c>
      <c r="O429" t="s">
        <v>45</v>
      </c>
      <c r="P429" t="s">
        <v>89</v>
      </c>
      <c r="Q429" t="s">
        <v>2727</v>
      </c>
      <c r="R429">
        <v>46.96</v>
      </c>
      <c r="S429">
        <v>8</v>
      </c>
      <c r="T429">
        <v>0</v>
      </c>
      <c r="U429">
        <v>22.540800000000001</v>
      </c>
      <c r="V429" t="str">
        <f t="shared" si="6"/>
        <v>George Bell</v>
      </c>
      <c r="W429">
        <f>Table2[Profit]/Table2[Sales]</f>
        <v>0.48</v>
      </c>
    </row>
    <row r="430" spans="1:23" x14ac:dyDescent="0.25">
      <c r="A430">
        <v>429</v>
      </c>
      <c r="B430" t="s">
        <v>2728</v>
      </c>
      <c r="C430" s="1">
        <v>42470</v>
      </c>
      <c r="D430" s="1">
        <v>42472</v>
      </c>
      <c r="E430" t="s">
        <v>185</v>
      </c>
      <c r="F430" t="s">
        <v>2729</v>
      </c>
      <c r="G430" t="s">
        <v>2730</v>
      </c>
      <c r="H430" t="s">
        <v>40</v>
      </c>
      <c r="I430" t="s">
        <v>26</v>
      </c>
      <c r="J430" t="s">
        <v>311</v>
      </c>
      <c r="K430" t="s">
        <v>491</v>
      </c>
      <c r="L430">
        <v>45503</v>
      </c>
      <c r="M430" t="s">
        <v>145</v>
      </c>
      <c r="N430" t="s">
        <v>2731</v>
      </c>
      <c r="O430" t="s">
        <v>45</v>
      </c>
      <c r="P430" t="s">
        <v>74</v>
      </c>
      <c r="Q430" t="s">
        <v>2732</v>
      </c>
      <c r="R430">
        <v>8.9039999999999999</v>
      </c>
      <c r="S430">
        <v>2</v>
      </c>
      <c r="T430">
        <v>0.7</v>
      </c>
      <c r="U430">
        <v>-6.5296000000000003</v>
      </c>
      <c r="V430" t="str">
        <f t="shared" si="6"/>
        <v>Justin Ritter</v>
      </c>
      <c r="W430">
        <f>Table2[Profit]/Table2[Sales]</f>
        <v>-0.73333333333333339</v>
      </c>
    </row>
    <row r="431" spans="1:23" x14ac:dyDescent="0.25">
      <c r="A431">
        <v>430</v>
      </c>
      <c r="B431" t="s">
        <v>2733</v>
      </c>
      <c r="C431" s="1">
        <v>43050</v>
      </c>
      <c r="D431" s="1">
        <v>43052</v>
      </c>
      <c r="E431" t="s">
        <v>185</v>
      </c>
      <c r="F431" t="s">
        <v>1230</v>
      </c>
      <c r="G431" t="s">
        <v>1231</v>
      </c>
      <c r="H431" t="s">
        <v>25</v>
      </c>
      <c r="I431" t="s">
        <v>26</v>
      </c>
      <c r="J431" t="s">
        <v>2734</v>
      </c>
      <c r="K431" t="s">
        <v>103</v>
      </c>
      <c r="L431">
        <v>75043</v>
      </c>
      <c r="M431" t="s">
        <v>104</v>
      </c>
      <c r="N431" t="s">
        <v>2735</v>
      </c>
      <c r="O431" t="s">
        <v>45</v>
      </c>
      <c r="P431" t="s">
        <v>46</v>
      </c>
      <c r="Q431" t="s">
        <v>2736</v>
      </c>
      <c r="R431">
        <v>10.44</v>
      </c>
      <c r="S431">
        <v>5</v>
      </c>
      <c r="T431">
        <v>0.2</v>
      </c>
      <c r="U431">
        <v>3.3929999999999998</v>
      </c>
      <c r="V431" t="str">
        <f t="shared" si="6"/>
        <v>Tamara Dahlen</v>
      </c>
      <c r="W431">
        <f>Table2[Profit]/Table2[Sales]</f>
        <v>0.32500000000000001</v>
      </c>
    </row>
    <row r="432" spans="1:23" x14ac:dyDescent="0.25">
      <c r="A432">
        <v>431</v>
      </c>
      <c r="B432" t="s">
        <v>2739</v>
      </c>
      <c r="C432" s="1">
        <v>42993</v>
      </c>
      <c r="D432" s="1">
        <v>42995</v>
      </c>
      <c r="E432" t="s">
        <v>185</v>
      </c>
      <c r="F432" t="s">
        <v>635</v>
      </c>
      <c r="G432" t="s">
        <v>636</v>
      </c>
      <c r="H432" t="s">
        <v>25</v>
      </c>
      <c r="I432" t="s">
        <v>26</v>
      </c>
      <c r="J432" t="s">
        <v>296</v>
      </c>
      <c r="K432" t="s">
        <v>208</v>
      </c>
      <c r="L432">
        <v>60653</v>
      </c>
      <c r="M432" t="s">
        <v>104</v>
      </c>
      <c r="N432" t="s">
        <v>644</v>
      </c>
      <c r="O432" t="s">
        <v>70</v>
      </c>
      <c r="P432" t="s">
        <v>71</v>
      </c>
      <c r="Q432" t="s">
        <v>645</v>
      </c>
      <c r="R432">
        <v>323.976</v>
      </c>
      <c r="S432">
        <v>3</v>
      </c>
      <c r="T432">
        <v>0.2</v>
      </c>
      <c r="U432">
        <v>20.2485</v>
      </c>
      <c r="V432" t="str">
        <f t="shared" si="6"/>
        <v>Dave Brooks</v>
      </c>
      <c r="W432">
        <f>Table2[Profit]/Table2[Sales]</f>
        <v>6.25E-2</v>
      </c>
    </row>
    <row r="433" spans="1:23" x14ac:dyDescent="0.25">
      <c r="A433">
        <v>432</v>
      </c>
      <c r="B433" t="s">
        <v>2740</v>
      </c>
      <c r="C433" s="1">
        <v>42468</v>
      </c>
      <c r="D433" s="1">
        <v>42472</v>
      </c>
      <c r="E433" t="s">
        <v>49</v>
      </c>
      <c r="F433" t="s">
        <v>806</v>
      </c>
      <c r="G433" t="s">
        <v>807</v>
      </c>
      <c r="H433" t="s">
        <v>25</v>
      </c>
      <c r="I433" t="s">
        <v>26</v>
      </c>
      <c r="J433" t="s">
        <v>41</v>
      </c>
      <c r="K433" t="s">
        <v>42</v>
      </c>
      <c r="L433">
        <v>90032</v>
      </c>
      <c r="M433" t="s">
        <v>43</v>
      </c>
      <c r="N433" t="s">
        <v>2741</v>
      </c>
      <c r="O433" t="s">
        <v>45</v>
      </c>
      <c r="P433" t="s">
        <v>89</v>
      </c>
      <c r="Q433" t="s">
        <v>2742</v>
      </c>
      <c r="R433">
        <v>20.04</v>
      </c>
      <c r="S433">
        <v>3</v>
      </c>
      <c r="T433">
        <v>0</v>
      </c>
      <c r="U433">
        <v>9.6191999999999993</v>
      </c>
      <c r="V433" t="str">
        <f t="shared" si="6"/>
        <v>Logan Currie</v>
      </c>
      <c r="W433">
        <f>Table2[Profit]/Table2[Sales]</f>
        <v>0.48</v>
      </c>
    </row>
    <row r="434" spans="1:23" x14ac:dyDescent="0.25">
      <c r="A434">
        <v>433</v>
      </c>
      <c r="B434" t="s">
        <v>2745</v>
      </c>
      <c r="C434" s="1">
        <v>43099</v>
      </c>
      <c r="D434" s="1">
        <v>43103</v>
      </c>
      <c r="E434" t="s">
        <v>49</v>
      </c>
      <c r="F434" t="s">
        <v>232</v>
      </c>
      <c r="G434" t="s">
        <v>233</v>
      </c>
      <c r="H434" t="s">
        <v>25</v>
      </c>
      <c r="I434" t="s">
        <v>26</v>
      </c>
      <c r="J434" t="s">
        <v>263</v>
      </c>
      <c r="K434" t="s">
        <v>264</v>
      </c>
      <c r="L434">
        <v>10009</v>
      </c>
      <c r="M434" t="s">
        <v>145</v>
      </c>
      <c r="N434" t="s">
        <v>2746</v>
      </c>
      <c r="O434" t="s">
        <v>31</v>
      </c>
      <c r="P434" t="s">
        <v>32</v>
      </c>
      <c r="Q434" t="s">
        <v>2747</v>
      </c>
      <c r="R434">
        <v>323.13600000000002</v>
      </c>
      <c r="S434">
        <v>4</v>
      </c>
      <c r="T434">
        <v>0.2</v>
      </c>
      <c r="U434">
        <v>12.117599999999999</v>
      </c>
      <c r="V434" t="str">
        <f t="shared" si="6"/>
        <v>Patrick O'Donnell</v>
      </c>
      <c r="W434">
        <f>Table2[Profit]/Table2[Sales]</f>
        <v>3.7499999999999999E-2</v>
      </c>
    </row>
    <row r="435" spans="1:23" x14ac:dyDescent="0.25">
      <c r="A435">
        <v>434</v>
      </c>
      <c r="B435" t="s">
        <v>2752</v>
      </c>
      <c r="C435" s="1">
        <v>42980</v>
      </c>
      <c r="D435" s="1">
        <v>42985</v>
      </c>
      <c r="E435" t="s">
        <v>49</v>
      </c>
      <c r="F435" t="s">
        <v>2753</v>
      </c>
      <c r="G435" t="s">
        <v>2754</v>
      </c>
      <c r="H435" t="s">
        <v>101</v>
      </c>
      <c r="I435" t="s">
        <v>26</v>
      </c>
      <c r="J435" t="s">
        <v>321</v>
      </c>
      <c r="K435" t="s">
        <v>235</v>
      </c>
      <c r="L435">
        <v>49201</v>
      </c>
      <c r="M435" t="s">
        <v>104</v>
      </c>
      <c r="N435" t="s">
        <v>2755</v>
      </c>
      <c r="O435" t="s">
        <v>70</v>
      </c>
      <c r="P435" t="s">
        <v>71</v>
      </c>
      <c r="Q435" t="s">
        <v>2756</v>
      </c>
      <c r="R435">
        <v>1199.8</v>
      </c>
      <c r="S435">
        <v>4</v>
      </c>
      <c r="T435">
        <v>0</v>
      </c>
      <c r="U435">
        <v>323.94600000000003</v>
      </c>
      <c r="V435" t="str">
        <f t="shared" si="6"/>
        <v>Bill Eplett</v>
      </c>
      <c r="W435">
        <f>Table2[Profit]/Table2[Sales]</f>
        <v>0.27</v>
      </c>
    </row>
    <row r="436" spans="1:23" x14ac:dyDescent="0.25">
      <c r="A436">
        <v>435</v>
      </c>
      <c r="B436" t="s">
        <v>2759</v>
      </c>
      <c r="C436" s="1">
        <v>42155</v>
      </c>
      <c r="D436" s="1">
        <v>42162</v>
      </c>
      <c r="E436" t="s">
        <v>49</v>
      </c>
      <c r="F436" t="s">
        <v>2760</v>
      </c>
      <c r="G436" t="s">
        <v>2761</v>
      </c>
      <c r="H436" t="s">
        <v>101</v>
      </c>
      <c r="I436" t="s">
        <v>26</v>
      </c>
      <c r="J436" t="s">
        <v>2762</v>
      </c>
      <c r="K436" t="s">
        <v>740</v>
      </c>
      <c r="L436">
        <v>6360</v>
      </c>
      <c r="M436" t="s">
        <v>145</v>
      </c>
      <c r="N436" t="s">
        <v>1351</v>
      </c>
      <c r="O436" t="s">
        <v>31</v>
      </c>
      <c r="P436" t="s">
        <v>64</v>
      </c>
      <c r="Q436" t="s">
        <v>1352</v>
      </c>
      <c r="R436">
        <v>22.2</v>
      </c>
      <c r="S436">
        <v>6</v>
      </c>
      <c r="T436">
        <v>0</v>
      </c>
      <c r="U436">
        <v>9.1020000000000003</v>
      </c>
      <c r="V436" t="str">
        <f t="shared" si="6"/>
        <v>Sample Company A</v>
      </c>
      <c r="W436">
        <f>Table2[Profit]/Table2[Sales]</f>
        <v>0.41000000000000003</v>
      </c>
    </row>
    <row r="437" spans="1:23" x14ac:dyDescent="0.25">
      <c r="A437">
        <v>436</v>
      </c>
      <c r="B437" t="s">
        <v>2763</v>
      </c>
      <c r="C437" s="1">
        <v>43066</v>
      </c>
      <c r="D437" s="1">
        <v>43068</v>
      </c>
      <c r="E437" t="s">
        <v>185</v>
      </c>
      <c r="F437" t="s">
        <v>2570</v>
      </c>
      <c r="G437" t="s">
        <v>2571</v>
      </c>
      <c r="H437" t="s">
        <v>40</v>
      </c>
      <c r="I437" t="s">
        <v>26</v>
      </c>
      <c r="J437" t="s">
        <v>2517</v>
      </c>
      <c r="K437" t="s">
        <v>113</v>
      </c>
      <c r="L437">
        <v>53209</v>
      </c>
      <c r="M437" t="s">
        <v>104</v>
      </c>
      <c r="N437" t="s">
        <v>1074</v>
      </c>
      <c r="O437" t="s">
        <v>31</v>
      </c>
      <c r="P437" t="s">
        <v>64</v>
      </c>
      <c r="Q437" t="s">
        <v>1075</v>
      </c>
      <c r="R437">
        <v>46.94</v>
      </c>
      <c r="S437">
        <v>1</v>
      </c>
      <c r="T437">
        <v>0</v>
      </c>
      <c r="U437">
        <v>19.2454</v>
      </c>
      <c r="V437" t="str">
        <f t="shared" si="6"/>
        <v>Brian Moss</v>
      </c>
      <c r="W437">
        <f>Table2[Profit]/Table2[Sales]</f>
        <v>0.41000000000000003</v>
      </c>
    </row>
    <row r="438" spans="1:23" x14ac:dyDescent="0.25">
      <c r="A438">
        <v>437</v>
      </c>
      <c r="B438" t="s">
        <v>2764</v>
      </c>
      <c r="C438" s="1">
        <v>41805</v>
      </c>
      <c r="D438" s="1">
        <v>41811</v>
      </c>
      <c r="E438" t="s">
        <v>49</v>
      </c>
      <c r="F438" t="s">
        <v>1071</v>
      </c>
      <c r="G438" t="s">
        <v>1072</v>
      </c>
      <c r="H438" t="s">
        <v>40</v>
      </c>
      <c r="I438" t="s">
        <v>26</v>
      </c>
      <c r="J438" t="s">
        <v>671</v>
      </c>
      <c r="K438" t="s">
        <v>103</v>
      </c>
      <c r="L438">
        <v>78207</v>
      </c>
      <c r="M438" t="s">
        <v>104</v>
      </c>
      <c r="N438" t="s">
        <v>2765</v>
      </c>
      <c r="O438" t="s">
        <v>31</v>
      </c>
      <c r="P438" t="s">
        <v>55</v>
      </c>
      <c r="Q438" t="s">
        <v>2766</v>
      </c>
      <c r="R438">
        <v>99.918000000000006</v>
      </c>
      <c r="S438">
        <v>2</v>
      </c>
      <c r="T438">
        <v>0.3</v>
      </c>
      <c r="U438">
        <v>-18.5562</v>
      </c>
      <c r="V438" t="str">
        <f t="shared" si="6"/>
        <v>Kelly Lampkin</v>
      </c>
      <c r="W438">
        <f>Table2[Profit]/Table2[Sales]</f>
        <v>-0.18571428571428572</v>
      </c>
    </row>
    <row r="439" spans="1:23" x14ac:dyDescent="0.25">
      <c r="A439">
        <v>438</v>
      </c>
      <c r="B439" t="s">
        <v>2767</v>
      </c>
      <c r="C439" s="1">
        <v>42434</v>
      </c>
      <c r="D439" s="1">
        <v>42440</v>
      </c>
      <c r="E439" t="s">
        <v>49</v>
      </c>
      <c r="F439" t="s">
        <v>2768</v>
      </c>
      <c r="G439" t="s">
        <v>2769</v>
      </c>
      <c r="H439" t="s">
        <v>40</v>
      </c>
      <c r="I439" t="s">
        <v>26</v>
      </c>
      <c r="J439" t="s">
        <v>808</v>
      </c>
      <c r="K439" t="s">
        <v>103</v>
      </c>
      <c r="L439">
        <v>75220</v>
      </c>
      <c r="M439" t="s">
        <v>104</v>
      </c>
      <c r="N439" t="s">
        <v>2436</v>
      </c>
      <c r="O439" t="s">
        <v>45</v>
      </c>
      <c r="P439" t="s">
        <v>170</v>
      </c>
      <c r="Q439" t="s">
        <v>2437</v>
      </c>
      <c r="R439">
        <v>149.352</v>
      </c>
      <c r="S439">
        <v>3</v>
      </c>
      <c r="T439">
        <v>0.2</v>
      </c>
      <c r="U439">
        <v>50.406300000000002</v>
      </c>
      <c r="V439" t="str">
        <f t="shared" si="6"/>
        <v>Rob Williams</v>
      </c>
      <c r="W439">
        <f>Table2[Profit]/Table2[Sales]</f>
        <v>0.33750000000000002</v>
      </c>
    </row>
    <row r="440" spans="1:23" x14ac:dyDescent="0.25">
      <c r="A440">
        <v>439</v>
      </c>
      <c r="B440" t="s">
        <v>2772</v>
      </c>
      <c r="C440" s="1">
        <v>41978</v>
      </c>
      <c r="D440" s="1">
        <v>41985</v>
      </c>
      <c r="E440" t="s">
        <v>49</v>
      </c>
      <c r="F440" t="s">
        <v>976</v>
      </c>
      <c r="G440" t="s">
        <v>977</v>
      </c>
      <c r="H440" t="s">
        <v>25</v>
      </c>
      <c r="I440" t="s">
        <v>26</v>
      </c>
      <c r="J440" t="s">
        <v>2773</v>
      </c>
      <c r="K440" t="s">
        <v>312</v>
      </c>
      <c r="L440">
        <v>22304</v>
      </c>
      <c r="M440" t="s">
        <v>29</v>
      </c>
      <c r="N440" t="s">
        <v>2208</v>
      </c>
      <c r="O440" t="s">
        <v>45</v>
      </c>
      <c r="P440" t="s">
        <v>58</v>
      </c>
      <c r="Q440" t="s">
        <v>2209</v>
      </c>
      <c r="R440">
        <v>24.56</v>
      </c>
      <c r="S440">
        <v>2</v>
      </c>
      <c r="T440">
        <v>0</v>
      </c>
      <c r="U440">
        <v>6.8768000000000002</v>
      </c>
      <c r="V440" t="str">
        <f t="shared" si="6"/>
        <v>Roy Collins</v>
      </c>
      <c r="W440">
        <f>Table2[Profit]/Table2[Sales]</f>
        <v>0.28000000000000003</v>
      </c>
    </row>
    <row r="441" spans="1:23" x14ac:dyDescent="0.25">
      <c r="A441">
        <v>440</v>
      </c>
      <c r="B441" t="s">
        <v>2774</v>
      </c>
      <c r="C441" s="1">
        <v>42105</v>
      </c>
      <c r="D441" s="1">
        <v>42109</v>
      </c>
      <c r="E441" t="s">
        <v>49</v>
      </c>
      <c r="F441" t="s">
        <v>2775</v>
      </c>
      <c r="G441" t="s">
        <v>2776</v>
      </c>
      <c r="H441" t="s">
        <v>25</v>
      </c>
      <c r="I441" t="s">
        <v>26</v>
      </c>
      <c r="J441" t="s">
        <v>263</v>
      </c>
      <c r="K441" t="s">
        <v>264</v>
      </c>
      <c r="L441">
        <v>10009</v>
      </c>
      <c r="M441" t="s">
        <v>145</v>
      </c>
      <c r="N441" t="s">
        <v>2777</v>
      </c>
      <c r="O441" t="s">
        <v>70</v>
      </c>
      <c r="P441" t="s">
        <v>158</v>
      </c>
      <c r="Q441" t="s">
        <v>2778</v>
      </c>
      <c r="R441">
        <v>85.14</v>
      </c>
      <c r="S441">
        <v>3</v>
      </c>
      <c r="T441">
        <v>0</v>
      </c>
      <c r="U441">
        <v>34.907400000000003</v>
      </c>
      <c r="V441" t="str">
        <f t="shared" si="6"/>
        <v>Sanjit Engle</v>
      </c>
      <c r="W441">
        <f>Table2[Profit]/Table2[Sales]</f>
        <v>0.41000000000000003</v>
      </c>
    </row>
    <row r="442" spans="1:23" x14ac:dyDescent="0.25">
      <c r="A442">
        <v>441</v>
      </c>
      <c r="B442" t="s">
        <v>2783</v>
      </c>
      <c r="C442" s="1">
        <v>42628</v>
      </c>
      <c r="D442" s="1">
        <v>42633</v>
      </c>
      <c r="E442" t="s">
        <v>49</v>
      </c>
      <c r="F442" t="s">
        <v>2784</v>
      </c>
      <c r="G442" t="s">
        <v>2785</v>
      </c>
      <c r="H442" t="s">
        <v>40</v>
      </c>
      <c r="I442" t="s">
        <v>26</v>
      </c>
      <c r="J442" t="s">
        <v>263</v>
      </c>
      <c r="K442" t="s">
        <v>264</v>
      </c>
      <c r="L442">
        <v>10011</v>
      </c>
      <c r="M442" t="s">
        <v>145</v>
      </c>
      <c r="N442" t="s">
        <v>509</v>
      </c>
      <c r="O442" t="s">
        <v>45</v>
      </c>
      <c r="P442" t="s">
        <v>74</v>
      </c>
      <c r="Q442" t="s">
        <v>510</v>
      </c>
      <c r="R442">
        <v>841.56799999999998</v>
      </c>
      <c r="S442">
        <v>2</v>
      </c>
      <c r="T442">
        <v>0.2</v>
      </c>
      <c r="U442">
        <v>294.54880000000003</v>
      </c>
      <c r="V442" t="str">
        <f t="shared" si="6"/>
        <v>Adam Hart</v>
      </c>
      <c r="W442">
        <f>Table2[Profit]/Table2[Sales]</f>
        <v>0.35000000000000003</v>
      </c>
    </row>
    <row r="443" spans="1:23" x14ac:dyDescent="0.25">
      <c r="A443">
        <v>442</v>
      </c>
      <c r="B443" t="s">
        <v>2786</v>
      </c>
      <c r="C443" s="1">
        <v>41895</v>
      </c>
      <c r="D443" s="1">
        <v>41898</v>
      </c>
      <c r="E443" t="s">
        <v>185</v>
      </c>
      <c r="F443" t="s">
        <v>2787</v>
      </c>
      <c r="G443" t="s">
        <v>2788</v>
      </c>
      <c r="H443" t="s">
        <v>25</v>
      </c>
      <c r="I443" t="s">
        <v>26</v>
      </c>
      <c r="J443" t="s">
        <v>143</v>
      </c>
      <c r="K443" t="s">
        <v>144</v>
      </c>
      <c r="L443">
        <v>19143</v>
      </c>
      <c r="M443" t="s">
        <v>145</v>
      </c>
      <c r="N443" t="s">
        <v>2789</v>
      </c>
      <c r="O443" t="s">
        <v>45</v>
      </c>
      <c r="P443" t="s">
        <v>89</v>
      </c>
      <c r="Q443" t="s">
        <v>2790</v>
      </c>
      <c r="R443">
        <v>15.552</v>
      </c>
      <c r="S443">
        <v>3</v>
      </c>
      <c r="T443">
        <v>0.2</v>
      </c>
      <c r="U443">
        <v>5.4432</v>
      </c>
      <c r="V443" t="str">
        <f t="shared" si="6"/>
        <v>Jessica Myrick</v>
      </c>
      <c r="W443">
        <f>Table2[Profit]/Table2[Sales]</f>
        <v>0.35000000000000003</v>
      </c>
    </row>
    <row r="444" spans="1:23" x14ac:dyDescent="0.25">
      <c r="A444">
        <v>443</v>
      </c>
      <c r="B444" t="s">
        <v>2793</v>
      </c>
      <c r="C444" s="1">
        <v>42282</v>
      </c>
      <c r="D444" s="1">
        <v>42286</v>
      </c>
      <c r="E444" t="s">
        <v>49</v>
      </c>
      <c r="F444" t="s">
        <v>2794</v>
      </c>
      <c r="G444" t="s">
        <v>2795</v>
      </c>
      <c r="H444" t="s">
        <v>101</v>
      </c>
      <c r="I444" t="s">
        <v>26</v>
      </c>
      <c r="J444" t="s">
        <v>311</v>
      </c>
      <c r="K444" t="s">
        <v>312</v>
      </c>
      <c r="L444">
        <v>22153</v>
      </c>
      <c r="M444" t="s">
        <v>29</v>
      </c>
      <c r="N444" t="s">
        <v>1302</v>
      </c>
      <c r="O444" t="s">
        <v>45</v>
      </c>
      <c r="P444" t="s">
        <v>67</v>
      </c>
      <c r="Q444" t="s">
        <v>1303</v>
      </c>
      <c r="R444">
        <v>46.2</v>
      </c>
      <c r="S444">
        <v>4</v>
      </c>
      <c r="T444">
        <v>0</v>
      </c>
      <c r="U444">
        <v>12.936</v>
      </c>
      <c r="V444" t="str">
        <f t="shared" si="6"/>
        <v>Joel Jenkins</v>
      </c>
      <c r="W444">
        <f>Table2[Profit]/Table2[Sales]</f>
        <v>0.27999999999999997</v>
      </c>
    </row>
    <row r="445" spans="1:23" x14ac:dyDescent="0.25">
      <c r="A445">
        <v>444</v>
      </c>
      <c r="B445" t="s">
        <v>2796</v>
      </c>
      <c r="C445" s="1">
        <v>42839</v>
      </c>
      <c r="D445" s="1">
        <v>42842</v>
      </c>
      <c r="E445" t="s">
        <v>185</v>
      </c>
      <c r="F445" t="s">
        <v>2211</v>
      </c>
      <c r="G445" t="s">
        <v>2212</v>
      </c>
      <c r="H445" t="s">
        <v>25</v>
      </c>
      <c r="I445" t="s">
        <v>26</v>
      </c>
      <c r="J445" t="s">
        <v>2797</v>
      </c>
      <c r="K445" t="s">
        <v>491</v>
      </c>
      <c r="L445">
        <v>43615</v>
      </c>
      <c r="M445" t="s">
        <v>145</v>
      </c>
      <c r="N445" t="s">
        <v>1863</v>
      </c>
      <c r="O445" t="s">
        <v>45</v>
      </c>
      <c r="P445" t="s">
        <v>67</v>
      </c>
      <c r="Q445" t="s">
        <v>1864</v>
      </c>
      <c r="R445">
        <v>14.592000000000001</v>
      </c>
      <c r="S445">
        <v>3</v>
      </c>
      <c r="T445">
        <v>0.2</v>
      </c>
      <c r="U445">
        <v>2.5535999999999999</v>
      </c>
      <c r="V445" t="str">
        <f t="shared" si="6"/>
        <v>Alan Barnes</v>
      </c>
      <c r="W445">
        <f>Table2[Profit]/Table2[Sales]</f>
        <v>0.17499999999999999</v>
      </c>
    </row>
    <row r="446" spans="1:23" x14ac:dyDescent="0.25">
      <c r="A446">
        <v>445</v>
      </c>
      <c r="B446" t="s">
        <v>2800</v>
      </c>
      <c r="C446" s="1">
        <v>42980</v>
      </c>
      <c r="D446" s="1">
        <v>42984</v>
      </c>
      <c r="E446" t="s">
        <v>49</v>
      </c>
      <c r="F446" t="s">
        <v>2801</v>
      </c>
      <c r="G446" t="s">
        <v>2802</v>
      </c>
      <c r="H446" t="s">
        <v>25</v>
      </c>
      <c r="I446" t="s">
        <v>26</v>
      </c>
      <c r="J446" t="s">
        <v>143</v>
      </c>
      <c r="K446" t="s">
        <v>144</v>
      </c>
      <c r="L446">
        <v>19140</v>
      </c>
      <c r="M446" t="s">
        <v>145</v>
      </c>
      <c r="N446" t="s">
        <v>2803</v>
      </c>
      <c r="O446" t="s">
        <v>45</v>
      </c>
      <c r="P446" t="s">
        <v>89</v>
      </c>
      <c r="Q446" t="s">
        <v>2804</v>
      </c>
      <c r="R446">
        <v>12.192</v>
      </c>
      <c r="S446">
        <v>3</v>
      </c>
      <c r="T446">
        <v>0.2</v>
      </c>
      <c r="U446">
        <v>4.1147999999999998</v>
      </c>
      <c r="V446" t="str">
        <f t="shared" si="6"/>
        <v>Ralph Kennedy</v>
      </c>
      <c r="W446">
        <f>Table2[Profit]/Table2[Sales]</f>
        <v>0.33749999999999997</v>
      </c>
    </row>
    <row r="447" spans="1:23" x14ac:dyDescent="0.25">
      <c r="A447">
        <v>446</v>
      </c>
      <c r="B447" t="s">
        <v>2805</v>
      </c>
      <c r="C447" s="1">
        <v>42541</v>
      </c>
      <c r="D447" s="1">
        <v>42545</v>
      </c>
      <c r="E447" t="s">
        <v>49</v>
      </c>
      <c r="F447" t="s">
        <v>2806</v>
      </c>
      <c r="G447" t="s">
        <v>2807</v>
      </c>
      <c r="H447" t="s">
        <v>101</v>
      </c>
      <c r="I447" t="s">
        <v>26</v>
      </c>
      <c r="J447" t="s">
        <v>143</v>
      </c>
      <c r="K447" t="s">
        <v>144</v>
      </c>
      <c r="L447">
        <v>19120</v>
      </c>
      <c r="M447" t="s">
        <v>145</v>
      </c>
      <c r="N447" t="s">
        <v>2808</v>
      </c>
      <c r="O447" t="s">
        <v>45</v>
      </c>
      <c r="P447" t="s">
        <v>89</v>
      </c>
      <c r="Q447" t="s">
        <v>2809</v>
      </c>
      <c r="R447">
        <v>45.055999999999997</v>
      </c>
      <c r="S447">
        <v>8</v>
      </c>
      <c r="T447">
        <v>0.2</v>
      </c>
      <c r="U447">
        <v>15.2064</v>
      </c>
      <c r="V447" t="str">
        <f t="shared" si="6"/>
        <v>Catherine Glotzbach</v>
      </c>
      <c r="W447">
        <f>Table2[Profit]/Table2[Sales]</f>
        <v>0.33750000000000002</v>
      </c>
    </row>
    <row r="448" spans="1:23" x14ac:dyDescent="0.25">
      <c r="A448">
        <v>447</v>
      </c>
      <c r="B448" t="s">
        <v>2812</v>
      </c>
      <c r="C448" s="1">
        <v>43044</v>
      </c>
      <c r="D448" s="1">
        <v>43045</v>
      </c>
      <c r="E448" t="s">
        <v>185</v>
      </c>
      <c r="F448" t="s">
        <v>212</v>
      </c>
      <c r="G448" t="s">
        <v>213</v>
      </c>
      <c r="H448" t="s">
        <v>40</v>
      </c>
      <c r="I448" t="s">
        <v>26</v>
      </c>
      <c r="J448" t="s">
        <v>2813</v>
      </c>
      <c r="K448" t="s">
        <v>660</v>
      </c>
      <c r="L448">
        <v>87401</v>
      </c>
      <c r="M448" t="s">
        <v>43</v>
      </c>
      <c r="N448" t="s">
        <v>1300</v>
      </c>
      <c r="O448" t="s">
        <v>70</v>
      </c>
      <c r="P448" t="s">
        <v>158</v>
      </c>
      <c r="Q448" t="s">
        <v>1301</v>
      </c>
      <c r="R448">
        <v>159.99</v>
      </c>
      <c r="S448">
        <v>1</v>
      </c>
      <c r="T448">
        <v>0</v>
      </c>
      <c r="U448">
        <v>54.396599999999999</v>
      </c>
      <c r="V448" t="str">
        <f t="shared" si="6"/>
        <v>Ruben Ausman</v>
      </c>
      <c r="W448">
        <f>Table2[Profit]/Table2[Sales]</f>
        <v>0.33999999999999997</v>
      </c>
    </row>
    <row r="449" spans="1:23" x14ac:dyDescent="0.25">
      <c r="A449">
        <v>448</v>
      </c>
      <c r="B449" t="s">
        <v>2814</v>
      </c>
      <c r="C449" s="1">
        <v>42351</v>
      </c>
      <c r="D449" s="1">
        <v>42355</v>
      </c>
      <c r="E449" t="s">
        <v>49</v>
      </c>
      <c r="F449" t="s">
        <v>2815</v>
      </c>
      <c r="G449" t="s">
        <v>2816</v>
      </c>
      <c r="H449" t="s">
        <v>40</v>
      </c>
      <c r="I449" t="s">
        <v>26</v>
      </c>
      <c r="J449" t="s">
        <v>2817</v>
      </c>
      <c r="K449" t="s">
        <v>42</v>
      </c>
      <c r="L449">
        <v>92503</v>
      </c>
      <c r="M449" t="s">
        <v>43</v>
      </c>
      <c r="N449" t="s">
        <v>2818</v>
      </c>
      <c r="O449" t="s">
        <v>45</v>
      </c>
      <c r="P449" t="s">
        <v>89</v>
      </c>
      <c r="Q449" t="s">
        <v>2819</v>
      </c>
      <c r="R449">
        <v>12.96</v>
      </c>
      <c r="S449">
        <v>2</v>
      </c>
      <c r="T449">
        <v>0</v>
      </c>
      <c r="U449">
        <v>6.2207999999999997</v>
      </c>
      <c r="V449" t="str">
        <f t="shared" si="6"/>
        <v>Rachel Payne</v>
      </c>
      <c r="W449">
        <f>Table2[Profit]/Table2[Sales]</f>
        <v>0.47999999999999993</v>
      </c>
    </row>
    <row r="450" spans="1:23" x14ac:dyDescent="0.25">
      <c r="A450">
        <v>449</v>
      </c>
      <c r="B450" t="s">
        <v>2822</v>
      </c>
      <c r="C450" s="1">
        <v>42540</v>
      </c>
      <c r="D450" s="1">
        <v>42541</v>
      </c>
      <c r="E450" t="s">
        <v>185</v>
      </c>
      <c r="F450" t="s">
        <v>2823</v>
      </c>
      <c r="G450" t="s">
        <v>2824</v>
      </c>
      <c r="H450" t="s">
        <v>40</v>
      </c>
      <c r="I450" t="s">
        <v>26</v>
      </c>
      <c r="J450" t="s">
        <v>126</v>
      </c>
      <c r="K450" t="s">
        <v>42</v>
      </c>
      <c r="L450">
        <v>94110</v>
      </c>
      <c r="M450" t="s">
        <v>43</v>
      </c>
      <c r="N450" t="s">
        <v>2825</v>
      </c>
      <c r="O450" t="s">
        <v>45</v>
      </c>
      <c r="P450" t="s">
        <v>89</v>
      </c>
      <c r="Q450" t="s">
        <v>2826</v>
      </c>
      <c r="R450">
        <v>17.12</v>
      </c>
      <c r="S450">
        <v>2</v>
      </c>
      <c r="T450">
        <v>0</v>
      </c>
      <c r="U450">
        <v>8.0464000000000002</v>
      </c>
      <c r="V450" t="str">
        <f t="shared" si="6"/>
        <v>Karen Carlisle</v>
      </c>
      <c r="W450">
        <f>Table2[Profit]/Table2[Sales]</f>
        <v>0.47</v>
      </c>
    </row>
    <row r="451" spans="1:23" x14ac:dyDescent="0.25">
      <c r="A451">
        <v>450</v>
      </c>
      <c r="B451" t="s">
        <v>2827</v>
      </c>
      <c r="C451" s="1">
        <v>42717</v>
      </c>
      <c r="D451" s="1">
        <v>42724</v>
      </c>
      <c r="E451" t="s">
        <v>49</v>
      </c>
      <c r="F451" t="s">
        <v>2768</v>
      </c>
      <c r="G451" t="s">
        <v>2769</v>
      </c>
      <c r="H451" t="s">
        <v>40</v>
      </c>
      <c r="I451" t="s">
        <v>26</v>
      </c>
      <c r="J451" t="s">
        <v>2828</v>
      </c>
      <c r="K451" t="s">
        <v>42</v>
      </c>
      <c r="L451">
        <v>90503</v>
      </c>
      <c r="M451" t="s">
        <v>43</v>
      </c>
      <c r="N451" t="s">
        <v>2829</v>
      </c>
      <c r="O451" t="s">
        <v>45</v>
      </c>
      <c r="P451" t="s">
        <v>74</v>
      </c>
      <c r="Q451" t="s">
        <v>2830</v>
      </c>
      <c r="R451">
        <v>6.0960000000000001</v>
      </c>
      <c r="S451">
        <v>2</v>
      </c>
      <c r="T451">
        <v>0.2</v>
      </c>
      <c r="U451">
        <v>2.2098</v>
      </c>
      <c r="V451" t="str">
        <f t="shared" ref="V451:V514" si="7">TRIM(G451)</f>
        <v>Rob Williams</v>
      </c>
      <c r="W451">
        <f>Table2[Profit]/Table2[Sales]</f>
        <v>0.36249999999999999</v>
      </c>
    </row>
    <row r="452" spans="1:23" x14ac:dyDescent="0.25">
      <c r="A452">
        <v>451</v>
      </c>
      <c r="B452" t="s">
        <v>2831</v>
      </c>
      <c r="C452" s="1">
        <v>42153</v>
      </c>
      <c r="D452" s="1">
        <v>42158</v>
      </c>
      <c r="E452" t="s">
        <v>49</v>
      </c>
      <c r="F452" t="s">
        <v>1190</v>
      </c>
      <c r="G452" t="s">
        <v>1191</v>
      </c>
      <c r="H452" t="s">
        <v>25</v>
      </c>
      <c r="I452" t="s">
        <v>26</v>
      </c>
      <c r="J452" t="s">
        <v>94</v>
      </c>
      <c r="K452" t="s">
        <v>95</v>
      </c>
      <c r="L452">
        <v>98105</v>
      </c>
      <c r="M452" t="s">
        <v>43</v>
      </c>
      <c r="N452" t="s">
        <v>1953</v>
      </c>
      <c r="O452" t="s">
        <v>45</v>
      </c>
      <c r="P452" t="s">
        <v>89</v>
      </c>
      <c r="Q452" t="s">
        <v>1954</v>
      </c>
      <c r="R452">
        <v>32.4</v>
      </c>
      <c r="S452">
        <v>5</v>
      </c>
      <c r="T452">
        <v>0</v>
      </c>
      <c r="U452">
        <v>15.552</v>
      </c>
      <c r="V452" t="str">
        <f t="shared" si="7"/>
        <v>John Lucas</v>
      </c>
      <c r="W452">
        <f>Table2[Profit]/Table2[Sales]</f>
        <v>0.48</v>
      </c>
    </row>
    <row r="453" spans="1:23" x14ac:dyDescent="0.25">
      <c r="A453">
        <v>452</v>
      </c>
      <c r="B453" t="s">
        <v>2836</v>
      </c>
      <c r="C453" s="1">
        <v>42211</v>
      </c>
      <c r="D453" s="1">
        <v>42213</v>
      </c>
      <c r="E453" t="s">
        <v>185</v>
      </c>
      <c r="F453" t="s">
        <v>1880</v>
      </c>
      <c r="G453" t="s">
        <v>1881</v>
      </c>
      <c r="H453" t="s">
        <v>25</v>
      </c>
      <c r="I453" t="s">
        <v>26</v>
      </c>
      <c r="J453" t="s">
        <v>1799</v>
      </c>
      <c r="K453" t="s">
        <v>303</v>
      </c>
      <c r="L453">
        <v>85204</v>
      </c>
      <c r="M453" t="s">
        <v>43</v>
      </c>
      <c r="N453" t="s">
        <v>2837</v>
      </c>
      <c r="O453" t="s">
        <v>31</v>
      </c>
      <c r="P453" t="s">
        <v>55</v>
      </c>
      <c r="Q453" t="s">
        <v>2838</v>
      </c>
      <c r="R453">
        <v>393.16500000000002</v>
      </c>
      <c r="S453">
        <v>3</v>
      </c>
      <c r="T453">
        <v>0.5</v>
      </c>
      <c r="U453">
        <v>-204.44579999999999</v>
      </c>
      <c r="V453" t="str">
        <f t="shared" si="7"/>
        <v>Cynthia Arntzen</v>
      </c>
      <c r="W453">
        <f>Table2[Profit]/Table2[Sales]</f>
        <v>-0.51999999999999991</v>
      </c>
    </row>
    <row r="454" spans="1:23" x14ac:dyDescent="0.25">
      <c r="A454">
        <v>453</v>
      </c>
      <c r="B454" t="s">
        <v>2839</v>
      </c>
      <c r="C454" s="1">
        <v>43067</v>
      </c>
      <c r="D454" s="1">
        <v>43071</v>
      </c>
      <c r="E454" t="s">
        <v>49</v>
      </c>
      <c r="F454" t="s">
        <v>1494</v>
      </c>
      <c r="G454" t="s">
        <v>1495</v>
      </c>
      <c r="H454" t="s">
        <v>101</v>
      </c>
      <c r="I454" t="s">
        <v>26</v>
      </c>
      <c r="J454" t="s">
        <v>143</v>
      </c>
      <c r="K454" t="s">
        <v>144</v>
      </c>
      <c r="L454">
        <v>19120</v>
      </c>
      <c r="M454" t="s">
        <v>145</v>
      </c>
      <c r="N454" t="s">
        <v>2840</v>
      </c>
      <c r="O454" t="s">
        <v>31</v>
      </c>
      <c r="P454" t="s">
        <v>64</v>
      </c>
      <c r="Q454" t="s">
        <v>2841</v>
      </c>
      <c r="R454">
        <v>516.48800000000006</v>
      </c>
      <c r="S454">
        <v>7</v>
      </c>
      <c r="T454">
        <v>0.2</v>
      </c>
      <c r="U454">
        <v>-12.9122</v>
      </c>
      <c r="V454" t="str">
        <f t="shared" si="7"/>
        <v>Ross Baird</v>
      </c>
      <c r="W454">
        <f>Table2[Profit]/Table2[Sales]</f>
        <v>-2.4999999999999998E-2</v>
      </c>
    </row>
    <row r="455" spans="1:23" x14ac:dyDescent="0.25">
      <c r="A455">
        <v>454</v>
      </c>
      <c r="B455" t="s">
        <v>2846</v>
      </c>
      <c r="C455" s="1">
        <v>42828</v>
      </c>
      <c r="D455" s="1">
        <v>42832</v>
      </c>
      <c r="E455" t="s">
        <v>49</v>
      </c>
      <c r="F455" t="s">
        <v>2847</v>
      </c>
      <c r="G455" t="s">
        <v>2848</v>
      </c>
      <c r="H455" t="s">
        <v>25</v>
      </c>
      <c r="I455" t="s">
        <v>26</v>
      </c>
      <c r="J455" t="s">
        <v>143</v>
      </c>
      <c r="K455" t="s">
        <v>144</v>
      </c>
      <c r="L455">
        <v>19143</v>
      </c>
      <c r="M455" t="s">
        <v>145</v>
      </c>
      <c r="N455" t="s">
        <v>2849</v>
      </c>
      <c r="O455" t="s">
        <v>31</v>
      </c>
      <c r="P455" t="s">
        <v>64</v>
      </c>
      <c r="Q455" t="s">
        <v>916</v>
      </c>
      <c r="R455">
        <v>25.472000000000001</v>
      </c>
      <c r="S455">
        <v>4</v>
      </c>
      <c r="T455">
        <v>0.2</v>
      </c>
      <c r="U455">
        <v>7.6416000000000004</v>
      </c>
      <c r="V455" t="str">
        <f t="shared" si="7"/>
        <v>Katherine Hughes</v>
      </c>
      <c r="W455">
        <f>Table2[Profit]/Table2[Sales]</f>
        <v>0.3</v>
      </c>
    </row>
    <row r="456" spans="1:23" x14ac:dyDescent="0.25">
      <c r="A456">
        <v>455</v>
      </c>
      <c r="B456" t="s">
        <v>2850</v>
      </c>
      <c r="C456" s="1">
        <v>43097</v>
      </c>
      <c r="D456" s="1">
        <v>43101</v>
      </c>
      <c r="E456" t="s">
        <v>49</v>
      </c>
      <c r="F456" t="s">
        <v>2851</v>
      </c>
      <c r="G456" t="s">
        <v>2852</v>
      </c>
      <c r="H456" t="s">
        <v>25</v>
      </c>
      <c r="I456" t="s">
        <v>26</v>
      </c>
      <c r="J456" t="s">
        <v>2853</v>
      </c>
      <c r="K456" t="s">
        <v>103</v>
      </c>
      <c r="L456">
        <v>78664</v>
      </c>
      <c r="M456" t="s">
        <v>104</v>
      </c>
      <c r="N456" t="s">
        <v>868</v>
      </c>
      <c r="O456" t="s">
        <v>45</v>
      </c>
      <c r="P456" t="s">
        <v>67</v>
      </c>
      <c r="Q456" t="s">
        <v>869</v>
      </c>
      <c r="R456">
        <v>27.167999999999999</v>
      </c>
      <c r="S456">
        <v>2</v>
      </c>
      <c r="T456">
        <v>0.2</v>
      </c>
      <c r="U456">
        <v>2.7168000000000001</v>
      </c>
      <c r="V456" t="str">
        <f t="shared" si="7"/>
        <v>Greg Hansen</v>
      </c>
      <c r="W456">
        <f>Table2[Profit]/Table2[Sales]</f>
        <v>0.1</v>
      </c>
    </row>
    <row r="457" spans="1:23" x14ac:dyDescent="0.25">
      <c r="A457">
        <v>456</v>
      </c>
      <c r="B457" t="s">
        <v>2854</v>
      </c>
      <c r="C457" s="1">
        <v>43069</v>
      </c>
      <c r="D457" s="1">
        <v>43073</v>
      </c>
      <c r="E457" t="s">
        <v>49</v>
      </c>
      <c r="F457" t="s">
        <v>2855</v>
      </c>
      <c r="G457" t="s">
        <v>2856</v>
      </c>
      <c r="H457" t="s">
        <v>25</v>
      </c>
      <c r="I457" t="s">
        <v>26</v>
      </c>
      <c r="J457" t="s">
        <v>321</v>
      </c>
      <c r="K457" t="s">
        <v>1473</v>
      </c>
      <c r="L457">
        <v>39212</v>
      </c>
      <c r="M457" t="s">
        <v>29</v>
      </c>
      <c r="N457" t="s">
        <v>272</v>
      </c>
      <c r="O457" t="s">
        <v>45</v>
      </c>
      <c r="P457" t="s">
        <v>58</v>
      </c>
      <c r="Q457" t="s">
        <v>273</v>
      </c>
      <c r="R457">
        <v>173.8</v>
      </c>
      <c r="S457">
        <v>5</v>
      </c>
      <c r="T457">
        <v>0</v>
      </c>
      <c r="U457">
        <v>43.45</v>
      </c>
      <c r="V457" t="str">
        <f t="shared" si="7"/>
        <v>Scott Williamson</v>
      </c>
      <c r="W457">
        <f>Table2[Profit]/Table2[Sales]</f>
        <v>0.25</v>
      </c>
    </row>
    <row r="458" spans="1:23" x14ac:dyDescent="0.25">
      <c r="A458">
        <v>457</v>
      </c>
      <c r="B458" t="s">
        <v>2857</v>
      </c>
      <c r="C458" s="1">
        <v>42870</v>
      </c>
      <c r="D458" s="1">
        <v>42873</v>
      </c>
      <c r="E458" t="s">
        <v>22</v>
      </c>
      <c r="F458" t="s">
        <v>2858</v>
      </c>
      <c r="G458" t="s">
        <v>2859</v>
      </c>
      <c r="H458" t="s">
        <v>25</v>
      </c>
      <c r="I458" t="s">
        <v>26</v>
      </c>
      <c r="J458" t="s">
        <v>537</v>
      </c>
      <c r="K458" t="s">
        <v>303</v>
      </c>
      <c r="L458">
        <v>85023</v>
      </c>
      <c r="M458" t="s">
        <v>43</v>
      </c>
      <c r="N458" t="s">
        <v>2633</v>
      </c>
      <c r="O458" t="s">
        <v>70</v>
      </c>
      <c r="P458" t="s">
        <v>71</v>
      </c>
      <c r="Q458" t="s">
        <v>2634</v>
      </c>
      <c r="R458">
        <v>29.591999999999999</v>
      </c>
      <c r="S458">
        <v>1</v>
      </c>
      <c r="T458">
        <v>0.2</v>
      </c>
      <c r="U458">
        <v>2.5893000000000002</v>
      </c>
      <c r="V458" t="str">
        <f t="shared" si="7"/>
        <v>Joseph Airdo</v>
      </c>
      <c r="W458">
        <f>Table2[Profit]/Table2[Sales]</f>
        <v>8.7500000000000008E-2</v>
      </c>
    </row>
    <row r="459" spans="1:23" x14ac:dyDescent="0.25">
      <c r="A459">
        <v>458</v>
      </c>
      <c r="B459" t="s">
        <v>2862</v>
      </c>
      <c r="C459" s="1">
        <v>42269</v>
      </c>
      <c r="D459" s="1">
        <v>42269</v>
      </c>
      <c r="E459" t="s">
        <v>1278</v>
      </c>
      <c r="F459" t="s">
        <v>2863</v>
      </c>
      <c r="G459" t="s">
        <v>2864</v>
      </c>
      <c r="H459" t="s">
        <v>25</v>
      </c>
      <c r="I459" t="s">
        <v>26</v>
      </c>
      <c r="J459" t="s">
        <v>2311</v>
      </c>
      <c r="K459" t="s">
        <v>42</v>
      </c>
      <c r="L459">
        <v>92054</v>
      </c>
      <c r="M459" t="s">
        <v>43</v>
      </c>
      <c r="N459" t="s">
        <v>2865</v>
      </c>
      <c r="O459" t="s">
        <v>31</v>
      </c>
      <c r="P459" t="s">
        <v>64</v>
      </c>
      <c r="Q459" t="s">
        <v>2866</v>
      </c>
      <c r="R459">
        <v>204.6</v>
      </c>
      <c r="S459">
        <v>2</v>
      </c>
      <c r="T459">
        <v>0</v>
      </c>
      <c r="U459">
        <v>53.195999999999998</v>
      </c>
      <c r="V459" t="str">
        <f t="shared" si="7"/>
        <v>Daniel Lacy</v>
      </c>
      <c r="W459">
        <f>Table2[Profit]/Table2[Sales]</f>
        <v>0.26</v>
      </c>
    </row>
    <row r="460" spans="1:23" x14ac:dyDescent="0.25">
      <c r="A460">
        <v>459</v>
      </c>
      <c r="B460" t="s">
        <v>2867</v>
      </c>
      <c r="C460" s="1">
        <v>43053</v>
      </c>
      <c r="D460" s="1">
        <v>43058</v>
      </c>
      <c r="E460" t="s">
        <v>49</v>
      </c>
      <c r="F460" t="s">
        <v>2868</v>
      </c>
      <c r="G460" t="s">
        <v>2869</v>
      </c>
      <c r="H460" t="s">
        <v>40</v>
      </c>
      <c r="I460" t="s">
        <v>26</v>
      </c>
      <c r="J460" t="s">
        <v>126</v>
      </c>
      <c r="K460" t="s">
        <v>42</v>
      </c>
      <c r="L460">
        <v>94110</v>
      </c>
      <c r="M460" t="s">
        <v>43</v>
      </c>
      <c r="N460" t="s">
        <v>936</v>
      </c>
      <c r="O460" t="s">
        <v>31</v>
      </c>
      <c r="P460" t="s">
        <v>35</v>
      </c>
      <c r="Q460" t="s">
        <v>937</v>
      </c>
      <c r="R460">
        <v>321.56799999999998</v>
      </c>
      <c r="S460">
        <v>2</v>
      </c>
      <c r="T460">
        <v>0.2</v>
      </c>
      <c r="U460">
        <v>28.1372</v>
      </c>
      <c r="V460" t="str">
        <f t="shared" si="7"/>
        <v>Lindsay Williams</v>
      </c>
      <c r="W460">
        <f>Table2[Profit]/Table2[Sales]</f>
        <v>8.7500000000000008E-2</v>
      </c>
    </row>
    <row r="461" spans="1:23" x14ac:dyDescent="0.25">
      <c r="A461">
        <v>460</v>
      </c>
      <c r="B461" t="s">
        <v>2870</v>
      </c>
      <c r="C461" s="1">
        <v>42335</v>
      </c>
      <c r="D461" s="1">
        <v>42339</v>
      </c>
      <c r="E461" t="s">
        <v>49</v>
      </c>
      <c r="F461" t="s">
        <v>2871</v>
      </c>
      <c r="G461" t="s">
        <v>2872</v>
      </c>
      <c r="H461" t="s">
        <v>101</v>
      </c>
      <c r="I461" t="s">
        <v>26</v>
      </c>
      <c r="J461" t="s">
        <v>1682</v>
      </c>
      <c r="K461" t="s">
        <v>1683</v>
      </c>
      <c r="L461">
        <v>72701</v>
      </c>
      <c r="M461" t="s">
        <v>29</v>
      </c>
      <c r="N461" t="s">
        <v>2873</v>
      </c>
      <c r="O461" t="s">
        <v>45</v>
      </c>
      <c r="P461" t="s">
        <v>74</v>
      </c>
      <c r="Q461" t="s">
        <v>2874</v>
      </c>
      <c r="R461">
        <v>6.24</v>
      </c>
      <c r="S461">
        <v>2</v>
      </c>
      <c r="T461">
        <v>0</v>
      </c>
      <c r="U461">
        <v>3.0575999999999999</v>
      </c>
      <c r="V461" t="str">
        <f t="shared" si="7"/>
        <v>Thomas Brumley</v>
      </c>
      <c r="W461">
        <f>Table2[Profit]/Table2[Sales]</f>
        <v>0.48999999999999994</v>
      </c>
    </row>
    <row r="462" spans="1:23" x14ac:dyDescent="0.25">
      <c r="A462">
        <v>461</v>
      </c>
      <c r="B462" t="s">
        <v>2875</v>
      </c>
      <c r="C462" s="1">
        <v>42614</v>
      </c>
      <c r="D462" s="1">
        <v>42617</v>
      </c>
      <c r="E462" t="s">
        <v>185</v>
      </c>
      <c r="F462" t="s">
        <v>474</v>
      </c>
      <c r="G462" t="s">
        <v>475</v>
      </c>
      <c r="H462" t="s">
        <v>40</v>
      </c>
      <c r="I462" t="s">
        <v>26</v>
      </c>
      <c r="J462" t="s">
        <v>126</v>
      </c>
      <c r="K462" t="s">
        <v>42</v>
      </c>
      <c r="L462">
        <v>94110</v>
      </c>
      <c r="M462" t="s">
        <v>43</v>
      </c>
      <c r="N462" t="s">
        <v>1778</v>
      </c>
      <c r="O462" t="s">
        <v>45</v>
      </c>
      <c r="P462" t="s">
        <v>170</v>
      </c>
      <c r="Q462" t="s">
        <v>1779</v>
      </c>
      <c r="R462">
        <v>21.88</v>
      </c>
      <c r="S462">
        <v>2</v>
      </c>
      <c r="T462">
        <v>0</v>
      </c>
      <c r="U462">
        <v>10.94</v>
      </c>
      <c r="V462" t="str">
        <f t="shared" si="7"/>
        <v>Cynthia Voltz</v>
      </c>
      <c r="W462">
        <f>Table2[Profit]/Table2[Sales]</f>
        <v>0.5</v>
      </c>
    </row>
    <row r="463" spans="1:23" x14ac:dyDescent="0.25">
      <c r="A463">
        <v>462</v>
      </c>
      <c r="B463" t="s">
        <v>2876</v>
      </c>
      <c r="C463" s="1">
        <v>41904</v>
      </c>
      <c r="D463" s="1">
        <v>41906</v>
      </c>
      <c r="E463" t="s">
        <v>22</v>
      </c>
      <c r="F463" t="s">
        <v>2721</v>
      </c>
      <c r="G463" t="s">
        <v>2722</v>
      </c>
      <c r="H463" t="s">
        <v>25</v>
      </c>
      <c r="I463" t="s">
        <v>26</v>
      </c>
      <c r="J463" t="s">
        <v>2877</v>
      </c>
      <c r="K463" t="s">
        <v>53</v>
      </c>
      <c r="L463">
        <v>33433</v>
      </c>
      <c r="M463" t="s">
        <v>29</v>
      </c>
      <c r="N463" t="s">
        <v>2878</v>
      </c>
      <c r="O463" t="s">
        <v>45</v>
      </c>
      <c r="P463" t="s">
        <v>46</v>
      </c>
      <c r="Q463" t="s">
        <v>2879</v>
      </c>
      <c r="R463">
        <v>4.6079999999999997</v>
      </c>
      <c r="S463">
        <v>2</v>
      </c>
      <c r="T463">
        <v>0.2</v>
      </c>
      <c r="U463">
        <v>1.6704000000000001</v>
      </c>
      <c r="V463" t="str">
        <f t="shared" si="7"/>
        <v>Maribeth Schnelling</v>
      </c>
      <c r="W463">
        <f>Table2[Profit]/Table2[Sales]</f>
        <v>0.36250000000000004</v>
      </c>
    </row>
    <row r="464" spans="1:23" x14ac:dyDescent="0.25">
      <c r="A464">
        <v>463</v>
      </c>
      <c r="B464" t="s">
        <v>2880</v>
      </c>
      <c r="C464" s="1">
        <v>42834</v>
      </c>
      <c r="D464" s="1">
        <v>42836</v>
      </c>
      <c r="E464" t="s">
        <v>185</v>
      </c>
      <c r="F464" t="s">
        <v>2881</v>
      </c>
      <c r="G464" t="s">
        <v>2882</v>
      </c>
      <c r="H464" t="s">
        <v>101</v>
      </c>
      <c r="I464" t="s">
        <v>26</v>
      </c>
      <c r="J464" t="s">
        <v>263</v>
      </c>
      <c r="K464" t="s">
        <v>264</v>
      </c>
      <c r="L464">
        <v>10011</v>
      </c>
      <c r="M464" t="s">
        <v>145</v>
      </c>
      <c r="N464" t="s">
        <v>2883</v>
      </c>
      <c r="O464" t="s">
        <v>45</v>
      </c>
      <c r="P464" t="s">
        <v>46</v>
      </c>
      <c r="Q464" t="s">
        <v>2884</v>
      </c>
      <c r="R464">
        <v>9.82</v>
      </c>
      <c r="S464">
        <v>2</v>
      </c>
      <c r="T464">
        <v>0</v>
      </c>
      <c r="U464">
        <v>4.8117999999999999</v>
      </c>
      <c r="V464" t="str">
        <f t="shared" si="7"/>
        <v>Bryan Spruell</v>
      </c>
      <c r="W464">
        <f>Table2[Profit]/Table2[Sales]</f>
        <v>0.49</v>
      </c>
    </row>
    <row r="465" spans="1:23" x14ac:dyDescent="0.25">
      <c r="A465">
        <v>464</v>
      </c>
      <c r="B465" t="s">
        <v>2889</v>
      </c>
      <c r="C465" s="1">
        <v>41655</v>
      </c>
      <c r="D465" s="1">
        <v>41657</v>
      </c>
      <c r="E465" t="s">
        <v>22</v>
      </c>
      <c r="F465" t="s">
        <v>945</v>
      </c>
      <c r="G465" t="s">
        <v>946</v>
      </c>
      <c r="H465" t="s">
        <v>25</v>
      </c>
      <c r="I465" t="s">
        <v>26</v>
      </c>
      <c r="J465" t="s">
        <v>143</v>
      </c>
      <c r="K465" t="s">
        <v>144</v>
      </c>
      <c r="L465">
        <v>19134</v>
      </c>
      <c r="M465" t="s">
        <v>145</v>
      </c>
      <c r="N465" t="s">
        <v>2890</v>
      </c>
      <c r="O465" t="s">
        <v>31</v>
      </c>
      <c r="P465" t="s">
        <v>64</v>
      </c>
      <c r="Q465" t="s">
        <v>2891</v>
      </c>
      <c r="R465">
        <v>127.104</v>
      </c>
      <c r="S465">
        <v>6</v>
      </c>
      <c r="T465">
        <v>0.2</v>
      </c>
      <c r="U465">
        <v>28.598400000000002</v>
      </c>
      <c r="V465" t="str">
        <f t="shared" si="7"/>
        <v>Delfina Latchford</v>
      </c>
      <c r="W465">
        <f>Table2[Profit]/Table2[Sales]</f>
        <v>0.22500000000000001</v>
      </c>
    </row>
    <row r="466" spans="1:23" x14ac:dyDescent="0.25">
      <c r="A466">
        <v>465</v>
      </c>
      <c r="B466" t="s">
        <v>2892</v>
      </c>
      <c r="C466" s="1">
        <v>43013</v>
      </c>
      <c r="D466" s="1">
        <v>43016</v>
      </c>
      <c r="E466" t="s">
        <v>22</v>
      </c>
      <c r="F466" t="s">
        <v>2331</v>
      </c>
      <c r="G466" t="s">
        <v>2332</v>
      </c>
      <c r="H466" t="s">
        <v>101</v>
      </c>
      <c r="I466" t="s">
        <v>26</v>
      </c>
      <c r="J466" t="s">
        <v>263</v>
      </c>
      <c r="K466" t="s">
        <v>264</v>
      </c>
      <c r="L466">
        <v>10011</v>
      </c>
      <c r="M466" t="s">
        <v>145</v>
      </c>
      <c r="N466" t="s">
        <v>1758</v>
      </c>
      <c r="O466" t="s">
        <v>70</v>
      </c>
      <c r="P466" t="s">
        <v>71</v>
      </c>
      <c r="Q466" t="s">
        <v>1759</v>
      </c>
      <c r="R466">
        <v>160.93</v>
      </c>
      <c r="S466">
        <v>7</v>
      </c>
      <c r="T466">
        <v>0</v>
      </c>
      <c r="U466">
        <v>3.2185999999999999</v>
      </c>
      <c r="V466" t="str">
        <f t="shared" si="7"/>
        <v>Phillina Ober</v>
      </c>
      <c r="W466">
        <f>Table2[Profit]/Table2[Sales]</f>
        <v>1.9999999999999997E-2</v>
      </c>
    </row>
    <row r="467" spans="1:23" x14ac:dyDescent="0.25">
      <c r="A467">
        <v>466</v>
      </c>
      <c r="B467" t="s">
        <v>2893</v>
      </c>
      <c r="C467" s="1">
        <v>42925</v>
      </c>
      <c r="D467" s="1">
        <v>42931</v>
      </c>
      <c r="E467" t="s">
        <v>49</v>
      </c>
      <c r="F467" t="s">
        <v>1230</v>
      </c>
      <c r="G467" t="s">
        <v>1231</v>
      </c>
      <c r="H467" t="s">
        <v>25</v>
      </c>
      <c r="I467" t="s">
        <v>26</v>
      </c>
      <c r="J467" t="s">
        <v>412</v>
      </c>
      <c r="K467" t="s">
        <v>413</v>
      </c>
      <c r="L467">
        <v>97206</v>
      </c>
      <c r="M467" t="s">
        <v>43</v>
      </c>
      <c r="N467" t="s">
        <v>2894</v>
      </c>
      <c r="O467" t="s">
        <v>45</v>
      </c>
      <c r="P467" t="s">
        <v>74</v>
      </c>
      <c r="Q467" t="s">
        <v>2895</v>
      </c>
      <c r="R467">
        <v>1.08</v>
      </c>
      <c r="S467">
        <v>2</v>
      </c>
      <c r="T467">
        <v>0.7</v>
      </c>
      <c r="U467">
        <v>-0.79200000000000004</v>
      </c>
      <c r="V467" t="str">
        <f t="shared" si="7"/>
        <v>Tamara Dahlen</v>
      </c>
      <c r="W467">
        <f>Table2[Profit]/Table2[Sales]</f>
        <v>-0.73333333333333328</v>
      </c>
    </row>
    <row r="468" spans="1:23" x14ac:dyDescent="0.25">
      <c r="A468">
        <v>467</v>
      </c>
      <c r="B468" t="s">
        <v>2896</v>
      </c>
      <c r="C468" s="1">
        <v>42742</v>
      </c>
      <c r="D468" s="1">
        <v>42745</v>
      </c>
      <c r="E468" t="s">
        <v>185</v>
      </c>
      <c r="F468" t="s">
        <v>2515</v>
      </c>
      <c r="G468" t="s">
        <v>2516</v>
      </c>
      <c r="H468" t="s">
        <v>40</v>
      </c>
      <c r="I468" t="s">
        <v>26</v>
      </c>
      <c r="J468" t="s">
        <v>873</v>
      </c>
      <c r="K468" t="s">
        <v>235</v>
      </c>
      <c r="L468">
        <v>48205</v>
      </c>
      <c r="M468" t="s">
        <v>104</v>
      </c>
      <c r="N468" t="s">
        <v>674</v>
      </c>
      <c r="O468" t="s">
        <v>70</v>
      </c>
      <c r="P468" t="s">
        <v>675</v>
      </c>
      <c r="Q468" t="s">
        <v>676</v>
      </c>
      <c r="R468">
        <v>3059.982</v>
      </c>
      <c r="S468">
        <v>2</v>
      </c>
      <c r="T468">
        <v>0.1</v>
      </c>
      <c r="U468">
        <v>679.99599999999998</v>
      </c>
      <c r="V468" t="str">
        <f t="shared" si="7"/>
        <v>Bart Watters</v>
      </c>
      <c r="W468">
        <f>Table2[Profit]/Table2[Sales]</f>
        <v>0.22222222222222221</v>
      </c>
    </row>
    <row r="469" spans="1:23" x14ac:dyDescent="0.25">
      <c r="A469">
        <v>468</v>
      </c>
      <c r="B469" t="s">
        <v>2897</v>
      </c>
      <c r="C469" s="1">
        <v>42520</v>
      </c>
      <c r="D469" s="1">
        <v>42521</v>
      </c>
      <c r="E469" t="s">
        <v>185</v>
      </c>
      <c r="F469" t="s">
        <v>2898</v>
      </c>
      <c r="G469" t="s">
        <v>2899</v>
      </c>
      <c r="H469" t="s">
        <v>25</v>
      </c>
      <c r="I469" t="s">
        <v>26</v>
      </c>
      <c r="J469" t="s">
        <v>514</v>
      </c>
      <c r="K469" t="s">
        <v>87</v>
      </c>
      <c r="L469">
        <v>28403</v>
      </c>
      <c r="M469" t="s">
        <v>29</v>
      </c>
      <c r="N469" t="s">
        <v>1988</v>
      </c>
      <c r="O469" t="s">
        <v>45</v>
      </c>
      <c r="P469" t="s">
        <v>74</v>
      </c>
      <c r="Q469" t="s">
        <v>1989</v>
      </c>
      <c r="R469">
        <v>3.282</v>
      </c>
      <c r="S469">
        <v>2</v>
      </c>
      <c r="T469">
        <v>0.7</v>
      </c>
      <c r="U469">
        <v>-2.6255999999999999</v>
      </c>
      <c r="V469" t="str">
        <f t="shared" si="7"/>
        <v>Robert Waldorf</v>
      </c>
      <c r="W469">
        <f>Table2[Profit]/Table2[Sales]</f>
        <v>-0.79999999999999993</v>
      </c>
    </row>
    <row r="470" spans="1:23" x14ac:dyDescent="0.25">
      <c r="A470">
        <v>469</v>
      </c>
      <c r="B470" t="s">
        <v>2900</v>
      </c>
      <c r="C470" s="1">
        <v>42347</v>
      </c>
      <c r="D470" s="1">
        <v>42350</v>
      </c>
      <c r="E470" t="s">
        <v>185</v>
      </c>
      <c r="F470" t="s">
        <v>336</v>
      </c>
      <c r="G470" t="s">
        <v>337</v>
      </c>
      <c r="H470" t="s">
        <v>40</v>
      </c>
      <c r="I470" t="s">
        <v>26</v>
      </c>
      <c r="J470" t="s">
        <v>490</v>
      </c>
      <c r="K470" t="s">
        <v>251</v>
      </c>
      <c r="L470">
        <v>47201</v>
      </c>
      <c r="M470" t="s">
        <v>104</v>
      </c>
      <c r="N470" t="s">
        <v>2901</v>
      </c>
      <c r="O470" t="s">
        <v>45</v>
      </c>
      <c r="P470" t="s">
        <v>89</v>
      </c>
      <c r="Q470" t="s">
        <v>2902</v>
      </c>
      <c r="R470">
        <v>34.020000000000003</v>
      </c>
      <c r="S470">
        <v>3</v>
      </c>
      <c r="T470">
        <v>0</v>
      </c>
      <c r="U470">
        <v>16.669799999999999</v>
      </c>
      <c r="V470" t="str">
        <f t="shared" si="7"/>
        <v>Ken Brennan</v>
      </c>
      <c r="W470">
        <f>Table2[Profit]/Table2[Sales]</f>
        <v>0.48999999999999994</v>
      </c>
    </row>
    <row r="471" spans="1:23" x14ac:dyDescent="0.25">
      <c r="A471">
        <v>470</v>
      </c>
      <c r="B471" t="s">
        <v>2903</v>
      </c>
      <c r="C471" s="1">
        <v>42646</v>
      </c>
      <c r="D471" s="1">
        <v>42651</v>
      </c>
      <c r="E471" t="s">
        <v>49</v>
      </c>
      <c r="F471" t="s">
        <v>149</v>
      </c>
      <c r="G471" t="s">
        <v>150</v>
      </c>
      <c r="H471" t="s">
        <v>25</v>
      </c>
      <c r="I471" t="s">
        <v>26</v>
      </c>
      <c r="J471" t="s">
        <v>263</v>
      </c>
      <c r="K471" t="s">
        <v>264</v>
      </c>
      <c r="L471">
        <v>10035</v>
      </c>
      <c r="M471" t="s">
        <v>145</v>
      </c>
      <c r="N471" t="s">
        <v>2450</v>
      </c>
      <c r="O471" t="s">
        <v>31</v>
      </c>
      <c r="P471" t="s">
        <v>35</v>
      </c>
      <c r="Q471" t="s">
        <v>2451</v>
      </c>
      <c r="R471">
        <v>599.29200000000003</v>
      </c>
      <c r="S471">
        <v>6</v>
      </c>
      <c r="T471">
        <v>0.1</v>
      </c>
      <c r="U471">
        <v>93.223200000000006</v>
      </c>
      <c r="V471" t="str">
        <f t="shared" si="7"/>
        <v>Emily Burns</v>
      </c>
      <c r="W471">
        <f>Table2[Profit]/Table2[Sales]</f>
        <v>0.15555555555555556</v>
      </c>
    </row>
    <row r="472" spans="1:23" x14ac:dyDescent="0.25">
      <c r="A472">
        <v>471</v>
      </c>
      <c r="B472" t="s">
        <v>2904</v>
      </c>
      <c r="C472" s="1">
        <v>41954</v>
      </c>
      <c r="D472" s="1">
        <v>41957</v>
      </c>
      <c r="E472" t="s">
        <v>22</v>
      </c>
      <c r="F472" t="s">
        <v>2905</v>
      </c>
      <c r="G472" t="s">
        <v>2906</v>
      </c>
      <c r="H472" t="s">
        <v>25</v>
      </c>
      <c r="I472" t="s">
        <v>26</v>
      </c>
      <c r="J472" t="s">
        <v>1459</v>
      </c>
      <c r="K472" t="s">
        <v>450</v>
      </c>
      <c r="L472">
        <v>80027</v>
      </c>
      <c r="M472" t="s">
        <v>43</v>
      </c>
      <c r="N472" t="s">
        <v>2907</v>
      </c>
      <c r="O472" t="s">
        <v>45</v>
      </c>
      <c r="P472" t="s">
        <v>67</v>
      </c>
      <c r="Q472" t="s">
        <v>2908</v>
      </c>
      <c r="R472">
        <v>3.3919999999999999</v>
      </c>
      <c r="S472">
        <v>1</v>
      </c>
      <c r="T472">
        <v>0.2</v>
      </c>
      <c r="U472">
        <v>0.80559999999999998</v>
      </c>
      <c r="V472" t="str">
        <f t="shared" si="7"/>
        <v>Tracy Zic</v>
      </c>
      <c r="W472">
        <f>Table2[Profit]/Table2[Sales]</f>
        <v>0.23749999999999999</v>
      </c>
    </row>
    <row r="473" spans="1:23" x14ac:dyDescent="0.25">
      <c r="A473">
        <v>472</v>
      </c>
      <c r="B473" t="s">
        <v>2911</v>
      </c>
      <c r="C473" s="1">
        <v>43007</v>
      </c>
      <c r="D473" s="1">
        <v>43013</v>
      </c>
      <c r="E473" t="s">
        <v>49</v>
      </c>
      <c r="F473" t="s">
        <v>2912</v>
      </c>
      <c r="G473" t="s">
        <v>2913</v>
      </c>
      <c r="H473" t="s">
        <v>101</v>
      </c>
      <c r="I473" t="s">
        <v>26</v>
      </c>
      <c r="J473" t="s">
        <v>596</v>
      </c>
      <c r="K473" t="s">
        <v>103</v>
      </c>
      <c r="L473">
        <v>77506</v>
      </c>
      <c r="M473" t="s">
        <v>104</v>
      </c>
      <c r="N473" t="s">
        <v>2461</v>
      </c>
      <c r="O473" t="s">
        <v>45</v>
      </c>
      <c r="P473" t="s">
        <v>46</v>
      </c>
      <c r="Q473" t="s">
        <v>2462</v>
      </c>
      <c r="R473">
        <v>7.968</v>
      </c>
      <c r="S473">
        <v>2</v>
      </c>
      <c r="T473">
        <v>0.2</v>
      </c>
      <c r="U473">
        <v>2.5895999999999999</v>
      </c>
      <c r="V473" t="str">
        <f t="shared" si="7"/>
        <v>Ann Steele</v>
      </c>
      <c r="W473">
        <f>Table2[Profit]/Table2[Sales]</f>
        <v>0.32500000000000001</v>
      </c>
    </row>
    <row r="474" spans="1:23" x14ac:dyDescent="0.25">
      <c r="A474">
        <v>473</v>
      </c>
      <c r="B474" t="s">
        <v>2916</v>
      </c>
      <c r="C474" s="1">
        <v>42073</v>
      </c>
      <c r="D474" s="1">
        <v>42073</v>
      </c>
      <c r="E474" t="s">
        <v>1278</v>
      </c>
      <c r="F474" t="s">
        <v>2917</v>
      </c>
      <c r="G474" t="s">
        <v>2918</v>
      </c>
      <c r="H474" t="s">
        <v>25</v>
      </c>
      <c r="I474" t="s">
        <v>26</v>
      </c>
      <c r="J474" t="s">
        <v>181</v>
      </c>
      <c r="K474" t="s">
        <v>103</v>
      </c>
      <c r="L474">
        <v>77041</v>
      </c>
      <c r="M474" t="s">
        <v>104</v>
      </c>
      <c r="N474" t="s">
        <v>2919</v>
      </c>
      <c r="O474" t="s">
        <v>45</v>
      </c>
      <c r="P474" t="s">
        <v>74</v>
      </c>
      <c r="Q474" t="s">
        <v>2920</v>
      </c>
      <c r="R474">
        <v>1.1120000000000001</v>
      </c>
      <c r="S474">
        <v>2</v>
      </c>
      <c r="T474">
        <v>0.8</v>
      </c>
      <c r="U474">
        <v>-1.8904000000000001</v>
      </c>
      <c r="V474" t="str">
        <f t="shared" si="7"/>
        <v>Toby Swindell</v>
      </c>
      <c r="W474">
        <f>Table2[Profit]/Table2[Sales]</f>
        <v>-1.7</v>
      </c>
    </row>
    <row r="475" spans="1:23" x14ac:dyDescent="0.25">
      <c r="A475">
        <v>474</v>
      </c>
      <c r="B475" t="s">
        <v>2921</v>
      </c>
      <c r="C475" s="1">
        <v>42876</v>
      </c>
      <c r="D475" s="1">
        <v>42881</v>
      </c>
      <c r="E475" t="s">
        <v>49</v>
      </c>
      <c r="F475" t="s">
        <v>1624</v>
      </c>
      <c r="G475" t="s">
        <v>1625</v>
      </c>
      <c r="H475" t="s">
        <v>40</v>
      </c>
      <c r="I475" t="s">
        <v>26</v>
      </c>
      <c r="J475" t="s">
        <v>1540</v>
      </c>
      <c r="K475" t="s">
        <v>264</v>
      </c>
      <c r="L475">
        <v>13021</v>
      </c>
      <c r="M475" t="s">
        <v>145</v>
      </c>
      <c r="N475" t="s">
        <v>2206</v>
      </c>
      <c r="O475" t="s">
        <v>31</v>
      </c>
      <c r="P475" t="s">
        <v>64</v>
      </c>
      <c r="Q475" t="s">
        <v>2207</v>
      </c>
      <c r="R475">
        <v>520.04999999999995</v>
      </c>
      <c r="S475">
        <v>5</v>
      </c>
      <c r="T475">
        <v>0</v>
      </c>
      <c r="U475">
        <v>72.807000000000002</v>
      </c>
      <c r="V475" t="str">
        <f t="shared" si="7"/>
        <v>John Grady</v>
      </c>
      <c r="W475">
        <f>Table2[Profit]/Table2[Sales]</f>
        <v>0.14000000000000001</v>
      </c>
    </row>
    <row r="476" spans="1:23" x14ac:dyDescent="0.25">
      <c r="A476">
        <v>475</v>
      </c>
      <c r="B476" t="s">
        <v>2922</v>
      </c>
      <c r="C476" s="1">
        <v>42092</v>
      </c>
      <c r="D476" s="1">
        <v>42094</v>
      </c>
      <c r="E476" t="s">
        <v>22</v>
      </c>
      <c r="F476" t="s">
        <v>2923</v>
      </c>
      <c r="G476" t="s">
        <v>2924</v>
      </c>
      <c r="H476" t="s">
        <v>101</v>
      </c>
      <c r="I476" t="s">
        <v>26</v>
      </c>
      <c r="J476" t="s">
        <v>1507</v>
      </c>
      <c r="K476" t="s">
        <v>53</v>
      </c>
      <c r="L476">
        <v>32216</v>
      </c>
      <c r="M476" t="s">
        <v>29</v>
      </c>
      <c r="N476" t="s">
        <v>1128</v>
      </c>
      <c r="O476" t="s">
        <v>31</v>
      </c>
      <c r="P476" t="s">
        <v>35</v>
      </c>
      <c r="Q476" t="s">
        <v>1129</v>
      </c>
      <c r="R476">
        <v>1166.92</v>
      </c>
      <c r="S476">
        <v>5</v>
      </c>
      <c r="T476">
        <v>0.2</v>
      </c>
      <c r="U476">
        <v>131.27850000000001</v>
      </c>
      <c r="V476" t="str">
        <f t="shared" si="7"/>
        <v>Sara Luxemburg</v>
      </c>
      <c r="W476">
        <f>Table2[Profit]/Table2[Sales]</f>
        <v>0.1125</v>
      </c>
    </row>
    <row r="477" spans="1:23" x14ac:dyDescent="0.25">
      <c r="A477">
        <v>476</v>
      </c>
      <c r="B477" t="s">
        <v>2925</v>
      </c>
      <c r="C477" s="1">
        <v>42622</v>
      </c>
      <c r="D477" s="1">
        <v>42624</v>
      </c>
      <c r="E477" t="s">
        <v>185</v>
      </c>
      <c r="F477" t="s">
        <v>535</v>
      </c>
      <c r="G477" t="s">
        <v>536</v>
      </c>
      <c r="H477" t="s">
        <v>25</v>
      </c>
      <c r="I477" t="s">
        <v>26</v>
      </c>
      <c r="J477" t="s">
        <v>263</v>
      </c>
      <c r="K477" t="s">
        <v>264</v>
      </c>
      <c r="L477">
        <v>10024</v>
      </c>
      <c r="M477" t="s">
        <v>145</v>
      </c>
      <c r="N477" t="s">
        <v>2410</v>
      </c>
      <c r="O477" t="s">
        <v>45</v>
      </c>
      <c r="P477" t="s">
        <v>74</v>
      </c>
      <c r="Q477" t="s">
        <v>2411</v>
      </c>
      <c r="R477">
        <v>14.624000000000001</v>
      </c>
      <c r="S477">
        <v>2</v>
      </c>
      <c r="T477">
        <v>0.2</v>
      </c>
      <c r="U477">
        <v>5.484</v>
      </c>
      <c r="V477" t="str">
        <f t="shared" si="7"/>
        <v>Troy Staebel</v>
      </c>
      <c r="W477">
        <f>Table2[Profit]/Table2[Sales]</f>
        <v>0.375</v>
      </c>
    </row>
    <row r="478" spans="1:23" x14ac:dyDescent="0.25">
      <c r="A478">
        <v>477</v>
      </c>
      <c r="B478" t="s">
        <v>2926</v>
      </c>
      <c r="C478" s="1">
        <v>42608</v>
      </c>
      <c r="D478" s="1">
        <v>42609</v>
      </c>
      <c r="E478" t="s">
        <v>185</v>
      </c>
      <c r="F478" t="s">
        <v>2352</v>
      </c>
      <c r="G478" t="s">
        <v>2353</v>
      </c>
      <c r="H478" t="s">
        <v>25</v>
      </c>
      <c r="I478" t="s">
        <v>26</v>
      </c>
      <c r="J478" t="s">
        <v>622</v>
      </c>
      <c r="K478" t="s">
        <v>42</v>
      </c>
      <c r="L478">
        <v>95123</v>
      </c>
      <c r="M478" t="s">
        <v>43</v>
      </c>
      <c r="N478" t="s">
        <v>1062</v>
      </c>
      <c r="O478" t="s">
        <v>45</v>
      </c>
      <c r="P478" t="s">
        <v>266</v>
      </c>
      <c r="Q478" t="s">
        <v>1063</v>
      </c>
      <c r="R478">
        <v>10.23</v>
      </c>
      <c r="S478">
        <v>3</v>
      </c>
      <c r="T478">
        <v>0</v>
      </c>
      <c r="U478">
        <v>4.9104000000000001</v>
      </c>
      <c r="V478" t="str">
        <f t="shared" si="7"/>
        <v>Roland Fjeld</v>
      </c>
      <c r="W478">
        <f>Table2[Profit]/Table2[Sales]</f>
        <v>0.48</v>
      </c>
    </row>
    <row r="479" spans="1:23" x14ac:dyDescent="0.25">
      <c r="A479">
        <v>478</v>
      </c>
      <c r="B479" t="s">
        <v>2927</v>
      </c>
      <c r="C479" s="1">
        <v>41780</v>
      </c>
      <c r="D479" s="1">
        <v>41784</v>
      </c>
      <c r="E479" t="s">
        <v>49</v>
      </c>
      <c r="F479" t="s">
        <v>2928</v>
      </c>
      <c r="G479" t="s">
        <v>2929</v>
      </c>
      <c r="H479" t="s">
        <v>40</v>
      </c>
      <c r="I479" t="s">
        <v>26</v>
      </c>
      <c r="J479" t="s">
        <v>2930</v>
      </c>
      <c r="K479" t="s">
        <v>312</v>
      </c>
      <c r="L479">
        <v>23464</v>
      </c>
      <c r="M479" t="s">
        <v>29</v>
      </c>
      <c r="N479" t="s">
        <v>2931</v>
      </c>
      <c r="O479" t="s">
        <v>45</v>
      </c>
      <c r="P479" t="s">
        <v>74</v>
      </c>
      <c r="Q479" t="s">
        <v>2932</v>
      </c>
      <c r="R479">
        <v>2715.93</v>
      </c>
      <c r="S479">
        <v>7</v>
      </c>
      <c r="T479">
        <v>0</v>
      </c>
      <c r="U479">
        <v>1276.4871000000001</v>
      </c>
      <c r="V479" t="str">
        <f t="shared" si="7"/>
        <v>Mitch Willingham</v>
      </c>
      <c r="W479">
        <f>Table2[Profit]/Table2[Sales]</f>
        <v>0.47000000000000003</v>
      </c>
    </row>
    <row r="480" spans="1:23" x14ac:dyDescent="0.25">
      <c r="A480">
        <v>479</v>
      </c>
      <c r="B480" t="s">
        <v>2934</v>
      </c>
      <c r="C480" s="1">
        <v>42305</v>
      </c>
      <c r="D480" s="1">
        <v>42311</v>
      </c>
      <c r="E480" t="s">
        <v>49</v>
      </c>
      <c r="F480" t="s">
        <v>2935</v>
      </c>
      <c r="G480" t="s">
        <v>2936</v>
      </c>
      <c r="H480" t="s">
        <v>25</v>
      </c>
      <c r="I480" t="s">
        <v>26</v>
      </c>
      <c r="J480" t="s">
        <v>27</v>
      </c>
      <c r="K480" t="s">
        <v>28</v>
      </c>
      <c r="L480">
        <v>42420</v>
      </c>
      <c r="M480" t="s">
        <v>29</v>
      </c>
      <c r="N480" t="s">
        <v>2937</v>
      </c>
      <c r="O480" t="s">
        <v>45</v>
      </c>
      <c r="P480" t="s">
        <v>170</v>
      </c>
      <c r="Q480" t="s">
        <v>2938</v>
      </c>
      <c r="R480">
        <v>10.67</v>
      </c>
      <c r="S480">
        <v>1</v>
      </c>
      <c r="T480">
        <v>0</v>
      </c>
      <c r="U480">
        <v>4.9081999999999999</v>
      </c>
      <c r="V480" t="str">
        <f t="shared" si="7"/>
        <v>Rob Dowd</v>
      </c>
      <c r="W480">
        <f>Table2[Profit]/Table2[Sales]</f>
        <v>0.46</v>
      </c>
    </row>
    <row r="481" spans="1:23" x14ac:dyDescent="0.25">
      <c r="A481">
        <v>480</v>
      </c>
      <c r="B481" t="s">
        <v>2943</v>
      </c>
      <c r="C481" s="1">
        <v>42687</v>
      </c>
      <c r="D481" s="1">
        <v>42691</v>
      </c>
      <c r="E481" t="s">
        <v>49</v>
      </c>
      <c r="F481" t="s">
        <v>744</v>
      </c>
      <c r="G481" t="s">
        <v>745</v>
      </c>
      <c r="H481" t="s">
        <v>101</v>
      </c>
      <c r="I481" t="s">
        <v>26</v>
      </c>
      <c r="J481" t="s">
        <v>2112</v>
      </c>
      <c r="K481" t="s">
        <v>95</v>
      </c>
      <c r="L481">
        <v>98661</v>
      </c>
      <c r="M481" t="s">
        <v>43</v>
      </c>
      <c r="N481" t="s">
        <v>2556</v>
      </c>
      <c r="O481" t="s">
        <v>45</v>
      </c>
      <c r="P481" t="s">
        <v>67</v>
      </c>
      <c r="Q481" t="s">
        <v>2557</v>
      </c>
      <c r="R481">
        <v>44.02</v>
      </c>
      <c r="S481">
        <v>2</v>
      </c>
      <c r="T481">
        <v>0</v>
      </c>
      <c r="U481">
        <v>11.4452</v>
      </c>
      <c r="V481" t="str">
        <f t="shared" si="7"/>
        <v>Frank Merwin</v>
      </c>
      <c r="W481">
        <f>Table2[Profit]/Table2[Sales]</f>
        <v>0.25999999999999995</v>
      </c>
    </row>
    <row r="482" spans="1:23" x14ac:dyDescent="0.25">
      <c r="A482">
        <v>481</v>
      </c>
      <c r="B482" t="s">
        <v>2944</v>
      </c>
      <c r="C482" s="1">
        <v>42216</v>
      </c>
      <c r="D482" s="1">
        <v>42216</v>
      </c>
      <c r="E482" t="s">
        <v>1278</v>
      </c>
      <c r="F482" t="s">
        <v>2464</v>
      </c>
      <c r="G482" t="s">
        <v>2465</v>
      </c>
      <c r="H482" t="s">
        <v>25</v>
      </c>
      <c r="I482" t="s">
        <v>26</v>
      </c>
      <c r="J482" t="s">
        <v>263</v>
      </c>
      <c r="K482" t="s">
        <v>264</v>
      </c>
      <c r="L482">
        <v>10024</v>
      </c>
      <c r="M482" t="s">
        <v>145</v>
      </c>
      <c r="N482" t="s">
        <v>2945</v>
      </c>
      <c r="O482" t="s">
        <v>70</v>
      </c>
      <c r="P482" t="s">
        <v>158</v>
      </c>
      <c r="Q482" t="s">
        <v>2946</v>
      </c>
      <c r="R482">
        <v>2309.65</v>
      </c>
      <c r="S482">
        <v>7</v>
      </c>
      <c r="T482">
        <v>0</v>
      </c>
      <c r="U482">
        <v>762.18449999999996</v>
      </c>
      <c r="V482" t="str">
        <f t="shared" si="7"/>
        <v>Rick Hansen</v>
      </c>
      <c r="W482">
        <f>Table2[Profit]/Table2[Sales]</f>
        <v>0.32999999999999996</v>
      </c>
    </row>
    <row r="483" spans="1:23" x14ac:dyDescent="0.25">
      <c r="A483">
        <v>482</v>
      </c>
      <c r="B483" t="s">
        <v>2947</v>
      </c>
      <c r="C483" s="1">
        <v>42243</v>
      </c>
      <c r="D483" s="1">
        <v>42247</v>
      </c>
      <c r="E483" t="s">
        <v>49</v>
      </c>
      <c r="F483" t="s">
        <v>2948</v>
      </c>
      <c r="G483" t="s">
        <v>2949</v>
      </c>
      <c r="H483" t="s">
        <v>25</v>
      </c>
      <c r="I483" t="s">
        <v>26</v>
      </c>
      <c r="J483" t="s">
        <v>2950</v>
      </c>
      <c r="K483" t="s">
        <v>42</v>
      </c>
      <c r="L483">
        <v>92563</v>
      </c>
      <c r="M483" t="s">
        <v>43</v>
      </c>
      <c r="N483" t="s">
        <v>2951</v>
      </c>
      <c r="O483" t="s">
        <v>45</v>
      </c>
      <c r="P483" t="s">
        <v>58</v>
      </c>
      <c r="Q483" t="s">
        <v>2952</v>
      </c>
      <c r="R483">
        <v>484.65</v>
      </c>
      <c r="S483">
        <v>3</v>
      </c>
      <c r="T483">
        <v>0</v>
      </c>
      <c r="U483">
        <v>92.083500000000001</v>
      </c>
      <c r="V483" t="str">
        <f t="shared" si="7"/>
        <v>Ryan Akin</v>
      </c>
      <c r="W483">
        <f>Table2[Profit]/Table2[Sales]</f>
        <v>0.19</v>
      </c>
    </row>
    <row r="484" spans="1:23" x14ac:dyDescent="0.25">
      <c r="A484">
        <v>483</v>
      </c>
      <c r="B484" t="s">
        <v>2953</v>
      </c>
      <c r="C484" s="1">
        <v>42321</v>
      </c>
      <c r="D484" s="1">
        <v>42325</v>
      </c>
      <c r="E484" t="s">
        <v>49</v>
      </c>
      <c r="F484" t="s">
        <v>2453</v>
      </c>
      <c r="G484" t="s">
        <v>2454</v>
      </c>
      <c r="H484" t="s">
        <v>25</v>
      </c>
      <c r="I484" t="s">
        <v>26</v>
      </c>
      <c r="J484" t="s">
        <v>1507</v>
      </c>
      <c r="K484" t="s">
        <v>87</v>
      </c>
      <c r="L484">
        <v>28540</v>
      </c>
      <c r="M484" t="s">
        <v>29</v>
      </c>
      <c r="N484" t="s">
        <v>2665</v>
      </c>
      <c r="O484" t="s">
        <v>45</v>
      </c>
      <c r="P484" t="s">
        <v>89</v>
      </c>
      <c r="Q484" t="s">
        <v>2666</v>
      </c>
      <c r="R484">
        <v>115.29600000000001</v>
      </c>
      <c r="S484">
        <v>3</v>
      </c>
      <c r="T484">
        <v>0.2</v>
      </c>
      <c r="U484">
        <v>40.3536</v>
      </c>
      <c r="V484" t="str">
        <f t="shared" si="7"/>
        <v>Joe Kamberova</v>
      </c>
      <c r="W484">
        <f>Table2[Profit]/Table2[Sales]</f>
        <v>0.35</v>
      </c>
    </row>
    <row r="485" spans="1:23" x14ac:dyDescent="0.25">
      <c r="A485">
        <v>484</v>
      </c>
      <c r="B485" t="s">
        <v>2954</v>
      </c>
      <c r="C485" s="1">
        <v>42314</v>
      </c>
      <c r="D485" s="1">
        <v>42317</v>
      </c>
      <c r="E485" t="s">
        <v>185</v>
      </c>
      <c r="F485" t="s">
        <v>2955</v>
      </c>
      <c r="G485" t="s">
        <v>2956</v>
      </c>
      <c r="H485" t="s">
        <v>25</v>
      </c>
      <c r="I485" t="s">
        <v>26</v>
      </c>
      <c r="J485" t="s">
        <v>616</v>
      </c>
      <c r="K485" t="s">
        <v>303</v>
      </c>
      <c r="L485">
        <v>85254</v>
      </c>
      <c r="M485" t="s">
        <v>43</v>
      </c>
      <c r="N485" t="s">
        <v>494</v>
      </c>
      <c r="O485" t="s">
        <v>45</v>
      </c>
      <c r="P485" t="s">
        <v>170</v>
      </c>
      <c r="Q485" t="s">
        <v>495</v>
      </c>
      <c r="R485">
        <v>7.08</v>
      </c>
      <c r="S485">
        <v>3</v>
      </c>
      <c r="T485">
        <v>0.2</v>
      </c>
      <c r="U485">
        <v>2.4780000000000002</v>
      </c>
      <c r="V485" t="str">
        <f t="shared" si="7"/>
        <v>Meg Tillman</v>
      </c>
      <c r="W485">
        <f>Table2[Profit]/Table2[Sales]</f>
        <v>0.35000000000000003</v>
      </c>
    </row>
    <row r="486" spans="1:23" x14ac:dyDescent="0.25">
      <c r="A486">
        <v>485</v>
      </c>
      <c r="B486" t="s">
        <v>2959</v>
      </c>
      <c r="C486" s="1">
        <v>43095</v>
      </c>
      <c r="D486" s="1">
        <v>43101</v>
      </c>
      <c r="E486" t="s">
        <v>49</v>
      </c>
      <c r="F486" t="s">
        <v>1177</v>
      </c>
      <c r="G486" t="s">
        <v>1178</v>
      </c>
      <c r="H486" t="s">
        <v>25</v>
      </c>
      <c r="I486" t="s">
        <v>26</v>
      </c>
      <c r="J486" t="s">
        <v>2189</v>
      </c>
      <c r="K486" t="s">
        <v>482</v>
      </c>
      <c r="L486">
        <v>52601</v>
      </c>
      <c r="M486" t="s">
        <v>104</v>
      </c>
      <c r="N486" t="s">
        <v>1613</v>
      </c>
      <c r="O486" t="s">
        <v>45</v>
      </c>
      <c r="P486" t="s">
        <v>89</v>
      </c>
      <c r="Q486" t="s">
        <v>1614</v>
      </c>
      <c r="R486">
        <v>44.75</v>
      </c>
      <c r="S486">
        <v>5</v>
      </c>
      <c r="T486">
        <v>0</v>
      </c>
      <c r="U486">
        <v>20.585000000000001</v>
      </c>
      <c r="V486" t="str">
        <f t="shared" si="7"/>
        <v>Patrick O'Brill</v>
      </c>
      <c r="W486">
        <f>Table2[Profit]/Table2[Sales]</f>
        <v>0.46</v>
      </c>
    </row>
    <row r="487" spans="1:23" x14ac:dyDescent="0.25">
      <c r="A487">
        <v>486</v>
      </c>
      <c r="B487" t="s">
        <v>2960</v>
      </c>
      <c r="C487" s="1">
        <v>42948</v>
      </c>
      <c r="D487" s="1">
        <v>42950</v>
      </c>
      <c r="E487" t="s">
        <v>185</v>
      </c>
      <c r="F487" t="s">
        <v>2042</v>
      </c>
      <c r="G487" t="s">
        <v>2043</v>
      </c>
      <c r="H487" t="s">
        <v>25</v>
      </c>
      <c r="I487" t="s">
        <v>26</v>
      </c>
      <c r="J487" t="s">
        <v>296</v>
      </c>
      <c r="K487" t="s">
        <v>208</v>
      </c>
      <c r="L487">
        <v>60653</v>
      </c>
      <c r="M487" t="s">
        <v>104</v>
      </c>
      <c r="N487" t="s">
        <v>685</v>
      </c>
      <c r="O487" t="s">
        <v>70</v>
      </c>
      <c r="P487" t="s">
        <v>71</v>
      </c>
      <c r="Q487" t="s">
        <v>686</v>
      </c>
      <c r="R487">
        <v>95.983999999999995</v>
      </c>
      <c r="S487">
        <v>2</v>
      </c>
      <c r="T487">
        <v>0.2</v>
      </c>
      <c r="U487">
        <v>5.9989999999999997</v>
      </c>
      <c r="V487" t="str">
        <f t="shared" si="7"/>
        <v>Annie Thurman</v>
      </c>
      <c r="W487">
        <f>Table2[Profit]/Table2[Sales]</f>
        <v>6.25E-2</v>
      </c>
    </row>
    <row r="488" spans="1:23" x14ac:dyDescent="0.25">
      <c r="A488">
        <v>487</v>
      </c>
      <c r="B488" t="s">
        <v>2961</v>
      </c>
      <c r="C488" s="1">
        <v>41967</v>
      </c>
      <c r="D488" s="1">
        <v>41969</v>
      </c>
      <c r="E488" t="s">
        <v>185</v>
      </c>
      <c r="F488" t="s">
        <v>2962</v>
      </c>
      <c r="G488" t="s">
        <v>2963</v>
      </c>
      <c r="H488" t="s">
        <v>25</v>
      </c>
      <c r="I488" t="s">
        <v>26</v>
      </c>
      <c r="J488" t="s">
        <v>941</v>
      </c>
      <c r="K488" t="s">
        <v>42</v>
      </c>
      <c r="L488">
        <v>92037</v>
      </c>
      <c r="M488" t="s">
        <v>43</v>
      </c>
      <c r="N488" t="s">
        <v>2964</v>
      </c>
      <c r="O488" t="s">
        <v>31</v>
      </c>
      <c r="P488" t="s">
        <v>64</v>
      </c>
      <c r="Q488" t="s">
        <v>2965</v>
      </c>
      <c r="R488">
        <v>151.72</v>
      </c>
      <c r="S488">
        <v>4</v>
      </c>
      <c r="T488">
        <v>0</v>
      </c>
      <c r="U488">
        <v>27.3096</v>
      </c>
      <c r="V488" t="str">
        <f t="shared" si="7"/>
        <v>Vivek Gonzalez</v>
      </c>
      <c r="W488">
        <f>Table2[Profit]/Table2[Sales]</f>
        <v>0.18</v>
      </c>
    </row>
    <row r="489" spans="1:23" x14ac:dyDescent="0.25">
      <c r="A489">
        <v>488</v>
      </c>
      <c r="B489" t="s">
        <v>2966</v>
      </c>
      <c r="C489" s="1">
        <v>42903</v>
      </c>
      <c r="D489" s="1">
        <v>42907</v>
      </c>
      <c r="E489" t="s">
        <v>22</v>
      </c>
      <c r="F489" t="s">
        <v>529</v>
      </c>
      <c r="G489" t="s">
        <v>530</v>
      </c>
      <c r="H489" t="s">
        <v>25</v>
      </c>
      <c r="I489" t="s">
        <v>26</v>
      </c>
      <c r="J489" t="s">
        <v>2967</v>
      </c>
      <c r="K489" t="s">
        <v>95</v>
      </c>
      <c r="L489">
        <v>98502</v>
      </c>
      <c r="M489" t="s">
        <v>43</v>
      </c>
      <c r="N489" t="s">
        <v>167</v>
      </c>
      <c r="O489" t="s">
        <v>31</v>
      </c>
      <c r="P489" t="s">
        <v>64</v>
      </c>
      <c r="Q489" t="s">
        <v>168</v>
      </c>
      <c r="R489">
        <v>155.25</v>
      </c>
      <c r="S489">
        <v>3</v>
      </c>
      <c r="T489">
        <v>0</v>
      </c>
      <c r="U489">
        <v>46.575000000000003</v>
      </c>
      <c r="V489" t="str">
        <f t="shared" si="7"/>
        <v>Philip Fox</v>
      </c>
      <c r="W489">
        <f>Table2[Profit]/Table2[Sales]</f>
        <v>0.30000000000000004</v>
      </c>
    </row>
    <row r="490" spans="1:23" x14ac:dyDescent="0.25">
      <c r="A490">
        <v>489</v>
      </c>
      <c r="B490" t="s">
        <v>2970</v>
      </c>
      <c r="C490" s="1">
        <v>42359</v>
      </c>
      <c r="D490" s="1">
        <v>42362</v>
      </c>
      <c r="E490" t="s">
        <v>22</v>
      </c>
      <c r="F490" t="s">
        <v>2971</v>
      </c>
      <c r="G490" t="s">
        <v>2972</v>
      </c>
      <c r="H490" t="s">
        <v>25</v>
      </c>
      <c r="I490" t="s">
        <v>26</v>
      </c>
      <c r="J490" t="s">
        <v>94</v>
      </c>
      <c r="K490" t="s">
        <v>95</v>
      </c>
      <c r="L490">
        <v>98103</v>
      </c>
      <c r="M490" t="s">
        <v>43</v>
      </c>
      <c r="N490" t="s">
        <v>876</v>
      </c>
      <c r="O490" t="s">
        <v>31</v>
      </c>
      <c r="P490" t="s">
        <v>55</v>
      </c>
      <c r="Q490" t="s">
        <v>877</v>
      </c>
      <c r="R490">
        <v>1618.37</v>
      </c>
      <c r="S490">
        <v>13</v>
      </c>
      <c r="T490">
        <v>0</v>
      </c>
      <c r="U490">
        <v>356.04140000000001</v>
      </c>
      <c r="V490" t="str">
        <f t="shared" si="7"/>
        <v>John Stevenson</v>
      </c>
      <c r="W490">
        <f>Table2[Profit]/Table2[Sales]</f>
        <v>0.22000000000000003</v>
      </c>
    </row>
    <row r="491" spans="1:23" x14ac:dyDescent="0.25">
      <c r="A491">
        <v>490</v>
      </c>
      <c r="B491" t="s">
        <v>2975</v>
      </c>
      <c r="C491" s="1">
        <v>42264</v>
      </c>
      <c r="D491" s="1">
        <v>42266</v>
      </c>
      <c r="E491" t="s">
        <v>22</v>
      </c>
      <c r="F491" t="s">
        <v>2037</v>
      </c>
      <c r="G491" t="s">
        <v>2038</v>
      </c>
      <c r="H491" t="s">
        <v>101</v>
      </c>
      <c r="I491" t="s">
        <v>26</v>
      </c>
      <c r="J491" t="s">
        <v>41</v>
      </c>
      <c r="K491" t="s">
        <v>42</v>
      </c>
      <c r="L491">
        <v>90036</v>
      </c>
      <c r="M491" t="s">
        <v>43</v>
      </c>
      <c r="N491" t="s">
        <v>1049</v>
      </c>
      <c r="O491" t="s">
        <v>45</v>
      </c>
      <c r="P491" t="s">
        <v>89</v>
      </c>
      <c r="Q491" t="s">
        <v>1050</v>
      </c>
      <c r="R491">
        <v>32.4</v>
      </c>
      <c r="S491">
        <v>5</v>
      </c>
      <c r="T491">
        <v>0</v>
      </c>
      <c r="U491">
        <v>15.552</v>
      </c>
      <c r="V491" t="str">
        <f t="shared" si="7"/>
        <v>Meg O'Connel</v>
      </c>
      <c r="W491">
        <f>Table2[Profit]/Table2[Sales]</f>
        <v>0.48</v>
      </c>
    </row>
    <row r="492" spans="1:23" x14ac:dyDescent="0.25">
      <c r="A492">
        <v>491</v>
      </c>
      <c r="B492" t="s">
        <v>2976</v>
      </c>
      <c r="C492" s="1">
        <v>42191</v>
      </c>
      <c r="D492" s="1">
        <v>42195</v>
      </c>
      <c r="E492" t="s">
        <v>49</v>
      </c>
      <c r="F492" t="s">
        <v>2977</v>
      </c>
      <c r="G492" t="s">
        <v>2978</v>
      </c>
      <c r="H492" t="s">
        <v>40</v>
      </c>
      <c r="I492" t="s">
        <v>26</v>
      </c>
      <c r="J492" t="s">
        <v>263</v>
      </c>
      <c r="K492" t="s">
        <v>264</v>
      </c>
      <c r="L492">
        <v>10011</v>
      </c>
      <c r="M492" t="s">
        <v>145</v>
      </c>
      <c r="N492" t="s">
        <v>2979</v>
      </c>
      <c r="O492" t="s">
        <v>31</v>
      </c>
      <c r="P492" t="s">
        <v>64</v>
      </c>
      <c r="Q492" t="s">
        <v>2980</v>
      </c>
      <c r="R492">
        <v>13.96</v>
      </c>
      <c r="S492">
        <v>2</v>
      </c>
      <c r="T492">
        <v>0</v>
      </c>
      <c r="U492">
        <v>6.7008000000000001</v>
      </c>
      <c r="V492" t="str">
        <f t="shared" si="7"/>
        <v>Kalyca Meade</v>
      </c>
      <c r="W492">
        <f>Table2[Profit]/Table2[Sales]</f>
        <v>0.48</v>
      </c>
    </row>
    <row r="493" spans="1:23" x14ac:dyDescent="0.25">
      <c r="A493">
        <v>492</v>
      </c>
      <c r="B493" t="s">
        <v>2985</v>
      </c>
      <c r="C493" s="1">
        <v>42121</v>
      </c>
      <c r="D493" s="1">
        <v>42127</v>
      </c>
      <c r="E493" t="s">
        <v>49</v>
      </c>
      <c r="F493" t="s">
        <v>1852</v>
      </c>
      <c r="G493" t="s">
        <v>1853</v>
      </c>
      <c r="H493" t="s">
        <v>25</v>
      </c>
      <c r="I493" t="s">
        <v>26</v>
      </c>
      <c r="J493" t="s">
        <v>95</v>
      </c>
      <c r="K493" t="s">
        <v>2986</v>
      </c>
      <c r="L493">
        <v>20016</v>
      </c>
      <c r="M493" t="s">
        <v>145</v>
      </c>
      <c r="N493" t="s">
        <v>2987</v>
      </c>
      <c r="O493" t="s">
        <v>45</v>
      </c>
      <c r="P493" t="s">
        <v>67</v>
      </c>
      <c r="Q493" t="s">
        <v>2988</v>
      </c>
      <c r="R493">
        <v>22.74</v>
      </c>
      <c r="S493">
        <v>3</v>
      </c>
      <c r="T493">
        <v>0</v>
      </c>
      <c r="U493">
        <v>8.8686000000000007</v>
      </c>
      <c r="V493" t="str">
        <f t="shared" si="7"/>
        <v>Greg Tran</v>
      </c>
      <c r="W493">
        <f>Table2[Profit]/Table2[Sales]</f>
        <v>0.39000000000000007</v>
      </c>
    </row>
    <row r="494" spans="1:23" x14ac:dyDescent="0.25">
      <c r="A494">
        <v>493</v>
      </c>
      <c r="B494" t="s">
        <v>2991</v>
      </c>
      <c r="C494" s="1">
        <v>42171</v>
      </c>
      <c r="D494" s="1">
        <v>42175</v>
      </c>
      <c r="E494" t="s">
        <v>49</v>
      </c>
      <c r="F494" t="s">
        <v>1445</v>
      </c>
      <c r="G494" t="s">
        <v>1446</v>
      </c>
      <c r="H494" t="s">
        <v>25</v>
      </c>
      <c r="I494" t="s">
        <v>26</v>
      </c>
      <c r="J494" t="s">
        <v>143</v>
      </c>
      <c r="K494" t="s">
        <v>144</v>
      </c>
      <c r="L494">
        <v>19134</v>
      </c>
      <c r="M494" t="s">
        <v>145</v>
      </c>
      <c r="N494" t="s">
        <v>2992</v>
      </c>
      <c r="O494" t="s">
        <v>45</v>
      </c>
      <c r="P494" t="s">
        <v>170</v>
      </c>
      <c r="Q494" t="s">
        <v>2993</v>
      </c>
      <c r="R494">
        <v>6.2080000000000002</v>
      </c>
      <c r="S494">
        <v>2</v>
      </c>
      <c r="T494">
        <v>0.2</v>
      </c>
      <c r="U494">
        <v>2.1728000000000001</v>
      </c>
      <c r="V494" t="str">
        <f t="shared" si="7"/>
        <v>Philip Brown</v>
      </c>
      <c r="W494">
        <f>Table2[Profit]/Table2[Sales]</f>
        <v>0.35</v>
      </c>
    </row>
    <row r="495" spans="1:23" x14ac:dyDescent="0.25">
      <c r="A495">
        <v>494</v>
      </c>
      <c r="B495" t="s">
        <v>2994</v>
      </c>
      <c r="C495" s="1">
        <v>43086</v>
      </c>
      <c r="D495" s="1">
        <v>43089</v>
      </c>
      <c r="E495" t="s">
        <v>185</v>
      </c>
      <c r="F495" t="s">
        <v>2995</v>
      </c>
      <c r="G495" t="s">
        <v>2996</v>
      </c>
      <c r="H495" t="s">
        <v>101</v>
      </c>
      <c r="I495" t="s">
        <v>26</v>
      </c>
      <c r="J495" t="s">
        <v>41</v>
      </c>
      <c r="K495" t="s">
        <v>42</v>
      </c>
      <c r="L495">
        <v>90045</v>
      </c>
      <c r="M495" t="s">
        <v>43</v>
      </c>
      <c r="N495" t="s">
        <v>2997</v>
      </c>
      <c r="O495" t="s">
        <v>45</v>
      </c>
      <c r="P495" t="s">
        <v>74</v>
      </c>
      <c r="Q495" t="s">
        <v>2998</v>
      </c>
      <c r="R495">
        <v>11.808</v>
      </c>
      <c r="S495">
        <v>2</v>
      </c>
      <c r="T495">
        <v>0.2</v>
      </c>
      <c r="U495">
        <v>4.2804000000000002</v>
      </c>
      <c r="V495" t="str">
        <f t="shared" si="7"/>
        <v>Hallie Redmond</v>
      </c>
      <c r="W495">
        <f>Table2[Profit]/Table2[Sales]</f>
        <v>0.36250000000000004</v>
      </c>
    </row>
    <row r="496" spans="1:23" x14ac:dyDescent="0.25">
      <c r="A496">
        <v>495</v>
      </c>
      <c r="B496" t="s">
        <v>2999</v>
      </c>
      <c r="C496" s="1">
        <v>42380</v>
      </c>
      <c r="D496" s="1">
        <v>42382</v>
      </c>
      <c r="E496" t="s">
        <v>22</v>
      </c>
      <c r="F496" t="s">
        <v>3000</v>
      </c>
      <c r="G496" t="s">
        <v>3001</v>
      </c>
      <c r="H496" t="s">
        <v>101</v>
      </c>
      <c r="I496" t="s">
        <v>26</v>
      </c>
      <c r="J496" t="s">
        <v>311</v>
      </c>
      <c r="K496" t="s">
        <v>491</v>
      </c>
      <c r="L496">
        <v>45503</v>
      </c>
      <c r="M496" t="s">
        <v>145</v>
      </c>
      <c r="N496" t="s">
        <v>3002</v>
      </c>
      <c r="O496" t="s">
        <v>45</v>
      </c>
      <c r="P496" t="s">
        <v>89</v>
      </c>
      <c r="Q496" t="s">
        <v>3003</v>
      </c>
      <c r="R496">
        <v>15.552</v>
      </c>
      <c r="S496">
        <v>3</v>
      </c>
      <c r="T496">
        <v>0.2</v>
      </c>
      <c r="U496">
        <v>5.4432</v>
      </c>
      <c r="V496" t="str">
        <f t="shared" si="7"/>
        <v>Deanra Eno</v>
      </c>
      <c r="W496">
        <f>Table2[Profit]/Table2[Sales]</f>
        <v>0.35000000000000003</v>
      </c>
    </row>
    <row r="497" spans="1:23" x14ac:dyDescent="0.25">
      <c r="A497">
        <v>496</v>
      </c>
      <c r="B497" t="s">
        <v>3008</v>
      </c>
      <c r="C497" s="1">
        <v>41831</v>
      </c>
      <c r="D497" s="1">
        <v>41835</v>
      </c>
      <c r="E497" t="s">
        <v>49</v>
      </c>
      <c r="F497" t="s">
        <v>1334</v>
      </c>
      <c r="G497" t="s">
        <v>1335</v>
      </c>
      <c r="H497" t="s">
        <v>40</v>
      </c>
      <c r="I497" t="s">
        <v>26</v>
      </c>
      <c r="J497" t="s">
        <v>1135</v>
      </c>
      <c r="K497" t="s">
        <v>781</v>
      </c>
      <c r="L497">
        <v>7601</v>
      </c>
      <c r="M497" t="s">
        <v>145</v>
      </c>
      <c r="N497" t="s">
        <v>1046</v>
      </c>
      <c r="O497" t="s">
        <v>45</v>
      </c>
      <c r="P497" t="s">
        <v>89</v>
      </c>
      <c r="Q497" t="s">
        <v>183</v>
      </c>
      <c r="R497">
        <v>177.2</v>
      </c>
      <c r="S497">
        <v>5</v>
      </c>
      <c r="T497">
        <v>0</v>
      </c>
      <c r="U497">
        <v>83.284000000000006</v>
      </c>
      <c r="V497" t="str">
        <f t="shared" si="7"/>
        <v>Laura Armstrong</v>
      </c>
      <c r="W497">
        <f>Table2[Profit]/Table2[Sales]</f>
        <v>0.47000000000000008</v>
      </c>
    </row>
    <row r="498" spans="1:23" x14ac:dyDescent="0.25">
      <c r="A498">
        <v>497</v>
      </c>
      <c r="B498" t="s">
        <v>3013</v>
      </c>
      <c r="C498" s="1">
        <v>42694</v>
      </c>
      <c r="D498" s="1">
        <v>42696</v>
      </c>
      <c r="E498" t="s">
        <v>185</v>
      </c>
      <c r="F498" t="s">
        <v>3014</v>
      </c>
      <c r="G498" t="s">
        <v>3015</v>
      </c>
      <c r="H498" t="s">
        <v>25</v>
      </c>
      <c r="I498" t="s">
        <v>26</v>
      </c>
      <c r="J498" t="s">
        <v>999</v>
      </c>
      <c r="K498" t="s">
        <v>491</v>
      </c>
      <c r="L498">
        <v>45231</v>
      </c>
      <c r="M498" t="s">
        <v>145</v>
      </c>
      <c r="N498" t="s">
        <v>3016</v>
      </c>
      <c r="O498" t="s">
        <v>45</v>
      </c>
      <c r="P498" t="s">
        <v>89</v>
      </c>
      <c r="Q498" t="s">
        <v>3017</v>
      </c>
      <c r="R498">
        <v>15.696</v>
      </c>
      <c r="S498">
        <v>3</v>
      </c>
      <c r="T498">
        <v>0.2</v>
      </c>
      <c r="U498">
        <v>5.1012000000000004</v>
      </c>
      <c r="V498" t="str">
        <f t="shared" si="7"/>
        <v>Allen Goldenen</v>
      </c>
      <c r="W498">
        <f>Table2[Profit]/Table2[Sales]</f>
        <v>0.32500000000000001</v>
      </c>
    </row>
    <row r="499" spans="1:23" x14ac:dyDescent="0.25">
      <c r="A499">
        <v>498</v>
      </c>
      <c r="B499" t="s">
        <v>3018</v>
      </c>
      <c r="C499" s="1">
        <v>42482</v>
      </c>
      <c r="D499" s="1">
        <v>42486</v>
      </c>
      <c r="E499" t="s">
        <v>49</v>
      </c>
      <c r="F499" t="s">
        <v>2697</v>
      </c>
      <c r="G499" t="s">
        <v>2698</v>
      </c>
      <c r="H499" t="s">
        <v>101</v>
      </c>
      <c r="I499" t="s">
        <v>26</v>
      </c>
      <c r="J499" t="s">
        <v>3019</v>
      </c>
      <c r="K499" t="s">
        <v>590</v>
      </c>
      <c r="L499">
        <v>65109</v>
      </c>
      <c r="M499" t="s">
        <v>104</v>
      </c>
      <c r="N499" t="s">
        <v>3020</v>
      </c>
      <c r="O499" t="s">
        <v>31</v>
      </c>
      <c r="P499" t="s">
        <v>64</v>
      </c>
      <c r="Q499" t="s">
        <v>3021</v>
      </c>
      <c r="R499">
        <v>86.62</v>
      </c>
      <c r="S499">
        <v>2</v>
      </c>
      <c r="T499">
        <v>0</v>
      </c>
      <c r="U499">
        <v>8.6620000000000008</v>
      </c>
      <c r="V499" t="str">
        <f t="shared" si="7"/>
        <v>Ed Ludwig</v>
      </c>
      <c r="W499">
        <f>Table2[Profit]/Table2[Sales]</f>
        <v>0.1</v>
      </c>
    </row>
    <row r="500" spans="1:23" x14ac:dyDescent="0.25">
      <c r="A500">
        <v>499</v>
      </c>
      <c r="B500" t="s">
        <v>3022</v>
      </c>
      <c r="C500" s="1">
        <v>42168</v>
      </c>
      <c r="D500" s="1">
        <v>42169</v>
      </c>
      <c r="E500" t="s">
        <v>185</v>
      </c>
      <c r="F500" t="s">
        <v>3023</v>
      </c>
      <c r="G500" t="s">
        <v>3024</v>
      </c>
      <c r="H500" t="s">
        <v>25</v>
      </c>
      <c r="I500" t="s">
        <v>26</v>
      </c>
      <c r="J500" t="s">
        <v>41</v>
      </c>
      <c r="K500" t="s">
        <v>42</v>
      </c>
      <c r="L500">
        <v>90004</v>
      </c>
      <c r="M500" t="s">
        <v>43</v>
      </c>
      <c r="N500" t="s">
        <v>3025</v>
      </c>
      <c r="O500" t="s">
        <v>45</v>
      </c>
      <c r="P500" t="s">
        <v>74</v>
      </c>
      <c r="Q500" t="s">
        <v>3026</v>
      </c>
      <c r="R500">
        <v>36.624000000000002</v>
      </c>
      <c r="S500">
        <v>3</v>
      </c>
      <c r="T500">
        <v>0.2</v>
      </c>
      <c r="U500">
        <v>13.734</v>
      </c>
      <c r="V500" t="str">
        <f t="shared" si="7"/>
        <v>Jennifer Jackson</v>
      </c>
      <c r="W500">
        <f>Table2[Profit]/Table2[Sales]</f>
        <v>0.375</v>
      </c>
    </row>
    <row r="501" spans="1:23" x14ac:dyDescent="0.25">
      <c r="A501">
        <v>500</v>
      </c>
      <c r="B501" t="s">
        <v>3027</v>
      </c>
      <c r="C501" s="1">
        <v>43059</v>
      </c>
      <c r="D501" s="1">
        <v>43060</v>
      </c>
      <c r="E501" t="s">
        <v>185</v>
      </c>
      <c r="F501" t="s">
        <v>3028</v>
      </c>
      <c r="G501" t="s">
        <v>3029</v>
      </c>
      <c r="H501" t="s">
        <v>25</v>
      </c>
      <c r="I501" t="s">
        <v>26</v>
      </c>
      <c r="J501" t="s">
        <v>2189</v>
      </c>
      <c r="K501" t="s">
        <v>87</v>
      </c>
      <c r="L501">
        <v>27217</v>
      </c>
      <c r="M501" t="s">
        <v>29</v>
      </c>
      <c r="N501" t="s">
        <v>3030</v>
      </c>
      <c r="O501" t="s">
        <v>45</v>
      </c>
      <c r="P501" t="s">
        <v>67</v>
      </c>
      <c r="Q501" t="s">
        <v>3031</v>
      </c>
      <c r="R501">
        <v>23.968</v>
      </c>
      <c r="S501">
        <v>7</v>
      </c>
      <c r="T501">
        <v>0.2</v>
      </c>
      <c r="U501">
        <v>2.6964000000000001</v>
      </c>
      <c r="V501" t="str">
        <f t="shared" si="7"/>
        <v>Jennifer Halladay</v>
      </c>
      <c r="W501">
        <f>Table2[Profit]/Table2[Sales]</f>
        <v>0.1125</v>
      </c>
    </row>
    <row r="502" spans="1:23" x14ac:dyDescent="0.25">
      <c r="A502">
        <v>501</v>
      </c>
      <c r="B502" t="s">
        <v>3032</v>
      </c>
      <c r="C502" s="1">
        <v>42449</v>
      </c>
      <c r="D502" s="1">
        <v>42453</v>
      </c>
      <c r="E502" t="s">
        <v>49</v>
      </c>
      <c r="F502" t="s">
        <v>3033</v>
      </c>
      <c r="G502" t="s">
        <v>3034</v>
      </c>
      <c r="H502" t="s">
        <v>101</v>
      </c>
      <c r="I502" t="s">
        <v>26</v>
      </c>
      <c r="J502" t="s">
        <v>3035</v>
      </c>
      <c r="K502" t="s">
        <v>590</v>
      </c>
      <c r="L502">
        <v>63376</v>
      </c>
      <c r="M502" t="s">
        <v>104</v>
      </c>
      <c r="N502" t="s">
        <v>2368</v>
      </c>
      <c r="O502" t="s">
        <v>31</v>
      </c>
      <c r="P502" t="s">
        <v>55</v>
      </c>
      <c r="Q502" t="s">
        <v>2369</v>
      </c>
      <c r="R502">
        <v>697.16</v>
      </c>
      <c r="S502">
        <v>4</v>
      </c>
      <c r="T502">
        <v>0</v>
      </c>
      <c r="U502">
        <v>146.40360000000001</v>
      </c>
      <c r="V502" t="str">
        <f t="shared" si="7"/>
        <v>Robert Dilbeck</v>
      </c>
      <c r="W502">
        <f>Table2[Profit]/Table2[Sales]</f>
        <v>0.21000000000000002</v>
      </c>
    </row>
    <row r="503" spans="1:23" x14ac:dyDescent="0.25">
      <c r="A503">
        <v>502</v>
      </c>
      <c r="B503" t="s">
        <v>3036</v>
      </c>
      <c r="C503" s="1">
        <v>42619</v>
      </c>
      <c r="D503" s="1">
        <v>42622</v>
      </c>
      <c r="E503" t="s">
        <v>22</v>
      </c>
      <c r="F503" t="s">
        <v>3037</v>
      </c>
      <c r="G503" t="s">
        <v>3038</v>
      </c>
      <c r="H503" t="s">
        <v>25</v>
      </c>
      <c r="I503" t="s">
        <v>26</v>
      </c>
      <c r="J503" t="s">
        <v>263</v>
      </c>
      <c r="K503" t="s">
        <v>264</v>
      </c>
      <c r="L503">
        <v>10035</v>
      </c>
      <c r="M503" t="s">
        <v>145</v>
      </c>
      <c r="N503" t="s">
        <v>3039</v>
      </c>
      <c r="O503" t="s">
        <v>70</v>
      </c>
      <c r="P503" t="s">
        <v>158</v>
      </c>
      <c r="Q503" t="s">
        <v>3040</v>
      </c>
      <c r="R503">
        <v>31.86</v>
      </c>
      <c r="S503">
        <v>2</v>
      </c>
      <c r="T503">
        <v>0</v>
      </c>
      <c r="U503">
        <v>11.151</v>
      </c>
      <c r="V503" t="str">
        <f t="shared" si="7"/>
        <v>Mary O'Rourke</v>
      </c>
      <c r="W503">
        <f>Table2[Profit]/Table2[Sales]</f>
        <v>0.35</v>
      </c>
    </row>
    <row r="504" spans="1:23" x14ac:dyDescent="0.25">
      <c r="A504">
        <v>503</v>
      </c>
      <c r="B504" t="s">
        <v>3043</v>
      </c>
      <c r="C504" s="1">
        <v>42925</v>
      </c>
      <c r="D504" s="1">
        <v>42928</v>
      </c>
      <c r="E504" t="s">
        <v>185</v>
      </c>
      <c r="F504" t="s">
        <v>3044</v>
      </c>
      <c r="G504" t="s">
        <v>3045</v>
      </c>
      <c r="H504" t="s">
        <v>40</v>
      </c>
      <c r="I504" t="s">
        <v>26</v>
      </c>
      <c r="J504" t="s">
        <v>296</v>
      </c>
      <c r="K504" t="s">
        <v>208</v>
      </c>
      <c r="L504">
        <v>60610</v>
      </c>
      <c r="M504" t="s">
        <v>104</v>
      </c>
      <c r="N504" t="s">
        <v>3046</v>
      </c>
      <c r="O504" t="s">
        <v>45</v>
      </c>
      <c r="P504" t="s">
        <v>67</v>
      </c>
      <c r="Q504" t="s">
        <v>3047</v>
      </c>
      <c r="R504">
        <v>8.84</v>
      </c>
      <c r="S504">
        <v>5</v>
      </c>
      <c r="T504">
        <v>0.2</v>
      </c>
      <c r="U504">
        <v>2.9834999999999998</v>
      </c>
      <c r="V504" t="str">
        <f t="shared" si="7"/>
        <v>Noel Staavos</v>
      </c>
      <c r="W504">
        <f>Table2[Profit]/Table2[Sales]</f>
        <v>0.33749999999999997</v>
      </c>
    </row>
    <row r="505" spans="1:23" x14ac:dyDescent="0.25">
      <c r="A505">
        <v>504</v>
      </c>
      <c r="B505" t="s">
        <v>3048</v>
      </c>
      <c r="C505" s="1">
        <v>43020</v>
      </c>
      <c r="D505" s="1">
        <v>43024</v>
      </c>
      <c r="E505" t="s">
        <v>49</v>
      </c>
      <c r="F505" t="s">
        <v>194</v>
      </c>
      <c r="G505" t="s">
        <v>195</v>
      </c>
      <c r="H505" t="s">
        <v>101</v>
      </c>
      <c r="I505" t="s">
        <v>26</v>
      </c>
      <c r="J505" t="s">
        <v>3049</v>
      </c>
      <c r="K505" t="s">
        <v>208</v>
      </c>
      <c r="L505">
        <v>61107</v>
      </c>
      <c r="M505" t="s">
        <v>104</v>
      </c>
      <c r="N505" t="s">
        <v>3050</v>
      </c>
      <c r="O505" t="s">
        <v>31</v>
      </c>
      <c r="P505" t="s">
        <v>35</v>
      </c>
      <c r="Q505" t="s">
        <v>3051</v>
      </c>
      <c r="R505">
        <v>254.60400000000001</v>
      </c>
      <c r="S505">
        <v>14</v>
      </c>
      <c r="T505">
        <v>0.3</v>
      </c>
      <c r="U505">
        <v>-18.186</v>
      </c>
      <c r="V505" t="str">
        <f t="shared" si="7"/>
        <v>Steve Nguyen</v>
      </c>
      <c r="W505">
        <f>Table2[Profit]/Table2[Sales]</f>
        <v>-7.1428571428571425E-2</v>
      </c>
    </row>
    <row r="506" spans="1:23" x14ac:dyDescent="0.25">
      <c r="A506">
        <v>505</v>
      </c>
      <c r="B506" t="s">
        <v>3052</v>
      </c>
      <c r="C506" s="1">
        <v>42437</v>
      </c>
      <c r="D506" s="1">
        <v>42442</v>
      </c>
      <c r="E506" t="s">
        <v>49</v>
      </c>
      <c r="F506" t="s">
        <v>1946</v>
      </c>
      <c r="G506" t="s">
        <v>1947</v>
      </c>
      <c r="H506" t="s">
        <v>25</v>
      </c>
      <c r="I506" t="s">
        <v>26</v>
      </c>
      <c r="J506" t="s">
        <v>1406</v>
      </c>
      <c r="K506" t="s">
        <v>53</v>
      </c>
      <c r="L506">
        <v>33142</v>
      </c>
      <c r="M506" t="s">
        <v>29</v>
      </c>
      <c r="N506" t="s">
        <v>2456</v>
      </c>
      <c r="O506" t="s">
        <v>70</v>
      </c>
      <c r="P506" t="s">
        <v>71</v>
      </c>
      <c r="Q506" t="s">
        <v>2457</v>
      </c>
      <c r="R506">
        <v>1363.96</v>
      </c>
      <c r="S506">
        <v>5</v>
      </c>
      <c r="T506">
        <v>0.2</v>
      </c>
      <c r="U506">
        <v>85.247500000000002</v>
      </c>
      <c r="V506" t="str">
        <f t="shared" si="7"/>
        <v>Zuschuss Carroll</v>
      </c>
      <c r="W506">
        <f>Table2[Profit]/Table2[Sales]</f>
        <v>6.25E-2</v>
      </c>
    </row>
    <row r="507" spans="1:23" x14ac:dyDescent="0.25">
      <c r="A507">
        <v>506</v>
      </c>
      <c r="B507" t="s">
        <v>3053</v>
      </c>
      <c r="C507" s="1">
        <v>41786</v>
      </c>
      <c r="D507" s="1">
        <v>41791</v>
      </c>
      <c r="E507" t="s">
        <v>22</v>
      </c>
      <c r="F507" t="s">
        <v>558</v>
      </c>
      <c r="G507" t="s">
        <v>559</v>
      </c>
      <c r="H507" t="s">
        <v>25</v>
      </c>
      <c r="I507" t="s">
        <v>26</v>
      </c>
      <c r="J507" t="s">
        <v>126</v>
      </c>
      <c r="K507" t="s">
        <v>42</v>
      </c>
      <c r="L507">
        <v>94109</v>
      </c>
      <c r="M507" t="s">
        <v>43</v>
      </c>
      <c r="N507" t="s">
        <v>202</v>
      </c>
      <c r="O507" t="s">
        <v>70</v>
      </c>
      <c r="P507" t="s">
        <v>71</v>
      </c>
      <c r="Q507" t="s">
        <v>203</v>
      </c>
      <c r="R507">
        <v>1113.5039999999999</v>
      </c>
      <c r="S507">
        <v>12</v>
      </c>
      <c r="T507">
        <v>0.2</v>
      </c>
      <c r="U507">
        <v>125.2692</v>
      </c>
      <c r="V507" t="str">
        <f t="shared" si="7"/>
        <v>Lena Creighton</v>
      </c>
      <c r="W507">
        <f>Table2[Profit]/Table2[Sales]</f>
        <v>0.1125</v>
      </c>
    </row>
    <row r="508" spans="1:23" x14ac:dyDescent="0.25">
      <c r="A508">
        <v>507</v>
      </c>
      <c r="B508" t="s">
        <v>3054</v>
      </c>
      <c r="C508" s="1">
        <v>42188</v>
      </c>
      <c r="D508" s="1">
        <v>42190</v>
      </c>
      <c r="E508" t="s">
        <v>185</v>
      </c>
      <c r="F508" t="s">
        <v>3055</v>
      </c>
      <c r="G508" t="s">
        <v>3056</v>
      </c>
      <c r="H508" t="s">
        <v>40</v>
      </c>
      <c r="I508" t="s">
        <v>26</v>
      </c>
      <c r="J508" t="s">
        <v>143</v>
      </c>
      <c r="K508" t="s">
        <v>144</v>
      </c>
      <c r="L508">
        <v>19134</v>
      </c>
      <c r="M508" t="s">
        <v>145</v>
      </c>
      <c r="N508" t="s">
        <v>3057</v>
      </c>
      <c r="O508" t="s">
        <v>31</v>
      </c>
      <c r="P508" t="s">
        <v>64</v>
      </c>
      <c r="Q508" t="s">
        <v>3058</v>
      </c>
      <c r="R508">
        <v>168.464</v>
      </c>
      <c r="S508">
        <v>2</v>
      </c>
      <c r="T508">
        <v>0.2</v>
      </c>
      <c r="U508">
        <v>-29.481200000000001</v>
      </c>
      <c r="V508" t="str">
        <f t="shared" si="7"/>
        <v>Deirdre Greer</v>
      </c>
      <c r="W508">
        <f>Table2[Profit]/Table2[Sales]</f>
        <v>-0.17500000000000002</v>
      </c>
    </row>
    <row r="509" spans="1:23" x14ac:dyDescent="0.25">
      <c r="A509">
        <v>508</v>
      </c>
      <c r="B509" t="s">
        <v>3063</v>
      </c>
      <c r="C509" s="1">
        <v>42098</v>
      </c>
      <c r="D509" s="1">
        <v>42102</v>
      </c>
      <c r="E509" t="s">
        <v>49</v>
      </c>
      <c r="F509" t="s">
        <v>3064</v>
      </c>
      <c r="G509" t="s">
        <v>3065</v>
      </c>
      <c r="H509" t="s">
        <v>101</v>
      </c>
      <c r="I509" t="s">
        <v>26</v>
      </c>
      <c r="J509" t="s">
        <v>263</v>
      </c>
      <c r="K509" t="s">
        <v>264</v>
      </c>
      <c r="L509">
        <v>10009</v>
      </c>
      <c r="M509" t="s">
        <v>145</v>
      </c>
      <c r="N509" t="s">
        <v>3066</v>
      </c>
      <c r="O509" t="s">
        <v>45</v>
      </c>
      <c r="P509" t="s">
        <v>67</v>
      </c>
      <c r="Q509" t="s">
        <v>3067</v>
      </c>
      <c r="R509">
        <v>11.16</v>
      </c>
      <c r="S509">
        <v>2</v>
      </c>
      <c r="T509">
        <v>0</v>
      </c>
      <c r="U509">
        <v>4.3524000000000003</v>
      </c>
      <c r="V509" t="str">
        <f t="shared" si="7"/>
        <v>Nicole Fjeld</v>
      </c>
      <c r="W509">
        <f>Table2[Profit]/Table2[Sales]</f>
        <v>0.39</v>
      </c>
    </row>
    <row r="510" spans="1:23" x14ac:dyDescent="0.25">
      <c r="A510">
        <v>509</v>
      </c>
      <c r="B510" t="s">
        <v>3072</v>
      </c>
      <c r="C510" s="1">
        <v>43079</v>
      </c>
      <c r="D510" s="1">
        <v>43086</v>
      </c>
      <c r="E510" t="s">
        <v>49</v>
      </c>
      <c r="F510" t="s">
        <v>1123</v>
      </c>
      <c r="G510" t="s">
        <v>1124</v>
      </c>
      <c r="H510" t="s">
        <v>40</v>
      </c>
      <c r="I510" t="s">
        <v>26</v>
      </c>
      <c r="J510" t="s">
        <v>941</v>
      </c>
      <c r="K510" t="s">
        <v>42</v>
      </c>
      <c r="L510">
        <v>92037</v>
      </c>
      <c r="M510" t="s">
        <v>43</v>
      </c>
      <c r="N510" t="s">
        <v>3073</v>
      </c>
      <c r="O510" t="s">
        <v>45</v>
      </c>
      <c r="P510" t="s">
        <v>74</v>
      </c>
      <c r="Q510" t="s">
        <v>3074</v>
      </c>
      <c r="R510">
        <v>19.936</v>
      </c>
      <c r="S510">
        <v>4</v>
      </c>
      <c r="T510">
        <v>0.2</v>
      </c>
      <c r="U510">
        <v>7.2267999999999999</v>
      </c>
      <c r="V510" t="str">
        <f t="shared" si="7"/>
        <v>Ben Peterman</v>
      </c>
      <c r="W510">
        <f>Table2[Profit]/Table2[Sales]</f>
        <v>0.36249999999999999</v>
      </c>
    </row>
    <row r="511" spans="1:23" x14ac:dyDescent="0.25">
      <c r="A511">
        <v>510</v>
      </c>
      <c r="B511" t="s">
        <v>3077</v>
      </c>
      <c r="C511" s="1">
        <v>42698</v>
      </c>
      <c r="D511" s="1">
        <v>42705</v>
      </c>
      <c r="E511" t="s">
        <v>49</v>
      </c>
      <c r="F511" t="s">
        <v>3078</v>
      </c>
      <c r="G511" t="s">
        <v>3079</v>
      </c>
      <c r="H511" t="s">
        <v>101</v>
      </c>
      <c r="I511" t="s">
        <v>26</v>
      </c>
      <c r="J511" t="s">
        <v>143</v>
      </c>
      <c r="K511" t="s">
        <v>144</v>
      </c>
      <c r="L511">
        <v>19143</v>
      </c>
      <c r="M511" t="s">
        <v>145</v>
      </c>
      <c r="N511" t="s">
        <v>3080</v>
      </c>
      <c r="O511" t="s">
        <v>45</v>
      </c>
      <c r="P511" t="s">
        <v>266</v>
      </c>
      <c r="Q511" t="s">
        <v>3081</v>
      </c>
      <c r="R511">
        <v>4.4160000000000004</v>
      </c>
      <c r="S511">
        <v>3</v>
      </c>
      <c r="T511">
        <v>0.2</v>
      </c>
      <c r="U511">
        <v>1.6008</v>
      </c>
      <c r="V511" t="str">
        <f t="shared" si="7"/>
        <v>Matthew Grinstein</v>
      </c>
      <c r="W511">
        <f>Table2[Profit]/Table2[Sales]</f>
        <v>0.36249999999999999</v>
      </c>
    </row>
    <row r="512" spans="1:23" x14ac:dyDescent="0.25">
      <c r="A512">
        <v>511</v>
      </c>
      <c r="B512" t="s">
        <v>3082</v>
      </c>
      <c r="C512" s="1">
        <v>42086</v>
      </c>
      <c r="D512" s="1">
        <v>42092</v>
      </c>
      <c r="E512" t="s">
        <v>49</v>
      </c>
      <c r="F512" t="s">
        <v>1275</v>
      </c>
      <c r="G512" t="s">
        <v>1276</v>
      </c>
      <c r="H512" t="s">
        <v>25</v>
      </c>
      <c r="I512" t="s">
        <v>26</v>
      </c>
      <c r="J512" t="s">
        <v>181</v>
      </c>
      <c r="K512" t="s">
        <v>103</v>
      </c>
      <c r="L512">
        <v>77095</v>
      </c>
      <c r="M512" t="s">
        <v>104</v>
      </c>
      <c r="N512" t="s">
        <v>1521</v>
      </c>
      <c r="O512" t="s">
        <v>31</v>
      </c>
      <c r="P512" t="s">
        <v>35</v>
      </c>
      <c r="Q512" t="s">
        <v>1522</v>
      </c>
      <c r="R512">
        <v>107.77200000000001</v>
      </c>
      <c r="S512">
        <v>2</v>
      </c>
      <c r="T512">
        <v>0.3</v>
      </c>
      <c r="U512">
        <v>-29.252400000000002</v>
      </c>
      <c r="V512" t="str">
        <f t="shared" si="7"/>
        <v>Julia Dunbar</v>
      </c>
      <c r="W512">
        <f>Table2[Profit]/Table2[Sales]</f>
        <v>-0.27142857142857141</v>
      </c>
    </row>
    <row r="513" spans="1:23" x14ac:dyDescent="0.25">
      <c r="A513">
        <v>512</v>
      </c>
      <c r="B513" t="s">
        <v>3083</v>
      </c>
      <c r="C513" s="1">
        <v>42110</v>
      </c>
      <c r="D513" s="1">
        <v>42115</v>
      </c>
      <c r="E513" t="s">
        <v>49</v>
      </c>
      <c r="F513" t="s">
        <v>3084</v>
      </c>
      <c r="G513" t="s">
        <v>3085</v>
      </c>
      <c r="H513" t="s">
        <v>40</v>
      </c>
      <c r="I513" t="s">
        <v>26</v>
      </c>
      <c r="J513" t="s">
        <v>2797</v>
      </c>
      <c r="K513" t="s">
        <v>491</v>
      </c>
      <c r="L513">
        <v>43615</v>
      </c>
      <c r="M513" t="s">
        <v>145</v>
      </c>
      <c r="N513" t="s">
        <v>2107</v>
      </c>
      <c r="O513" t="s">
        <v>45</v>
      </c>
      <c r="P513" t="s">
        <v>77</v>
      </c>
      <c r="Q513" t="s">
        <v>2108</v>
      </c>
      <c r="R513">
        <v>45.216000000000001</v>
      </c>
      <c r="S513">
        <v>3</v>
      </c>
      <c r="T513">
        <v>0.2</v>
      </c>
      <c r="U513">
        <v>4.5216000000000003</v>
      </c>
      <c r="V513" t="str">
        <f t="shared" si="7"/>
        <v>Theresa Swint</v>
      </c>
      <c r="W513">
        <f>Table2[Profit]/Table2[Sales]</f>
        <v>0.1</v>
      </c>
    </row>
    <row r="514" spans="1:23" x14ac:dyDescent="0.25">
      <c r="A514">
        <v>513</v>
      </c>
      <c r="B514" t="s">
        <v>3094</v>
      </c>
      <c r="C514" s="1">
        <v>42644</v>
      </c>
      <c r="D514" s="1">
        <v>42645</v>
      </c>
      <c r="E514" t="s">
        <v>185</v>
      </c>
      <c r="F514" t="s">
        <v>3095</v>
      </c>
      <c r="G514" t="s">
        <v>3096</v>
      </c>
      <c r="H514" t="s">
        <v>25</v>
      </c>
      <c r="I514" t="s">
        <v>26</v>
      </c>
      <c r="J514" t="s">
        <v>126</v>
      </c>
      <c r="K514" t="s">
        <v>42</v>
      </c>
      <c r="L514">
        <v>94122</v>
      </c>
      <c r="M514" t="s">
        <v>43</v>
      </c>
      <c r="N514" t="s">
        <v>297</v>
      </c>
      <c r="O514" t="s">
        <v>31</v>
      </c>
      <c r="P514" t="s">
        <v>35</v>
      </c>
      <c r="Q514" t="s">
        <v>298</v>
      </c>
      <c r="R514">
        <v>194.84800000000001</v>
      </c>
      <c r="S514">
        <v>4</v>
      </c>
      <c r="T514">
        <v>0.2</v>
      </c>
      <c r="U514">
        <v>12.178000000000001</v>
      </c>
      <c r="V514" t="str">
        <f t="shared" si="7"/>
        <v>Brian DeCherney</v>
      </c>
      <c r="W514">
        <f>Table2[Profit]/Table2[Sales]</f>
        <v>6.25E-2</v>
      </c>
    </row>
    <row r="515" spans="1:23" x14ac:dyDescent="0.25">
      <c r="A515">
        <v>514</v>
      </c>
      <c r="B515" t="s">
        <v>3097</v>
      </c>
      <c r="C515" s="1">
        <v>43006</v>
      </c>
      <c r="D515" s="1">
        <v>43008</v>
      </c>
      <c r="E515" t="s">
        <v>22</v>
      </c>
      <c r="F515" t="s">
        <v>3098</v>
      </c>
      <c r="G515" t="s">
        <v>3099</v>
      </c>
      <c r="H515" t="s">
        <v>25</v>
      </c>
      <c r="I515" t="s">
        <v>26</v>
      </c>
      <c r="J515" t="s">
        <v>3100</v>
      </c>
      <c r="K515" t="s">
        <v>103</v>
      </c>
      <c r="L515">
        <v>78521</v>
      </c>
      <c r="M515" t="s">
        <v>104</v>
      </c>
      <c r="N515" t="s">
        <v>1842</v>
      </c>
      <c r="O515" t="s">
        <v>45</v>
      </c>
      <c r="P515" t="s">
        <v>572</v>
      </c>
      <c r="Q515" t="s">
        <v>1285</v>
      </c>
      <c r="R515">
        <v>1.744</v>
      </c>
      <c r="S515">
        <v>1</v>
      </c>
      <c r="T515">
        <v>0.2</v>
      </c>
      <c r="U515">
        <v>-0.3488</v>
      </c>
      <c r="V515" t="str">
        <f t="shared" ref="V515:V578" si="8">TRIM(G515)</f>
        <v>Charles McCrossin</v>
      </c>
      <c r="W515">
        <f>Table2[Profit]/Table2[Sales]</f>
        <v>-0.2</v>
      </c>
    </row>
    <row r="516" spans="1:23" x14ac:dyDescent="0.25">
      <c r="A516">
        <v>515</v>
      </c>
      <c r="B516" t="s">
        <v>3101</v>
      </c>
      <c r="C516" s="1">
        <v>42210</v>
      </c>
      <c r="D516" s="1">
        <v>42214</v>
      </c>
      <c r="E516" t="s">
        <v>49</v>
      </c>
      <c r="F516" t="s">
        <v>1494</v>
      </c>
      <c r="G516" t="s">
        <v>1495</v>
      </c>
      <c r="H516" t="s">
        <v>101</v>
      </c>
      <c r="I516" t="s">
        <v>26</v>
      </c>
      <c r="J516" t="s">
        <v>143</v>
      </c>
      <c r="K516" t="s">
        <v>144</v>
      </c>
      <c r="L516">
        <v>19143</v>
      </c>
      <c r="M516" t="s">
        <v>145</v>
      </c>
      <c r="N516" t="s">
        <v>1187</v>
      </c>
      <c r="O516" t="s">
        <v>45</v>
      </c>
      <c r="P516" t="s">
        <v>74</v>
      </c>
      <c r="Q516" t="s">
        <v>1188</v>
      </c>
      <c r="R516">
        <v>25.175999999999998</v>
      </c>
      <c r="S516">
        <v>4</v>
      </c>
      <c r="T516">
        <v>0.7</v>
      </c>
      <c r="U516">
        <v>-18.462399999999999</v>
      </c>
      <c r="V516" t="str">
        <f t="shared" si="8"/>
        <v>Ross Baird</v>
      </c>
      <c r="W516">
        <f>Table2[Profit]/Table2[Sales]</f>
        <v>-0.73333333333333328</v>
      </c>
    </row>
    <row r="517" spans="1:23" x14ac:dyDescent="0.25">
      <c r="A517">
        <v>516</v>
      </c>
      <c r="B517" t="s">
        <v>3102</v>
      </c>
      <c r="C517" s="1">
        <v>42328</v>
      </c>
      <c r="D517" s="1">
        <v>42334</v>
      </c>
      <c r="E517" t="s">
        <v>49</v>
      </c>
      <c r="F517" t="s">
        <v>3103</v>
      </c>
      <c r="G517" t="s">
        <v>3104</v>
      </c>
      <c r="H517" t="s">
        <v>101</v>
      </c>
      <c r="I517" t="s">
        <v>26</v>
      </c>
      <c r="J517" t="s">
        <v>41</v>
      </c>
      <c r="K517" t="s">
        <v>42</v>
      </c>
      <c r="L517">
        <v>90008</v>
      </c>
      <c r="M517" t="s">
        <v>43</v>
      </c>
      <c r="N517" t="s">
        <v>1270</v>
      </c>
      <c r="O517" t="s">
        <v>45</v>
      </c>
      <c r="P517" t="s">
        <v>67</v>
      </c>
      <c r="Q517" t="s">
        <v>1271</v>
      </c>
      <c r="R517">
        <v>19.46</v>
      </c>
      <c r="S517">
        <v>7</v>
      </c>
      <c r="T517">
        <v>0</v>
      </c>
      <c r="U517">
        <v>5.0595999999999997</v>
      </c>
      <c r="V517" t="str">
        <f t="shared" si="8"/>
        <v>Skye Norling</v>
      </c>
      <c r="W517">
        <f>Table2[Profit]/Table2[Sales]</f>
        <v>0.25999999999999995</v>
      </c>
    </row>
    <row r="518" spans="1:23" x14ac:dyDescent="0.25">
      <c r="A518">
        <v>517</v>
      </c>
      <c r="B518" t="s">
        <v>3105</v>
      </c>
      <c r="C518" s="1">
        <v>42488</v>
      </c>
      <c r="D518" s="1">
        <v>42492</v>
      </c>
      <c r="E518" t="s">
        <v>49</v>
      </c>
      <c r="F518" t="s">
        <v>3106</v>
      </c>
      <c r="G518" t="s">
        <v>3107</v>
      </c>
      <c r="H518" t="s">
        <v>101</v>
      </c>
      <c r="I518" t="s">
        <v>26</v>
      </c>
      <c r="J518" t="s">
        <v>800</v>
      </c>
      <c r="K518" t="s">
        <v>450</v>
      </c>
      <c r="L518">
        <v>80219</v>
      </c>
      <c r="M518" t="s">
        <v>43</v>
      </c>
      <c r="N518" t="s">
        <v>1239</v>
      </c>
      <c r="O518" t="s">
        <v>45</v>
      </c>
      <c r="P518" t="s">
        <v>89</v>
      </c>
      <c r="Q518" t="s">
        <v>1240</v>
      </c>
      <c r="R518">
        <v>29.472000000000001</v>
      </c>
      <c r="S518">
        <v>3</v>
      </c>
      <c r="T518">
        <v>0.2</v>
      </c>
      <c r="U518">
        <v>9.9467999999999996</v>
      </c>
      <c r="V518" t="str">
        <f t="shared" si="8"/>
        <v>Erica Hernandez</v>
      </c>
      <c r="W518">
        <f>Table2[Profit]/Table2[Sales]</f>
        <v>0.33749999999999997</v>
      </c>
    </row>
    <row r="519" spans="1:23" x14ac:dyDescent="0.25">
      <c r="A519">
        <v>518</v>
      </c>
      <c r="B519" t="s">
        <v>3108</v>
      </c>
      <c r="C519" s="1">
        <v>43053</v>
      </c>
      <c r="D519" s="1">
        <v>43058</v>
      </c>
      <c r="E519" t="s">
        <v>49</v>
      </c>
      <c r="F519" t="s">
        <v>3109</v>
      </c>
      <c r="G519" t="s">
        <v>3110</v>
      </c>
      <c r="H519" t="s">
        <v>25</v>
      </c>
      <c r="I519" t="s">
        <v>26</v>
      </c>
      <c r="J519" t="s">
        <v>263</v>
      </c>
      <c r="K519" t="s">
        <v>264</v>
      </c>
      <c r="L519">
        <v>10035</v>
      </c>
      <c r="M519" t="s">
        <v>145</v>
      </c>
      <c r="N519" t="s">
        <v>3111</v>
      </c>
      <c r="O519" t="s">
        <v>45</v>
      </c>
      <c r="P519" t="s">
        <v>74</v>
      </c>
      <c r="Q519" t="s">
        <v>3112</v>
      </c>
      <c r="R519">
        <v>8.64</v>
      </c>
      <c r="S519">
        <v>2</v>
      </c>
      <c r="T519">
        <v>0.2</v>
      </c>
      <c r="U519">
        <v>3.024</v>
      </c>
      <c r="V519" t="str">
        <f t="shared" si="8"/>
        <v>Frank Olsen</v>
      </c>
      <c r="W519">
        <f>Table2[Profit]/Table2[Sales]</f>
        <v>0.35</v>
      </c>
    </row>
    <row r="520" spans="1:23" x14ac:dyDescent="0.25">
      <c r="A520">
        <v>519</v>
      </c>
      <c r="B520" t="s">
        <v>3113</v>
      </c>
      <c r="C520" s="1">
        <v>42686</v>
      </c>
      <c r="D520" s="1">
        <v>42693</v>
      </c>
      <c r="E520" t="s">
        <v>49</v>
      </c>
      <c r="F520" t="s">
        <v>3114</v>
      </c>
      <c r="G520" t="s">
        <v>3115</v>
      </c>
      <c r="H520" t="s">
        <v>25</v>
      </c>
      <c r="I520" t="s">
        <v>26</v>
      </c>
      <c r="J520" t="s">
        <v>1799</v>
      </c>
      <c r="K520" t="s">
        <v>303</v>
      </c>
      <c r="L520">
        <v>85204</v>
      </c>
      <c r="M520" t="s">
        <v>43</v>
      </c>
      <c r="N520" t="s">
        <v>3116</v>
      </c>
      <c r="O520" t="s">
        <v>45</v>
      </c>
      <c r="P520" t="s">
        <v>74</v>
      </c>
      <c r="Q520" t="s">
        <v>3117</v>
      </c>
      <c r="R520">
        <v>6.27</v>
      </c>
      <c r="S520">
        <v>5</v>
      </c>
      <c r="T520">
        <v>0.7</v>
      </c>
      <c r="U520">
        <v>-4.5979999999999999</v>
      </c>
      <c r="V520" t="str">
        <f t="shared" si="8"/>
        <v>Maurice Satty</v>
      </c>
      <c r="W520">
        <f>Table2[Profit]/Table2[Sales]</f>
        <v>-0.73333333333333339</v>
      </c>
    </row>
    <row r="521" spans="1:23" x14ac:dyDescent="0.25">
      <c r="A521">
        <v>520</v>
      </c>
      <c r="B521" t="s">
        <v>3120</v>
      </c>
      <c r="C521" s="1">
        <v>42642</v>
      </c>
      <c r="D521" s="1">
        <v>42643</v>
      </c>
      <c r="E521" t="s">
        <v>185</v>
      </c>
      <c r="F521" t="s">
        <v>3121</v>
      </c>
      <c r="G521" t="s">
        <v>3122</v>
      </c>
      <c r="H521" t="s">
        <v>101</v>
      </c>
      <c r="I521" t="s">
        <v>26</v>
      </c>
      <c r="J521" t="s">
        <v>490</v>
      </c>
      <c r="K521" t="s">
        <v>251</v>
      </c>
      <c r="L521">
        <v>47201</v>
      </c>
      <c r="M521" t="s">
        <v>104</v>
      </c>
      <c r="N521" t="s">
        <v>3123</v>
      </c>
      <c r="O521" t="s">
        <v>45</v>
      </c>
      <c r="P521" t="s">
        <v>67</v>
      </c>
      <c r="Q521" t="s">
        <v>3124</v>
      </c>
      <c r="R521">
        <v>40.880000000000003</v>
      </c>
      <c r="S521">
        <v>7</v>
      </c>
      <c r="T521">
        <v>0</v>
      </c>
      <c r="U521">
        <v>10.6288</v>
      </c>
      <c r="V521" t="str">
        <f t="shared" si="8"/>
        <v>Chad Cunningham</v>
      </c>
      <c r="W521">
        <f>Table2[Profit]/Table2[Sales]</f>
        <v>0.26</v>
      </c>
    </row>
    <row r="522" spans="1:23" x14ac:dyDescent="0.25">
      <c r="A522">
        <v>521</v>
      </c>
      <c r="B522" t="s">
        <v>3125</v>
      </c>
      <c r="C522" s="1">
        <v>43001</v>
      </c>
      <c r="D522" s="1">
        <v>43003</v>
      </c>
      <c r="E522" t="s">
        <v>22</v>
      </c>
      <c r="F522" t="s">
        <v>3126</v>
      </c>
      <c r="G522" t="s">
        <v>3127</v>
      </c>
      <c r="H522" t="s">
        <v>25</v>
      </c>
      <c r="I522" t="s">
        <v>26</v>
      </c>
      <c r="J522" t="s">
        <v>94</v>
      </c>
      <c r="K522" t="s">
        <v>95</v>
      </c>
      <c r="L522">
        <v>98105</v>
      </c>
      <c r="M522" t="s">
        <v>43</v>
      </c>
      <c r="N522" t="s">
        <v>3128</v>
      </c>
      <c r="O522" t="s">
        <v>45</v>
      </c>
      <c r="P522" t="s">
        <v>77</v>
      </c>
      <c r="Q522" t="s">
        <v>3129</v>
      </c>
      <c r="R522">
        <v>119.96</v>
      </c>
      <c r="S522">
        <v>2</v>
      </c>
      <c r="T522">
        <v>0</v>
      </c>
      <c r="U522">
        <v>33.588799999999999</v>
      </c>
      <c r="V522" t="str">
        <f t="shared" si="8"/>
        <v>Don Weiss</v>
      </c>
      <c r="W522">
        <f>Table2[Profit]/Table2[Sales]</f>
        <v>0.28000000000000003</v>
      </c>
    </row>
    <row r="523" spans="1:23" x14ac:dyDescent="0.25">
      <c r="A523">
        <v>522</v>
      </c>
      <c r="B523" t="s">
        <v>3130</v>
      </c>
      <c r="C523" s="1">
        <v>42337</v>
      </c>
      <c r="D523" s="1">
        <v>42342</v>
      </c>
      <c r="E523" t="s">
        <v>49</v>
      </c>
      <c r="F523" t="s">
        <v>3131</v>
      </c>
      <c r="G523" t="s">
        <v>3132</v>
      </c>
      <c r="H523" t="s">
        <v>40</v>
      </c>
      <c r="I523" t="s">
        <v>26</v>
      </c>
      <c r="J523" t="s">
        <v>873</v>
      </c>
      <c r="K523" t="s">
        <v>235</v>
      </c>
      <c r="L523">
        <v>48227</v>
      </c>
      <c r="M523" t="s">
        <v>104</v>
      </c>
      <c r="N523" t="s">
        <v>3133</v>
      </c>
      <c r="O523" t="s">
        <v>45</v>
      </c>
      <c r="P523" t="s">
        <v>89</v>
      </c>
      <c r="Q523" t="s">
        <v>183</v>
      </c>
      <c r="R523">
        <v>19.920000000000002</v>
      </c>
      <c r="S523">
        <v>4</v>
      </c>
      <c r="T523">
        <v>0</v>
      </c>
      <c r="U523">
        <v>9.3623999999999992</v>
      </c>
      <c r="V523" t="str">
        <f t="shared" si="8"/>
        <v>Bill Tyler</v>
      </c>
      <c r="W523">
        <f>Table2[Profit]/Table2[Sales]</f>
        <v>0.46999999999999992</v>
      </c>
    </row>
    <row r="524" spans="1:23" x14ac:dyDescent="0.25">
      <c r="A524">
        <v>523</v>
      </c>
      <c r="B524" t="s">
        <v>3136</v>
      </c>
      <c r="C524" s="1">
        <v>42430</v>
      </c>
      <c r="D524" s="1">
        <v>42434</v>
      </c>
      <c r="E524" t="s">
        <v>49</v>
      </c>
      <c r="F524" t="s">
        <v>309</v>
      </c>
      <c r="G524" t="s">
        <v>310</v>
      </c>
      <c r="H524" t="s">
        <v>25</v>
      </c>
      <c r="I524" t="s">
        <v>26</v>
      </c>
      <c r="J524" t="s">
        <v>3137</v>
      </c>
      <c r="K524" t="s">
        <v>264</v>
      </c>
      <c r="L524">
        <v>10701</v>
      </c>
      <c r="M524" t="s">
        <v>145</v>
      </c>
      <c r="N524" t="s">
        <v>2368</v>
      </c>
      <c r="O524" t="s">
        <v>31</v>
      </c>
      <c r="P524" t="s">
        <v>55</v>
      </c>
      <c r="Q524" t="s">
        <v>2369</v>
      </c>
      <c r="R524">
        <v>836.59199999999998</v>
      </c>
      <c r="S524">
        <v>8</v>
      </c>
      <c r="T524">
        <v>0.4</v>
      </c>
      <c r="U524">
        <v>-264.92079999999999</v>
      </c>
      <c r="V524" t="str">
        <f t="shared" si="8"/>
        <v>Karen Daniels</v>
      </c>
      <c r="W524">
        <f>Table2[Profit]/Table2[Sales]</f>
        <v>-0.31666666666666665</v>
      </c>
    </row>
    <row r="525" spans="1:23" x14ac:dyDescent="0.25">
      <c r="A525">
        <v>524</v>
      </c>
      <c r="B525" t="s">
        <v>3139</v>
      </c>
      <c r="C525" s="1">
        <v>42594</v>
      </c>
      <c r="D525" s="1">
        <v>42594</v>
      </c>
      <c r="E525" t="s">
        <v>1278</v>
      </c>
      <c r="F525" t="s">
        <v>447</v>
      </c>
      <c r="G525" t="s">
        <v>448</v>
      </c>
      <c r="H525" t="s">
        <v>25</v>
      </c>
      <c r="I525" t="s">
        <v>26</v>
      </c>
      <c r="J525" t="s">
        <v>1366</v>
      </c>
      <c r="K525" t="s">
        <v>482</v>
      </c>
      <c r="L525">
        <v>50315</v>
      </c>
      <c r="M525" t="s">
        <v>104</v>
      </c>
      <c r="N525" t="s">
        <v>3140</v>
      </c>
      <c r="O525" t="s">
        <v>45</v>
      </c>
      <c r="P525" t="s">
        <v>89</v>
      </c>
      <c r="Q525" t="s">
        <v>3141</v>
      </c>
      <c r="R525">
        <v>6.48</v>
      </c>
      <c r="S525">
        <v>1</v>
      </c>
      <c r="T525">
        <v>0</v>
      </c>
      <c r="U525">
        <v>3.1103999999999998</v>
      </c>
      <c r="V525" t="str">
        <f t="shared" si="8"/>
        <v>Lena Cacioppo</v>
      </c>
      <c r="W525">
        <f>Table2[Profit]/Table2[Sales]</f>
        <v>0.47999999999999993</v>
      </c>
    </row>
    <row r="526" spans="1:23" x14ac:dyDescent="0.25">
      <c r="A526">
        <v>525</v>
      </c>
      <c r="B526" t="s">
        <v>3142</v>
      </c>
      <c r="C526" s="1">
        <v>42597</v>
      </c>
      <c r="D526" s="1">
        <v>42602</v>
      </c>
      <c r="E526" t="s">
        <v>22</v>
      </c>
      <c r="F526" t="s">
        <v>3143</v>
      </c>
      <c r="G526" t="s">
        <v>3144</v>
      </c>
      <c r="H526" t="s">
        <v>40</v>
      </c>
      <c r="I526" t="s">
        <v>26</v>
      </c>
      <c r="J526" t="s">
        <v>3145</v>
      </c>
      <c r="K526" t="s">
        <v>42</v>
      </c>
      <c r="L526">
        <v>94601</v>
      </c>
      <c r="M526" t="s">
        <v>43</v>
      </c>
      <c r="N526" t="s">
        <v>732</v>
      </c>
      <c r="O526" t="s">
        <v>70</v>
      </c>
      <c r="P526" t="s">
        <v>71</v>
      </c>
      <c r="Q526" t="s">
        <v>733</v>
      </c>
      <c r="R526">
        <v>71.975999999999999</v>
      </c>
      <c r="S526">
        <v>3</v>
      </c>
      <c r="T526">
        <v>0.2</v>
      </c>
      <c r="U526">
        <v>7.1976000000000004</v>
      </c>
      <c r="V526" t="str">
        <f t="shared" si="8"/>
        <v>Craig Yedwab</v>
      </c>
      <c r="W526">
        <f>Table2[Profit]/Table2[Sales]</f>
        <v>0.1</v>
      </c>
    </row>
    <row r="527" spans="1:23" x14ac:dyDescent="0.25">
      <c r="A527">
        <v>526</v>
      </c>
      <c r="B527" t="s">
        <v>3148</v>
      </c>
      <c r="C527" s="1">
        <v>42890</v>
      </c>
      <c r="D527" s="1">
        <v>42896</v>
      </c>
      <c r="E527" t="s">
        <v>49</v>
      </c>
      <c r="F527" t="s">
        <v>2868</v>
      </c>
      <c r="G527" t="s">
        <v>2869</v>
      </c>
      <c r="H527" t="s">
        <v>40</v>
      </c>
      <c r="I527" t="s">
        <v>26</v>
      </c>
      <c r="J527" t="s">
        <v>728</v>
      </c>
      <c r="K527" t="s">
        <v>87</v>
      </c>
      <c r="L527">
        <v>28110</v>
      </c>
      <c r="M527" t="s">
        <v>29</v>
      </c>
      <c r="N527" t="s">
        <v>1174</v>
      </c>
      <c r="O527" t="s">
        <v>31</v>
      </c>
      <c r="P527" t="s">
        <v>64</v>
      </c>
      <c r="Q527" t="s">
        <v>1175</v>
      </c>
      <c r="R527">
        <v>31.984000000000002</v>
      </c>
      <c r="S527">
        <v>2</v>
      </c>
      <c r="T527">
        <v>0.2</v>
      </c>
      <c r="U527">
        <v>1.9990000000000001</v>
      </c>
      <c r="V527" t="str">
        <f t="shared" si="8"/>
        <v>Lindsay Williams</v>
      </c>
      <c r="W527">
        <f>Table2[Profit]/Table2[Sales]</f>
        <v>6.25E-2</v>
      </c>
    </row>
    <row r="528" spans="1:23" x14ac:dyDescent="0.25">
      <c r="A528">
        <v>527</v>
      </c>
      <c r="B528" t="s">
        <v>3151</v>
      </c>
      <c r="C528" s="1">
        <v>42344</v>
      </c>
      <c r="D528" s="1">
        <v>42351</v>
      </c>
      <c r="E528" t="s">
        <v>49</v>
      </c>
      <c r="F528" t="s">
        <v>2203</v>
      </c>
      <c r="G528" t="s">
        <v>2204</v>
      </c>
      <c r="H528" t="s">
        <v>25</v>
      </c>
      <c r="I528" t="s">
        <v>26</v>
      </c>
      <c r="J528" t="s">
        <v>941</v>
      </c>
      <c r="K528" t="s">
        <v>42</v>
      </c>
      <c r="L528">
        <v>92105</v>
      </c>
      <c r="M528" t="s">
        <v>43</v>
      </c>
      <c r="N528" t="s">
        <v>3152</v>
      </c>
      <c r="O528" t="s">
        <v>45</v>
      </c>
      <c r="P528" t="s">
        <v>67</v>
      </c>
      <c r="Q528" t="s">
        <v>3153</v>
      </c>
      <c r="R528">
        <v>120.15</v>
      </c>
      <c r="S528">
        <v>9</v>
      </c>
      <c r="T528">
        <v>0</v>
      </c>
      <c r="U528">
        <v>33.642000000000003</v>
      </c>
      <c r="V528" t="str">
        <f t="shared" si="8"/>
        <v>Naresj Patel</v>
      </c>
      <c r="W528">
        <f>Table2[Profit]/Table2[Sales]</f>
        <v>0.28000000000000003</v>
      </c>
    </row>
    <row r="529" spans="1:23" x14ac:dyDescent="0.25">
      <c r="A529">
        <v>528</v>
      </c>
      <c r="B529" t="s">
        <v>3156</v>
      </c>
      <c r="C529" s="1">
        <v>42365</v>
      </c>
      <c r="D529" s="1">
        <v>42369</v>
      </c>
      <c r="E529" t="s">
        <v>49</v>
      </c>
      <c r="F529" t="s">
        <v>3157</v>
      </c>
      <c r="G529" t="s">
        <v>3158</v>
      </c>
      <c r="H529" t="s">
        <v>101</v>
      </c>
      <c r="I529" t="s">
        <v>26</v>
      </c>
      <c r="J529" t="s">
        <v>3159</v>
      </c>
      <c r="K529" t="s">
        <v>2699</v>
      </c>
      <c r="L529">
        <v>20735</v>
      </c>
      <c r="M529" t="s">
        <v>145</v>
      </c>
      <c r="N529" t="s">
        <v>3160</v>
      </c>
      <c r="O529" t="s">
        <v>45</v>
      </c>
      <c r="P529" t="s">
        <v>89</v>
      </c>
      <c r="Q529" t="s">
        <v>3161</v>
      </c>
      <c r="R529">
        <v>28.9</v>
      </c>
      <c r="S529">
        <v>5</v>
      </c>
      <c r="T529">
        <v>0</v>
      </c>
      <c r="U529">
        <v>14.161</v>
      </c>
      <c r="V529" t="str">
        <f t="shared" si="8"/>
        <v>Brad Thomas</v>
      </c>
      <c r="W529">
        <f>Table2[Profit]/Table2[Sales]</f>
        <v>0.49</v>
      </c>
    </row>
    <row r="530" spans="1:23" x14ac:dyDescent="0.25">
      <c r="A530">
        <v>529</v>
      </c>
      <c r="B530" t="s">
        <v>3162</v>
      </c>
      <c r="C530" s="1">
        <v>42756</v>
      </c>
      <c r="D530" s="1">
        <v>42761</v>
      </c>
      <c r="E530" t="s">
        <v>49</v>
      </c>
      <c r="F530" t="s">
        <v>3163</v>
      </c>
      <c r="G530" t="s">
        <v>3164</v>
      </c>
      <c r="H530" t="s">
        <v>101</v>
      </c>
      <c r="I530" t="s">
        <v>26</v>
      </c>
      <c r="J530" t="s">
        <v>460</v>
      </c>
      <c r="K530" t="s">
        <v>87</v>
      </c>
      <c r="L530">
        <v>28205</v>
      </c>
      <c r="M530" t="s">
        <v>29</v>
      </c>
      <c r="N530" t="s">
        <v>3165</v>
      </c>
      <c r="O530" t="s">
        <v>45</v>
      </c>
      <c r="P530" t="s">
        <v>58</v>
      </c>
      <c r="Q530" t="s">
        <v>3166</v>
      </c>
      <c r="R530">
        <v>348.20800000000003</v>
      </c>
      <c r="S530">
        <v>7</v>
      </c>
      <c r="T530">
        <v>0.2</v>
      </c>
      <c r="U530">
        <v>30.4682</v>
      </c>
      <c r="V530" t="str">
        <f t="shared" si="8"/>
        <v>Penelope Sewall</v>
      </c>
      <c r="W530">
        <f>Table2[Profit]/Table2[Sales]</f>
        <v>8.7499999999999994E-2</v>
      </c>
    </row>
    <row r="531" spans="1:23" x14ac:dyDescent="0.25">
      <c r="A531">
        <v>530</v>
      </c>
      <c r="B531" t="s">
        <v>3169</v>
      </c>
      <c r="C531" s="1">
        <v>41815</v>
      </c>
      <c r="D531" s="1">
        <v>41818</v>
      </c>
      <c r="E531" t="s">
        <v>185</v>
      </c>
      <c r="F531" t="s">
        <v>3044</v>
      </c>
      <c r="G531" t="s">
        <v>3045</v>
      </c>
      <c r="H531" t="s">
        <v>40</v>
      </c>
      <c r="I531" t="s">
        <v>26</v>
      </c>
      <c r="J531" t="s">
        <v>41</v>
      </c>
      <c r="K531" t="s">
        <v>42</v>
      </c>
      <c r="L531">
        <v>90049</v>
      </c>
      <c r="M531" t="s">
        <v>43</v>
      </c>
      <c r="N531" t="s">
        <v>3170</v>
      </c>
      <c r="O531" t="s">
        <v>31</v>
      </c>
      <c r="P531" t="s">
        <v>55</v>
      </c>
      <c r="Q531" t="s">
        <v>3171</v>
      </c>
      <c r="R531">
        <v>447.84</v>
      </c>
      <c r="S531">
        <v>5</v>
      </c>
      <c r="T531">
        <v>0.2</v>
      </c>
      <c r="U531">
        <v>11.196</v>
      </c>
      <c r="V531" t="str">
        <f t="shared" si="8"/>
        <v>Noel Staavos</v>
      </c>
      <c r="W531">
        <f>Table2[Profit]/Table2[Sales]</f>
        <v>2.5000000000000001E-2</v>
      </c>
    </row>
    <row r="532" spans="1:23" x14ac:dyDescent="0.25">
      <c r="A532">
        <v>531</v>
      </c>
      <c r="B532" t="s">
        <v>3172</v>
      </c>
      <c r="C532" s="1">
        <v>42535</v>
      </c>
      <c r="D532" s="1">
        <v>42538</v>
      </c>
      <c r="E532" t="s">
        <v>185</v>
      </c>
      <c r="F532" t="s">
        <v>3173</v>
      </c>
      <c r="G532" t="s">
        <v>3174</v>
      </c>
      <c r="H532" t="s">
        <v>101</v>
      </c>
      <c r="I532" t="s">
        <v>26</v>
      </c>
      <c r="J532" t="s">
        <v>126</v>
      </c>
      <c r="K532" t="s">
        <v>42</v>
      </c>
      <c r="L532">
        <v>94122</v>
      </c>
      <c r="M532" t="s">
        <v>43</v>
      </c>
      <c r="N532" t="s">
        <v>3175</v>
      </c>
      <c r="O532" t="s">
        <v>45</v>
      </c>
      <c r="P532" t="s">
        <v>67</v>
      </c>
      <c r="Q532" t="s">
        <v>3176</v>
      </c>
      <c r="R532">
        <v>7.04</v>
      </c>
      <c r="S532">
        <v>4</v>
      </c>
      <c r="T532">
        <v>0</v>
      </c>
      <c r="U532">
        <v>2.0415999999999999</v>
      </c>
      <c r="V532" t="str">
        <f t="shared" si="8"/>
        <v>Paul Van Hugh</v>
      </c>
      <c r="W532">
        <f>Table2[Profit]/Table2[Sales]</f>
        <v>0.28999999999999998</v>
      </c>
    </row>
    <row r="533" spans="1:23" x14ac:dyDescent="0.25">
      <c r="A533">
        <v>532</v>
      </c>
      <c r="B533" t="s">
        <v>3181</v>
      </c>
      <c r="C533" s="1">
        <v>42846</v>
      </c>
      <c r="D533" s="1">
        <v>42852</v>
      </c>
      <c r="E533" t="s">
        <v>49</v>
      </c>
      <c r="F533" t="s">
        <v>2146</v>
      </c>
      <c r="G533" t="s">
        <v>2147</v>
      </c>
      <c r="H533" t="s">
        <v>25</v>
      </c>
      <c r="I533" t="s">
        <v>26</v>
      </c>
      <c r="J533" t="s">
        <v>181</v>
      </c>
      <c r="K533" t="s">
        <v>103</v>
      </c>
      <c r="L533">
        <v>77041</v>
      </c>
      <c r="M533" t="s">
        <v>104</v>
      </c>
      <c r="N533" t="s">
        <v>1206</v>
      </c>
      <c r="O533" t="s">
        <v>45</v>
      </c>
      <c r="P533" t="s">
        <v>74</v>
      </c>
      <c r="Q533" t="s">
        <v>1207</v>
      </c>
      <c r="R533">
        <v>2.694</v>
      </c>
      <c r="S533">
        <v>3</v>
      </c>
      <c r="T533">
        <v>0.8</v>
      </c>
      <c r="U533">
        <v>-4.7145000000000001</v>
      </c>
      <c r="V533" t="str">
        <f t="shared" si="8"/>
        <v>Resi Pölking</v>
      </c>
      <c r="W533">
        <f>Table2[Profit]/Table2[Sales]</f>
        <v>-1.75</v>
      </c>
    </row>
    <row r="534" spans="1:23" x14ac:dyDescent="0.25">
      <c r="A534">
        <v>533</v>
      </c>
      <c r="B534" t="s">
        <v>3182</v>
      </c>
      <c r="C534" s="1">
        <v>42664</v>
      </c>
      <c r="D534" s="1">
        <v>42670</v>
      </c>
      <c r="E534" t="s">
        <v>49</v>
      </c>
      <c r="F534" t="s">
        <v>3183</v>
      </c>
      <c r="G534" t="s">
        <v>3184</v>
      </c>
      <c r="H534" t="s">
        <v>25</v>
      </c>
      <c r="I534" t="s">
        <v>26</v>
      </c>
      <c r="J534" t="s">
        <v>2817</v>
      </c>
      <c r="K534" t="s">
        <v>42</v>
      </c>
      <c r="L534">
        <v>92503</v>
      </c>
      <c r="M534" t="s">
        <v>43</v>
      </c>
      <c r="N534" t="s">
        <v>3185</v>
      </c>
      <c r="O534" t="s">
        <v>45</v>
      </c>
      <c r="P534" t="s">
        <v>89</v>
      </c>
      <c r="Q534" t="s">
        <v>3186</v>
      </c>
      <c r="R534">
        <v>22.92</v>
      </c>
      <c r="S534">
        <v>3</v>
      </c>
      <c r="T534">
        <v>0</v>
      </c>
      <c r="U534">
        <v>11.2308</v>
      </c>
      <c r="V534" t="str">
        <f t="shared" si="8"/>
        <v>Neoma Murray</v>
      </c>
      <c r="W534">
        <f>Table2[Profit]/Table2[Sales]</f>
        <v>0.49</v>
      </c>
    </row>
    <row r="535" spans="1:23" x14ac:dyDescent="0.25">
      <c r="A535">
        <v>534</v>
      </c>
      <c r="B535" t="s">
        <v>3187</v>
      </c>
      <c r="C535" s="1">
        <v>42693</v>
      </c>
      <c r="D535" s="1">
        <v>42698</v>
      </c>
      <c r="E535" t="s">
        <v>49</v>
      </c>
      <c r="F535" t="s">
        <v>153</v>
      </c>
      <c r="G535" t="s">
        <v>154</v>
      </c>
      <c r="H535" t="s">
        <v>25</v>
      </c>
      <c r="I535" t="s">
        <v>26</v>
      </c>
      <c r="J535" t="s">
        <v>181</v>
      </c>
      <c r="K535" t="s">
        <v>103</v>
      </c>
      <c r="L535">
        <v>77041</v>
      </c>
      <c r="M535" t="s">
        <v>104</v>
      </c>
      <c r="N535" t="s">
        <v>826</v>
      </c>
      <c r="O535" t="s">
        <v>45</v>
      </c>
      <c r="P535" t="s">
        <v>58</v>
      </c>
      <c r="Q535" t="s">
        <v>827</v>
      </c>
      <c r="R535">
        <v>100.70399999999999</v>
      </c>
      <c r="S535">
        <v>6</v>
      </c>
      <c r="T535">
        <v>0.2</v>
      </c>
      <c r="U535">
        <v>-16.3644</v>
      </c>
      <c r="V535" t="str">
        <f t="shared" si="8"/>
        <v>Eric Hoffmann</v>
      </c>
      <c r="W535">
        <f>Table2[Profit]/Table2[Sales]</f>
        <v>-0.16250000000000001</v>
      </c>
    </row>
    <row r="536" spans="1:23" x14ac:dyDescent="0.25">
      <c r="A536">
        <v>535</v>
      </c>
      <c r="B536" t="s">
        <v>3195</v>
      </c>
      <c r="C536" s="1">
        <v>43087</v>
      </c>
      <c r="D536" s="1">
        <v>43092</v>
      </c>
      <c r="E536" t="s">
        <v>22</v>
      </c>
      <c r="F536" t="s">
        <v>1318</v>
      </c>
      <c r="G536" t="s">
        <v>1319</v>
      </c>
      <c r="H536" t="s">
        <v>25</v>
      </c>
      <c r="I536" t="s">
        <v>26</v>
      </c>
      <c r="J536" t="s">
        <v>3196</v>
      </c>
      <c r="K536" t="s">
        <v>42</v>
      </c>
      <c r="L536">
        <v>92024</v>
      </c>
      <c r="M536" t="s">
        <v>43</v>
      </c>
      <c r="N536" t="s">
        <v>2714</v>
      </c>
      <c r="O536" t="s">
        <v>45</v>
      </c>
      <c r="P536" t="s">
        <v>74</v>
      </c>
      <c r="Q536" t="s">
        <v>2715</v>
      </c>
      <c r="R536">
        <v>46.671999999999997</v>
      </c>
      <c r="S536">
        <v>2</v>
      </c>
      <c r="T536">
        <v>0.2</v>
      </c>
      <c r="U536">
        <v>16.3352</v>
      </c>
      <c r="V536" t="str">
        <f t="shared" si="8"/>
        <v>Russell Applegate</v>
      </c>
      <c r="W536">
        <f>Table2[Profit]/Table2[Sales]</f>
        <v>0.35000000000000003</v>
      </c>
    </row>
    <row r="537" spans="1:23" x14ac:dyDescent="0.25">
      <c r="A537">
        <v>536</v>
      </c>
      <c r="B537" t="s">
        <v>3197</v>
      </c>
      <c r="C537" s="1">
        <v>42573</v>
      </c>
      <c r="D537" s="1">
        <v>42575</v>
      </c>
      <c r="E537" t="s">
        <v>22</v>
      </c>
      <c r="F537" t="s">
        <v>3198</v>
      </c>
      <c r="G537" t="s">
        <v>3199</v>
      </c>
      <c r="H537" t="s">
        <v>40</v>
      </c>
      <c r="I537" t="s">
        <v>26</v>
      </c>
      <c r="J537" t="s">
        <v>126</v>
      </c>
      <c r="K537" t="s">
        <v>42</v>
      </c>
      <c r="L537">
        <v>94110</v>
      </c>
      <c r="M537" t="s">
        <v>43</v>
      </c>
      <c r="N537" t="s">
        <v>1426</v>
      </c>
      <c r="O537" t="s">
        <v>45</v>
      </c>
      <c r="P537" t="s">
        <v>46</v>
      </c>
      <c r="Q537" t="s">
        <v>1427</v>
      </c>
      <c r="R537">
        <v>6.3</v>
      </c>
      <c r="S537">
        <v>2</v>
      </c>
      <c r="T537">
        <v>0</v>
      </c>
      <c r="U537">
        <v>3.024</v>
      </c>
      <c r="V537" t="str">
        <f t="shared" si="8"/>
        <v>Dionis Lloyd</v>
      </c>
      <c r="W537">
        <f>Table2[Profit]/Table2[Sales]</f>
        <v>0.48000000000000004</v>
      </c>
    </row>
    <row r="538" spans="1:23" x14ac:dyDescent="0.25">
      <c r="A538">
        <v>537</v>
      </c>
      <c r="B538" t="s">
        <v>3200</v>
      </c>
      <c r="C538" s="1">
        <v>42251</v>
      </c>
      <c r="D538" s="1">
        <v>42255</v>
      </c>
      <c r="E538" t="s">
        <v>49</v>
      </c>
      <c r="F538" t="s">
        <v>3201</v>
      </c>
      <c r="G538" t="s">
        <v>3202</v>
      </c>
      <c r="H538" t="s">
        <v>25</v>
      </c>
      <c r="I538" t="s">
        <v>26</v>
      </c>
      <c r="J538" t="s">
        <v>3203</v>
      </c>
      <c r="K538" t="s">
        <v>1260</v>
      </c>
      <c r="L538">
        <v>30076</v>
      </c>
      <c r="M538" t="s">
        <v>29</v>
      </c>
      <c r="N538" t="s">
        <v>1239</v>
      </c>
      <c r="O538" t="s">
        <v>45</v>
      </c>
      <c r="P538" t="s">
        <v>89</v>
      </c>
      <c r="Q538" t="s">
        <v>1428</v>
      </c>
      <c r="R538">
        <v>279.89999999999998</v>
      </c>
      <c r="S538">
        <v>5</v>
      </c>
      <c r="T538">
        <v>0</v>
      </c>
      <c r="U538">
        <v>137.15100000000001</v>
      </c>
      <c r="V538" t="str">
        <f t="shared" si="8"/>
        <v>Christine Sundaresam</v>
      </c>
      <c r="W538">
        <f>Table2[Profit]/Table2[Sales]</f>
        <v>0.4900000000000001</v>
      </c>
    </row>
    <row r="539" spans="1:23" x14ac:dyDescent="0.25">
      <c r="A539">
        <v>538</v>
      </c>
      <c r="B539" t="s">
        <v>3206</v>
      </c>
      <c r="C539" s="1">
        <v>41659</v>
      </c>
      <c r="D539" s="1">
        <v>41665</v>
      </c>
      <c r="E539" t="s">
        <v>49</v>
      </c>
      <c r="F539" t="s">
        <v>2717</v>
      </c>
      <c r="G539" t="s">
        <v>2718</v>
      </c>
      <c r="H539" t="s">
        <v>25</v>
      </c>
      <c r="I539" t="s">
        <v>26</v>
      </c>
      <c r="J539" t="s">
        <v>3207</v>
      </c>
      <c r="K539" t="s">
        <v>1683</v>
      </c>
      <c r="L539">
        <v>72401</v>
      </c>
      <c r="M539" t="s">
        <v>29</v>
      </c>
      <c r="N539" t="s">
        <v>3208</v>
      </c>
      <c r="O539" t="s">
        <v>70</v>
      </c>
      <c r="P539" t="s">
        <v>71</v>
      </c>
      <c r="Q539" t="s">
        <v>3209</v>
      </c>
      <c r="R539">
        <v>699.93</v>
      </c>
      <c r="S539">
        <v>7</v>
      </c>
      <c r="T539">
        <v>0</v>
      </c>
      <c r="U539">
        <v>181.98179999999999</v>
      </c>
      <c r="V539" t="str">
        <f t="shared" si="8"/>
        <v>Hunter Lopez</v>
      </c>
      <c r="W539">
        <f>Table2[Profit]/Table2[Sales]</f>
        <v>0.26</v>
      </c>
    </row>
    <row r="540" spans="1:23" x14ac:dyDescent="0.25">
      <c r="A540">
        <v>539</v>
      </c>
      <c r="B540" t="s">
        <v>3213</v>
      </c>
      <c r="C540" s="1">
        <v>42065</v>
      </c>
      <c r="D540" s="1">
        <v>42070</v>
      </c>
      <c r="E540" t="s">
        <v>49</v>
      </c>
      <c r="F540" t="s">
        <v>468</v>
      </c>
      <c r="G540" t="s">
        <v>469</v>
      </c>
      <c r="H540" t="s">
        <v>101</v>
      </c>
      <c r="I540" t="s">
        <v>26</v>
      </c>
      <c r="J540" t="s">
        <v>1450</v>
      </c>
      <c r="K540" t="s">
        <v>251</v>
      </c>
      <c r="L540">
        <v>47374</v>
      </c>
      <c r="M540" t="s">
        <v>104</v>
      </c>
      <c r="N540" t="s">
        <v>1547</v>
      </c>
      <c r="O540" t="s">
        <v>45</v>
      </c>
      <c r="P540" t="s">
        <v>67</v>
      </c>
      <c r="Q540" t="s">
        <v>1548</v>
      </c>
      <c r="R540">
        <v>10.16</v>
      </c>
      <c r="S540">
        <v>1</v>
      </c>
      <c r="T540">
        <v>0</v>
      </c>
      <c r="U540">
        <v>2.6415999999999999</v>
      </c>
      <c r="V540" t="str">
        <f t="shared" si="8"/>
        <v>Pete Armstrong</v>
      </c>
      <c r="W540">
        <f>Table2[Profit]/Table2[Sales]</f>
        <v>0.26</v>
      </c>
    </row>
    <row r="541" spans="1:23" x14ac:dyDescent="0.25">
      <c r="A541">
        <v>540</v>
      </c>
      <c r="B541" t="s">
        <v>3214</v>
      </c>
      <c r="C541" s="1">
        <v>42472</v>
      </c>
      <c r="D541" s="1">
        <v>42476</v>
      </c>
      <c r="E541" t="s">
        <v>49</v>
      </c>
      <c r="F541" t="s">
        <v>1762</v>
      </c>
      <c r="G541" t="s">
        <v>1763</v>
      </c>
      <c r="H541" t="s">
        <v>25</v>
      </c>
      <c r="I541" t="s">
        <v>26</v>
      </c>
      <c r="J541" t="s">
        <v>311</v>
      </c>
      <c r="K541" t="s">
        <v>312</v>
      </c>
      <c r="L541">
        <v>22153</v>
      </c>
      <c r="M541" t="s">
        <v>29</v>
      </c>
      <c r="N541" t="s">
        <v>3215</v>
      </c>
      <c r="O541" t="s">
        <v>31</v>
      </c>
      <c r="P541" t="s">
        <v>55</v>
      </c>
      <c r="Q541" t="s">
        <v>3216</v>
      </c>
      <c r="R541">
        <v>343.92</v>
      </c>
      <c r="S541">
        <v>4</v>
      </c>
      <c r="T541">
        <v>0</v>
      </c>
      <c r="U541">
        <v>75.662400000000005</v>
      </c>
      <c r="V541" t="str">
        <f t="shared" si="8"/>
        <v>Brian Dahlen</v>
      </c>
      <c r="W541">
        <f>Table2[Profit]/Table2[Sales]</f>
        <v>0.22</v>
      </c>
    </row>
    <row r="542" spans="1:23" x14ac:dyDescent="0.25">
      <c r="A542">
        <v>541</v>
      </c>
      <c r="B542" t="s">
        <v>3219</v>
      </c>
      <c r="C542" s="1">
        <v>42710</v>
      </c>
      <c r="D542" s="1">
        <v>42711</v>
      </c>
      <c r="E542" t="s">
        <v>185</v>
      </c>
      <c r="F542" t="s">
        <v>506</v>
      </c>
      <c r="G542" t="s">
        <v>507</v>
      </c>
      <c r="H542" t="s">
        <v>40</v>
      </c>
      <c r="I542" t="s">
        <v>26</v>
      </c>
      <c r="J542" t="s">
        <v>3220</v>
      </c>
      <c r="K542" t="s">
        <v>42</v>
      </c>
      <c r="L542">
        <v>94509</v>
      </c>
      <c r="M542" t="s">
        <v>43</v>
      </c>
      <c r="N542" t="s">
        <v>1049</v>
      </c>
      <c r="O542" t="s">
        <v>45</v>
      </c>
      <c r="P542" t="s">
        <v>89</v>
      </c>
      <c r="Q542" t="s">
        <v>1050</v>
      </c>
      <c r="R542">
        <v>19.440000000000001</v>
      </c>
      <c r="S542">
        <v>3</v>
      </c>
      <c r="T542">
        <v>0</v>
      </c>
      <c r="U542">
        <v>9.3312000000000008</v>
      </c>
      <c r="V542" t="str">
        <f t="shared" si="8"/>
        <v>Greg Guthrie</v>
      </c>
      <c r="W542">
        <f>Table2[Profit]/Table2[Sales]</f>
        <v>0.48000000000000004</v>
      </c>
    </row>
    <row r="543" spans="1:23" x14ac:dyDescent="0.25">
      <c r="A543">
        <v>542</v>
      </c>
      <c r="B543" t="s">
        <v>3221</v>
      </c>
      <c r="C543" s="1">
        <v>42526</v>
      </c>
      <c r="D543" s="1">
        <v>42530</v>
      </c>
      <c r="E543" t="s">
        <v>49</v>
      </c>
      <c r="F543" t="s">
        <v>1586</v>
      </c>
      <c r="G543" t="s">
        <v>1587</v>
      </c>
      <c r="H543" t="s">
        <v>101</v>
      </c>
      <c r="I543" t="s">
        <v>26</v>
      </c>
      <c r="J543" t="s">
        <v>143</v>
      </c>
      <c r="K543" t="s">
        <v>144</v>
      </c>
      <c r="L543">
        <v>19134</v>
      </c>
      <c r="M543" t="s">
        <v>145</v>
      </c>
      <c r="N543" t="s">
        <v>214</v>
      </c>
      <c r="O543" t="s">
        <v>45</v>
      </c>
      <c r="P543" t="s">
        <v>58</v>
      </c>
      <c r="Q543" t="s">
        <v>215</v>
      </c>
      <c r="R543">
        <v>124.608</v>
      </c>
      <c r="S543">
        <v>4</v>
      </c>
      <c r="T543">
        <v>0.2</v>
      </c>
      <c r="U543">
        <v>-23.364000000000001</v>
      </c>
      <c r="V543" t="str">
        <f t="shared" si="8"/>
        <v>Joni Sundaresam</v>
      </c>
      <c r="W543">
        <f>Table2[Profit]/Table2[Sales]</f>
        <v>-0.1875</v>
      </c>
    </row>
    <row r="544" spans="1:23" x14ac:dyDescent="0.25">
      <c r="A544">
        <v>543</v>
      </c>
      <c r="B544" t="s">
        <v>3222</v>
      </c>
      <c r="C544" s="1">
        <v>42715</v>
      </c>
      <c r="D544" s="1">
        <v>42715</v>
      </c>
      <c r="E544" t="s">
        <v>1278</v>
      </c>
      <c r="F544" t="s">
        <v>1962</v>
      </c>
      <c r="G544" t="s">
        <v>1963</v>
      </c>
      <c r="H544" t="s">
        <v>25</v>
      </c>
      <c r="I544" t="s">
        <v>26</v>
      </c>
      <c r="J544" t="s">
        <v>3223</v>
      </c>
      <c r="K544" t="s">
        <v>53</v>
      </c>
      <c r="L544">
        <v>33030</v>
      </c>
      <c r="M544" t="s">
        <v>29</v>
      </c>
      <c r="N544" t="s">
        <v>3224</v>
      </c>
      <c r="O544" t="s">
        <v>45</v>
      </c>
      <c r="P544" t="s">
        <v>58</v>
      </c>
      <c r="Q544" t="s">
        <v>3225</v>
      </c>
      <c r="R544">
        <v>85.224000000000004</v>
      </c>
      <c r="S544">
        <v>3</v>
      </c>
      <c r="T544">
        <v>0.2</v>
      </c>
      <c r="U544">
        <v>7.4570999999999996</v>
      </c>
      <c r="V544" t="str">
        <f t="shared" si="8"/>
        <v>Lena Radford</v>
      </c>
      <c r="W544">
        <f>Table2[Profit]/Table2[Sales]</f>
        <v>8.7499999999999994E-2</v>
      </c>
    </row>
    <row r="545" spans="1:23" x14ac:dyDescent="0.25">
      <c r="A545">
        <v>544</v>
      </c>
      <c r="B545" t="s">
        <v>3226</v>
      </c>
      <c r="C545" s="1">
        <v>42686</v>
      </c>
      <c r="D545" s="1">
        <v>42689</v>
      </c>
      <c r="E545" t="s">
        <v>22</v>
      </c>
      <c r="F545" t="s">
        <v>3227</v>
      </c>
      <c r="G545" t="s">
        <v>3228</v>
      </c>
      <c r="H545" t="s">
        <v>40</v>
      </c>
      <c r="I545" t="s">
        <v>26</v>
      </c>
      <c r="J545" t="s">
        <v>3229</v>
      </c>
      <c r="K545" t="s">
        <v>251</v>
      </c>
      <c r="L545">
        <v>46350</v>
      </c>
      <c r="M545" t="s">
        <v>104</v>
      </c>
      <c r="N545" t="s">
        <v>3230</v>
      </c>
      <c r="O545" t="s">
        <v>45</v>
      </c>
      <c r="P545" t="s">
        <v>170</v>
      </c>
      <c r="Q545" t="s">
        <v>3231</v>
      </c>
      <c r="R545">
        <v>287.52</v>
      </c>
      <c r="S545">
        <v>8</v>
      </c>
      <c r="T545">
        <v>0</v>
      </c>
      <c r="U545">
        <v>129.38399999999999</v>
      </c>
      <c r="V545" t="str">
        <f t="shared" si="8"/>
        <v>Frank Hawley</v>
      </c>
      <c r="W545">
        <f>Table2[Profit]/Table2[Sales]</f>
        <v>0.44999999999999996</v>
      </c>
    </row>
    <row r="546" spans="1:23" x14ac:dyDescent="0.25">
      <c r="A546">
        <v>545</v>
      </c>
      <c r="B546" t="s">
        <v>3234</v>
      </c>
      <c r="C546" s="1">
        <v>41911</v>
      </c>
      <c r="D546" s="1">
        <v>41915</v>
      </c>
      <c r="E546" t="s">
        <v>49</v>
      </c>
      <c r="F546" t="s">
        <v>2255</v>
      </c>
      <c r="G546" t="s">
        <v>2256</v>
      </c>
      <c r="H546" t="s">
        <v>25</v>
      </c>
      <c r="I546" t="s">
        <v>26</v>
      </c>
      <c r="J546" t="s">
        <v>41</v>
      </c>
      <c r="K546" t="s">
        <v>42</v>
      </c>
      <c r="L546">
        <v>90045</v>
      </c>
      <c r="M546" t="s">
        <v>43</v>
      </c>
      <c r="N546" t="s">
        <v>2865</v>
      </c>
      <c r="O546" t="s">
        <v>31</v>
      </c>
      <c r="P546" t="s">
        <v>64</v>
      </c>
      <c r="Q546" t="s">
        <v>2866</v>
      </c>
      <c r="R546">
        <v>204.6</v>
      </c>
      <c r="S546">
        <v>2</v>
      </c>
      <c r="T546">
        <v>0</v>
      </c>
      <c r="U546">
        <v>53.195999999999998</v>
      </c>
      <c r="V546" t="str">
        <f t="shared" si="8"/>
        <v>Arthur Prichep</v>
      </c>
      <c r="W546">
        <f>Table2[Profit]/Table2[Sales]</f>
        <v>0.26</v>
      </c>
    </row>
    <row r="547" spans="1:23" x14ac:dyDescent="0.25">
      <c r="A547">
        <v>546</v>
      </c>
      <c r="B547" t="s">
        <v>3239</v>
      </c>
      <c r="C547" s="1">
        <v>42098</v>
      </c>
      <c r="D547" s="1">
        <v>42098</v>
      </c>
      <c r="E547" t="s">
        <v>1278</v>
      </c>
      <c r="F547" t="s">
        <v>3240</v>
      </c>
      <c r="G547" t="s">
        <v>3241</v>
      </c>
      <c r="H547" t="s">
        <v>25</v>
      </c>
      <c r="I547" t="s">
        <v>26</v>
      </c>
      <c r="J547" t="s">
        <v>3242</v>
      </c>
      <c r="K547" t="s">
        <v>235</v>
      </c>
      <c r="L547">
        <v>48911</v>
      </c>
      <c r="M547" t="s">
        <v>104</v>
      </c>
      <c r="N547" t="s">
        <v>3243</v>
      </c>
      <c r="O547" t="s">
        <v>45</v>
      </c>
      <c r="P547" t="s">
        <v>77</v>
      </c>
      <c r="Q547" t="s">
        <v>3244</v>
      </c>
      <c r="R547">
        <v>644.07600000000002</v>
      </c>
      <c r="S547">
        <v>2</v>
      </c>
      <c r="T547">
        <v>0.1</v>
      </c>
      <c r="U547">
        <v>107.346</v>
      </c>
      <c r="V547" t="str">
        <f t="shared" si="8"/>
        <v>Nat Carroll</v>
      </c>
      <c r="W547">
        <f>Table2[Profit]/Table2[Sales]</f>
        <v>0.16666666666666666</v>
      </c>
    </row>
    <row r="548" spans="1:23" x14ac:dyDescent="0.25">
      <c r="A548">
        <v>547</v>
      </c>
      <c r="B548" t="s">
        <v>3250</v>
      </c>
      <c r="C548" s="1">
        <v>42132</v>
      </c>
      <c r="D548" s="1">
        <v>42138</v>
      </c>
      <c r="E548" t="s">
        <v>49</v>
      </c>
      <c r="F548" t="s">
        <v>987</v>
      </c>
      <c r="G548" t="s">
        <v>988</v>
      </c>
      <c r="H548" t="s">
        <v>40</v>
      </c>
      <c r="I548" t="s">
        <v>26</v>
      </c>
      <c r="J548" t="s">
        <v>3251</v>
      </c>
      <c r="K548" t="s">
        <v>491</v>
      </c>
      <c r="L548">
        <v>44221</v>
      </c>
      <c r="M548" t="s">
        <v>145</v>
      </c>
      <c r="N548" t="s">
        <v>3252</v>
      </c>
      <c r="O548" t="s">
        <v>31</v>
      </c>
      <c r="P548" t="s">
        <v>64</v>
      </c>
      <c r="Q548" t="s">
        <v>3253</v>
      </c>
      <c r="R548">
        <v>8.3520000000000003</v>
      </c>
      <c r="S548">
        <v>6</v>
      </c>
      <c r="T548">
        <v>0.2</v>
      </c>
      <c r="U548">
        <v>1.2527999999999999</v>
      </c>
      <c r="V548" t="str">
        <f t="shared" si="8"/>
        <v>Claudia Bergmann</v>
      </c>
      <c r="W548">
        <f>Table2[Profit]/Table2[Sales]</f>
        <v>0.15</v>
      </c>
    </row>
    <row r="549" spans="1:23" x14ac:dyDescent="0.25">
      <c r="A549">
        <v>548</v>
      </c>
      <c r="B549" t="s">
        <v>3254</v>
      </c>
      <c r="C549" s="1">
        <v>42735</v>
      </c>
      <c r="D549" s="1">
        <v>42741</v>
      </c>
      <c r="E549" t="s">
        <v>49</v>
      </c>
      <c r="F549" t="s">
        <v>1071</v>
      </c>
      <c r="G549" t="s">
        <v>1072</v>
      </c>
      <c r="H549" t="s">
        <v>40</v>
      </c>
      <c r="I549" t="s">
        <v>26</v>
      </c>
      <c r="J549" t="s">
        <v>3255</v>
      </c>
      <c r="K549" t="s">
        <v>1381</v>
      </c>
      <c r="L549">
        <v>89502</v>
      </c>
      <c r="M549" t="s">
        <v>43</v>
      </c>
      <c r="N549" t="s">
        <v>3256</v>
      </c>
      <c r="O549" t="s">
        <v>45</v>
      </c>
      <c r="P549" t="s">
        <v>67</v>
      </c>
      <c r="Q549" t="s">
        <v>3257</v>
      </c>
      <c r="R549">
        <v>3.64</v>
      </c>
      <c r="S549">
        <v>2</v>
      </c>
      <c r="T549">
        <v>0</v>
      </c>
      <c r="U549">
        <v>1.6379999999999999</v>
      </c>
      <c r="V549" t="str">
        <f t="shared" si="8"/>
        <v>Kelly Lampkin</v>
      </c>
      <c r="W549">
        <f>Table2[Profit]/Table2[Sales]</f>
        <v>0.44999999999999996</v>
      </c>
    </row>
    <row r="550" spans="1:23" x14ac:dyDescent="0.25">
      <c r="A550">
        <v>549</v>
      </c>
      <c r="B550" t="s">
        <v>3258</v>
      </c>
      <c r="C550" s="1">
        <v>41993</v>
      </c>
      <c r="D550" s="1">
        <v>41994</v>
      </c>
      <c r="E550" t="s">
        <v>185</v>
      </c>
      <c r="F550" t="s">
        <v>3163</v>
      </c>
      <c r="G550" t="s">
        <v>3164</v>
      </c>
      <c r="H550" t="s">
        <v>101</v>
      </c>
      <c r="I550" t="s">
        <v>26</v>
      </c>
      <c r="J550" t="s">
        <v>3259</v>
      </c>
      <c r="K550" t="s">
        <v>312</v>
      </c>
      <c r="L550">
        <v>22801</v>
      </c>
      <c r="M550" t="s">
        <v>29</v>
      </c>
      <c r="N550" t="s">
        <v>3260</v>
      </c>
      <c r="O550" t="s">
        <v>45</v>
      </c>
      <c r="P550" t="s">
        <v>58</v>
      </c>
      <c r="Q550" t="s">
        <v>3261</v>
      </c>
      <c r="R550">
        <v>122.48</v>
      </c>
      <c r="S550">
        <v>2</v>
      </c>
      <c r="T550">
        <v>0</v>
      </c>
      <c r="U550">
        <v>0</v>
      </c>
      <c r="V550" t="str">
        <f t="shared" si="8"/>
        <v>Penelope Sewall</v>
      </c>
      <c r="W550">
        <f>Table2[Profit]/Table2[Sales]</f>
        <v>0</v>
      </c>
    </row>
    <row r="551" spans="1:23" x14ac:dyDescent="0.25">
      <c r="A551">
        <v>550</v>
      </c>
      <c r="B551" t="s">
        <v>3264</v>
      </c>
      <c r="C551" s="1">
        <v>42553</v>
      </c>
      <c r="D551" s="1">
        <v>42558</v>
      </c>
      <c r="E551" t="s">
        <v>22</v>
      </c>
      <c r="F551" t="s">
        <v>2724</v>
      </c>
      <c r="G551" t="s">
        <v>2725</v>
      </c>
      <c r="H551" t="s">
        <v>40</v>
      </c>
      <c r="I551" t="s">
        <v>26</v>
      </c>
      <c r="J551" t="s">
        <v>41</v>
      </c>
      <c r="K551" t="s">
        <v>42</v>
      </c>
      <c r="L551">
        <v>90004</v>
      </c>
      <c r="M551" t="s">
        <v>43</v>
      </c>
      <c r="N551" t="s">
        <v>3265</v>
      </c>
      <c r="O551" t="s">
        <v>31</v>
      </c>
      <c r="P551" t="s">
        <v>35</v>
      </c>
      <c r="Q551" t="s">
        <v>3266</v>
      </c>
      <c r="R551">
        <v>195.184</v>
      </c>
      <c r="S551">
        <v>1</v>
      </c>
      <c r="T551">
        <v>0.2</v>
      </c>
      <c r="U551">
        <v>19.5184</v>
      </c>
      <c r="V551" t="str">
        <f t="shared" si="8"/>
        <v>George Bell</v>
      </c>
      <c r="W551">
        <f>Table2[Profit]/Table2[Sales]</f>
        <v>0.1</v>
      </c>
    </row>
    <row r="552" spans="1:23" x14ac:dyDescent="0.25">
      <c r="A552">
        <v>551</v>
      </c>
      <c r="B552" t="s">
        <v>3267</v>
      </c>
      <c r="C552" s="1">
        <v>42915</v>
      </c>
      <c r="D552" s="1">
        <v>42920</v>
      </c>
      <c r="E552" t="s">
        <v>49</v>
      </c>
      <c r="F552" t="s">
        <v>3268</v>
      </c>
      <c r="G552" t="s">
        <v>3269</v>
      </c>
      <c r="H552" t="s">
        <v>25</v>
      </c>
      <c r="I552" t="s">
        <v>26</v>
      </c>
      <c r="J552" t="s">
        <v>402</v>
      </c>
      <c r="K552" t="s">
        <v>226</v>
      </c>
      <c r="L552">
        <v>55407</v>
      </c>
      <c r="M552" t="s">
        <v>104</v>
      </c>
      <c r="N552" t="s">
        <v>2481</v>
      </c>
      <c r="O552" t="s">
        <v>45</v>
      </c>
      <c r="P552" t="s">
        <v>77</v>
      </c>
      <c r="Q552" t="s">
        <v>3270</v>
      </c>
      <c r="R552">
        <v>362.94</v>
      </c>
      <c r="S552">
        <v>3</v>
      </c>
      <c r="T552">
        <v>0</v>
      </c>
      <c r="U552">
        <v>90.734999999999999</v>
      </c>
      <c r="V552" t="str">
        <f t="shared" si="8"/>
        <v>Alex Avila</v>
      </c>
      <c r="W552">
        <f>Table2[Profit]/Table2[Sales]</f>
        <v>0.25</v>
      </c>
    </row>
    <row r="553" spans="1:23" x14ac:dyDescent="0.25">
      <c r="A553">
        <v>552</v>
      </c>
      <c r="B553" t="s">
        <v>3271</v>
      </c>
      <c r="C553" s="1">
        <v>41883</v>
      </c>
      <c r="D553" s="1">
        <v>41887</v>
      </c>
      <c r="E553" t="s">
        <v>22</v>
      </c>
      <c r="F553" t="s">
        <v>3272</v>
      </c>
      <c r="G553" t="s">
        <v>3273</v>
      </c>
      <c r="H553" t="s">
        <v>25</v>
      </c>
      <c r="I553" t="s">
        <v>26</v>
      </c>
      <c r="J553" t="s">
        <v>3274</v>
      </c>
      <c r="K553" t="s">
        <v>42</v>
      </c>
      <c r="L553">
        <v>92025</v>
      </c>
      <c r="M553" t="s">
        <v>43</v>
      </c>
      <c r="N553" t="s">
        <v>172</v>
      </c>
      <c r="O553" t="s">
        <v>45</v>
      </c>
      <c r="P553" t="s">
        <v>67</v>
      </c>
      <c r="Q553" t="s">
        <v>173</v>
      </c>
      <c r="R553">
        <v>53.94</v>
      </c>
      <c r="S553">
        <v>3</v>
      </c>
      <c r="T553">
        <v>0</v>
      </c>
      <c r="U553">
        <v>15.6426</v>
      </c>
      <c r="V553" t="str">
        <f t="shared" si="8"/>
        <v>Larry Tron</v>
      </c>
      <c r="W553">
        <f>Table2[Profit]/Table2[Sales]</f>
        <v>0.29000000000000004</v>
      </c>
    </row>
    <row r="554" spans="1:23" x14ac:dyDescent="0.25">
      <c r="A554">
        <v>553</v>
      </c>
      <c r="B554" t="s">
        <v>3275</v>
      </c>
      <c r="C554" s="1">
        <v>41701</v>
      </c>
      <c r="D554" s="1">
        <v>41706</v>
      </c>
      <c r="E554" t="s">
        <v>49</v>
      </c>
      <c r="F554" t="s">
        <v>3276</v>
      </c>
      <c r="G554" t="s">
        <v>3277</v>
      </c>
      <c r="H554" t="s">
        <v>101</v>
      </c>
      <c r="I554" t="s">
        <v>26</v>
      </c>
      <c r="J554" t="s">
        <v>263</v>
      </c>
      <c r="K554" t="s">
        <v>264</v>
      </c>
      <c r="L554">
        <v>10035</v>
      </c>
      <c r="M554" t="s">
        <v>145</v>
      </c>
      <c r="N554" t="s">
        <v>3278</v>
      </c>
      <c r="O554" t="s">
        <v>70</v>
      </c>
      <c r="P554" t="s">
        <v>71</v>
      </c>
      <c r="Q554" t="s">
        <v>3279</v>
      </c>
      <c r="R554">
        <v>9.99</v>
      </c>
      <c r="S554">
        <v>1</v>
      </c>
      <c r="T554">
        <v>0</v>
      </c>
      <c r="U554">
        <v>4.5953999999999997</v>
      </c>
      <c r="V554" t="str">
        <f t="shared" si="8"/>
        <v>Anne Pryor</v>
      </c>
      <c r="W554">
        <f>Table2[Profit]/Table2[Sales]</f>
        <v>0.45999999999999996</v>
      </c>
    </row>
    <row r="555" spans="1:23" x14ac:dyDescent="0.25">
      <c r="A555">
        <v>554</v>
      </c>
      <c r="B555" t="s">
        <v>3282</v>
      </c>
      <c r="C555" s="1">
        <v>41763</v>
      </c>
      <c r="D555" s="1">
        <v>41767</v>
      </c>
      <c r="E555" t="s">
        <v>49</v>
      </c>
      <c r="F555" t="s">
        <v>3283</v>
      </c>
      <c r="G555" t="s">
        <v>3284</v>
      </c>
      <c r="H555" t="s">
        <v>25</v>
      </c>
      <c r="I555" t="s">
        <v>26</v>
      </c>
      <c r="J555" t="s">
        <v>321</v>
      </c>
      <c r="K555" t="s">
        <v>235</v>
      </c>
      <c r="L555">
        <v>49201</v>
      </c>
      <c r="M555" t="s">
        <v>104</v>
      </c>
      <c r="N555" t="s">
        <v>2579</v>
      </c>
      <c r="O555" t="s">
        <v>45</v>
      </c>
      <c r="P555" t="s">
        <v>74</v>
      </c>
      <c r="Q555" t="s">
        <v>2580</v>
      </c>
      <c r="R555">
        <v>46.8</v>
      </c>
      <c r="S555">
        <v>4</v>
      </c>
      <c r="T555">
        <v>0</v>
      </c>
      <c r="U555">
        <v>21.06</v>
      </c>
      <c r="V555" t="str">
        <f t="shared" si="8"/>
        <v>Paul MacIntyre</v>
      </c>
      <c r="W555">
        <f>Table2[Profit]/Table2[Sales]</f>
        <v>0.45</v>
      </c>
    </row>
    <row r="556" spans="1:23" x14ac:dyDescent="0.25">
      <c r="A556">
        <v>555</v>
      </c>
      <c r="B556" t="s">
        <v>3285</v>
      </c>
      <c r="C556" s="1">
        <v>42310</v>
      </c>
      <c r="D556" s="1">
        <v>42310</v>
      </c>
      <c r="E556" t="s">
        <v>1278</v>
      </c>
      <c r="F556" t="s">
        <v>939</v>
      </c>
      <c r="G556" t="s">
        <v>940</v>
      </c>
      <c r="H556" t="s">
        <v>25</v>
      </c>
      <c r="I556" t="s">
        <v>26</v>
      </c>
      <c r="J556" t="s">
        <v>94</v>
      </c>
      <c r="K556" t="s">
        <v>95</v>
      </c>
      <c r="L556">
        <v>98115</v>
      </c>
      <c r="M556" t="s">
        <v>43</v>
      </c>
      <c r="N556" t="s">
        <v>451</v>
      </c>
      <c r="O556" t="s">
        <v>70</v>
      </c>
      <c r="P556" t="s">
        <v>158</v>
      </c>
      <c r="Q556" t="s">
        <v>452</v>
      </c>
      <c r="R556">
        <v>447.93</v>
      </c>
      <c r="S556">
        <v>9</v>
      </c>
      <c r="T556">
        <v>0</v>
      </c>
      <c r="U556">
        <v>49.272300000000001</v>
      </c>
      <c r="V556" t="str">
        <f t="shared" si="8"/>
        <v>Kelly Collister</v>
      </c>
      <c r="W556">
        <f>Table2[Profit]/Table2[Sales]</f>
        <v>0.11</v>
      </c>
    </row>
    <row r="557" spans="1:23" x14ac:dyDescent="0.25">
      <c r="A557">
        <v>556</v>
      </c>
      <c r="B557" t="s">
        <v>3286</v>
      </c>
      <c r="C557" s="1">
        <v>43077</v>
      </c>
      <c r="D557" s="1">
        <v>43079</v>
      </c>
      <c r="E557" t="s">
        <v>22</v>
      </c>
      <c r="F557" t="s">
        <v>945</v>
      </c>
      <c r="G557" t="s">
        <v>946</v>
      </c>
      <c r="H557" t="s">
        <v>25</v>
      </c>
      <c r="I557" t="s">
        <v>26</v>
      </c>
      <c r="J557" t="s">
        <v>263</v>
      </c>
      <c r="K557" t="s">
        <v>264</v>
      </c>
      <c r="L557">
        <v>10035</v>
      </c>
      <c r="M557" t="s">
        <v>145</v>
      </c>
      <c r="N557" t="s">
        <v>3287</v>
      </c>
      <c r="O557" t="s">
        <v>31</v>
      </c>
      <c r="P557" t="s">
        <v>64</v>
      </c>
      <c r="Q557" t="s">
        <v>3288</v>
      </c>
      <c r="R557">
        <v>109.48</v>
      </c>
      <c r="S557">
        <v>2</v>
      </c>
      <c r="T557">
        <v>0</v>
      </c>
      <c r="U557">
        <v>33.938800000000001</v>
      </c>
      <c r="V557" t="str">
        <f t="shared" si="8"/>
        <v>Delfina Latchford</v>
      </c>
      <c r="W557">
        <f>Table2[Profit]/Table2[Sales]</f>
        <v>0.31</v>
      </c>
    </row>
    <row r="558" spans="1:23" x14ac:dyDescent="0.25">
      <c r="A558">
        <v>557</v>
      </c>
      <c r="B558" t="s">
        <v>3293</v>
      </c>
      <c r="C558" s="1">
        <v>41708</v>
      </c>
      <c r="D558" s="1">
        <v>41712</v>
      </c>
      <c r="E558" t="s">
        <v>49</v>
      </c>
      <c r="F558" t="s">
        <v>2855</v>
      </c>
      <c r="G558" t="s">
        <v>2856</v>
      </c>
      <c r="H558" t="s">
        <v>25</v>
      </c>
      <c r="I558" t="s">
        <v>26</v>
      </c>
      <c r="J558" t="s">
        <v>3294</v>
      </c>
      <c r="K558" t="s">
        <v>235</v>
      </c>
      <c r="L558">
        <v>48073</v>
      </c>
      <c r="M558" t="s">
        <v>104</v>
      </c>
      <c r="N558" t="s">
        <v>3295</v>
      </c>
      <c r="O558" t="s">
        <v>45</v>
      </c>
      <c r="P558" t="s">
        <v>89</v>
      </c>
      <c r="Q558" t="s">
        <v>3296</v>
      </c>
      <c r="R558">
        <v>22.38</v>
      </c>
      <c r="S558">
        <v>2</v>
      </c>
      <c r="T558">
        <v>0</v>
      </c>
      <c r="U558">
        <v>10.7424</v>
      </c>
      <c r="V558" t="str">
        <f t="shared" si="8"/>
        <v>Scott Williamson</v>
      </c>
      <c r="W558">
        <f>Table2[Profit]/Table2[Sales]</f>
        <v>0.48000000000000004</v>
      </c>
    </row>
    <row r="559" spans="1:23" x14ac:dyDescent="0.25">
      <c r="A559">
        <v>558</v>
      </c>
      <c r="B559" t="s">
        <v>3297</v>
      </c>
      <c r="C559" s="1">
        <v>41750</v>
      </c>
      <c r="D559" s="1">
        <v>41754</v>
      </c>
      <c r="E559" t="s">
        <v>49</v>
      </c>
      <c r="F559" t="s">
        <v>1797</v>
      </c>
      <c r="G559" t="s">
        <v>1798</v>
      </c>
      <c r="H559" t="s">
        <v>25</v>
      </c>
      <c r="I559" t="s">
        <v>26</v>
      </c>
      <c r="J559" t="s">
        <v>41</v>
      </c>
      <c r="K559" t="s">
        <v>42</v>
      </c>
      <c r="L559">
        <v>90008</v>
      </c>
      <c r="M559" t="s">
        <v>43</v>
      </c>
      <c r="N559" t="s">
        <v>3298</v>
      </c>
      <c r="O559" t="s">
        <v>45</v>
      </c>
      <c r="P559" t="s">
        <v>74</v>
      </c>
      <c r="Q559" t="s">
        <v>3299</v>
      </c>
      <c r="R559">
        <v>16.52</v>
      </c>
      <c r="S559">
        <v>5</v>
      </c>
      <c r="T559">
        <v>0.2</v>
      </c>
      <c r="U559">
        <v>5.5754999999999999</v>
      </c>
      <c r="V559" t="str">
        <f t="shared" si="8"/>
        <v>Allen Armold</v>
      </c>
      <c r="W559">
        <f>Table2[Profit]/Table2[Sales]</f>
        <v>0.33750000000000002</v>
      </c>
    </row>
    <row r="560" spans="1:23" x14ac:dyDescent="0.25">
      <c r="A560">
        <v>559</v>
      </c>
      <c r="B560" t="s">
        <v>3300</v>
      </c>
      <c r="C560" s="1">
        <v>42299</v>
      </c>
      <c r="D560" s="1">
        <v>42303</v>
      </c>
      <c r="E560" t="s">
        <v>49</v>
      </c>
      <c r="F560" t="s">
        <v>2443</v>
      </c>
      <c r="G560" t="s">
        <v>2444</v>
      </c>
      <c r="H560" t="s">
        <v>25</v>
      </c>
      <c r="I560" t="s">
        <v>26</v>
      </c>
      <c r="J560" t="s">
        <v>531</v>
      </c>
      <c r="K560" t="s">
        <v>208</v>
      </c>
      <c r="L560">
        <v>61701</v>
      </c>
      <c r="M560" t="s">
        <v>104</v>
      </c>
      <c r="N560" t="s">
        <v>2412</v>
      </c>
      <c r="O560" t="s">
        <v>45</v>
      </c>
      <c r="P560" t="s">
        <v>74</v>
      </c>
      <c r="Q560" t="s">
        <v>2413</v>
      </c>
      <c r="R560">
        <v>5.1760000000000002</v>
      </c>
      <c r="S560">
        <v>4</v>
      </c>
      <c r="T560">
        <v>0.8</v>
      </c>
      <c r="U560">
        <v>-7.7640000000000002</v>
      </c>
      <c r="V560" t="str">
        <f t="shared" si="8"/>
        <v>Liz Thompson</v>
      </c>
      <c r="W560">
        <f>Table2[Profit]/Table2[Sales]</f>
        <v>-1.5</v>
      </c>
    </row>
    <row r="561" spans="1:23" x14ac:dyDescent="0.25">
      <c r="A561">
        <v>560</v>
      </c>
      <c r="B561" t="s">
        <v>3301</v>
      </c>
      <c r="C561" s="1">
        <v>42238</v>
      </c>
      <c r="D561" s="1">
        <v>42241</v>
      </c>
      <c r="E561" t="s">
        <v>185</v>
      </c>
      <c r="F561" t="s">
        <v>2601</v>
      </c>
      <c r="G561" t="s">
        <v>2602</v>
      </c>
      <c r="H561" t="s">
        <v>40</v>
      </c>
      <c r="I561" t="s">
        <v>26</v>
      </c>
      <c r="J561" t="s">
        <v>263</v>
      </c>
      <c r="K561" t="s">
        <v>264</v>
      </c>
      <c r="L561">
        <v>10035</v>
      </c>
      <c r="M561" t="s">
        <v>145</v>
      </c>
      <c r="N561" t="s">
        <v>3302</v>
      </c>
      <c r="O561" t="s">
        <v>45</v>
      </c>
      <c r="P561" t="s">
        <v>74</v>
      </c>
      <c r="Q561" t="s">
        <v>3303</v>
      </c>
      <c r="R561">
        <v>50.112000000000002</v>
      </c>
      <c r="S561">
        <v>6</v>
      </c>
      <c r="T561">
        <v>0.2</v>
      </c>
      <c r="U561">
        <v>16.2864</v>
      </c>
      <c r="V561" t="str">
        <f t="shared" si="8"/>
        <v>Dave Poirier</v>
      </c>
      <c r="W561">
        <f>Table2[Profit]/Table2[Sales]</f>
        <v>0.32500000000000001</v>
      </c>
    </row>
    <row r="562" spans="1:23" x14ac:dyDescent="0.25">
      <c r="A562">
        <v>561</v>
      </c>
      <c r="B562" t="s">
        <v>3304</v>
      </c>
      <c r="C562" s="1">
        <v>42611</v>
      </c>
      <c r="D562" s="1">
        <v>42616</v>
      </c>
      <c r="E562" t="s">
        <v>49</v>
      </c>
      <c r="F562" t="s">
        <v>1237</v>
      </c>
      <c r="G562" t="s">
        <v>1238</v>
      </c>
      <c r="H562" t="s">
        <v>101</v>
      </c>
      <c r="I562" t="s">
        <v>26</v>
      </c>
      <c r="J562" t="s">
        <v>86</v>
      </c>
      <c r="K562" t="s">
        <v>2658</v>
      </c>
      <c r="L562">
        <v>3301</v>
      </c>
      <c r="M562" t="s">
        <v>145</v>
      </c>
      <c r="N562" t="s">
        <v>2543</v>
      </c>
      <c r="O562" t="s">
        <v>45</v>
      </c>
      <c r="P562" t="s">
        <v>572</v>
      </c>
      <c r="Q562" t="s">
        <v>2544</v>
      </c>
      <c r="R562">
        <v>27.93</v>
      </c>
      <c r="S562">
        <v>3</v>
      </c>
      <c r="T562">
        <v>0</v>
      </c>
      <c r="U562">
        <v>8.0997000000000003</v>
      </c>
      <c r="V562" t="str">
        <f t="shared" si="8"/>
        <v>Adam Bellavance</v>
      </c>
      <c r="W562">
        <f>Table2[Profit]/Table2[Sales]</f>
        <v>0.29000000000000004</v>
      </c>
    </row>
    <row r="563" spans="1:23" x14ac:dyDescent="0.25">
      <c r="A563">
        <v>562</v>
      </c>
      <c r="B563" t="s">
        <v>3305</v>
      </c>
      <c r="C563" s="1">
        <v>42000</v>
      </c>
      <c r="D563" s="1">
        <v>42003</v>
      </c>
      <c r="E563" t="s">
        <v>22</v>
      </c>
      <c r="F563" t="s">
        <v>3306</v>
      </c>
      <c r="G563" t="s">
        <v>3307</v>
      </c>
      <c r="H563" t="s">
        <v>101</v>
      </c>
      <c r="I563" t="s">
        <v>26</v>
      </c>
      <c r="J563" t="s">
        <v>41</v>
      </c>
      <c r="K563" t="s">
        <v>42</v>
      </c>
      <c r="L563">
        <v>90004</v>
      </c>
      <c r="M563" t="s">
        <v>43</v>
      </c>
      <c r="N563" t="s">
        <v>3308</v>
      </c>
      <c r="O563" t="s">
        <v>45</v>
      </c>
      <c r="P563" t="s">
        <v>46</v>
      </c>
      <c r="Q563" t="s">
        <v>3309</v>
      </c>
      <c r="R563">
        <v>11.56</v>
      </c>
      <c r="S563">
        <v>4</v>
      </c>
      <c r="T563">
        <v>0</v>
      </c>
      <c r="U563">
        <v>5.4332000000000003</v>
      </c>
      <c r="V563" t="str">
        <f t="shared" si="8"/>
        <v>Alyssa Tate</v>
      </c>
      <c r="W563">
        <f>Table2[Profit]/Table2[Sales]</f>
        <v>0.47000000000000003</v>
      </c>
    </row>
    <row r="564" spans="1:23" x14ac:dyDescent="0.25">
      <c r="A564">
        <v>563</v>
      </c>
      <c r="B564" t="s">
        <v>3310</v>
      </c>
      <c r="C564" s="1">
        <v>42705</v>
      </c>
      <c r="D564" s="1">
        <v>42709</v>
      </c>
      <c r="E564" t="s">
        <v>49</v>
      </c>
      <c r="F564" t="s">
        <v>325</v>
      </c>
      <c r="G564" t="s">
        <v>326</v>
      </c>
      <c r="H564" t="s">
        <v>25</v>
      </c>
      <c r="I564" t="s">
        <v>26</v>
      </c>
      <c r="J564" t="s">
        <v>3311</v>
      </c>
      <c r="K564" t="s">
        <v>2699</v>
      </c>
      <c r="L564">
        <v>20852</v>
      </c>
      <c r="M564" t="s">
        <v>145</v>
      </c>
      <c r="N564" t="s">
        <v>3312</v>
      </c>
      <c r="O564" t="s">
        <v>31</v>
      </c>
      <c r="P564" t="s">
        <v>35</v>
      </c>
      <c r="Q564" t="s">
        <v>3313</v>
      </c>
      <c r="R564">
        <v>172.5</v>
      </c>
      <c r="S564">
        <v>2</v>
      </c>
      <c r="T564">
        <v>0</v>
      </c>
      <c r="U564">
        <v>51.75</v>
      </c>
      <c r="V564" t="str">
        <f t="shared" si="8"/>
        <v>Joel Eaton</v>
      </c>
      <c r="W564">
        <f>Table2[Profit]/Table2[Sales]</f>
        <v>0.3</v>
      </c>
    </row>
    <row r="565" spans="1:23" x14ac:dyDescent="0.25">
      <c r="A565">
        <v>564</v>
      </c>
      <c r="B565" t="s">
        <v>3314</v>
      </c>
      <c r="C565" s="1">
        <v>42484</v>
      </c>
      <c r="D565" s="1">
        <v>42487</v>
      </c>
      <c r="E565" t="s">
        <v>22</v>
      </c>
      <c r="F565" t="s">
        <v>3315</v>
      </c>
      <c r="G565" t="s">
        <v>3316</v>
      </c>
      <c r="H565" t="s">
        <v>101</v>
      </c>
      <c r="I565" t="s">
        <v>26</v>
      </c>
      <c r="J565" t="s">
        <v>181</v>
      </c>
      <c r="K565" t="s">
        <v>103</v>
      </c>
      <c r="L565">
        <v>77070</v>
      </c>
      <c r="M565" t="s">
        <v>104</v>
      </c>
      <c r="N565" t="s">
        <v>2393</v>
      </c>
      <c r="O565" t="s">
        <v>70</v>
      </c>
      <c r="P565" t="s">
        <v>158</v>
      </c>
      <c r="Q565" t="s">
        <v>2394</v>
      </c>
      <c r="R565">
        <v>258.69600000000003</v>
      </c>
      <c r="S565">
        <v>3</v>
      </c>
      <c r="T565">
        <v>0.2</v>
      </c>
      <c r="U565">
        <v>64.674000000000007</v>
      </c>
      <c r="V565" t="str">
        <f t="shared" si="8"/>
        <v>Cathy Armstrong</v>
      </c>
      <c r="W565">
        <f>Table2[Profit]/Table2[Sales]</f>
        <v>0.25</v>
      </c>
    </row>
    <row r="566" spans="1:23" x14ac:dyDescent="0.25">
      <c r="A566">
        <v>565</v>
      </c>
      <c r="B566" t="s">
        <v>3317</v>
      </c>
      <c r="C566" s="1">
        <v>41811</v>
      </c>
      <c r="D566" s="1">
        <v>41815</v>
      </c>
      <c r="E566" t="s">
        <v>49</v>
      </c>
      <c r="F566" t="s">
        <v>635</v>
      </c>
      <c r="G566" t="s">
        <v>636</v>
      </c>
      <c r="H566" t="s">
        <v>25</v>
      </c>
      <c r="I566" t="s">
        <v>26</v>
      </c>
      <c r="J566" t="s">
        <v>1111</v>
      </c>
      <c r="K566" t="s">
        <v>781</v>
      </c>
      <c r="L566">
        <v>8701</v>
      </c>
      <c r="M566" t="s">
        <v>145</v>
      </c>
      <c r="N566" t="s">
        <v>3318</v>
      </c>
      <c r="O566" t="s">
        <v>70</v>
      </c>
      <c r="P566" t="s">
        <v>71</v>
      </c>
      <c r="Q566" t="s">
        <v>3319</v>
      </c>
      <c r="R566">
        <v>1322.93</v>
      </c>
      <c r="S566">
        <v>7</v>
      </c>
      <c r="T566">
        <v>0</v>
      </c>
      <c r="U566">
        <v>357.19110000000001</v>
      </c>
      <c r="V566" t="str">
        <f t="shared" si="8"/>
        <v>Dave Brooks</v>
      </c>
      <c r="W566">
        <f>Table2[Profit]/Table2[Sales]</f>
        <v>0.27</v>
      </c>
    </row>
    <row r="567" spans="1:23" x14ac:dyDescent="0.25">
      <c r="A567">
        <v>566</v>
      </c>
      <c r="B567" t="s">
        <v>3322</v>
      </c>
      <c r="C567" s="1">
        <v>42749</v>
      </c>
      <c r="D567" s="1">
        <v>42750</v>
      </c>
      <c r="E567" t="s">
        <v>185</v>
      </c>
      <c r="F567" t="s">
        <v>2161</v>
      </c>
      <c r="G567" t="s">
        <v>2162</v>
      </c>
      <c r="H567" t="s">
        <v>25</v>
      </c>
      <c r="I567" t="s">
        <v>26</v>
      </c>
      <c r="J567" t="s">
        <v>1507</v>
      </c>
      <c r="K567" t="s">
        <v>87</v>
      </c>
      <c r="L567">
        <v>28540</v>
      </c>
      <c r="M567" t="s">
        <v>29</v>
      </c>
      <c r="N567" t="s">
        <v>498</v>
      </c>
      <c r="O567" t="s">
        <v>45</v>
      </c>
      <c r="P567" t="s">
        <v>170</v>
      </c>
      <c r="Q567" t="s">
        <v>499</v>
      </c>
      <c r="R567">
        <v>21.744</v>
      </c>
      <c r="S567">
        <v>1</v>
      </c>
      <c r="T567">
        <v>0.2</v>
      </c>
      <c r="U567">
        <v>7.3385999999999996</v>
      </c>
      <c r="V567" t="str">
        <f t="shared" si="8"/>
        <v>Rob Beeghly</v>
      </c>
      <c r="W567">
        <f>Table2[Profit]/Table2[Sales]</f>
        <v>0.33749999999999997</v>
      </c>
    </row>
    <row r="568" spans="1:23" x14ac:dyDescent="0.25">
      <c r="A568">
        <v>567</v>
      </c>
      <c r="B568" t="s">
        <v>3325</v>
      </c>
      <c r="C568" s="1">
        <v>41967</v>
      </c>
      <c r="D568" s="1">
        <v>41973</v>
      </c>
      <c r="E568" t="s">
        <v>49</v>
      </c>
      <c r="F568" t="s">
        <v>3326</v>
      </c>
      <c r="G568" t="s">
        <v>3327</v>
      </c>
      <c r="H568" t="s">
        <v>40</v>
      </c>
      <c r="I568" t="s">
        <v>26</v>
      </c>
      <c r="J568" t="s">
        <v>94</v>
      </c>
      <c r="K568" t="s">
        <v>95</v>
      </c>
      <c r="L568">
        <v>98103</v>
      </c>
      <c r="M568" t="s">
        <v>43</v>
      </c>
      <c r="N568" t="s">
        <v>3328</v>
      </c>
      <c r="O568" t="s">
        <v>45</v>
      </c>
      <c r="P568" t="s">
        <v>74</v>
      </c>
      <c r="Q568" t="s">
        <v>3329</v>
      </c>
      <c r="R568">
        <v>12.096</v>
      </c>
      <c r="S568">
        <v>7</v>
      </c>
      <c r="T568">
        <v>0.2</v>
      </c>
      <c r="U568">
        <v>4.2336</v>
      </c>
      <c r="V568" t="str">
        <f t="shared" si="8"/>
        <v>Harold Ryan</v>
      </c>
      <c r="W568">
        <f>Table2[Profit]/Table2[Sales]</f>
        <v>0.35</v>
      </c>
    </row>
    <row r="569" spans="1:23" x14ac:dyDescent="0.25">
      <c r="A569">
        <v>568</v>
      </c>
      <c r="B569" t="s">
        <v>3332</v>
      </c>
      <c r="C569" s="1">
        <v>42792</v>
      </c>
      <c r="D569" s="1">
        <v>42794</v>
      </c>
      <c r="E569" t="s">
        <v>22</v>
      </c>
      <c r="F569" t="s">
        <v>3333</v>
      </c>
      <c r="G569" t="s">
        <v>3334</v>
      </c>
      <c r="H569" t="s">
        <v>101</v>
      </c>
      <c r="I569" t="s">
        <v>26</v>
      </c>
      <c r="J569" t="s">
        <v>41</v>
      </c>
      <c r="K569" t="s">
        <v>42</v>
      </c>
      <c r="L569">
        <v>90036</v>
      </c>
      <c r="M569" t="s">
        <v>43</v>
      </c>
      <c r="N569" t="s">
        <v>2163</v>
      </c>
      <c r="O569" t="s">
        <v>45</v>
      </c>
      <c r="P569" t="s">
        <v>77</v>
      </c>
      <c r="Q569" t="s">
        <v>2164</v>
      </c>
      <c r="R569">
        <v>81.92</v>
      </c>
      <c r="S569">
        <v>4</v>
      </c>
      <c r="T569">
        <v>0</v>
      </c>
      <c r="U569">
        <v>22.118400000000001</v>
      </c>
      <c r="V569" t="str">
        <f t="shared" si="8"/>
        <v>Bradley Talbott</v>
      </c>
      <c r="W569">
        <f>Table2[Profit]/Table2[Sales]</f>
        <v>0.27</v>
      </c>
    </row>
    <row r="570" spans="1:23" x14ac:dyDescent="0.25">
      <c r="A570">
        <v>569</v>
      </c>
      <c r="B570" t="s">
        <v>3339</v>
      </c>
      <c r="C570" s="1">
        <v>42262</v>
      </c>
      <c r="D570" s="1">
        <v>42262</v>
      </c>
      <c r="E570" t="s">
        <v>1278</v>
      </c>
      <c r="F570" t="s">
        <v>2011</v>
      </c>
      <c r="G570" t="s">
        <v>2012</v>
      </c>
      <c r="H570" t="s">
        <v>40</v>
      </c>
      <c r="I570" t="s">
        <v>26</v>
      </c>
      <c r="J570" t="s">
        <v>3340</v>
      </c>
      <c r="K570" t="s">
        <v>53</v>
      </c>
      <c r="L570">
        <v>33065</v>
      </c>
      <c r="M570" t="s">
        <v>29</v>
      </c>
      <c r="N570" t="s">
        <v>1144</v>
      </c>
      <c r="O570" t="s">
        <v>45</v>
      </c>
      <c r="P570" t="s">
        <v>89</v>
      </c>
      <c r="Q570" t="s">
        <v>1145</v>
      </c>
      <c r="R570">
        <v>15.552</v>
      </c>
      <c r="S570">
        <v>3</v>
      </c>
      <c r="T570">
        <v>0.2</v>
      </c>
      <c r="U570">
        <v>5.4432</v>
      </c>
      <c r="V570" t="str">
        <f t="shared" si="8"/>
        <v>Nat Gilpin</v>
      </c>
      <c r="W570">
        <f>Table2[Profit]/Table2[Sales]</f>
        <v>0.35000000000000003</v>
      </c>
    </row>
    <row r="571" spans="1:23" x14ac:dyDescent="0.25">
      <c r="A571">
        <v>570</v>
      </c>
      <c r="B571" t="s">
        <v>3343</v>
      </c>
      <c r="C571" s="1">
        <v>42468</v>
      </c>
      <c r="D571" s="1">
        <v>42472</v>
      </c>
      <c r="E571" t="s">
        <v>49</v>
      </c>
      <c r="F571" t="s">
        <v>1946</v>
      </c>
      <c r="G571" t="s">
        <v>1947</v>
      </c>
      <c r="H571" t="s">
        <v>25</v>
      </c>
      <c r="I571" t="s">
        <v>26</v>
      </c>
      <c r="J571" t="s">
        <v>181</v>
      </c>
      <c r="K571" t="s">
        <v>103</v>
      </c>
      <c r="L571">
        <v>77041</v>
      </c>
      <c r="M571" t="s">
        <v>104</v>
      </c>
      <c r="N571" t="s">
        <v>3344</v>
      </c>
      <c r="O571" t="s">
        <v>70</v>
      </c>
      <c r="P571" t="s">
        <v>158</v>
      </c>
      <c r="Q571" t="s">
        <v>3345</v>
      </c>
      <c r="R571">
        <v>431.928</v>
      </c>
      <c r="S571">
        <v>9</v>
      </c>
      <c r="T571">
        <v>0.2</v>
      </c>
      <c r="U571">
        <v>64.789199999999994</v>
      </c>
      <c r="V571" t="str">
        <f t="shared" si="8"/>
        <v>Zuschuss Carroll</v>
      </c>
      <c r="W571">
        <f>Table2[Profit]/Table2[Sales]</f>
        <v>0.15</v>
      </c>
    </row>
    <row r="572" spans="1:23" x14ac:dyDescent="0.25">
      <c r="A572">
        <v>571</v>
      </c>
      <c r="B572" t="s">
        <v>3348</v>
      </c>
      <c r="C572" s="1">
        <v>42569</v>
      </c>
      <c r="D572" s="1">
        <v>42575</v>
      </c>
      <c r="E572" t="s">
        <v>49</v>
      </c>
      <c r="F572" t="s">
        <v>2643</v>
      </c>
      <c r="G572" t="s">
        <v>2644</v>
      </c>
      <c r="H572" t="s">
        <v>40</v>
      </c>
      <c r="I572" t="s">
        <v>26</v>
      </c>
      <c r="J572" t="s">
        <v>800</v>
      </c>
      <c r="K572" t="s">
        <v>450</v>
      </c>
      <c r="L572">
        <v>80219</v>
      </c>
      <c r="M572" t="s">
        <v>43</v>
      </c>
      <c r="N572" t="s">
        <v>2424</v>
      </c>
      <c r="O572" t="s">
        <v>31</v>
      </c>
      <c r="P572" t="s">
        <v>35</v>
      </c>
      <c r="Q572" t="s">
        <v>2425</v>
      </c>
      <c r="R572">
        <v>544.00800000000004</v>
      </c>
      <c r="S572">
        <v>3</v>
      </c>
      <c r="T572">
        <v>0.2</v>
      </c>
      <c r="U572">
        <v>40.800600000000003</v>
      </c>
      <c r="V572" t="str">
        <f t="shared" si="8"/>
        <v>Linda Southworth</v>
      </c>
      <c r="W572">
        <f>Table2[Profit]/Table2[Sales]</f>
        <v>7.4999999999999997E-2</v>
      </c>
    </row>
    <row r="573" spans="1:23" x14ac:dyDescent="0.25">
      <c r="A573">
        <v>572</v>
      </c>
      <c r="B573" t="s">
        <v>3349</v>
      </c>
      <c r="C573" s="1">
        <v>42948</v>
      </c>
      <c r="D573" s="1">
        <v>42951</v>
      </c>
      <c r="E573" t="s">
        <v>185</v>
      </c>
      <c r="F573" t="s">
        <v>3350</v>
      </c>
      <c r="G573" t="s">
        <v>3351</v>
      </c>
      <c r="H573" t="s">
        <v>25</v>
      </c>
      <c r="I573" t="s">
        <v>26</v>
      </c>
      <c r="J573" t="s">
        <v>460</v>
      </c>
      <c r="K573" t="s">
        <v>87</v>
      </c>
      <c r="L573">
        <v>28205</v>
      </c>
      <c r="M573" t="s">
        <v>29</v>
      </c>
      <c r="N573" t="s">
        <v>2709</v>
      </c>
      <c r="O573" t="s">
        <v>70</v>
      </c>
      <c r="P573" t="s">
        <v>71</v>
      </c>
      <c r="Q573" t="s">
        <v>2710</v>
      </c>
      <c r="R573">
        <v>271.95999999999998</v>
      </c>
      <c r="S573">
        <v>5</v>
      </c>
      <c r="T573">
        <v>0.2</v>
      </c>
      <c r="U573">
        <v>16.997499999999999</v>
      </c>
      <c r="V573" t="str">
        <f t="shared" si="8"/>
        <v>Larry Hughes</v>
      </c>
      <c r="W573">
        <f>Table2[Profit]/Table2[Sales]</f>
        <v>6.25E-2</v>
      </c>
    </row>
    <row r="574" spans="1:23" x14ac:dyDescent="0.25">
      <c r="A574">
        <v>573</v>
      </c>
      <c r="B574" t="s">
        <v>3352</v>
      </c>
      <c r="C574" s="1">
        <v>42565</v>
      </c>
      <c r="D574" s="1">
        <v>42569</v>
      </c>
      <c r="E574" t="s">
        <v>22</v>
      </c>
      <c r="F574" t="s">
        <v>3353</v>
      </c>
      <c r="G574" t="s">
        <v>3354</v>
      </c>
      <c r="H574" t="s">
        <v>40</v>
      </c>
      <c r="I574" t="s">
        <v>26</v>
      </c>
      <c r="J574" t="s">
        <v>263</v>
      </c>
      <c r="K574" t="s">
        <v>264</v>
      </c>
      <c r="L574">
        <v>10009</v>
      </c>
      <c r="M574" t="s">
        <v>145</v>
      </c>
      <c r="N574" t="s">
        <v>2316</v>
      </c>
      <c r="O574" t="s">
        <v>45</v>
      </c>
      <c r="P574" t="s">
        <v>58</v>
      </c>
      <c r="Q574" t="s">
        <v>2317</v>
      </c>
      <c r="R574">
        <v>11.21</v>
      </c>
      <c r="S574">
        <v>1</v>
      </c>
      <c r="T574">
        <v>0</v>
      </c>
      <c r="U574">
        <v>3.363</v>
      </c>
      <c r="V574" t="str">
        <f t="shared" si="8"/>
        <v>Steven Ward</v>
      </c>
      <c r="W574">
        <f>Table2[Profit]/Table2[Sales]</f>
        <v>0.3</v>
      </c>
    </row>
    <row r="575" spans="1:23" x14ac:dyDescent="0.25">
      <c r="A575">
        <v>574</v>
      </c>
      <c r="B575" t="s">
        <v>3359</v>
      </c>
      <c r="C575" s="1">
        <v>42987</v>
      </c>
      <c r="D575" s="1">
        <v>42991</v>
      </c>
      <c r="E575" t="s">
        <v>49</v>
      </c>
      <c r="F575" t="s">
        <v>3360</v>
      </c>
      <c r="G575" t="s">
        <v>3361</v>
      </c>
      <c r="H575" t="s">
        <v>40</v>
      </c>
      <c r="I575" t="s">
        <v>26</v>
      </c>
      <c r="J575" t="s">
        <v>143</v>
      </c>
      <c r="K575" t="s">
        <v>144</v>
      </c>
      <c r="L575">
        <v>19134</v>
      </c>
      <c r="M575" t="s">
        <v>145</v>
      </c>
      <c r="N575" t="s">
        <v>883</v>
      </c>
      <c r="O575" t="s">
        <v>31</v>
      </c>
      <c r="P575" t="s">
        <v>35</v>
      </c>
      <c r="Q575" t="s">
        <v>884</v>
      </c>
      <c r="R575">
        <v>141.37200000000001</v>
      </c>
      <c r="S575">
        <v>2</v>
      </c>
      <c r="T575">
        <v>0.3</v>
      </c>
      <c r="U575">
        <v>-48.470399999999998</v>
      </c>
      <c r="V575" t="str">
        <f t="shared" si="8"/>
        <v>Stefania Perrino</v>
      </c>
      <c r="W575">
        <f>Table2[Profit]/Table2[Sales]</f>
        <v>-0.3428571428571428</v>
      </c>
    </row>
    <row r="576" spans="1:23" x14ac:dyDescent="0.25">
      <c r="A576">
        <v>575</v>
      </c>
      <c r="B576" t="s">
        <v>3368</v>
      </c>
      <c r="C576" s="1">
        <v>41832</v>
      </c>
      <c r="D576" s="1">
        <v>41836</v>
      </c>
      <c r="E576" t="s">
        <v>49</v>
      </c>
      <c r="F576" t="s">
        <v>3369</v>
      </c>
      <c r="G576" t="s">
        <v>3370</v>
      </c>
      <c r="H576" t="s">
        <v>101</v>
      </c>
      <c r="I576" t="s">
        <v>26</v>
      </c>
      <c r="J576" t="s">
        <v>41</v>
      </c>
      <c r="K576" t="s">
        <v>42</v>
      </c>
      <c r="L576">
        <v>90036</v>
      </c>
      <c r="M576" t="s">
        <v>43</v>
      </c>
      <c r="N576" t="s">
        <v>121</v>
      </c>
      <c r="O576" t="s">
        <v>45</v>
      </c>
      <c r="P576" t="s">
        <v>58</v>
      </c>
      <c r="Q576" t="s">
        <v>122</v>
      </c>
      <c r="R576">
        <v>249.75</v>
      </c>
      <c r="S576">
        <v>9</v>
      </c>
      <c r="T576">
        <v>0</v>
      </c>
      <c r="U576">
        <v>44.954999999999998</v>
      </c>
      <c r="V576" t="str">
        <f t="shared" si="8"/>
        <v>Ben Ferrer</v>
      </c>
      <c r="W576">
        <f>Table2[Profit]/Table2[Sales]</f>
        <v>0.18</v>
      </c>
    </row>
    <row r="577" spans="1:23" x14ac:dyDescent="0.25">
      <c r="A577">
        <v>576</v>
      </c>
      <c r="B577" t="s">
        <v>3373</v>
      </c>
      <c r="C577" s="1">
        <v>42708</v>
      </c>
      <c r="D577" s="1">
        <v>42709</v>
      </c>
      <c r="E577" t="s">
        <v>185</v>
      </c>
      <c r="F577" t="s">
        <v>669</v>
      </c>
      <c r="G577" t="s">
        <v>670</v>
      </c>
      <c r="H577" t="s">
        <v>25</v>
      </c>
      <c r="I577" t="s">
        <v>26</v>
      </c>
      <c r="J577" t="s">
        <v>263</v>
      </c>
      <c r="K577" t="s">
        <v>264</v>
      </c>
      <c r="L577">
        <v>10024</v>
      </c>
      <c r="M577" t="s">
        <v>145</v>
      </c>
      <c r="N577" t="s">
        <v>2964</v>
      </c>
      <c r="O577" t="s">
        <v>31</v>
      </c>
      <c r="P577" t="s">
        <v>64</v>
      </c>
      <c r="Q577" t="s">
        <v>2965</v>
      </c>
      <c r="R577">
        <v>113.79</v>
      </c>
      <c r="S577">
        <v>3</v>
      </c>
      <c r="T577">
        <v>0</v>
      </c>
      <c r="U577">
        <v>20.482199999999999</v>
      </c>
      <c r="V577" t="str">
        <f t="shared" si="8"/>
        <v>Becky Martin</v>
      </c>
      <c r="W577">
        <f>Table2[Profit]/Table2[Sales]</f>
        <v>0.18</v>
      </c>
    </row>
    <row r="578" spans="1:23" x14ac:dyDescent="0.25">
      <c r="A578">
        <v>577</v>
      </c>
      <c r="B578" t="s">
        <v>3379</v>
      </c>
      <c r="C578" s="1">
        <v>43045</v>
      </c>
      <c r="D578" s="1">
        <v>43050</v>
      </c>
      <c r="E578" t="s">
        <v>49</v>
      </c>
      <c r="F578" t="s">
        <v>1946</v>
      </c>
      <c r="G578" t="s">
        <v>1947</v>
      </c>
      <c r="H578" t="s">
        <v>25</v>
      </c>
      <c r="I578" t="s">
        <v>26</v>
      </c>
      <c r="J578" t="s">
        <v>41</v>
      </c>
      <c r="K578" t="s">
        <v>42</v>
      </c>
      <c r="L578">
        <v>90045</v>
      </c>
      <c r="M578" t="s">
        <v>43</v>
      </c>
      <c r="N578" t="s">
        <v>2258</v>
      </c>
      <c r="O578" t="s">
        <v>45</v>
      </c>
      <c r="P578" t="s">
        <v>170</v>
      </c>
      <c r="Q578" t="s">
        <v>2259</v>
      </c>
      <c r="R578">
        <v>15.28</v>
      </c>
      <c r="S578">
        <v>2</v>
      </c>
      <c r="T578">
        <v>0</v>
      </c>
      <c r="U578">
        <v>7.4871999999999996</v>
      </c>
      <c r="V578" t="str">
        <f t="shared" si="8"/>
        <v>Zuschuss Carroll</v>
      </c>
      <c r="W578">
        <f>Table2[Profit]/Table2[Sales]</f>
        <v>0.49</v>
      </c>
    </row>
    <row r="579" spans="1:23" x14ac:dyDescent="0.25">
      <c r="A579">
        <v>578</v>
      </c>
      <c r="B579" t="s">
        <v>3380</v>
      </c>
      <c r="C579" s="1">
        <v>42308</v>
      </c>
      <c r="D579" s="1">
        <v>42310</v>
      </c>
      <c r="E579" t="s">
        <v>22</v>
      </c>
      <c r="F579" t="s">
        <v>3381</v>
      </c>
      <c r="G579" t="s">
        <v>3382</v>
      </c>
      <c r="H579" t="s">
        <v>25</v>
      </c>
      <c r="I579" t="s">
        <v>26</v>
      </c>
      <c r="J579" t="s">
        <v>3383</v>
      </c>
      <c r="K579" t="s">
        <v>264</v>
      </c>
      <c r="L579">
        <v>14215</v>
      </c>
      <c r="M579" t="s">
        <v>145</v>
      </c>
      <c r="N579" t="s">
        <v>1491</v>
      </c>
      <c r="O579" t="s">
        <v>45</v>
      </c>
      <c r="P579" t="s">
        <v>67</v>
      </c>
      <c r="Q579" t="s">
        <v>1492</v>
      </c>
      <c r="R579">
        <v>2.78</v>
      </c>
      <c r="S579">
        <v>2</v>
      </c>
      <c r="T579">
        <v>0</v>
      </c>
      <c r="U579">
        <v>0.7228</v>
      </c>
      <c r="V579" t="str">
        <f t="shared" ref="V579:V642" si="9">TRIM(G579)</f>
        <v>Kean Thornton</v>
      </c>
      <c r="W579">
        <f>Table2[Profit]/Table2[Sales]</f>
        <v>0.26</v>
      </c>
    </row>
    <row r="580" spans="1:23" x14ac:dyDescent="0.25">
      <c r="A580">
        <v>579</v>
      </c>
      <c r="B580" t="s">
        <v>3386</v>
      </c>
      <c r="C580" s="1">
        <v>42520</v>
      </c>
      <c r="D580" s="1">
        <v>42522</v>
      </c>
      <c r="E580" t="s">
        <v>185</v>
      </c>
      <c r="F580" t="s">
        <v>3387</v>
      </c>
      <c r="G580" t="s">
        <v>3388</v>
      </c>
      <c r="H580" t="s">
        <v>40</v>
      </c>
      <c r="I580" t="s">
        <v>26</v>
      </c>
      <c r="J580" t="s">
        <v>999</v>
      </c>
      <c r="K580" t="s">
        <v>491</v>
      </c>
      <c r="L580">
        <v>45231</v>
      </c>
      <c r="M580" t="s">
        <v>145</v>
      </c>
      <c r="N580" t="s">
        <v>3389</v>
      </c>
      <c r="O580" t="s">
        <v>70</v>
      </c>
      <c r="P580" t="s">
        <v>1204</v>
      </c>
      <c r="Q580" t="s">
        <v>3390</v>
      </c>
      <c r="R580">
        <v>839.98800000000006</v>
      </c>
      <c r="S580">
        <v>2</v>
      </c>
      <c r="T580">
        <v>0.4</v>
      </c>
      <c r="U580">
        <v>69.998999999999995</v>
      </c>
      <c r="V580" t="str">
        <f t="shared" si="9"/>
        <v>Brooke Gillingham</v>
      </c>
      <c r="W580">
        <f>Table2[Profit]/Table2[Sales]</f>
        <v>8.3333333333333329E-2</v>
      </c>
    </row>
    <row r="581" spans="1:23" x14ac:dyDescent="0.25">
      <c r="A581">
        <v>580</v>
      </c>
      <c r="B581" t="s">
        <v>3391</v>
      </c>
      <c r="C581" s="1">
        <v>42671</v>
      </c>
      <c r="D581" s="1">
        <v>42671</v>
      </c>
      <c r="E581" t="s">
        <v>1278</v>
      </c>
      <c r="F581" t="s">
        <v>2536</v>
      </c>
      <c r="G581" t="s">
        <v>2537</v>
      </c>
      <c r="H581" t="s">
        <v>25</v>
      </c>
      <c r="I581" t="s">
        <v>26</v>
      </c>
      <c r="J581" t="s">
        <v>3392</v>
      </c>
      <c r="K581" t="s">
        <v>53</v>
      </c>
      <c r="L581">
        <v>33437</v>
      </c>
      <c r="M581" t="s">
        <v>29</v>
      </c>
      <c r="N581" t="s">
        <v>3393</v>
      </c>
      <c r="O581" t="s">
        <v>31</v>
      </c>
      <c r="P581" t="s">
        <v>64</v>
      </c>
      <c r="Q581" t="s">
        <v>3394</v>
      </c>
      <c r="R581">
        <v>47.951999999999998</v>
      </c>
      <c r="S581">
        <v>3</v>
      </c>
      <c r="T581">
        <v>0.2</v>
      </c>
      <c r="U581">
        <v>13.786199999999999</v>
      </c>
      <c r="V581" t="str">
        <f t="shared" si="9"/>
        <v>Patrick Gardner</v>
      </c>
      <c r="W581">
        <f>Table2[Profit]/Table2[Sales]</f>
        <v>0.28749999999999998</v>
      </c>
    </row>
    <row r="582" spans="1:23" x14ac:dyDescent="0.25">
      <c r="A582">
        <v>581</v>
      </c>
      <c r="B582" t="s">
        <v>3397</v>
      </c>
      <c r="C582" s="1">
        <v>41862</v>
      </c>
      <c r="D582" s="1">
        <v>41866</v>
      </c>
      <c r="E582" t="s">
        <v>49</v>
      </c>
      <c r="F582" t="s">
        <v>3398</v>
      </c>
      <c r="G582" t="s">
        <v>3399</v>
      </c>
      <c r="H582" t="s">
        <v>25</v>
      </c>
      <c r="I582" t="s">
        <v>26</v>
      </c>
      <c r="J582" t="s">
        <v>94</v>
      </c>
      <c r="K582" t="s">
        <v>95</v>
      </c>
      <c r="L582">
        <v>98105</v>
      </c>
      <c r="M582" t="s">
        <v>43</v>
      </c>
      <c r="N582" t="s">
        <v>3400</v>
      </c>
      <c r="O582" t="s">
        <v>31</v>
      </c>
      <c r="P582" t="s">
        <v>64</v>
      </c>
      <c r="Q582" t="s">
        <v>3401</v>
      </c>
      <c r="R582">
        <v>12.35</v>
      </c>
      <c r="S582">
        <v>1</v>
      </c>
      <c r="T582">
        <v>0</v>
      </c>
      <c r="U582">
        <v>5.4340000000000002</v>
      </c>
      <c r="V582" t="str">
        <f t="shared" si="9"/>
        <v>Greg Matthias</v>
      </c>
      <c r="W582">
        <f>Table2[Profit]/Table2[Sales]</f>
        <v>0.44</v>
      </c>
    </row>
    <row r="583" spans="1:23" x14ac:dyDescent="0.25">
      <c r="A583">
        <v>582</v>
      </c>
      <c r="B583" t="s">
        <v>3404</v>
      </c>
      <c r="C583" s="1">
        <v>42611</v>
      </c>
      <c r="D583" s="1">
        <v>42617</v>
      </c>
      <c r="E583" t="s">
        <v>49</v>
      </c>
      <c r="F583" t="s">
        <v>2037</v>
      </c>
      <c r="G583" t="s">
        <v>2038</v>
      </c>
      <c r="H583" t="s">
        <v>101</v>
      </c>
      <c r="I583" t="s">
        <v>26</v>
      </c>
      <c r="J583" t="s">
        <v>263</v>
      </c>
      <c r="K583" t="s">
        <v>264</v>
      </c>
      <c r="L583">
        <v>10024</v>
      </c>
      <c r="M583" t="s">
        <v>145</v>
      </c>
      <c r="N583" t="s">
        <v>3405</v>
      </c>
      <c r="O583" t="s">
        <v>70</v>
      </c>
      <c r="P583" t="s">
        <v>71</v>
      </c>
      <c r="Q583" t="s">
        <v>3406</v>
      </c>
      <c r="R583">
        <v>22</v>
      </c>
      <c r="S583">
        <v>4</v>
      </c>
      <c r="T583">
        <v>0</v>
      </c>
      <c r="U583">
        <v>5.5</v>
      </c>
      <c r="V583" t="str">
        <f t="shared" si="9"/>
        <v>Meg O'Connel</v>
      </c>
      <c r="W583">
        <f>Table2[Profit]/Table2[Sales]</f>
        <v>0.25</v>
      </c>
    </row>
    <row r="584" spans="1:23" x14ac:dyDescent="0.25">
      <c r="A584">
        <v>583</v>
      </c>
      <c r="B584" t="s">
        <v>3407</v>
      </c>
      <c r="C584" s="1">
        <v>42415</v>
      </c>
      <c r="D584" s="1">
        <v>42422</v>
      </c>
      <c r="E584" t="s">
        <v>49</v>
      </c>
      <c r="F584" t="s">
        <v>2536</v>
      </c>
      <c r="G584" t="s">
        <v>2537</v>
      </c>
      <c r="H584" t="s">
        <v>25</v>
      </c>
      <c r="I584" t="s">
        <v>26</v>
      </c>
      <c r="J584" t="s">
        <v>263</v>
      </c>
      <c r="K584" t="s">
        <v>264</v>
      </c>
      <c r="L584">
        <v>10009</v>
      </c>
      <c r="M584" t="s">
        <v>145</v>
      </c>
      <c r="N584" t="s">
        <v>3408</v>
      </c>
      <c r="O584" t="s">
        <v>45</v>
      </c>
      <c r="P584" t="s">
        <v>74</v>
      </c>
      <c r="Q584" t="s">
        <v>3409</v>
      </c>
      <c r="R584">
        <v>398.35199999999998</v>
      </c>
      <c r="S584">
        <v>3</v>
      </c>
      <c r="T584">
        <v>0.2</v>
      </c>
      <c r="U584">
        <v>124.485</v>
      </c>
      <c r="V584" t="str">
        <f t="shared" si="9"/>
        <v>Patrick Gardner</v>
      </c>
      <c r="W584">
        <f>Table2[Profit]/Table2[Sales]</f>
        <v>0.3125</v>
      </c>
    </row>
    <row r="585" spans="1:23" x14ac:dyDescent="0.25">
      <c r="A585">
        <v>584</v>
      </c>
      <c r="B585" t="s">
        <v>3410</v>
      </c>
      <c r="C585" s="1">
        <v>42869</v>
      </c>
      <c r="D585" s="1">
        <v>42876</v>
      </c>
      <c r="E585" t="s">
        <v>49</v>
      </c>
      <c r="F585" t="s">
        <v>3411</v>
      </c>
      <c r="G585" t="s">
        <v>3412</v>
      </c>
      <c r="H585" t="s">
        <v>25</v>
      </c>
      <c r="I585" t="s">
        <v>26</v>
      </c>
      <c r="J585" t="s">
        <v>3413</v>
      </c>
      <c r="K585" t="s">
        <v>1473</v>
      </c>
      <c r="L585">
        <v>39503</v>
      </c>
      <c r="M585" t="s">
        <v>29</v>
      </c>
      <c r="N585" t="s">
        <v>3414</v>
      </c>
      <c r="O585" t="s">
        <v>45</v>
      </c>
      <c r="P585" t="s">
        <v>170</v>
      </c>
      <c r="Q585" t="s">
        <v>3415</v>
      </c>
      <c r="R585">
        <v>48.69</v>
      </c>
      <c r="S585">
        <v>9</v>
      </c>
      <c r="T585">
        <v>0</v>
      </c>
      <c r="U585">
        <v>23.8581</v>
      </c>
      <c r="V585" t="str">
        <f t="shared" si="9"/>
        <v>Eva Jacobs</v>
      </c>
      <c r="W585">
        <f>Table2[Profit]/Table2[Sales]</f>
        <v>0.49000000000000005</v>
      </c>
    </row>
    <row r="586" spans="1:23" x14ac:dyDescent="0.25">
      <c r="A586">
        <v>585</v>
      </c>
      <c r="B586" t="s">
        <v>3416</v>
      </c>
      <c r="C586" s="1">
        <v>41985</v>
      </c>
      <c r="D586" s="1">
        <v>41987</v>
      </c>
      <c r="E586" t="s">
        <v>22</v>
      </c>
      <c r="F586" t="s">
        <v>3417</v>
      </c>
      <c r="G586" t="s">
        <v>3418</v>
      </c>
      <c r="H586" t="s">
        <v>25</v>
      </c>
      <c r="I586" t="s">
        <v>26</v>
      </c>
      <c r="J586" t="s">
        <v>3419</v>
      </c>
      <c r="K586" t="s">
        <v>42</v>
      </c>
      <c r="L586">
        <v>93727</v>
      </c>
      <c r="M586" t="s">
        <v>43</v>
      </c>
      <c r="N586" t="s">
        <v>3420</v>
      </c>
      <c r="O586" t="s">
        <v>31</v>
      </c>
      <c r="P586" t="s">
        <v>55</v>
      </c>
      <c r="Q586" t="s">
        <v>3421</v>
      </c>
      <c r="R586">
        <v>764.68799999999999</v>
      </c>
      <c r="S586">
        <v>6</v>
      </c>
      <c r="T586">
        <v>0.2</v>
      </c>
      <c r="U586">
        <v>95.585999999999999</v>
      </c>
      <c r="V586" t="str">
        <f t="shared" si="9"/>
        <v>Nora Preis</v>
      </c>
      <c r="W586">
        <f>Table2[Profit]/Table2[Sales]</f>
        <v>0.125</v>
      </c>
    </row>
    <row r="587" spans="1:23" x14ac:dyDescent="0.25">
      <c r="A587">
        <v>586</v>
      </c>
      <c r="B587" t="s">
        <v>3424</v>
      </c>
      <c r="C587" s="1">
        <v>43087</v>
      </c>
      <c r="D587" s="1">
        <v>43093</v>
      </c>
      <c r="E587" t="s">
        <v>49</v>
      </c>
      <c r="F587" t="s">
        <v>2180</v>
      </c>
      <c r="G587" t="s">
        <v>2181</v>
      </c>
      <c r="H587" t="s">
        <v>25</v>
      </c>
      <c r="I587" t="s">
        <v>26</v>
      </c>
      <c r="J587" t="s">
        <v>263</v>
      </c>
      <c r="K587" t="s">
        <v>264</v>
      </c>
      <c r="L587">
        <v>10009</v>
      </c>
      <c r="M587" t="s">
        <v>145</v>
      </c>
      <c r="N587" t="s">
        <v>3425</v>
      </c>
      <c r="O587" t="s">
        <v>45</v>
      </c>
      <c r="P587" t="s">
        <v>67</v>
      </c>
      <c r="Q587" t="s">
        <v>2988</v>
      </c>
      <c r="R587">
        <v>38.82</v>
      </c>
      <c r="S587">
        <v>6</v>
      </c>
      <c r="T587">
        <v>0</v>
      </c>
      <c r="U587">
        <v>17.469000000000001</v>
      </c>
      <c r="V587" t="str">
        <f t="shared" si="9"/>
        <v>Doug Jacobs</v>
      </c>
      <c r="W587">
        <f>Table2[Profit]/Table2[Sales]</f>
        <v>0.45</v>
      </c>
    </row>
    <row r="588" spans="1:23" x14ac:dyDescent="0.25">
      <c r="A588">
        <v>587</v>
      </c>
      <c r="B588" t="s">
        <v>3430</v>
      </c>
      <c r="C588" s="1">
        <v>42189</v>
      </c>
      <c r="D588" s="1">
        <v>42194</v>
      </c>
      <c r="E588" t="s">
        <v>49</v>
      </c>
      <c r="F588" t="s">
        <v>92</v>
      </c>
      <c r="G588" t="s">
        <v>93</v>
      </c>
      <c r="H588" t="s">
        <v>25</v>
      </c>
      <c r="I588" t="s">
        <v>26</v>
      </c>
      <c r="J588" t="s">
        <v>2517</v>
      </c>
      <c r="K588" t="s">
        <v>113</v>
      </c>
      <c r="L588">
        <v>53209</v>
      </c>
      <c r="M588" t="s">
        <v>104</v>
      </c>
      <c r="N588" t="s">
        <v>3431</v>
      </c>
      <c r="O588" t="s">
        <v>70</v>
      </c>
      <c r="P588" t="s">
        <v>71</v>
      </c>
      <c r="Q588" t="s">
        <v>3432</v>
      </c>
      <c r="R588">
        <v>1099.96</v>
      </c>
      <c r="S588">
        <v>4</v>
      </c>
      <c r="T588">
        <v>0</v>
      </c>
      <c r="U588">
        <v>285.9896</v>
      </c>
      <c r="V588" t="str">
        <f t="shared" si="9"/>
        <v>Irene Maddox</v>
      </c>
      <c r="W588">
        <f>Table2[Profit]/Table2[Sales]</f>
        <v>0.26</v>
      </c>
    </row>
    <row r="589" spans="1:23" x14ac:dyDescent="0.25">
      <c r="A589">
        <v>588</v>
      </c>
      <c r="B589" t="s">
        <v>3433</v>
      </c>
      <c r="C589" s="1">
        <v>42804</v>
      </c>
      <c r="D589" s="1">
        <v>42808</v>
      </c>
      <c r="E589" t="s">
        <v>49</v>
      </c>
      <c r="F589" t="s">
        <v>3434</v>
      </c>
      <c r="G589" t="s">
        <v>3435</v>
      </c>
      <c r="H589" t="s">
        <v>101</v>
      </c>
      <c r="I589" t="s">
        <v>26</v>
      </c>
      <c r="J589" t="s">
        <v>2220</v>
      </c>
      <c r="K589" t="s">
        <v>144</v>
      </c>
      <c r="L589">
        <v>19013</v>
      </c>
      <c r="M589" t="s">
        <v>145</v>
      </c>
      <c r="N589" t="s">
        <v>2631</v>
      </c>
      <c r="O589" t="s">
        <v>45</v>
      </c>
      <c r="P589" t="s">
        <v>67</v>
      </c>
      <c r="Q589" t="s">
        <v>2632</v>
      </c>
      <c r="R589">
        <v>5.2480000000000002</v>
      </c>
      <c r="S589">
        <v>2</v>
      </c>
      <c r="T589">
        <v>0.2</v>
      </c>
      <c r="U589">
        <v>0.59040000000000004</v>
      </c>
      <c r="V589" t="str">
        <f t="shared" si="9"/>
        <v>Mick Hernandez</v>
      </c>
      <c r="W589">
        <f>Table2[Profit]/Table2[Sales]</f>
        <v>0.1125</v>
      </c>
    </row>
    <row r="590" spans="1:23" x14ac:dyDescent="0.25">
      <c r="A590">
        <v>589</v>
      </c>
      <c r="B590" t="s">
        <v>3440</v>
      </c>
      <c r="C590" s="1">
        <v>42728</v>
      </c>
      <c r="D590" s="1">
        <v>42732</v>
      </c>
      <c r="E590" t="s">
        <v>22</v>
      </c>
      <c r="F590" t="s">
        <v>1494</v>
      </c>
      <c r="G590" t="s">
        <v>1495</v>
      </c>
      <c r="H590" t="s">
        <v>101</v>
      </c>
      <c r="I590" t="s">
        <v>26</v>
      </c>
      <c r="J590" t="s">
        <v>460</v>
      </c>
      <c r="K590" t="s">
        <v>87</v>
      </c>
      <c r="L590">
        <v>28205</v>
      </c>
      <c r="M590" t="s">
        <v>29</v>
      </c>
      <c r="N590" t="s">
        <v>2227</v>
      </c>
      <c r="O590" t="s">
        <v>45</v>
      </c>
      <c r="P590" t="s">
        <v>74</v>
      </c>
      <c r="Q590" t="s">
        <v>2228</v>
      </c>
      <c r="R590">
        <v>27.882000000000001</v>
      </c>
      <c r="S590">
        <v>3</v>
      </c>
      <c r="T590">
        <v>0.7</v>
      </c>
      <c r="U590">
        <v>-20.4468</v>
      </c>
      <c r="V590" t="str">
        <f t="shared" si="9"/>
        <v>Ross Baird</v>
      </c>
      <c r="W590">
        <f>Table2[Profit]/Table2[Sales]</f>
        <v>-0.73333333333333328</v>
      </c>
    </row>
    <row r="591" spans="1:23" x14ac:dyDescent="0.25">
      <c r="A591">
        <v>590</v>
      </c>
      <c r="B591" t="s">
        <v>3443</v>
      </c>
      <c r="C591" s="1">
        <v>43031</v>
      </c>
      <c r="D591" s="1">
        <v>43035</v>
      </c>
      <c r="E591" t="s">
        <v>49</v>
      </c>
      <c r="F591" t="s">
        <v>3444</v>
      </c>
      <c r="G591" t="s">
        <v>3445</v>
      </c>
      <c r="H591" t="s">
        <v>25</v>
      </c>
      <c r="I591" t="s">
        <v>26</v>
      </c>
      <c r="J591" t="s">
        <v>1507</v>
      </c>
      <c r="K591" t="s">
        <v>53</v>
      </c>
      <c r="L591">
        <v>32216</v>
      </c>
      <c r="M591" t="s">
        <v>29</v>
      </c>
      <c r="N591" t="s">
        <v>3446</v>
      </c>
      <c r="O591" t="s">
        <v>70</v>
      </c>
      <c r="P591" t="s">
        <v>71</v>
      </c>
      <c r="Q591" t="s">
        <v>3447</v>
      </c>
      <c r="R591">
        <v>863.88</v>
      </c>
      <c r="S591">
        <v>3</v>
      </c>
      <c r="T591">
        <v>0.2</v>
      </c>
      <c r="U591">
        <v>107.985</v>
      </c>
      <c r="V591" t="str">
        <f t="shared" si="9"/>
        <v>Jocasta Rupert</v>
      </c>
      <c r="W591">
        <f>Table2[Profit]/Table2[Sales]</f>
        <v>0.125</v>
      </c>
    </row>
    <row r="592" spans="1:23" x14ac:dyDescent="0.25">
      <c r="A592">
        <v>591</v>
      </c>
      <c r="B592" t="s">
        <v>3448</v>
      </c>
      <c r="C592" s="1">
        <v>42671</v>
      </c>
      <c r="D592" s="1">
        <v>42678</v>
      </c>
      <c r="E592" t="s">
        <v>49</v>
      </c>
      <c r="F592" t="s">
        <v>3449</v>
      </c>
      <c r="G592" t="s">
        <v>3450</v>
      </c>
      <c r="H592" t="s">
        <v>40</v>
      </c>
      <c r="I592" t="s">
        <v>26</v>
      </c>
      <c r="J592" t="s">
        <v>3451</v>
      </c>
      <c r="K592" t="s">
        <v>87</v>
      </c>
      <c r="L592">
        <v>27834</v>
      </c>
      <c r="M592" t="s">
        <v>29</v>
      </c>
      <c r="N592" t="s">
        <v>3452</v>
      </c>
      <c r="O592" t="s">
        <v>45</v>
      </c>
      <c r="P592" t="s">
        <v>74</v>
      </c>
      <c r="Q592" t="s">
        <v>3453</v>
      </c>
      <c r="R592">
        <v>17.616</v>
      </c>
      <c r="S592">
        <v>4</v>
      </c>
      <c r="T592">
        <v>0.7</v>
      </c>
      <c r="U592">
        <v>-14.0928</v>
      </c>
      <c r="V592" t="str">
        <f t="shared" si="9"/>
        <v>Suzanne McNair</v>
      </c>
      <c r="W592">
        <f>Table2[Profit]/Table2[Sales]</f>
        <v>-0.8</v>
      </c>
    </row>
    <row r="593" spans="1:23" x14ac:dyDescent="0.25">
      <c r="A593">
        <v>592</v>
      </c>
      <c r="B593" t="s">
        <v>3454</v>
      </c>
      <c r="C593" s="1">
        <v>42923</v>
      </c>
      <c r="D593" s="1">
        <v>42925</v>
      </c>
      <c r="E593" t="s">
        <v>22</v>
      </c>
      <c r="F593" t="s">
        <v>3201</v>
      </c>
      <c r="G593" t="s">
        <v>3202</v>
      </c>
      <c r="H593" t="s">
        <v>25</v>
      </c>
      <c r="I593" t="s">
        <v>26</v>
      </c>
      <c r="J593" t="s">
        <v>1161</v>
      </c>
      <c r="K593" t="s">
        <v>264</v>
      </c>
      <c r="L593">
        <v>11561</v>
      </c>
      <c r="M593" t="s">
        <v>145</v>
      </c>
      <c r="N593" t="s">
        <v>155</v>
      </c>
      <c r="O593" t="s">
        <v>45</v>
      </c>
      <c r="P593" t="s">
        <v>74</v>
      </c>
      <c r="Q593" t="s">
        <v>156</v>
      </c>
      <c r="R593">
        <v>17.472000000000001</v>
      </c>
      <c r="S593">
        <v>3</v>
      </c>
      <c r="T593">
        <v>0.2</v>
      </c>
      <c r="U593">
        <v>6.3335999999999997</v>
      </c>
      <c r="V593" t="str">
        <f t="shared" si="9"/>
        <v>Christine Sundaresam</v>
      </c>
      <c r="W593">
        <f>Table2[Profit]/Table2[Sales]</f>
        <v>0.36249999999999993</v>
      </c>
    </row>
    <row r="594" spans="1:23" x14ac:dyDescent="0.25">
      <c r="A594">
        <v>593</v>
      </c>
      <c r="B594" t="s">
        <v>3455</v>
      </c>
      <c r="C594" s="1">
        <v>42644</v>
      </c>
      <c r="D594" s="1">
        <v>42645</v>
      </c>
      <c r="E594" t="s">
        <v>185</v>
      </c>
      <c r="F594" t="s">
        <v>3456</v>
      </c>
      <c r="G594" t="s">
        <v>3457</v>
      </c>
      <c r="H594" t="s">
        <v>25</v>
      </c>
      <c r="I594" t="s">
        <v>26</v>
      </c>
      <c r="J594" t="s">
        <v>3229</v>
      </c>
      <c r="K594" t="s">
        <v>251</v>
      </c>
      <c r="L594">
        <v>46350</v>
      </c>
      <c r="M594" t="s">
        <v>104</v>
      </c>
      <c r="N594" t="s">
        <v>607</v>
      </c>
      <c r="O594" t="s">
        <v>70</v>
      </c>
      <c r="P594" t="s">
        <v>71</v>
      </c>
      <c r="Q594" t="s">
        <v>608</v>
      </c>
      <c r="R594">
        <v>69.900000000000006</v>
      </c>
      <c r="S594">
        <v>2</v>
      </c>
      <c r="T594">
        <v>0</v>
      </c>
      <c r="U594">
        <v>18.873000000000001</v>
      </c>
      <c r="V594" t="str">
        <f t="shared" si="9"/>
        <v>Chris Cortes</v>
      </c>
      <c r="W594">
        <f>Table2[Profit]/Table2[Sales]</f>
        <v>0.27</v>
      </c>
    </row>
    <row r="595" spans="1:23" x14ac:dyDescent="0.25">
      <c r="A595">
        <v>594</v>
      </c>
      <c r="B595" t="s">
        <v>3458</v>
      </c>
      <c r="C595" s="1">
        <v>42980</v>
      </c>
      <c r="D595" s="1">
        <v>42985</v>
      </c>
      <c r="E595" t="s">
        <v>49</v>
      </c>
      <c r="F595" t="s">
        <v>3459</v>
      </c>
      <c r="G595" t="s">
        <v>3460</v>
      </c>
      <c r="H595" t="s">
        <v>25</v>
      </c>
      <c r="I595" t="s">
        <v>26</v>
      </c>
      <c r="J595" t="s">
        <v>126</v>
      </c>
      <c r="K595" t="s">
        <v>42</v>
      </c>
      <c r="L595">
        <v>94122</v>
      </c>
      <c r="M595" t="s">
        <v>43</v>
      </c>
      <c r="N595" t="s">
        <v>3461</v>
      </c>
      <c r="O595" t="s">
        <v>45</v>
      </c>
      <c r="P595" t="s">
        <v>67</v>
      </c>
      <c r="Q595" t="s">
        <v>3462</v>
      </c>
      <c r="R595">
        <v>6.57</v>
      </c>
      <c r="S595">
        <v>3</v>
      </c>
      <c r="T595">
        <v>0</v>
      </c>
      <c r="U595">
        <v>1.7739</v>
      </c>
      <c r="V595" t="str">
        <f t="shared" si="9"/>
        <v>Phillip Flathmann</v>
      </c>
      <c r="W595">
        <f>Table2[Profit]/Table2[Sales]</f>
        <v>0.27</v>
      </c>
    </row>
    <row r="596" spans="1:23" x14ac:dyDescent="0.25">
      <c r="A596">
        <v>595</v>
      </c>
      <c r="B596" t="s">
        <v>3463</v>
      </c>
      <c r="C596" s="1">
        <v>41997</v>
      </c>
      <c r="D596" s="1">
        <v>42002</v>
      </c>
      <c r="E596" t="s">
        <v>49</v>
      </c>
      <c r="F596" t="s">
        <v>364</v>
      </c>
      <c r="G596" t="s">
        <v>365</v>
      </c>
      <c r="H596" t="s">
        <v>40</v>
      </c>
      <c r="I596" t="s">
        <v>26</v>
      </c>
      <c r="J596" t="s">
        <v>41</v>
      </c>
      <c r="K596" t="s">
        <v>42</v>
      </c>
      <c r="L596">
        <v>90045</v>
      </c>
      <c r="M596" t="s">
        <v>43</v>
      </c>
      <c r="N596" t="s">
        <v>1502</v>
      </c>
      <c r="O596" t="s">
        <v>45</v>
      </c>
      <c r="P596" t="s">
        <v>58</v>
      </c>
      <c r="Q596" t="s">
        <v>1503</v>
      </c>
      <c r="R596">
        <v>142.86000000000001</v>
      </c>
      <c r="S596">
        <v>1</v>
      </c>
      <c r="T596">
        <v>0</v>
      </c>
      <c r="U596">
        <v>41.429400000000001</v>
      </c>
      <c r="V596" t="str">
        <f t="shared" si="9"/>
        <v>Julie Creighton</v>
      </c>
      <c r="W596">
        <f>Table2[Profit]/Table2[Sales]</f>
        <v>0.28999999999999998</v>
      </c>
    </row>
    <row r="597" spans="1:23" x14ac:dyDescent="0.25">
      <c r="A597">
        <v>596</v>
      </c>
      <c r="B597" t="s">
        <v>3464</v>
      </c>
      <c r="C597" s="1">
        <v>43001</v>
      </c>
      <c r="D597" s="1">
        <v>43005</v>
      </c>
      <c r="E597" t="s">
        <v>49</v>
      </c>
      <c r="F597" t="s">
        <v>3387</v>
      </c>
      <c r="G597" t="s">
        <v>3388</v>
      </c>
      <c r="H597" t="s">
        <v>40</v>
      </c>
      <c r="I597" t="s">
        <v>26</v>
      </c>
      <c r="J597" t="s">
        <v>1459</v>
      </c>
      <c r="K597" t="s">
        <v>450</v>
      </c>
      <c r="L597">
        <v>80027</v>
      </c>
      <c r="M597" t="s">
        <v>43</v>
      </c>
      <c r="N597" t="s">
        <v>1524</v>
      </c>
      <c r="O597" t="s">
        <v>31</v>
      </c>
      <c r="P597" t="s">
        <v>64</v>
      </c>
      <c r="Q597" t="s">
        <v>1525</v>
      </c>
      <c r="R597">
        <v>29.327999999999999</v>
      </c>
      <c r="S597">
        <v>3</v>
      </c>
      <c r="T597">
        <v>0.2</v>
      </c>
      <c r="U597">
        <v>3.6659999999999999</v>
      </c>
      <c r="V597" t="str">
        <f t="shared" si="9"/>
        <v>Brooke Gillingham</v>
      </c>
      <c r="W597">
        <f>Table2[Profit]/Table2[Sales]</f>
        <v>0.125</v>
      </c>
    </row>
    <row r="598" spans="1:23" x14ac:dyDescent="0.25">
      <c r="A598">
        <v>597</v>
      </c>
      <c r="B598" t="s">
        <v>3465</v>
      </c>
      <c r="C598" s="1">
        <v>42890</v>
      </c>
      <c r="D598" s="1">
        <v>42894</v>
      </c>
      <c r="E598" t="s">
        <v>49</v>
      </c>
      <c r="F598" t="s">
        <v>3466</v>
      </c>
      <c r="G598" t="s">
        <v>3467</v>
      </c>
      <c r="H598" t="s">
        <v>25</v>
      </c>
      <c r="I598" t="s">
        <v>26</v>
      </c>
      <c r="J598" t="s">
        <v>2548</v>
      </c>
      <c r="K598" t="s">
        <v>351</v>
      </c>
      <c r="L598">
        <v>35630</v>
      </c>
      <c r="M598" t="s">
        <v>29</v>
      </c>
      <c r="N598" t="s">
        <v>3468</v>
      </c>
      <c r="O598" t="s">
        <v>45</v>
      </c>
      <c r="P598" t="s">
        <v>89</v>
      </c>
      <c r="Q598" t="s">
        <v>3469</v>
      </c>
      <c r="R598">
        <v>12.48</v>
      </c>
      <c r="S598">
        <v>2</v>
      </c>
      <c r="T598">
        <v>0</v>
      </c>
      <c r="U598">
        <v>5.6159999999999997</v>
      </c>
      <c r="V598" t="str">
        <f t="shared" si="9"/>
        <v>Dan Campbell</v>
      </c>
      <c r="W598">
        <f>Table2[Profit]/Table2[Sales]</f>
        <v>0.44999999999999996</v>
      </c>
    </row>
    <row r="599" spans="1:23" x14ac:dyDescent="0.25">
      <c r="A599">
        <v>598</v>
      </c>
      <c r="B599" t="s">
        <v>3470</v>
      </c>
      <c r="C599" s="1">
        <v>42481</v>
      </c>
      <c r="D599" s="1">
        <v>42486</v>
      </c>
      <c r="E599" t="s">
        <v>49</v>
      </c>
      <c r="F599" t="s">
        <v>2135</v>
      </c>
      <c r="G599" t="s">
        <v>2136</v>
      </c>
      <c r="H599" t="s">
        <v>40</v>
      </c>
      <c r="I599" t="s">
        <v>26</v>
      </c>
      <c r="J599" t="s">
        <v>296</v>
      </c>
      <c r="K599" t="s">
        <v>208</v>
      </c>
      <c r="L599">
        <v>60623</v>
      </c>
      <c r="M599" t="s">
        <v>104</v>
      </c>
      <c r="N599" t="s">
        <v>3471</v>
      </c>
      <c r="O599" t="s">
        <v>45</v>
      </c>
      <c r="P599" t="s">
        <v>58</v>
      </c>
      <c r="Q599" t="s">
        <v>3472</v>
      </c>
      <c r="R599">
        <v>102.336</v>
      </c>
      <c r="S599">
        <v>4</v>
      </c>
      <c r="T599">
        <v>0.2</v>
      </c>
      <c r="U599">
        <v>-12.792</v>
      </c>
      <c r="V599" t="str">
        <f t="shared" si="9"/>
        <v>Sibella Parks</v>
      </c>
      <c r="W599">
        <f>Table2[Profit]/Table2[Sales]</f>
        <v>-0.125</v>
      </c>
    </row>
    <row r="600" spans="1:23" x14ac:dyDescent="0.25">
      <c r="A600">
        <v>599</v>
      </c>
      <c r="B600" t="s">
        <v>3475</v>
      </c>
      <c r="C600" s="1">
        <v>42516</v>
      </c>
      <c r="D600" s="1">
        <v>42516</v>
      </c>
      <c r="E600" t="s">
        <v>1278</v>
      </c>
      <c r="F600" t="s">
        <v>3114</v>
      </c>
      <c r="G600" t="s">
        <v>3115</v>
      </c>
      <c r="H600" t="s">
        <v>25</v>
      </c>
      <c r="I600" t="s">
        <v>26</v>
      </c>
      <c r="J600" t="s">
        <v>102</v>
      </c>
      <c r="K600" t="s">
        <v>103</v>
      </c>
      <c r="L600">
        <v>76106</v>
      </c>
      <c r="M600" t="s">
        <v>104</v>
      </c>
      <c r="N600" t="s">
        <v>2885</v>
      </c>
      <c r="O600" t="s">
        <v>45</v>
      </c>
      <c r="P600" t="s">
        <v>89</v>
      </c>
      <c r="Q600" t="s">
        <v>2886</v>
      </c>
      <c r="R600">
        <v>10.368</v>
      </c>
      <c r="S600">
        <v>2</v>
      </c>
      <c r="T600">
        <v>0.2</v>
      </c>
      <c r="U600">
        <v>3.6288</v>
      </c>
      <c r="V600" t="str">
        <f t="shared" si="9"/>
        <v>Maurice Satty</v>
      </c>
      <c r="W600">
        <f>Table2[Profit]/Table2[Sales]</f>
        <v>0.35</v>
      </c>
    </row>
    <row r="601" spans="1:23" x14ac:dyDescent="0.25">
      <c r="A601">
        <v>600</v>
      </c>
      <c r="B601" t="s">
        <v>3480</v>
      </c>
      <c r="C601" s="1">
        <v>42492</v>
      </c>
      <c r="D601" s="1">
        <v>42497</v>
      </c>
      <c r="E601" t="s">
        <v>49</v>
      </c>
      <c r="F601" t="s">
        <v>3481</v>
      </c>
      <c r="G601" t="s">
        <v>3482</v>
      </c>
      <c r="H601" t="s">
        <v>25</v>
      </c>
      <c r="I601" t="s">
        <v>26</v>
      </c>
      <c r="J601" t="s">
        <v>181</v>
      </c>
      <c r="K601" t="s">
        <v>103</v>
      </c>
      <c r="L601">
        <v>77070</v>
      </c>
      <c r="M601" t="s">
        <v>104</v>
      </c>
      <c r="N601" t="s">
        <v>3483</v>
      </c>
      <c r="O601" t="s">
        <v>45</v>
      </c>
      <c r="P601" t="s">
        <v>67</v>
      </c>
      <c r="Q601" t="s">
        <v>3484</v>
      </c>
      <c r="R601">
        <v>86.352000000000004</v>
      </c>
      <c r="S601">
        <v>3</v>
      </c>
      <c r="T601">
        <v>0.2</v>
      </c>
      <c r="U601">
        <v>5.3970000000000002</v>
      </c>
      <c r="V601" t="str">
        <f t="shared" si="9"/>
        <v>Bryan Davis</v>
      </c>
      <c r="W601">
        <f>Table2[Profit]/Table2[Sales]</f>
        <v>6.25E-2</v>
      </c>
    </row>
    <row r="602" spans="1:23" x14ac:dyDescent="0.25">
      <c r="A602">
        <v>601</v>
      </c>
      <c r="B602" t="s">
        <v>3485</v>
      </c>
      <c r="C602" s="1">
        <v>41890</v>
      </c>
      <c r="D602" s="1">
        <v>41893</v>
      </c>
      <c r="E602" t="s">
        <v>185</v>
      </c>
      <c r="F602" t="s">
        <v>2823</v>
      </c>
      <c r="G602" t="s">
        <v>2824</v>
      </c>
      <c r="H602" t="s">
        <v>40</v>
      </c>
      <c r="I602" t="s">
        <v>26</v>
      </c>
      <c r="J602" t="s">
        <v>3486</v>
      </c>
      <c r="K602" t="s">
        <v>1260</v>
      </c>
      <c r="L602">
        <v>31204</v>
      </c>
      <c r="M602" t="s">
        <v>29</v>
      </c>
      <c r="N602" t="s">
        <v>3487</v>
      </c>
      <c r="O602" t="s">
        <v>70</v>
      </c>
      <c r="P602" t="s">
        <v>158</v>
      </c>
      <c r="Q602" t="s">
        <v>3488</v>
      </c>
      <c r="R602">
        <v>32.97</v>
      </c>
      <c r="S602">
        <v>3</v>
      </c>
      <c r="T602">
        <v>0</v>
      </c>
      <c r="U602">
        <v>12.8583</v>
      </c>
      <c r="V602" t="str">
        <f t="shared" si="9"/>
        <v>Karen Carlisle</v>
      </c>
      <c r="W602">
        <f>Table2[Profit]/Table2[Sales]</f>
        <v>0.39</v>
      </c>
    </row>
    <row r="603" spans="1:23" x14ac:dyDescent="0.25">
      <c r="A603">
        <v>602</v>
      </c>
      <c r="B603" t="s">
        <v>3491</v>
      </c>
      <c r="C603" s="1">
        <v>42618</v>
      </c>
      <c r="D603" s="1">
        <v>42619</v>
      </c>
      <c r="E603" t="s">
        <v>185</v>
      </c>
      <c r="F603" t="s">
        <v>2531</v>
      </c>
      <c r="G603" t="s">
        <v>2532</v>
      </c>
      <c r="H603" t="s">
        <v>25</v>
      </c>
      <c r="I603" t="s">
        <v>26</v>
      </c>
      <c r="J603" t="s">
        <v>3492</v>
      </c>
      <c r="K603" t="s">
        <v>482</v>
      </c>
      <c r="L603">
        <v>52402</v>
      </c>
      <c r="M603" t="s">
        <v>104</v>
      </c>
      <c r="N603" t="s">
        <v>3493</v>
      </c>
      <c r="O603" t="s">
        <v>70</v>
      </c>
      <c r="P603" t="s">
        <v>71</v>
      </c>
      <c r="Q603" t="s">
        <v>3494</v>
      </c>
      <c r="R603">
        <v>278.39999999999998</v>
      </c>
      <c r="S603">
        <v>3</v>
      </c>
      <c r="T603">
        <v>0</v>
      </c>
      <c r="U603">
        <v>80.736000000000004</v>
      </c>
      <c r="V603" t="str">
        <f t="shared" si="9"/>
        <v>Toby Ritter</v>
      </c>
      <c r="W603">
        <f>Table2[Profit]/Table2[Sales]</f>
        <v>0.29000000000000004</v>
      </c>
    </row>
    <row r="604" spans="1:23" x14ac:dyDescent="0.25">
      <c r="A604">
        <v>603</v>
      </c>
      <c r="B604" t="s">
        <v>3495</v>
      </c>
      <c r="C604" s="1">
        <v>42834</v>
      </c>
      <c r="D604" s="1">
        <v>42836</v>
      </c>
      <c r="E604" t="s">
        <v>185</v>
      </c>
      <c r="F604" t="s">
        <v>1650</v>
      </c>
      <c r="G604" t="s">
        <v>1651</v>
      </c>
      <c r="H604" t="s">
        <v>25</v>
      </c>
      <c r="I604" t="s">
        <v>26</v>
      </c>
      <c r="J604" t="s">
        <v>1507</v>
      </c>
      <c r="K604" t="s">
        <v>53</v>
      </c>
      <c r="L604">
        <v>32216</v>
      </c>
      <c r="M604" t="s">
        <v>29</v>
      </c>
      <c r="N604" t="s">
        <v>3496</v>
      </c>
      <c r="O604" t="s">
        <v>45</v>
      </c>
      <c r="P604" t="s">
        <v>46</v>
      </c>
      <c r="Q604" t="s">
        <v>3497</v>
      </c>
      <c r="R604">
        <v>15.12</v>
      </c>
      <c r="S604">
        <v>3</v>
      </c>
      <c r="T604">
        <v>0.2</v>
      </c>
      <c r="U604">
        <v>4.9139999999999997</v>
      </c>
      <c r="V604" t="str">
        <f t="shared" si="9"/>
        <v>Sue Ann Reed</v>
      </c>
      <c r="W604">
        <f>Table2[Profit]/Table2[Sales]</f>
        <v>0.32500000000000001</v>
      </c>
    </row>
    <row r="605" spans="1:23" x14ac:dyDescent="0.25">
      <c r="A605">
        <v>604</v>
      </c>
      <c r="B605" t="s">
        <v>3502</v>
      </c>
      <c r="C605" s="1">
        <v>42344</v>
      </c>
      <c r="D605" s="1">
        <v>42350</v>
      </c>
      <c r="E605" t="s">
        <v>49</v>
      </c>
      <c r="F605" t="s">
        <v>1266</v>
      </c>
      <c r="G605" t="s">
        <v>1267</v>
      </c>
      <c r="H605" t="s">
        <v>25</v>
      </c>
      <c r="I605" t="s">
        <v>26</v>
      </c>
      <c r="J605" t="s">
        <v>1225</v>
      </c>
      <c r="K605" t="s">
        <v>103</v>
      </c>
      <c r="L605">
        <v>78745</v>
      </c>
      <c r="M605" t="s">
        <v>104</v>
      </c>
      <c r="N605" t="s">
        <v>3503</v>
      </c>
      <c r="O605" t="s">
        <v>45</v>
      </c>
      <c r="P605" t="s">
        <v>74</v>
      </c>
      <c r="Q605" t="s">
        <v>3504</v>
      </c>
      <c r="R605">
        <v>2.7719999999999998</v>
      </c>
      <c r="S605">
        <v>7</v>
      </c>
      <c r="T605">
        <v>0.8</v>
      </c>
      <c r="U605">
        <v>-4.851</v>
      </c>
      <c r="V605" t="str">
        <f t="shared" si="9"/>
        <v>Katrina Willman</v>
      </c>
      <c r="W605">
        <f>Table2[Profit]/Table2[Sales]</f>
        <v>-1.7500000000000002</v>
      </c>
    </row>
    <row r="606" spans="1:23" x14ac:dyDescent="0.25">
      <c r="A606">
        <v>605</v>
      </c>
      <c r="B606" t="s">
        <v>3505</v>
      </c>
      <c r="C606" s="1">
        <v>42547</v>
      </c>
      <c r="D606" s="1">
        <v>42554</v>
      </c>
      <c r="E606" t="s">
        <v>49</v>
      </c>
      <c r="F606" t="s">
        <v>3506</v>
      </c>
      <c r="G606" t="s">
        <v>3507</v>
      </c>
      <c r="H606" t="s">
        <v>25</v>
      </c>
      <c r="I606" t="s">
        <v>26</v>
      </c>
      <c r="J606" t="s">
        <v>3508</v>
      </c>
      <c r="K606" t="s">
        <v>1388</v>
      </c>
      <c r="L606">
        <v>2908</v>
      </c>
      <c r="M606" t="s">
        <v>145</v>
      </c>
      <c r="N606" t="s">
        <v>1499</v>
      </c>
      <c r="O606" t="s">
        <v>45</v>
      </c>
      <c r="P606" t="s">
        <v>58</v>
      </c>
      <c r="Q606" t="s">
        <v>1500</v>
      </c>
      <c r="R606">
        <v>14.9</v>
      </c>
      <c r="S606">
        <v>5</v>
      </c>
      <c r="T606">
        <v>0</v>
      </c>
      <c r="U606">
        <v>1.0429999999999999</v>
      </c>
      <c r="V606" t="str">
        <f t="shared" si="9"/>
        <v>Gene McClure</v>
      </c>
      <c r="W606">
        <f>Table2[Profit]/Table2[Sales]</f>
        <v>6.9999999999999993E-2</v>
      </c>
    </row>
    <row r="607" spans="1:23" x14ac:dyDescent="0.25">
      <c r="A607">
        <v>606</v>
      </c>
      <c r="B607" t="s">
        <v>3509</v>
      </c>
      <c r="C607" s="1">
        <v>42189</v>
      </c>
      <c r="D607" s="1">
        <v>42193</v>
      </c>
      <c r="E607" t="s">
        <v>49</v>
      </c>
      <c r="F607" t="s">
        <v>524</v>
      </c>
      <c r="G607" t="s">
        <v>525</v>
      </c>
      <c r="H607" t="s">
        <v>101</v>
      </c>
      <c r="I607" t="s">
        <v>26</v>
      </c>
      <c r="J607" t="s">
        <v>263</v>
      </c>
      <c r="K607" t="s">
        <v>264</v>
      </c>
      <c r="L607">
        <v>10035</v>
      </c>
      <c r="M607" t="s">
        <v>145</v>
      </c>
      <c r="N607" t="s">
        <v>3510</v>
      </c>
      <c r="O607" t="s">
        <v>45</v>
      </c>
      <c r="P607" t="s">
        <v>67</v>
      </c>
      <c r="Q607" t="s">
        <v>3511</v>
      </c>
      <c r="R607">
        <v>15.48</v>
      </c>
      <c r="S607">
        <v>3</v>
      </c>
      <c r="T607">
        <v>0</v>
      </c>
      <c r="U607">
        <v>4.4892000000000003</v>
      </c>
      <c r="V607" t="str">
        <f t="shared" si="9"/>
        <v>Alan Dominguez</v>
      </c>
      <c r="W607">
        <f>Table2[Profit]/Table2[Sales]</f>
        <v>0.29000000000000004</v>
      </c>
    </row>
    <row r="608" spans="1:23" x14ac:dyDescent="0.25">
      <c r="A608">
        <v>607</v>
      </c>
      <c r="B608" t="s">
        <v>3512</v>
      </c>
      <c r="C608" s="1">
        <v>42696</v>
      </c>
      <c r="D608" s="1">
        <v>42700</v>
      </c>
      <c r="E608" t="s">
        <v>49</v>
      </c>
      <c r="F608" t="s">
        <v>3513</v>
      </c>
      <c r="G608" t="s">
        <v>3514</v>
      </c>
      <c r="H608" t="s">
        <v>40</v>
      </c>
      <c r="I608" t="s">
        <v>26</v>
      </c>
      <c r="J608" t="s">
        <v>263</v>
      </c>
      <c r="K608" t="s">
        <v>264</v>
      </c>
      <c r="L608">
        <v>10009</v>
      </c>
      <c r="M608" t="s">
        <v>145</v>
      </c>
      <c r="N608" t="s">
        <v>291</v>
      </c>
      <c r="O608" t="s">
        <v>31</v>
      </c>
      <c r="P608" t="s">
        <v>64</v>
      </c>
      <c r="Q608" t="s">
        <v>292</v>
      </c>
      <c r="R608">
        <v>39.880000000000003</v>
      </c>
      <c r="S608">
        <v>2</v>
      </c>
      <c r="T608">
        <v>0</v>
      </c>
      <c r="U608">
        <v>11.166399999999999</v>
      </c>
      <c r="V608" t="str">
        <f t="shared" si="9"/>
        <v>Todd Boyes</v>
      </c>
      <c r="W608">
        <f>Table2[Profit]/Table2[Sales]</f>
        <v>0.27999999999999997</v>
      </c>
    </row>
    <row r="609" spans="1:23" x14ac:dyDescent="0.25">
      <c r="A609">
        <v>608</v>
      </c>
      <c r="B609" t="s">
        <v>3517</v>
      </c>
      <c r="C609" s="1">
        <v>42684</v>
      </c>
      <c r="D609" s="1">
        <v>42686</v>
      </c>
      <c r="E609" t="s">
        <v>185</v>
      </c>
      <c r="F609" t="s">
        <v>2100</v>
      </c>
      <c r="G609" t="s">
        <v>2101</v>
      </c>
      <c r="H609" t="s">
        <v>101</v>
      </c>
      <c r="I609" t="s">
        <v>26</v>
      </c>
      <c r="J609" t="s">
        <v>126</v>
      </c>
      <c r="K609" t="s">
        <v>42</v>
      </c>
      <c r="L609">
        <v>94122</v>
      </c>
      <c r="M609" t="s">
        <v>43</v>
      </c>
      <c r="N609" t="s">
        <v>3518</v>
      </c>
      <c r="O609" t="s">
        <v>45</v>
      </c>
      <c r="P609" t="s">
        <v>74</v>
      </c>
      <c r="Q609" t="s">
        <v>3519</v>
      </c>
      <c r="R609">
        <v>13.215999999999999</v>
      </c>
      <c r="S609">
        <v>4</v>
      </c>
      <c r="T609">
        <v>0.2</v>
      </c>
      <c r="U609">
        <v>4.4603999999999999</v>
      </c>
      <c r="V609" t="str">
        <f t="shared" si="9"/>
        <v>Chuck Clark</v>
      </c>
      <c r="W609">
        <f>Table2[Profit]/Table2[Sales]</f>
        <v>0.33750000000000002</v>
      </c>
    </row>
    <row r="610" spans="1:23" x14ac:dyDescent="0.25">
      <c r="A610">
        <v>609</v>
      </c>
      <c r="B610" t="s">
        <v>3520</v>
      </c>
      <c r="C610" s="1">
        <v>42243</v>
      </c>
      <c r="D610" s="1">
        <v>42248</v>
      </c>
      <c r="E610" t="s">
        <v>49</v>
      </c>
      <c r="F610" t="s">
        <v>529</v>
      </c>
      <c r="G610" t="s">
        <v>530</v>
      </c>
      <c r="H610" t="s">
        <v>25</v>
      </c>
      <c r="I610" t="s">
        <v>26</v>
      </c>
      <c r="J610" t="s">
        <v>941</v>
      </c>
      <c r="K610" t="s">
        <v>42</v>
      </c>
      <c r="L610">
        <v>92105</v>
      </c>
      <c r="M610" t="s">
        <v>43</v>
      </c>
      <c r="N610" t="s">
        <v>571</v>
      </c>
      <c r="O610" t="s">
        <v>45</v>
      </c>
      <c r="P610" t="s">
        <v>572</v>
      </c>
      <c r="Q610" t="s">
        <v>573</v>
      </c>
      <c r="R610">
        <v>32.94</v>
      </c>
      <c r="S610">
        <v>3</v>
      </c>
      <c r="T610">
        <v>0</v>
      </c>
      <c r="U610">
        <v>9.2232000000000003</v>
      </c>
      <c r="V610" t="str">
        <f t="shared" si="9"/>
        <v>Philip Fox</v>
      </c>
      <c r="W610">
        <f>Table2[Profit]/Table2[Sales]</f>
        <v>0.28000000000000003</v>
      </c>
    </row>
    <row r="611" spans="1:23" x14ac:dyDescent="0.25">
      <c r="A611">
        <v>610</v>
      </c>
      <c r="B611" t="s">
        <v>3521</v>
      </c>
      <c r="C611" s="1">
        <v>42149</v>
      </c>
      <c r="D611" s="1">
        <v>42153</v>
      </c>
      <c r="E611" t="s">
        <v>49</v>
      </c>
      <c r="F611" t="s">
        <v>3522</v>
      </c>
      <c r="G611" t="s">
        <v>3523</v>
      </c>
      <c r="H611" t="s">
        <v>25</v>
      </c>
      <c r="I611" t="s">
        <v>26</v>
      </c>
      <c r="J611" t="s">
        <v>3524</v>
      </c>
      <c r="K611" t="s">
        <v>450</v>
      </c>
      <c r="L611">
        <v>81001</v>
      </c>
      <c r="M611" t="s">
        <v>43</v>
      </c>
      <c r="N611" t="s">
        <v>2781</v>
      </c>
      <c r="O611" t="s">
        <v>45</v>
      </c>
      <c r="P611" t="s">
        <v>77</v>
      </c>
      <c r="Q611" t="s">
        <v>2782</v>
      </c>
      <c r="R611">
        <v>845.72799999999995</v>
      </c>
      <c r="S611">
        <v>13</v>
      </c>
      <c r="T611">
        <v>0.2</v>
      </c>
      <c r="U611">
        <v>84.572800000000001</v>
      </c>
      <c r="V611" t="str">
        <f t="shared" si="9"/>
        <v>Justin Hirsh</v>
      </c>
      <c r="W611">
        <f>Table2[Profit]/Table2[Sales]</f>
        <v>0.1</v>
      </c>
    </row>
    <row r="612" spans="1:23" x14ac:dyDescent="0.25">
      <c r="A612">
        <v>611</v>
      </c>
      <c r="B612" t="s">
        <v>3525</v>
      </c>
      <c r="C612" s="1">
        <v>43099</v>
      </c>
      <c r="D612" s="1">
        <v>43103</v>
      </c>
      <c r="E612" t="s">
        <v>49</v>
      </c>
      <c r="F612" t="s">
        <v>3526</v>
      </c>
      <c r="G612" t="s">
        <v>3527</v>
      </c>
      <c r="H612" t="s">
        <v>40</v>
      </c>
      <c r="I612" t="s">
        <v>26</v>
      </c>
      <c r="J612" t="s">
        <v>739</v>
      </c>
      <c r="K612" t="s">
        <v>42</v>
      </c>
      <c r="L612">
        <v>94533</v>
      </c>
      <c r="M612" t="s">
        <v>43</v>
      </c>
      <c r="N612" t="s">
        <v>2024</v>
      </c>
      <c r="O612" t="s">
        <v>45</v>
      </c>
      <c r="P612" t="s">
        <v>74</v>
      </c>
      <c r="Q612" t="s">
        <v>2025</v>
      </c>
      <c r="R612">
        <v>13.904</v>
      </c>
      <c r="S612">
        <v>2</v>
      </c>
      <c r="T612">
        <v>0.2</v>
      </c>
      <c r="U612">
        <v>4.5187999999999997</v>
      </c>
      <c r="V612" t="str">
        <f t="shared" si="9"/>
        <v>Erica Bern</v>
      </c>
      <c r="W612">
        <f>Table2[Profit]/Table2[Sales]</f>
        <v>0.32499999999999996</v>
      </c>
    </row>
    <row r="613" spans="1:23" x14ac:dyDescent="0.25">
      <c r="A613">
        <v>612</v>
      </c>
      <c r="B613" t="s">
        <v>3529</v>
      </c>
      <c r="C613" s="1">
        <v>42712</v>
      </c>
      <c r="D613" s="1">
        <v>42716</v>
      </c>
      <c r="E613" t="s">
        <v>22</v>
      </c>
      <c r="F613" t="s">
        <v>3530</v>
      </c>
      <c r="G613" t="s">
        <v>3531</v>
      </c>
      <c r="H613" t="s">
        <v>40</v>
      </c>
      <c r="I613" t="s">
        <v>26</v>
      </c>
      <c r="J613" t="s">
        <v>429</v>
      </c>
      <c r="K613" t="s">
        <v>226</v>
      </c>
      <c r="L613">
        <v>55106</v>
      </c>
      <c r="M613" t="s">
        <v>104</v>
      </c>
      <c r="N613" t="s">
        <v>1758</v>
      </c>
      <c r="O613" t="s">
        <v>70</v>
      </c>
      <c r="P613" t="s">
        <v>71</v>
      </c>
      <c r="Q613" t="s">
        <v>1759</v>
      </c>
      <c r="R613">
        <v>114.95</v>
      </c>
      <c r="S613">
        <v>5</v>
      </c>
      <c r="T613">
        <v>0</v>
      </c>
      <c r="U613">
        <v>2.2989999999999999</v>
      </c>
      <c r="V613" t="str">
        <f t="shared" si="9"/>
        <v>Quincy Jones</v>
      </c>
      <c r="W613">
        <f>Table2[Profit]/Table2[Sales]</f>
        <v>0.02</v>
      </c>
    </row>
    <row r="614" spans="1:23" x14ac:dyDescent="0.25">
      <c r="A614">
        <v>613</v>
      </c>
      <c r="B614" t="s">
        <v>3532</v>
      </c>
      <c r="C614" s="1">
        <v>42281</v>
      </c>
      <c r="D614" s="1">
        <v>42284</v>
      </c>
      <c r="E614" t="s">
        <v>185</v>
      </c>
      <c r="F614" t="s">
        <v>3268</v>
      </c>
      <c r="G614" t="s">
        <v>3269</v>
      </c>
      <c r="H614" t="s">
        <v>25</v>
      </c>
      <c r="I614" t="s">
        <v>26</v>
      </c>
      <c r="J614" t="s">
        <v>126</v>
      </c>
      <c r="K614" t="s">
        <v>42</v>
      </c>
      <c r="L614">
        <v>94109</v>
      </c>
      <c r="M614" t="s">
        <v>43</v>
      </c>
      <c r="N614" t="s">
        <v>627</v>
      </c>
      <c r="O614" t="s">
        <v>45</v>
      </c>
      <c r="P614" t="s">
        <v>58</v>
      </c>
      <c r="Q614" t="s">
        <v>628</v>
      </c>
      <c r="R614">
        <v>26.96</v>
      </c>
      <c r="S614">
        <v>2</v>
      </c>
      <c r="T614">
        <v>0</v>
      </c>
      <c r="U614">
        <v>7.0095999999999998</v>
      </c>
      <c r="V614" t="str">
        <f t="shared" si="9"/>
        <v>Alex Avila</v>
      </c>
      <c r="W614">
        <f>Table2[Profit]/Table2[Sales]</f>
        <v>0.26</v>
      </c>
    </row>
    <row r="615" spans="1:23" x14ac:dyDescent="0.25">
      <c r="A615">
        <v>614</v>
      </c>
      <c r="B615" t="s">
        <v>3533</v>
      </c>
      <c r="C615" s="1">
        <v>42727</v>
      </c>
      <c r="D615" s="1">
        <v>42729</v>
      </c>
      <c r="E615" t="s">
        <v>22</v>
      </c>
      <c r="F615" t="s">
        <v>806</v>
      </c>
      <c r="G615" t="s">
        <v>807</v>
      </c>
      <c r="H615" t="s">
        <v>25</v>
      </c>
      <c r="I615" t="s">
        <v>26</v>
      </c>
      <c r="J615" t="s">
        <v>311</v>
      </c>
      <c r="K615" t="s">
        <v>312</v>
      </c>
      <c r="L615">
        <v>22153</v>
      </c>
      <c r="M615" t="s">
        <v>29</v>
      </c>
      <c r="N615" t="s">
        <v>191</v>
      </c>
      <c r="O615" t="s">
        <v>31</v>
      </c>
      <c r="P615" t="s">
        <v>64</v>
      </c>
      <c r="Q615" t="s">
        <v>192</v>
      </c>
      <c r="R615">
        <v>572.76</v>
      </c>
      <c r="S615">
        <v>6</v>
      </c>
      <c r="T615">
        <v>0</v>
      </c>
      <c r="U615">
        <v>166.10040000000001</v>
      </c>
      <c r="V615" t="str">
        <f t="shared" si="9"/>
        <v>Logan Currie</v>
      </c>
      <c r="W615">
        <f>Table2[Profit]/Table2[Sales]</f>
        <v>0.29000000000000004</v>
      </c>
    </row>
    <row r="616" spans="1:23" x14ac:dyDescent="0.25">
      <c r="A616">
        <v>615</v>
      </c>
      <c r="B616" t="s">
        <v>3534</v>
      </c>
      <c r="C616" s="1">
        <v>42266</v>
      </c>
      <c r="D616" s="1">
        <v>42271</v>
      </c>
      <c r="E616" t="s">
        <v>22</v>
      </c>
      <c r="F616" t="s">
        <v>3535</v>
      </c>
      <c r="G616" t="s">
        <v>3536</v>
      </c>
      <c r="H616" t="s">
        <v>101</v>
      </c>
      <c r="I616" t="s">
        <v>26</v>
      </c>
      <c r="J616" t="s">
        <v>1119</v>
      </c>
      <c r="K616" t="s">
        <v>312</v>
      </c>
      <c r="L616">
        <v>22204</v>
      </c>
      <c r="M616" t="s">
        <v>29</v>
      </c>
      <c r="N616" t="s">
        <v>3537</v>
      </c>
      <c r="O616" t="s">
        <v>31</v>
      </c>
      <c r="P616" t="s">
        <v>32</v>
      </c>
      <c r="Q616" t="s">
        <v>3538</v>
      </c>
      <c r="R616">
        <v>61.96</v>
      </c>
      <c r="S616">
        <v>2</v>
      </c>
      <c r="T616">
        <v>0</v>
      </c>
      <c r="U616">
        <v>4.3372000000000002</v>
      </c>
      <c r="V616" t="str">
        <f t="shared" si="9"/>
        <v>Tracy Collins</v>
      </c>
      <c r="W616">
        <f>Table2[Profit]/Table2[Sales]</f>
        <v>7.0000000000000007E-2</v>
      </c>
    </row>
    <row r="617" spans="1:23" x14ac:dyDescent="0.25">
      <c r="A617">
        <v>616</v>
      </c>
      <c r="B617" t="s">
        <v>3539</v>
      </c>
      <c r="C617" s="1">
        <v>42919</v>
      </c>
      <c r="D617" s="1">
        <v>42923</v>
      </c>
      <c r="E617" t="s">
        <v>49</v>
      </c>
      <c r="F617" t="s">
        <v>3540</v>
      </c>
      <c r="G617" t="s">
        <v>3541</v>
      </c>
      <c r="H617" t="s">
        <v>25</v>
      </c>
      <c r="I617" t="s">
        <v>26</v>
      </c>
      <c r="J617" t="s">
        <v>490</v>
      </c>
      <c r="K617" t="s">
        <v>1260</v>
      </c>
      <c r="L617">
        <v>31907</v>
      </c>
      <c r="M617" t="s">
        <v>29</v>
      </c>
      <c r="N617" t="s">
        <v>3542</v>
      </c>
      <c r="O617" t="s">
        <v>31</v>
      </c>
      <c r="P617" t="s">
        <v>64</v>
      </c>
      <c r="Q617" t="s">
        <v>3543</v>
      </c>
      <c r="R617">
        <v>23.99</v>
      </c>
      <c r="S617">
        <v>1</v>
      </c>
      <c r="T617">
        <v>0</v>
      </c>
      <c r="U617">
        <v>5.5176999999999996</v>
      </c>
      <c r="V617" t="str">
        <f t="shared" si="9"/>
        <v>Chuck Sachs</v>
      </c>
      <c r="W617">
        <f>Table2[Profit]/Table2[Sales]</f>
        <v>0.23</v>
      </c>
    </row>
    <row r="618" spans="1:23" x14ac:dyDescent="0.25">
      <c r="A618">
        <v>617</v>
      </c>
      <c r="B618" t="s">
        <v>3544</v>
      </c>
      <c r="C618" s="1">
        <v>42565</v>
      </c>
      <c r="D618" s="1">
        <v>42567</v>
      </c>
      <c r="E618" t="s">
        <v>22</v>
      </c>
      <c r="F618" t="s">
        <v>2429</v>
      </c>
      <c r="G618" t="s">
        <v>2430</v>
      </c>
      <c r="H618" t="s">
        <v>25</v>
      </c>
      <c r="I618" t="s">
        <v>26</v>
      </c>
      <c r="J618" t="s">
        <v>181</v>
      </c>
      <c r="K618" t="s">
        <v>103</v>
      </c>
      <c r="L618">
        <v>77036</v>
      </c>
      <c r="M618" t="s">
        <v>104</v>
      </c>
      <c r="N618" t="s">
        <v>3545</v>
      </c>
      <c r="O618" t="s">
        <v>70</v>
      </c>
      <c r="P618" t="s">
        <v>71</v>
      </c>
      <c r="Q618" t="s">
        <v>3546</v>
      </c>
      <c r="R618">
        <v>419.94400000000002</v>
      </c>
      <c r="S618">
        <v>7</v>
      </c>
      <c r="T618">
        <v>0.2</v>
      </c>
      <c r="U618">
        <v>52.493000000000002</v>
      </c>
      <c r="V618" t="str">
        <f t="shared" si="9"/>
        <v>Bryan Mills</v>
      </c>
      <c r="W618">
        <f>Table2[Profit]/Table2[Sales]</f>
        <v>0.125</v>
      </c>
    </row>
    <row r="619" spans="1:23" x14ac:dyDescent="0.25">
      <c r="A619">
        <v>618</v>
      </c>
      <c r="B619" t="s">
        <v>3547</v>
      </c>
      <c r="C619" s="1">
        <v>42541</v>
      </c>
      <c r="D619" s="1">
        <v>42542</v>
      </c>
      <c r="E619" t="s">
        <v>185</v>
      </c>
      <c r="F619" t="s">
        <v>976</v>
      </c>
      <c r="G619" t="s">
        <v>977</v>
      </c>
      <c r="H619" t="s">
        <v>25</v>
      </c>
      <c r="I619" t="s">
        <v>26</v>
      </c>
      <c r="J619" t="s">
        <v>596</v>
      </c>
      <c r="K619" t="s">
        <v>42</v>
      </c>
      <c r="L619">
        <v>91104</v>
      </c>
      <c r="M619" t="s">
        <v>43</v>
      </c>
      <c r="N619" t="s">
        <v>1839</v>
      </c>
      <c r="O619" t="s">
        <v>45</v>
      </c>
      <c r="P619" t="s">
        <v>89</v>
      </c>
      <c r="Q619" t="s">
        <v>1840</v>
      </c>
      <c r="R619">
        <v>46.76</v>
      </c>
      <c r="S619">
        <v>7</v>
      </c>
      <c r="T619">
        <v>0</v>
      </c>
      <c r="U619">
        <v>22.444800000000001</v>
      </c>
      <c r="V619" t="str">
        <f t="shared" si="9"/>
        <v>Roy Collins</v>
      </c>
      <c r="W619">
        <f>Table2[Profit]/Table2[Sales]</f>
        <v>0.48000000000000004</v>
      </c>
    </row>
    <row r="620" spans="1:23" x14ac:dyDescent="0.25">
      <c r="A620">
        <v>619</v>
      </c>
      <c r="B620" t="s">
        <v>3552</v>
      </c>
      <c r="C620" s="1">
        <v>42713</v>
      </c>
      <c r="D620" s="1">
        <v>42717</v>
      </c>
      <c r="E620" t="s">
        <v>49</v>
      </c>
      <c r="F620" t="s">
        <v>2050</v>
      </c>
      <c r="G620" t="s">
        <v>2051</v>
      </c>
      <c r="H620" t="s">
        <v>25</v>
      </c>
      <c r="I620" t="s">
        <v>26</v>
      </c>
      <c r="J620" t="s">
        <v>1465</v>
      </c>
      <c r="K620" t="s">
        <v>1233</v>
      </c>
      <c r="L620">
        <v>1841</v>
      </c>
      <c r="M620" t="s">
        <v>145</v>
      </c>
      <c r="N620" t="s">
        <v>3553</v>
      </c>
      <c r="O620" t="s">
        <v>45</v>
      </c>
      <c r="P620" t="s">
        <v>46</v>
      </c>
      <c r="Q620" t="s">
        <v>3554</v>
      </c>
      <c r="R620">
        <v>3.69</v>
      </c>
      <c r="S620">
        <v>1</v>
      </c>
      <c r="T620">
        <v>0</v>
      </c>
      <c r="U620">
        <v>1.7343</v>
      </c>
      <c r="V620" t="str">
        <f t="shared" si="9"/>
        <v>Fred McMath</v>
      </c>
      <c r="W620">
        <f>Table2[Profit]/Table2[Sales]</f>
        <v>0.47</v>
      </c>
    </row>
    <row r="621" spans="1:23" x14ac:dyDescent="0.25">
      <c r="A621">
        <v>620</v>
      </c>
      <c r="B621" t="s">
        <v>3557</v>
      </c>
      <c r="C621" s="1">
        <v>42637</v>
      </c>
      <c r="D621" s="1">
        <v>42644</v>
      </c>
      <c r="E621" t="s">
        <v>49</v>
      </c>
      <c r="F621" t="s">
        <v>110</v>
      </c>
      <c r="G621" t="s">
        <v>111</v>
      </c>
      <c r="H621" t="s">
        <v>25</v>
      </c>
      <c r="I621" t="s">
        <v>26</v>
      </c>
      <c r="J621" t="s">
        <v>490</v>
      </c>
      <c r="K621" t="s">
        <v>491</v>
      </c>
      <c r="L621">
        <v>43229</v>
      </c>
      <c r="M621" t="s">
        <v>145</v>
      </c>
      <c r="N621" t="s">
        <v>2450</v>
      </c>
      <c r="O621" t="s">
        <v>31</v>
      </c>
      <c r="P621" t="s">
        <v>35</v>
      </c>
      <c r="Q621" t="s">
        <v>2451</v>
      </c>
      <c r="R621">
        <v>155.37200000000001</v>
      </c>
      <c r="S621">
        <v>2</v>
      </c>
      <c r="T621">
        <v>0.3</v>
      </c>
      <c r="U621">
        <v>-13.317600000000001</v>
      </c>
      <c r="V621" t="str">
        <f t="shared" si="9"/>
        <v>Pete Kriz</v>
      </c>
      <c r="W621">
        <f>Table2[Profit]/Table2[Sales]</f>
        <v>-8.5714285714285715E-2</v>
      </c>
    </row>
    <row r="622" spans="1:23" x14ac:dyDescent="0.25">
      <c r="A622">
        <v>621</v>
      </c>
      <c r="B622" t="s">
        <v>3558</v>
      </c>
      <c r="C622" s="1">
        <v>42722</v>
      </c>
      <c r="D622" s="1">
        <v>42727</v>
      </c>
      <c r="E622" t="s">
        <v>49</v>
      </c>
      <c r="F622" t="s">
        <v>3559</v>
      </c>
      <c r="G622" t="s">
        <v>3560</v>
      </c>
      <c r="H622" t="s">
        <v>40</v>
      </c>
      <c r="I622" t="s">
        <v>26</v>
      </c>
      <c r="J622" t="s">
        <v>41</v>
      </c>
      <c r="K622" t="s">
        <v>42</v>
      </c>
      <c r="L622">
        <v>90032</v>
      </c>
      <c r="M622" t="s">
        <v>43</v>
      </c>
      <c r="N622" t="s">
        <v>3561</v>
      </c>
      <c r="O622" t="s">
        <v>45</v>
      </c>
      <c r="P622" t="s">
        <v>89</v>
      </c>
      <c r="Q622" t="s">
        <v>3562</v>
      </c>
      <c r="R622">
        <v>38.880000000000003</v>
      </c>
      <c r="S622">
        <v>6</v>
      </c>
      <c r="T622">
        <v>0</v>
      </c>
      <c r="U622">
        <v>18.662400000000002</v>
      </c>
      <c r="V622" t="str">
        <f t="shared" si="9"/>
        <v>Henry Goldwyn</v>
      </c>
      <c r="W622">
        <f>Table2[Profit]/Table2[Sales]</f>
        <v>0.48000000000000004</v>
      </c>
    </row>
    <row r="623" spans="1:23" x14ac:dyDescent="0.25">
      <c r="A623">
        <v>622</v>
      </c>
      <c r="B623" t="s">
        <v>3565</v>
      </c>
      <c r="C623" s="1">
        <v>43079</v>
      </c>
      <c r="D623" s="1">
        <v>43083</v>
      </c>
      <c r="E623" t="s">
        <v>49</v>
      </c>
      <c r="F623" t="s">
        <v>594</v>
      </c>
      <c r="G623" t="s">
        <v>595</v>
      </c>
      <c r="H623" t="s">
        <v>25</v>
      </c>
      <c r="I623" t="s">
        <v>26</v>
      </c>
      <c r="J623" t="s">
        <v>143</v>
      </c>
      <c r="K623" t="s">
        <v>144</v>
      </c>
      <c r="L623">
        <v>19120</v>
      </c>
      <c r="M623" t="s">
        <v>145</v>
      </c>
      <c r="N623" t="s">
        <v>3566</v>
      </c>
      <c r="O623" t="s">
        <v>70</v>
      </c>
      <c r="P623" t="s">
        <v>158</v>
      </c>
      <c r="Q623" t="s">
        <v>3567</v>
      </c>
      <c r="R623">
        <v>14.2</v>
      </c>
      <c r="S623">
        <v>1</v>
      </c>
      <c r="T623">
        <v>0.2</v>
      </c>
      <c r="U623">
        <v>3.3725000000000001</v>
      </c>
      <c r="V623" t="str">
        <f t="shared" si="9"/>
        <v>Helen Andreada</v>
      </c>
      <c r="W623">
        <f>Table2[Profit]/Table2[Sales]</f>
        <v>0.23750000000000002</v>
      </c>
    </row>
    <row r="624" spans="1:23" x14ac:dyDescent="0.25">
      <c r="A624">
        <v>623</v>
      </c>
      <c r="B624" t="s">
        <v>3568</v>
      </c>
      <c r="C624" s="1">
        <v>41821</v>
      </c>
      <c r="D624" s="1">
        <v>41825</v>
      </c>
      <c r="E624" t="s">
        <v>49</v>
      </c>
      <c r="F624" t="s">
        <v>3569</v>
      </c>
      <c r="G624" t="s">
        <v>3570</v>
      </c>
      <c r="H624" t="s">
        <v>40</v>
      </c>
      <c r="I624" t="s">
        <v>26</v>
      </c>
      <c r="J624" t="s">
        <v>3571</v>
      </c>
      <c r="K624" t="s">
        <v>53</v>
      </c>
      <c r="L624">
        <v>32725</v>
      </c>
      <c r="M624" t="s">
        <v>29</v>
      </c>
      <c r="N624" t="s">
        <v>3446</v>
      </c>
      <c r="O624" t="s">
        <v>70</v>
      </c>
      <c r="P624" t="s">
        <v>71</v>
      </c>
      <c r="Q624" t="s">
        <v>3447</v>
      </c>
      <c r="R624">
        <v>575.91999999999996</v>
      </c>
      <c r="S624">
        <v>2</v>
      </c>
      <c r="T624">
        <v>0.2</v>
      </c>
      <c r="U624">
        <v>71.989999999999995</v>
      </c>
      <c r="V624" t="str">
        <f t="shared" si="9"/>
        <v>Laurel Workman</v>
      </c>
      <c r="W624">
        <f>Table2[Profit]/Table2[Sales]</f>
        <v>0.125</v>
      </c>
    </row>
    <row r="625" spans="1:23" x14ac:dyDescent="0.25">
      <c r="A625">
        <v>624</v>
      </c>
      <c r="B625" t="s">
        <v>3572</v>
      </c>
      <c r="C625" s="1">
        <v>42769</v>
      </c>
      <c r="D625" s="1">
        <v>42774</v>
      </c>
      <c r="E625" t="s">
        <v>49</v>
      </c>
      <c r="F625" t="s">
        <v>3573</v>
      </c>
      <c r="G625" t="s">
        <v>3574</v>
      </c>
      <c r="H625" t="s">
        <v>25</v>
      </c>
      <c r="I625" t="s">
        <v>26</v>
      </c>
      <c r="J625" t="s">
        <v>999</v>
      </c>
      <c r="K625" t="s">
        <v>491</v>
      </c>
      <c r="L625">
        <v>45231</v>
      </c>
      <c r="M625" t="s">
        <v>145</v>
      </c>
      <c r="N625" t="s">
        <v>2691</v>
      </c>
      <c r="O625" t="s">
        <v>45</v>
      </c>
      <c r="P625" t="s">
        <v>74</v>
      </c>
      <c r="Q625" t="s">
        <v>2692</v>
      </c>
      <c r="R625">
        <v>5.2290000000000001</v>
      </c>
      <c r="S625">
        <v>3</v>
      </c>
      <c r="T625">
        <v>0.7</v>
      </c>
      <c r="U625">
        <v>-4.1832000000000003</v>
      </c>
      <c r="V625" t="str">
        <f t="shared" si="9"/>
        <v>Matt Collins</v>
      </c>
      <c r="W625">
        <f>Table2[Profit]/Table2[Sales]</f>
        <v>-0.8</v>
      </c>
    </row>
    <row r="626" spans="1:23" x14ac:dyDescent="0.25">
      <c r="A626">
        <v>625</v>
      </c>
      <c r="B626" t="s">
        <v>3575</v>
      </c>
      <c r="C626" s="1">
        <v>42797</v>
      </c>
      <c r="D626" s="1">
        <v>42802</v>
      </c>
      <c r="E626" t="s">
        <v>49</v>
      </c>
      <c r="F626" t="s">
        <v>3576</v>
      </c>
      <c r="G626" t="s">
        <v>3577</v>
      </c>
      <c r="H626" t="s">
        <v>25</v>
      </c>
      <c r="I626" t="s">
        <v>26</v>
      </c>
      <c r="J626" t="s">
        <v>3578</v>
      </c>
      <c r="K626" t="s">
        <v>28</v>
      </c>
      <c r="L626">
        <v>42071</v>
      </c>
      <c r="M626" t="s">
        <v>29</v>
      </c>
      <c r="N626" t="s">
        <v>3579</v>
      </c>
      <c r="O626" t="s">
        <v>45</v>
      </c>
      <c r="P626" t="s">
        <v>77</v>
      </c>
      <c r="Q626" t="s">
        <v>3580</v>
      </c>
      <c r="R626">
        <v>72.8</v>
      </c>
      <c r="S626">
        <v>5</v>
      </c>
      <c r="T626">
        <v>0</v>
      </c>
      <c r="U626">
        <v>19.655999999999999</v>
      </c>
      <c r="V626" t="str">
        <f t="shared" si="9"/>
        <v>Liz Preis</v>
      </c>
      <c r="W626">
        <f>Table2[Profit]/Table2[Sales]</f>
        <v>0.27</v>
      </c>
    </row>
    <row r="627" spans="1:23" x14ac:dyDescent="0.25">
      <c r="A627">
        <v>626</v>
      </c>
      <c r="B627" t="s">
        <v>3581</v>
      </c>
      <c r="C627" s="1">
        <v>43017</v>
      </c>
      <c r="D627" s="1">
        <v>43018</v>
      </c>
      <c r="E627" t="s">
        <v>185</v>
      </c>
      <c r="F627" t="s">
        <v>3582</v>
      </c>
      <c r="G627" t="s">
        <v>3583</v>
      </c>
      <c r="H627" t="s">
        <v>25</v>
      </c>
      <c r="I627" t="s">
        <v>26</v>
      </c>
      <c r="J627" t="s">
        <v>514</v>
      </c>
      <c r="K627" t="s">
        <v>87</v>
      </c>
      <c r="L627">
        <v>28403</v>
      </c>
      <c r="M627" t="s">
        <v>29</v>
      </c>
      <c r="N627" t="s">
        <v>3584</v>
      </c>
      <c r="O627" t="s">
        <v>45</v>
      </c>
      <c r="P627" t="s">
        <v>89</v>
      </c>
      <c r="Q627" t="s">
        <v>3585</v>
      </c>
      <c r="R627">
        <v>10.816000000000001</v>
      </c>
      <c r="S627">
        <v>4</v>
      </c>
      <c r="T627">
        <v>0.2</v>
      </c>
      <c r="U627">
        <v>3.5152000000000001</v>
      </c>
      <c r="V627" t="str">
        <f t="shared" si="9"/>
        <v>Evan Bailliet</v>
      </c>
      <c r="W627">
        <f>Table2[Profit]/Table2[Sales]</f>
        <v>0.32500000000000001</v>
      </c>
    </row>
    <row r="628" spans="1:23" x14ac:dyDescent="0.25">
      <c r="A628">
        <v>627</v>
      </c>
      <c r="B628" t="s">
        <v>3586</v>
      </c>
      <c r="C628" s="1">
        <v>41910</v>
      </c>
      <c r="D628" s="1">
        <v>41915</v>
      </c>
      <c r="E628" t="s">
        <v>49</v>
      </c>
      <c r="F628" t="s">
        <v>3587</v>
      </c>
      <c r="G628" t="s">
        <v>3588</v>
      </c>
      <c r="H628" t="s">
        <v>40</v>
      </c>
      <c r="I628" t="s">
        <v>26</v>
      </c>
      <c r="J628" t="s">
        <v>1465</v>
      </c>
      <c r="K628" t="s">
        <v>1233</v>
      </c>
      <c r="L628">
        <v>1841</v>
      </c>
      <c r="M628" t="s">
        <v>145</v>
      </c>
      <c r="N628" t="s">
        <v>1611</v>
      </c>
      <c r="O628" t="s">
        <v>45</v>
      </c>
      <c r="P628" t="s">
        <v>58</v>
      </c>
      <c r="Q628" t="s">
        <v>1612</v>
      </c>
      <c r="R628">
        <v>46.26</v>
      </c>
      <c r="S628">
        <v>3</v>
      </c>
      <c r="T628">
        <v>0</v>
      </c>
      <c r="U628">
        <v>12.4902</v>
      </c>
      <c r="V628" t="str">
        <f t="shared" si="9"/>
        <v>George Zrebassa</v>
      </c>
      <c r="W628">
        <f>Table2[Profit]/Table2[Sales]</f>
        <v>0.27</v>
      </c>
    </row>
    <row r="629" spans="1:23" x14ac:dyDescent="0.25">
      <c r="A629">
        <v>628</v>
      </c>
      <c r="B629" t="s">
        <v>3589</v>
      </c>
      <c r="C629" s="1">
        <v>41786</v>
      </c>
      <c r="D629" s="1">
        <v>41789</v>
      </c>
      <c r="E629" t="s">
        <v>185</v>
      </c>
      <c r="F629" t="s">
        <v>817</v>
      </c>
      <c r="G629" t="s">
        <v>818</v>
      </c>
      <c r="H629" t="s">
        <v>25</v>
      </c>
      <c r="I629" t="s">
        <v>26</v>
      </c>
      <c r="J629" t="s">
        <v>296</v>
      </c>
      <c r="K629" t="s">
        <v>208</v>
      </c>
      <c r="L629">
        <v>60653</v>
      </c>
      <c r="M629" t="s">
        <v>104</v>
      </c>
      <c r="N629" t="s">
        <v>3590</v>
      </c>
      <c r="O629" t="s">
        <v>45</v>
      </c>
      <c r="P629" t="s">
        <v>74</v>
      </c>
      <c r="Q629" t="s">
        <v>3591</v>
      </c>
      <c r="R629">
        <v>17.46</v>
      </c>
      <c r="S629">
        <v>6</v>
      </c>
      <c r="T629">
        <v>0.8</v>
      </c>
      <c r="U629">
        <v>-30.555</v>
      </c>
      <c r="V629" t="str">
        <f t="shared" si="9"/>
        <v>Laurel Elliston</v>
      </c>
      <c r="W629">
        <f>Table2[Profit]/Table2[Sales]</f>
        <v>-1.75</v>
      </c>
    </row>
    <row r="630" spans="1:23" x14ac:dyDescent="0.25">
      <c r="A630">
        <v>629</v>
      </c>
      <c r="B630" t="s">
        <v>3592</v>
      </c>
      <c r="C630" s="1">
        <v>42169</v>
      </c>
      <c r="D630" s="1">
        <v>42173</v>
      </c>
      <c r="E630" t="s">
        <v>49</v>
      </c>
      <c r="F630" t="s">
        <v>524</v>
      </c>
      <c r="G630" t="s">
        <v>525</v>
      </c>
      <c r="H630" t="s">
        <v>101</v>
      </c>
      <c r="I630" t="s">
        <v>26</v>
      </c>
      <c r="J630" t="s">
        <v>143</v>
      </c>
      <c r="K630" t="s">
        <v>144</v>
      </c>
      <c r="L630">
        <v>19120</v>
      </c>
      <c r="M630" t="s">
        <v>145</v>
      </c>
      <c r="N630" t="s">
        <v>3364</v>
      </c>
      <c r="O630" t="s">
        <v>31</v>
      </c>
      <c r="P630" t="s">
        <v>64</v>
      </c>
      <c r="Q630" t="s">
        <v>3365</v>
      </c>
      <c r="R630">
        <v>51.072000000000003</v>
      </c>
      <c r="S630">
        <v>6</v>
      </c>
      <c r="T630">
        <v>0.2</v>
      </c>
      <c r="U630">
        <v>5.1071999999999997</v>
      </c>
      <c r="V630" t="str">
        <f t="shared" si="9"/>
        <v>Alan Dominguez</v>
      </c>
      <c r="W630">
        <f>Table2[Profit]/Table2[Sales]</f>
        <v>9.9999999999999992E-2</v>
      </c>
    </row>
    <row r="631" spans="1:23" x14ac:dyDescent="0.25">
      <c r="A631">
        <v>630</v>
      </c>
      <c r="B631" t="s">
        <v>3593</v>
      </c>
      <c r="C631" s="1">
        <v>42459</v>
      </c>
      <c r="D631" s="1">
        <v>42461</v>
      </c>
      <c r="E631" t="s">
        <v>185</v>
      </c>
      <c r="F631" t="s">
        <v>3594</v>
      </c>
      <c r="G631" t="s">
        <v>3595</v>
      </c>
      <c r="H631" t="s">
        <v>40</v>
      </c>
      <c r="I631" t="s">
        <v>26</v>
      </c>
      <c r="J631" t="s">
        <v>2762</v>
      </c>
      <c r="K631" t="s">
        <v>740</v>
      </c>
      <c r="L631">
        <v>6360</v>
      </c>
      <c r="M631" t="s">
        <v>145</v>
      </c>
      <c r="N631" t="s">
        <v>2901</v>
      </c>
      <c r="O631" t="s">
        <v>45</v>
      </c>
      <c r="P631" t="s">
        <v>89</v>
      </c>
      <c r="Q631" t="s">
        <v>2902</v>
      </c>
      <c r="R631">
        <v>11.34</v>
      </c>
      <c r="S631">
        <v>1</v>
      </c>
      <c r="T631">
        <v>0</v>
      </c>
      <c r="U631">
        <v>5.5566000000000004</v>
      </c>
      <c r="V631" t="str">
        <f t="shared" si="9"/>
        <v>Cathy Prescott</v>
      </c>
      <c r="W631">
        <f>Table2[Profit]/Table2[Sales]</f>
        <v>0.49000000000000005</v>
      </c>
    </row>
    <row r="632" spans="1:23" x14ac:dyDescent="0.25">
      <c r="A632">
        <v>631</v>
      </c>
      <c r="B632" t="s">
        <v>3596</v>
      </c>
      <c r="C632" s="1">
        <v>43023</v>
      </c>
      <c r="D632" s="1">
        <v>43026</v>
      </c>
      <c r="E632" t="s">
        <v>22</v>
      </c>
      <c r="F632" t="s">
        <v>3597</v>
      </c>
      <c r="G632" t="s">
        <v>3598</v>
      </c>
      <c r="H632" t="s">
        <v>101</v>
      </c>
      <c r="I632" t="s">
        <v>26</v>
      </c>
      <c r="J632" t="s">
        <v>126</v>
      </c>
      <c r="K632" t="s">
        <v>42</v>
      </c>
      <c r="L632">
        <v>94110</v>
      </c>
      <c r="M632" t="s">
        <v>43</v>
      </c>
      <c r="N632" t="s">
        <v>3599</v>
      </c>
      <c r="O632" t="s">
        <v>45</v>
      </c>
      <c r="P632" t="s">
        <v>67</v>
      </c>
      <c r="Q632" t="s">
        <v>3600</v>
      </c>
      <c r="R632">
        <v>87.92</v>
      </c>
      <c r="S632">
        <v>4</v>
      </c>
      <c r="T632">
        <v>0</v>
      </c>
      <c r="U632">
        <v>26.376000000000001</v>
      </c>
      <c r="V632" t="str">
        <f t="shared" si="9"/>
        <v>Frank Gastineau</v>
      </c>
      <c r="W632">
        <f>Table2[Profit]/Table2[Sales]</f>
        <v>0.3</v>
      </c>
    </row>
    <row r="633" spans="1:23" x14ac:dyDescent="0.25">
      <c r="A633">
        <v>632</v>
      </c>
      <c r="B633" t="s">
        <v>3601</v>
      </c>
      <c r="C633" s="1">
        <v>42513</v>
      </c>
      <c r="D633" s="1">
        <v>42517</v>
      </c>
      <c r="E633" t="s">
        <v>49</v>
      </c>
      <c r="F633" t="s">
        <v>3602</v>
      </c>
      <c r="G633" t="s">
        <v>3603</v>
      </c>
      <c r="H633" t="s">
        <v>25</v>
      </c>
      <c r="I633" t="s">
        <v>26</v>
      </c>
      <c r="J633" t="s">
        <v>126</v>
      </c>
      <c r="K633" t="s">
        <v>42</v>
      </c>
      <c r="L633">
        <v>94109</v>
      </c>
      <c r="M633" t="s">
        <v>43</v>
      </c>
      <c r="N633" t="s">
        <v>3400</v>
      </c>
      <c r="O633" t="s">
        <v>31</v>
      </c>
      <c r="P633" t="s">
        <v>64</v>
      </c>
      <c r="Q633" t="s">
        <v>3401</v>
      </c>
      <c r="R633">
        <v>37.049999999999997</v>
      </c>
      <c r="S633">
        <v>3</v>
      </c>
      <c r="T633">
        <v>0</v>
      </c>
      <c r="U633">
        <v>16.302</v>
      </c>
      <c r="V633" t="str">
        <f t="shared" si="9"/>
        <v>Lisa DeCherney</v>
      </c>
      <c r="W633">
        <f>Table2[Profit]/Table2[Sales]</f>
        <v>0.44</v>
      </c>
    </row>
    <row r="634" spans="1:23" x14ac:dyDescent="0.25">
      <c r="A634">
        <v>633</v>
      </c>
      <c r="B634" t="s">
        <v>3604</v>
      </c>
      <c r="C634" s="1">
        <v>42888</v>
      </c>
      <c r="D634" s="1">
        <v>42892</v>
      </c>
      <c r="E634" t="s">
        <v>49</v>
      </c>
      <c r="F634" t="s">
        <v>3605</v>
      </c>
      <c r="G634" t="s">
        <v>3606</v>
      </c>
      <c r="H634" t="s">
        <v>101</v>
      </c>
      <c r="I634" t="s">
        <v>26</v>
      </c>
      <c r="J634" t="s">
        <v>2591</v>
      </c>
      <c r="K634" t="s">
        <v>491</v>
      </c>
      <c r="L634">
        <v>44052</v>
      </c>
      <c r="M634" t="s">
        <v>145</v>
      </c>
      <c r="N634" t="s">
        <v>1910</v>
      </c>
      <c r="O634" t="s">
        <v>70</v>
      </c>
      <c r="P634" t="s">
        <v>71</v>
      </c>
      <c r="Q634" t="s">
        <v>1911</v>
      </c>
      <c r="R634">
        <v>2.97</v>
      </c>
      <c r="S634">
        <v>1</v>
      </c>
      <c r="T634">
        <v>0.4</v>
      </c>
      <c r="U634">
        <v>-0.64349999999999996</v>
      </c>
      <c r="V634" t="str">
        <f t="shared" si="9"/>
        <v>Alejandro Ballentine</v>
      </c>
      <c r="W634">
        <f>Table2[Profit]/Table2[Sales]</f>
        <v>-0.21666666666666665</v>
      </c>
    </row>
    <row r="635" spans="1:23" x14ac:dyDescent="0.25">
      <c r="A635">
        <v>634</v>
      </c>
      <c r="B635" t="s">
        <v>3607</v>
      </c>
      <c r="C635" s="1">
        <v>41686</v>
      </c>
      <c r="D635" s="1">
        <v>41691</v>
      </c>
      <c r="E635" t="s">
        <v>49</v>
      </c>
      <c r="F635" t="s">
        <v>3608</v>
      </c>
      <c r="G635" t="s">
        <v>3609</v>
      </c>
      <c r="H635" t="s">
        <v>25</v>
      </c>
      <c r="I635" t="s">
        <v>26</v>
      </c>
      <c r="J635" t="s">
        <v>808</v>
      </c>
      <c r="K635" t="s">
        <v>103</v>
      </c>
      <c r="L635">
        <v>75220</v>
      </c>
      <c r="M635" t="s">
        <v>104</v>
      </c>
      <c r="N635" t="s">
        <v>2894</v>
      </c>
      <c r="O635" t="s">
        <v>45</v>
      </c>
      <c r="P635" t="s">
        <v>74</v>
      </c>
      <c r="Q635" t="s">
        <v>2895</v>
      </c>
      <c r="R635">
        <v>1.08</v>
      </c>
      <c r="S635">
        <v>3</v>
      </c>
      <c r="T635">
        <v>0.8</v>
      </c>
      <c r="U635">
        <v>-1.728</v>
      </c>
      <c r="V635" t="str">
        <f t="shared" si="9"/>
        <v>Michael Nguyen</v>
      </c>
      <c r="W635">
        <f>Table2[Profit]/Table2[Sales]</f>
        <v>-1.5999999999999999</v>
      </c>
    </row>
    <row r="636" spans="1:23" x14ac:dyDescent="0.25">
      <c r="A636">
        <v>635</v>
      </c>
      <c r="B636" t="s">
        <v>3612</v>
      </c>
      <c r="C636" s="1">
        <v>41765</v>
      </c>
      <c r="D636" s="1">
        <v>41769</v>
      </c>
      <c r="E636" t="s">
        <v>49</v>
      </c>
      <c r="F636" t="s">
        <v>99</v>
      </c>
      <c r="G636" t="s">
        <v>100</v>
      </c>
      <c r="H636" t="s">
        <v>101</v>
      </c>
      <c r="I636" t="s">
        <v>26</v>
      </c>
      <c r="J636" t="s">
        <v>41</v>
      </c>
      <c r="K636" t="s">
        <v>42</v>
      </c>
      <c r="L636">
        <v>90049</v>
      </c>
      <c r="M636" t="s">
        <v>43</v>
      </c>
      <c r="N636" t="s">
        <v>2750</v>
      </c>
      <c r="O636" t="s">
        <v>45</v>
      </c>
      <c r="P636" t="s">
        <v>74</v>
      </c>
      <c r="Q636" t="s">
        <v>2751</v>
      </c>
      <c r="R636">
        <v>140.73599999999999</v>
      </c>
      <c r="S636">
        <v>8</v>
      </c>
      <c r="T636">
        <v>0.2</v>
      </c>
      <c r="U636">
        <v>52.776000000000003</v>
      </c>
      <c r="V636" t="str">
        <f t="shared" si="9"/>
        <v>Harold Pawlan</v>
      </c>
      <c r="W636">
        <f>Table2[Profit]/Table2[Sales]</f>
        <v>0.37500000000000006</v>
      </c>
    </row>
    <row r="637" spans="1:23" x14ac:dyDescent="0.25">
      <c r="A637">
        <v>636</v>
      </c>
      <c r="B637" t="s">
        <v>3613</v>
      </c>
      <c r="C637" s="1">
        <v>42506</v>
      </c>
      <c r="D637" s="1">
        <v>42513</v>
      </c>
      <c r="E637" t="s">
        <v>49</v>
      </c>
      <c r="F637" t="s">
        <v>3614</v>
      </c>
      <c r="G637" t="s">
        <v>3615</v>
      </c>
      <c r="H637" t="s">
        <v>25</v>
      </c>
      <c r="I637" t="s">
        <v>26</v>
      </c>
      <c r="J637" t="s">
        <v>3616</v>
      </c>
      <c r="K637" t="s">
        <v>740</v>
      </c>
      <c r="L637">
        <v>6457</v>
      </c>
      <c r="M637" t="s">
        <v>145</v>
      </c>
      <c r="N637" t="s">
        <v>3617</v>
      </c>
      <c r="O637" t="s">
        <v>45</v>
      </c>
      <c r="P637" t="s">
        <v>58</v>
      </c>
      <c r="Q637" t="s">
        <v>3618</v>
      </c>
      <c r="R637">
        <v>552.55999999999995</v>
      </c>
      <c r="S637">
        <v>4</v>
      </c>
      <c r="T637">
        <v>0</v>
      </c>
      <c r="U637">
        <v>0</v>
      </c>
      <c r="V637" t="str">
        <f t="shared" si="9"/>
        <v>Jim Radford</v>
      </c>
      <c r="W637">
        <f>Table2[Profit]/Table2[Sales]</f>
        <v>0</v>
      </c>
    </row>
    <row r="638" spans="1:23" x14ac:dyDescent="0.25">
      <c r="A638">
        <v>637</v>
      </c>
      <c r="B638" t="s">
        <v>3619</v>
      </c>
      <c r="C638" s="1">
        <v>42827</v>
      </c>
      <c r="D638" s="1">
        <v>42832</v>
      </c>
      <c r="E638" t="s">
        <v>49</v>
      </c>
      <c r="F638" t="s">
        <v>3620</v>
      </c>
      <c r="G638" t="s">
        <v>3621</v>
      </c>
      <c r="H638" t="s">
        <v>25</v>
      </c>
      <c r="I638" t="s">
        <v>26</v>
      </c>
      <c r="J638" t="s">
        <v>41</v>
      </c>
      <c r="K638" t="s">
        <v>42</v>
      </c>
      <c r="L638">
        <v>90008</v>
      </c>
      <c r="M638" t="s">
        <v>43</v>
      </c>
      <c r="N638" t="s">
        <v>3436</v>
      </c>
      <c r="O638" t="s">
        <v>31</v>
      </c>
      <c r="P638" t="s">
        <v>64</v>
      </c>
      <c r="Q638" t="s">
        <v>3437</v>
      </c>
      <c r="R638">
        <v>25.11</v>
      </c>
      <c r="S638">
        <v>3</v>
      </c>
      <c r="T638">
        <v>0</v>
      </c>
      <c r="U638">
        <v>6.5286</v>
      </c>
      <c r="V638" t="str">
        <f t="shared" si="9"/>
        <v>Jamie Frazer</v>
      </c>
      <c r="W638">
        <f>Table2[Profit]/Table2[Sales]</f>
        <v>0.26</v>
      </c>
    </row>
    <row r="639" spans="1:23" x14ac:dyDescent="0.25">
      <c r="A639">
        <v>638</v>
      </c>
      <c r="B639" t="s">
        <v>3622</v>
      </c>
      <c r="C639" s="1">
        <v>42825</v>
      </c>
      <c r="D639" s="1">
        <v>42827</v>
      </c>
      <c r="E639" t="s">
        <v>22</v>
      </c>
      <c r="F639" t="s">
        <v>3623</v>
      </c>
      <c r="G639" t="s">
        <v>3624</v>
      </c>
      <c r="H639" t="s">
        <v>25</v>
      </c>
      <c r="I639" t="s">
        <v>26</v>
      </c>
      <c r="J639" t="s">
        <v>263</v>
      </c>
      <c r="K639" t="s">
        <v>264</v>
      </c>
      <c r="L639">
        <v>10011</v>
      </c>
      <c r="M639" t="s">
        <v>145</v>
      </c>
      <c r="N639" t="s">
        <v>3625</v>
      </c>
      <c r="O639" t="s">
        <v>31</v>
      </c>
      <c r="P639" t="s">
        <v>64</v>
      </c>
      <c r="Q639" t="s">
        <v>3626</v>
      </c>
      <c r="R639">
        <v>29.78</v>
      </c>
      <c r="S639">
        <v>2</v>
      </c>
      <c r="T639">
        <v>0</v>
      </c>
      <c r="U639">
        <v>8.0405999999999995</v>
      </c>
      <c r="V639" t="str">
        <f t="shared" si="9"/>
        <v>Chad McGuire</v>
      </c>
      <c r="W639">
        <f>Table2[Profit]/Table2[Sales]</f>
        <v>0.26999999999999996</v>
      </c>
    </row>
    <row r="640" spans="1:23" x14ac:dyDescent="0.25">
      <c r="A640">
        <v>639</v>
      </c>
      <c r="B640" t="s">
        <v>3631</v>
      </c>
      <c r="C640" s="1">
        <v>42737</v>
      </c>
      <c r="D640" s="1">
        <v>42739</v>
      </c>
      <c r="E640" t="s">
        <v>185</v>
      </c>
      <c r="F640" t="s">
        <v>3632</v>
      </c>
      <c r="G640" t="s">
        <v>3633</v>
      </c>
      <c r="H640" t="s">
        <v>40</v>
      </c>
      <c r="I640" t="s">
        <v>26</v>
      </c>
      <c r="J640" t="s">
        <v>1507</v>
      </c>
      <c r="K640" t="s">
        <v>87</v>
      </c>
      <c r="L640">
        <v>28540</v>
      </c>
      <c r="M640" t="s">
        <v>29</v>
      </c>
      <c r="N640" t="s">
        <v>3634</v>
      </c>
      <c r="O640" t="s">
        <v>70</v>
      </c>
      <c r="P640" t="s">
        <v>675</v>
      </c>
      <c r="Q640" t="s">
        <v>3635</v>
      </c>
      <c r="R640">
        <v>695.7</v>
      </c>
      <c r="S640">
        <v>2</v>
      </c>
      <c r="T640">
        <v>0.5</v>
      </c>
      <c r="U640">
        <v>-27.827999999999999</v>
      </c>
      <c r="V640" t="str">
        <f t="shared" si="9"/>
        <v>Aaron Smayling</v>
      </c>
      <c r="W640">
        <f>Table2[Profit]/Table2[Sales]</f>
        <v>-3.9999999999999994E-2</v>
      </c>
    </row>
    <row r="641" spans="1:23" x14ac:dyDescent="0.25">
      <c r="A641">
        <v>640</v>
      </c>
      <c r="B641" t="s">
        <v>3636</v>
      </c>
      <c r="C641" s="1">
        <v>42152</v>
      </c>
      <c r="D641" s="1">
        <v>42156</v>
      </c>
      <c r="E641" t="s">
        <v>49</v>
      </c>
      <c r="F641" t="s">
        <v>400</v>
      </c>
      <c r="G641" t="s">
        <v>401</v>
      </c>
      <c r="H641" t="s">
        <v>25</v>
      </c>
      <c r="I641" t="s">
        <v>26</v>
      </c>
      <c r="J641" t="s">
        <v>3637</v>
      </c>
      <c r="K641" t="s">
        <v>264</v>
      </c>
      <c r="L641">
        <v>11520</v>
      </c>
      <c r="M641" t="s">
        <v>145</v>
      </c>
      <c r="N641" t="s">
        <v>3638</v>
      </c>
      <c r="O641" t="s">
        <v>45</v>
      </c>
      <c r="P641" t="s">
        <v>67</v>
      </c>
      <c r="Q641" t="s">
        <v>3639</v>
      </c>
      <c r="R641">
        <v>47.82</v>
      </c>
      <c r="S641">
        <v>3</v>
      </c>
      <c r="T641">
        <v>0</v>
      </c>
      <c r="U641">
        <v>14.346</v>
      </c>
      <c r="V641" t="str">
        <f t="shared" si="9"/>
        <v>Karl Braun</v>
      </c>
      <c r="W641">
        <f>Table2[Profit]/Table2[Sales]</f>
        <v>0.3</v>
      </c>
    </row>
    <row r="642" spans="1:23" x14ac:dyDescent="0.25">
      <c r="A642">
        <v>641</v>
      </c>
      <c r="B642" t="s">
        <v>3642</v>
      </c>
      <c r="C642" s="1">
        <v>41715</v>
      </c>
      <c r="D642" s="1">
        <v>41722</v>
      </c>
      <c r="E642" t="s">
        <v>49</v>
      </c>
      <c r="F642" t="s">
        <v>1730</v>
      </c>
      <c r="G642" t="s">
        <v>1731</v>
      </c>
      <c r="H642" t="s">
        <v>25</v>
      </c>
      <c r="I642" t="s">
        <v>26</v>
      </c>
      <c r="J642" t="s">
        <v>926</v>
      </c>
      <c r="K642" t="s">
        <v>226</v>
      </c>
      <c r="L642">
        <v>55044</v>
      </c>
      <c r="M642" t="s">
        <v>104</v>
      </c>
      <c r="N642" t="s">
        <v>2264</v>
      </c>
      <c r="O642" t="s">
        <v>45</v>
      </c>
      <c r="P642" t="s">
        <v>77</v>
      </c>
      <c r="Q642" t="s">
        <v>2265</v>
      </c>
      <c r="R642">
        <v>93.78</v>
      </c>
      <c r="S642">
        <v>2</v>
      </c>
      <c r="T642">
        <v>0</v>
      </c>
      <c r="U642">
        <v>36.574199999999998</v>
      </c>
      <c r="V642" t="str">
        <f t="shared" si="9"/>
        <v>Bradley Nguyen</v>
      </c>
      <c r="W642">
        <f>Table2[Profit]/Table2[Sales]</f>
        <v>0.38999999999999996</v>
      </c>
    </row>
    <row r="643" spans="1:23" x14ac:dyDescent="0.25">
      <c r="A643">
        <v>642</v>
      </c>
      <c r="B643" t="s">
        <v>3651</v>
      </c>
      <c r="C643" s="1">
        <v>41915</v>
      </c>
      <c r="D643" s="1">
        <v>41920</v>
      </c>
      <c r="E643" t="s">
        <v>22</v>
      </c>
      <c r="F643" t="s">
        <v>3652</v>
      </c>
      <c r="G643" t="s">
        <v>3653</v>
      </c>
      <c r="H643" t="s">
        <v>25</v>
      </c>
      <c r="I643" t="s">
        <v>26</v>
      </c>
      <c r="J643" t="s">
        <v>2348</v>
      </c>
      <c r="K643" t="s">
        <v>208</v>
      </c>
      <c r="L643">
        <v>60201</v>
      </c>
      <c r="M643" t="s">
        <v>104</v>
      </c>
      <c r="N643" t="s">
        <v>3134</v>
      </c>
      <c r="O643" t="s">
        <v>31</v>
      </c>
      <c r="P643" t="s">
        <v>35</v>
      </c>
      <c r="Q643" t="s">
        <v>3135</v>
      </c>
      <c r="R643">
        <v>258.279</v>
      </c>
      <c r="S643">
        <v>3</v>
      </c>
      <c r="T643">
        <v>0.3</v>
      </c>
      <c r="U643">
        <v>-70.104299999999995</v>
      </c>
      <c r="V643" t="str">
        <f t="shared" ref="V643:V706" si="10">TRIM(G643)</f>
        <v>Beth Paige</v>
      </c>
      <c r="W643">
        <f>Table2[Profit]/Table2[Sales]</f>
        <v>-0.27142857142857141</v>
      </c>
    </row>
    <row r="644" spans="1:23" x14ac:dyDescent="0.25">
      <c r="A644">
        <v>643</v>
      </c>
      <c r="B644" t="s">
        <v>3654</v>
      </c>
      <c r="C644" s="1">
        <v>42457</v>
      </c>
      <c r="D644" s="1">
        <v>42460</v>
      </c>
      <c r="E644" t="s">
        <v>185</v>
      </c>
      <c r="F644" t="s">
        <v>3632</v>
      </c>
      <c r="G644" t="s">
        <v>3633</v>
      </c>
      <c r="H644" t="s">
        <v>40</v>
      </c>
      <c r="I644" t="s">
        <v>26</v>
      </c>
      <c r="J644" t="s">
        <v>1119</v>
      </c>
      <c r="K644" t="s">
        <v>312</v>
      </c>
      <c r="L644">
        <v>22204</v>
      </c>
      <c r="M644" t="s">
        <v>29</v>
      </c>
      <c r="N644" t="s">
        <v>3655</v>
      </c>
      <c r="O644" t="s">
        <v>45</v>
      </c>
      <c r="P644" t="s">
        <v>58</v>
      </c>
      <c r="Q644" t="s">
        <v>3656</v>
      </c>
      <c r="R644">
        <v>31.4</v>
      </c>
      <c r="S644">
        <v>2</v>
      </c>
      <c r="T644">
        <v>0</v>
      </c>
      <c r="U644">
        <v>7.85</v>
      </c>
      <c r="V644" t="str">
        <f t="shared" si="10"/>
        <v>Aaron Smayling</v>
      </c>
      <c r="W644">
        <f>Table2[Profit]/Table2[Sales]</f>
        <v>0.25</v>
      </c>
    </row>
    <row r="645" spans="1:23" x14ac:dyDescent="0.25">
      <c r="A645">
        <v>644</v>
      </c>
      <c r="B645" t="s">
        <v>3657</v>
      </c>
      <c r="C645" s="1">
        <v>42859</v>
      </c>
      <c r="D645" s="1">
        <v>42864</v>
      </c>
      <c r="E645" t="s">
        <v>49</v>
      </c>
      <c r="F645" t="s">
        <v>2868</v>
      </c>
      <c r="G645" t="s">
        <v>2869</v>
      </c>
      <c r="H645" t="s">
        <v>40</v>
      </c>
      <c r="I645" t="s">
        <v>26</v>
      </c>
      <c r="J645" t="s">
        <v>126</v>
      </c>
      <c r="K645" t="s">
        <v>42</v>
      </c>
      <c r="L645">
        <v>94109</v>
      </c>
      <c r="M645" t="s">
        <v>43</v>
      </c>
      <c r="N645" t="s">
        <v>1990</v>
      </c>
      <c r="O645" t="s">
        <v>70</v>
      </c>
      <c r="P645" t="s">
        <v>71</v>
      </c>
      <c r="Q645" t="s">
        <v>1991</v>
      </c>
      <c r="R645">
        <v>183.96</v>
      </c>
      <c r="S645">
        <v>5</v>
      </c>
      <c r="T645">
        <v>0.2</v>
      </c>
      <c r="U645">
        <v>20.695499999999999</v>
      </c>
      <c r="V645" t="str">
        <f t="shared" si="10"/>
        <v>Lindsay Williams</v>
      </c>
      <c r="W645">
        <f>Table2[Profit]/Table2[Sales]</f>
        <v>0.11249999999999999</v>
      </c>
    </row>
    <row r="646" spans="1:23" x14ac:dyDescent="0.25">
      <c r="A646">
        <v>645</v>
      </c>
      <c r="B646" t="s">
        <v>3658</v>
      </c>
      <c r="C646" s="1">
        <v>41825</v>
      </c>
      <c r="D646" s="1">
        <v>41825</v>
      </c>
      <c r="E646" t="s">
        <v>1278</v>
      </c>
      <c r="F646" t="s">
        <v>3466</v>
      </c>
      <c r="G646" t="s">
        <v>3467</v>
      </c>
      <c r="H646" t="s">
        <v>25</v>
      </c>
      <c r="I646" t="s">
        <v>26</v>
      </c>
      <c r="J646" t="s">
        <v>181</v>
      </c>
      <c r="K646" t="s">
        <v>103</v>
      </c>
      <c r="L646">
        <v>77036</v>
      </c>
      <c r="M646" t="s">
        <v>104</v>
      </c>
      <c r="N646" t="s">
        <v>832</v>
      </c>
      <c r="O646" t="s">
        <v>45</v>
      </c>
      <c r="P646" t="s">
        <v>58</v>
      </c>
      <c r="Q646" t="s">
        <v>833</v>
      </c>
      <c r="R646">
        <v>220.77600000000001</v>
      </c>
      <c r="S646">
        <v>3</v>
      </c>
      <c r="T646">
        <v>0.2</v>
      </c>
      <c r="U646">
        <v>-44.155200000000001</v>
      </c>
      <c r="V646" t="str">
        <f t="shared" si="10"/>
        <v>Dan Campbell</v>
      </c>
      <c r="W646">
        <f>Table2[Profit]/Table2[Sales]</f>
        <v>-0.19999999999999998</v>
      </c>
    </row>
    <row r="647" spans="1:23" x14ac:dyDescent="0.25">
      <c r="A647">
        <v>646</v>
      </c>
      <c r="B647" t="s">
        <v>3659</v>
      </c>
      <c r="C647" s="1">
        <v>42495</v>
      </c>
      <c r="D647" s="1">
        <v>42497</v>
      </c>
      <c r="E647" t="s">
        <v>185</v>
      </c>
      <c r="F647" t="s">
        <v>3660</v>
      </c>
      <c r="G647" t="s">
        <v>3661</v>
      </c>
      <c r="H647" t="s">
        <v>25</v>
      </c>
      <c r="I647" t="s">
        <v>26</v>
      </c>
      <c r="J647" t="s">
        <v>1459</v>
      </c>
      <c r="K647" t="s">
        <v>28</v>
      </c>
      <c r="L647">
        <v>40214</v>
      </c>
      <c r="M647" t="s">
        <v>29</v>
      </c>
      <c r="N647" t="s">
        <v>3662</v>
      </c>
      <c r="O647" t="s">
        <v>45</v>
      </c>
      <c r="P647" t="s">
        <v>89</v>
      </c>
      <c r="Q647" t="s">
        <v>3663</v>
      </c>
      <c r="R647">
        <v>79.14</v>
      </c>
      <c r="S647">
        <v>3</v>
      </c>
      <c r="T647">
        <v>0</v>
      </c>
      <c r="U647">
        <v>36.404400000000003</v>
      </c>
      <c r="V647" t="str">
        <f t="shared" si="10"/>
        <v>Natalie DeCherney</v>
      </c>
      <c r="W647">
        <f>Table2[Profit]/Table2[Sales]</f>
        <v>0.46</v>
      </c>
    </row>
    <row r="648" spans="1:23" x14ac:dyDescent="0.25">
      <c r="A648">
        <v>647</v>
      </c>
      <c r="B648" t="s">
        <v>3664</v>
      </c>
      <c r="C648" s="1">
        <v>42851</v>
      </c>
      <c r="D648" s="1">
        <v>42852</v>
      </c>
      <c r="E648" t="s">
        <v>185</v>
      </c>
      <c r="F648" t="s">
        <v>3665</v>
      </c>
      <c r="G648" t="s">
        <v>3666</v>
      </c>
      <c r="H648" t="s">
        <v>25</v>
      </c>
      <c r="I648" t="s">
        <v>26</v>
      </c>
      <c r="J648" t="s">
        <v>102</v>
      </c>
      <c r="K648" t="s">
        <v>103</v>
      </c>
      <c r="L648">
        <v>76106</v>
      </c>
      <c r="M648" t="s">
        <v>104</v>
      </c>
      <c r="N648" t="s">
        <v>2015</v>
      </c>
      <c r="O648" t="s">
        <v>31</v>
      </c>
      <c r="P648" t="s">
        <v>64</v>
      </c>
      <c r="Q648" t="s">
        <v>2016</v>
      </c>
      <c r="R648">
        <v>1.988</v>
      </c>
      <c r="S648">
        <v>1</v>
      </c>
      <c r="T648">
        <v>0.6</v>
      </c>
      <c r="U648">
        <v>-1.4413</v>
      </c>
      <c r="V648" t="str">
        <f t="shared" si="10"/>
        <v>Larry Blacks</v>
      </c>
      <c r="W648">
        <f>Table2[Profit]/Table2[Sales]</f>
        <v>-0.72499999999999998</v>
      </c>
    </row>
    <row r="649" spans="1:23" x14ac:dyDescent="0.25">
      <c r="A649">
        <v>648</v>
      </c>
      <c r="B649" t="s">
        <v>3667</v>
      </c>
      <c r="C649" s="1">
        <v>41908</v>
      </c>
      <c r="D649" s="1">
        <v>41913</v>
      </c>
      <c r="E649" t="s">
        <v>22</v>
      </c>
      <c r="F649" t="s">
        <v>3668</v>
      </c>
      <c r="G649" t="s">
        <v>3669</v>
      </c>
      <c r="H649" t="s">
        <v>25</v>
      </c>
      <c r="I649" t="s">
        <v>26</v>
      </c>
      <c r="J649" t="s">
        <v>41</v>
      </c>
      <c r="K649" t="s">
        <v>42</v>
      </c>
      <c r="L649">
        <v>90049</v>
      </c>
      <c r="M649" t="s">
        <v>43</v>
      </c>
      <c r="N649" t="s">
        <v>3670</v>
      </c>
      <c r="O649" t="s">
        <v>31</v>
      </c>
      <c r="P649" t="s">
        <v>35</v>
      </c>
      <c r="Q649" t="s">
        <v>3671</v>
      </c>
      <c r="R649">
        <v>145.56800000000001</v>
      </c>
      <c r="S649">
        <v>2</v>
      </c>
      <c r="T649">
        <v>0.2</v>
      </c>
      <c r="U649">
        <v>0</v>
      </c>
      <c r="V649" t="str">
        <f t="shared" si="10"/>
        <v>Kean Takahito</v>
      </c>
      <c r="W649">
        <f>Table2[Profit]/Table2[Sales]</f>
        <v>0</v>
      </c>
    </row>
    <row r="650" spans="1:23" x14ac:dyDescent="0.25">
      <c r="A650">
        <v>649</v>
      </c>
      <c r="B650" t="s">
        <v>3672</v>
      </c>
      <c r="C650" s="1">
        <v>43027</v>
      </c>
      <c r="D650" s="1">
        <v>43033</v>
      </c>
      <c r="E650" t="s">
        <v>49</v>
      </c>
      <c r="F650" t="s">
        <v>3673</v>
      </c>
      <c r="G650" t="s">
        <v>3674</v>
      </c>
      <c r="H650" t="s">
        <v>40</v>
      </c>
      <c r="I650" t="s">
        <v>26</v>
      </c>
      <c r="J650" t="s">
        <v>143</v>
      </c>
      <c r="K650" t="s">
        <v>144</v>
      </c>
      <c r="L650">
        <v>19120</v>
      </c>
      <c r="M650" t="s">
        <v>145</v>
      </c>
      <c r="N650" t="s">
        <v>2556</v>
      </c>
      <c r="O650" t="s">
        <v>45</v>
      </c>
      <c r="P650" t="s">
        <v>67</v>
      </c>
      <c r="Q650" t="s">
        <v>2557</v>
      </c>
      <c r="R650">
        <v>123.256</v>
      </c>
      <c r="S650">
        <v>7</v>
      </c>
      <c r="T650">
        <v>0.2</v>
      </c>
      <c r="U650">
        <v>9.2441999999999993</v>
      </c>
      <c r="V650" t="str">
        <f t="shared" si="10"/>
        <v>Harry Marie</v>
      </c>
      <c r="W650">
        <f>Table2[Profit]/Table2[Sales]</f>
        <v>7.4999999999999997E-2</v>
      </c>
    </row>
    <row r="651" spans="1:23" x14ac:dyDescent="0.25">
      <c r="A651">
        <v>650</v>
      </c>
      <c r="B651" t="s">
        <v>3679</v>
      </c>
      <c r="C651" s="1">
        <v>43049</v>
      </c>
      <c r="D651" s="1">
        <v>43050</v>
      </c>
      <c r="E651" t="s">
        <v>185</v>
      </c>
      <c r="F651" t="s">
        <v>3680</v>
      </c>
      <c r="G651" t="s">
        <v>3681</v>
      </c>
      <c r="H651" t="s">
        <v>40</v>
      </c>
      <c r="I651" t="s">
        <v>26</v>
      </c>
      <c r="J651" t="s">
        <v>1299</v>
      </c>
      <c r="K651" t="s">
        <v>303</v>
      </c>
      <c r="L651">
        <v>85705</v>
      </c>
      <c r="M651" t="s">
        <v>43</v>
      </c>
      <c r="N651" t="s">
        <v>2410</v>
      </c>
      <c r="O651" t="s">
        <v>45</v>
      </c>
      <c r="P651" t="s">
        <v>74</v>
      </c>
      <c r="Q651" t="s">
        <v>2411</v>
      </c>
      <c r="R651">
        <v>38.387999999999998</v>
      </c>
      <c r="S651">
        <v>14</v>
      </c>
      <c r="T651">
        <v>0.7</v>
      </c>
      <c r="U651">
        <v>-25.591999999999999</v>
      </c>
      <c r="V651" t="str">
        <f t="shared" si="10"/>
        <v>Ann Blume</v>
      </c>
      <c r="W651">
        <f>Table2[Profit]/Table2[Sales]</f>
        <v>-0.66666666666666663</v>
      </c>
    </row>
    <row r="652" spans="1:23" x14ac:dyDescent="0.25">
      <c r="A652">
        <v>651</v>
      </c>
      <c r="B652" t="s">
        <v>3686</v>
      </c>
      <c r="C652" s="1">
        <v>42924</v>
      </c>
      <c r="D652" s="1">
        <v>42927</v>
      </c>
      <c r="E652" t="s">
        <v>185</v>
      </c>
      <c r="F652" t="s">
        <v>3687</v>
      </c>
      <c r="G652" t="s">
        <v>3688</v>
      </c>
      <c r="H652" t="s">
        <v>101</v>
      </c>
      <c r="I652" t="s">
        <v>26</v>
      </c>
      <c r="J652" t="s">
        <v>3689</v>
      </c>
      <c r="K652" t="s">
        <v>42</v>
      </c>
      <c r="L652">
        <v>90660</v>
      </c>
      <c r="M652" t="s">
        <v>43</v>
      </c>
      <c r="N652" t="s">
        <v>1136</v>
      </c>
      <c r="O652" t="s">
        <v>31</v>
      </c>
      <c r="P652" t="s">
        <v>64</v>
      </c>
      <c r="Q652" t="s">
        <v>1137</v>
      </c>
      <c r="R652">
        <v>145.9</v>
      </c>
      <c r="S652">
        <v>5</v>
      </c>
      <c r="T652">
        <v>0</v>
      </c>
      <c r="U652">
        <v>62.737000000000002</v>
      </c>
      <c r="V652" t="str">
        <f t="shared" si="10"/>
        <v>Sam Zeldin</v>
      </c>
      <c r="W652">
        <f>Table2[Profit]/Table2[Sales]</f>
        <v>0.43</v>
      </c>
    </row>
    <row r="653" spans="1:23" x14ac:dyDescent="0.25">
      <c r="A653">
        <v>652</v>
      </c>
      <c r="B653" t="s">
        <v>3690</v>
      </c>
      <c r="C653" s="1">
        <v>42362</v>
      </c>
      <c r="D653" s="1">
        <v>42366</v>
      </c>
      <c r="E653" t="s">
        <v>49</v>
      </c>
      <c r="F653" t="s">
        <v>3614</v>
      </c>
      <c r="G653" t="s">
        <v>3615</v>
      </c>
      <c r="H653" t="s">
        <v>25</v>
      </c>
      <c r="I653" t="s">
        <v>26</v>
      </c>
      <c r="J653" t="s">
        <v>1073</v>
      </c>
      <c r="K653" t="s">
        <v>450</v>
      </c>
      <c r="L653">
        <v>80906</v>
      </c>
      <c r="M653" t="s">
        <v>43</v>
      </c>
      <c r="N653" t="s">
        <v>757</v>
      </c>
      <c r="O653" t="s">
        <v>31</v>
      </c>
      <c r="P653" t="s">
        <v>32</v>
      </c>
      <c r="Q653" t="s">
        <v>758</v>
      </c>
      <c r="R653">
        <v>590.05799999999999</v>
      </c>
      <c r="S653">
        <v>7</v>
      </c>
      <c r="T653">
        <v>0.7</v>
      </c>
      <c r="U653">
        <v>-786.74400000000003</v>
      </c>
      <c r="V653" t="str">
        <f t="shared" si="10"/>
        <v>Jim Radford</v>
      </c>
      <c r="W653">
        <f>Table2[Profit]/Table2[Sales]</f>
        <v>-1.3333333333333335</v>
      </c>
    </row>
    <row r="654" spans="1:23" x14ac:dyDescent="0.25">
      <c r="A654">
        <v>653</v>
      </c>
      <c r="B654" t="s">
        <v>3691</v>
      </c>
      <c r="C654" s="1">
        <v>42801</v>
      </c>
      <c r="D654" s="1">
        <v>42806</v>
      </c>
      <c r="E654" t="s">
        <v>49</v>
      </c>
      <c r="F654" t="s">
        <v>3692</v>
      </c>
      <c r="G654" t="s">
        <v>3693</v>
      </c>
      <c r="H654" t="s">
        <v>101</v>
      </c>
      <c r="I654" t="s">
        <v>26</v>
      </c>
      <c r="J654" t="s">
        <v>3159</v>
      </c>
      <c r="K654" t="s">
        <v>2699</v>
      </c>
      <c r="L654">
        <v>20735</v>
      </c>
      <c r="M654" t="s">
        <v>145</v>
      </c>
      <c r="N654" t="s">
        <v>3694</v>
      </c>
      <c r="O654" t="s">
        <v>70</v>
      </c>
      <c r="P654" t="s">
        <v>158</v>
      </c>
      <c r="Q654" t="s">
        <v>3695</v>
      </c>
      <c r="R654">
        <v>49.08</v>
      </c>
      <c r="S654">
        <v>3</v>
      </c>
      <c r="T654">
        <v>0</v>
      </c>
      <c r="U654">
        <v>4.9080000000000004</v>
      </c>
      <c r="V654" t="str">
        <f t="shared" si="10"/>
        <v>Michael Granlund</v>
      </c>
      <c r="W654">
        <f>Table2[Profit]/Table2[Sales]</f>
        <v>0.1</v>
      </c>
    </row>
    <row r="655" spans="1:23" x14ac:dyDescent="0.25">
      <c r="A655">
        <v>654</v>
      </c>
      <c r="B655" t="s">
        <v>3696</v>
      </c>
      <c r="C655" s="1">
        <v>41730</v>
      </c>
      <c r="D655" s="1">
        <v>41735</v>
      </c>
      <c r="E655" t="s">
        <v>22</v>
      </c>
      <c r="F655" t="s">
        <v>283</v>
      </c>
      <c r="G655" t="s">
        <v>284</v>
      </c>
      <c r="H655" t="s">
        <v>25</v>
      </c>
      <c r="I655" t="s">
        <v>26</v>
      </c>
      <c r="J655" t="s">
        <v>2075</v>
      </c>
      <c r="K655" t="s">
        <v>42</v>
      </c>
      <c r="L655">
        <v>94591</v>
      </c>
      <c r="M655" t="s">
        <v>43</v>
      </c>
      <c r="N655" t="s">
        <v>2221</v>
      </c>
      <c r="O655" t="s">
        <v>45</v>
      </c>
      <c r="P655" t="s">
        <v>46</v>
      </c>
      <c r="Q655" t="s">
        <v>2222</v>
      </c>
      <c r="R655">
        <v>29.6</v>
      </c>
      <c r="S655">
        <v>2</v>
      </c>
      <c r="T655">
        <v>0</v>
      </c>
      <c r="U655">
        <v>14.8</v>
      </c>
      <c r="V655" t="str">
        <f t="shared" si="10"/>
        <v>Kunst Miller</v>
      </c>
      <c r="W655">
        <f>Table2[Profit]/Table2[Sales]</f>
        <v>0.5</v>
      </c>
    </row>
    <row r="656" spans="1:23" x14ac:dyDescent="0.25">
      <c r="A656">
        <v>655</v>
      </c>
      <c r="B656" t="s">
        <v>3697</v>
      </c>
      <c r="C656" s="1">
        <v>42261</v>
      </c>
      <c r="D656" s="1">
        <v>42266</v>
      </c>
      <c r="E656" t="s">
        <v>49</v>
      </c>
      <c r="F656" t="s">
        <v>2022</v>
      </c>
      <c r="G656" t="s">
        <v>2023</v>
      </c>
      <c r="H656" t="s">
        <v>25</v>
      </c>
      <c r="I656" t="s">
        <v>26</v>
      </c>
      <c r="J656" t="s">
        <v>3698</v>
      </c>
      <c r="K656" t="s">
        <v>120</v>
      </c>
      <c r="L656">
        <v>84604</v>
      </c>
      <c r="M656" t="s">
        <v>43</v>
      </c>
      <c r="N656" t="s">
        <v>3699</v>
      </c>
      <c r="O656" t="s">
        <v>31</v>
      </c>
      <c r="P656" t="s">
        <v>55</v>
      </c>
      <c r="Q656" t="s">
        <v>3700</v>
      </c>
      <c r="R656">
        <v>912.75</v>
      </c>
      <c r="S656">
        <v>5</v>
      </c>
      <c r="T656">
        <v>0</v>
      </c>
      <c r="U656">
        <v>118.6575</v>
      </c>
      <c r="V656" t="str">
        <f t="shared" si="10"/>
        <v>Christina Anderson</v>
      </c>
      <c r="W656">
        <f>Table2[Profit]/Table2[Sales]</f>
        <v>0.13</v>
      </c>
    </row>
    <row r="657" spans="1:23" x14ac:dyDescent="0.25">
      <c r="A657">
        <v>656</v>
      </c>
      <c r="B657" t="s">
        <v>3701</v>
      </c>
      <c r="C657" s="1">
        <v>41855</v>
      </c>
      <c r="D657" s="1">
        <v>41860</v>
      </c>
      <c r="E657" t="s">
        <v>22</v>
      </c>
      <c r="F657" t="s">
        <v>881</v>
      </c>
      <c r="G657" t="s">
        <v>882</v>
      </c>
      <c r="H657" t="s">
        <v>25</v>
      </c>
      <c r="I657" t="s">
        <v>26</v>
      </c>
      <c r="J657" t="s">
        <v>3702</v>
      </c>
      <c r="K657" t="s">
        <v>120</v>
      </c>
      <c r="L657">
        <v>84062</v>
      </c>
      <c r="M657" t="s">
        <v>43</v>
      </c>
      <c r="N657" t="s">
        <v>3703</v>
      </c>
      <c r="O657" t="s">
        <v>45</v>
      </c>
      <c r="P657" t="s">
        <v>77</v>
      </c>
      <c r="Q657" t="s">
        <v>3704</v>
      </c>
      <c r="R657">
        <v>1089.75</v>
      </c>
      <c r="S657">
        <v>3</v>
      </c>
      <c r="T657">
        <v>0</v>
      </c>
      <c r="U657">
        <v>305.13</v>
      </c>
      <c r="V657" t="str">
        <f t="shared" si="10"/>
        <v>Valerie Dominguez</v>
      </c>
      <c r="W657">
        <f>Table2[Profit]/Table2[Sales]</f>
        <v>0.27999999999999997</v>
      </c>
    </row>
    <row r="658" spans="1:23" x14ac:dyDescent="0.25">
      <c r="A658">
        <v>657</v>
      </c>
      <c r="B658" t="s">
        <v>3710</v>
      </c>
      <c r="C658" s="1">
        <v>42616</v>
      </c>
      <c r="D658" s="1">
        <v>42622</v>
      </c>
      <c r="E658" t="s">
        <v>49</v>
      </c>
      <c r="F658" t="s">
        <v>3711</v>
      </c>
      <c r="G658" t="s">
        <v>3712</v>
      </c>
      <c r="H658" t="s">
        <v>101</v>
      </c>
      <c r="I658" t="s">
        <v>26</v>
      </c>
      <c r="J658" t="s">
        <v>449</v>
      </c>
      <c r="K658" t="s">
        <v>208</v>
      </c>
      <c r="L658">
        <v>60505</v>
      </c>
      <c r="M658" t="s">
        <v>104</v>
      </c>
      <c r="N658" t="s">
        <v>2231</v>
      </c>
      <c r="O658" t="s">
        <v>31</v>
      </c>
      <c r="P658" t="s">
        <v>64</v>
      </c>
      <c r="Q658" t="s">
        <v>2232</v>
      </c>
      <c r="R658">
        <v>83.951999999999998</v>
      </c>
      <c r="S658">
        <v>3</v>
      </c>
      <c r="T658">
        <v>0.6</v>
      </c>
      <c r="U658">
        <v>-90.248400000000004</v>
      </c>
      <c r="V658" t="str">
        <f t="shared" si="10"/>
        <v>Julie Kriz</v>
      </c>
      <c r="W658">
        <f>Table2[Profit]/Table2[Sales]</f>
        <v>-1.0750000000000002</v>
      </c>
    </row>
    <row r="659" spans="1:23" x14ac:dyDescent="0.25">
      <c r="A659">
        <v>658</v>
      </c>
      <c r="B659" t="s">
        <v>3713</v>
      </c>
      <c r="C659" s="1">
        <v>42405</v>
      </c>
      <c r="D659" s="1">
        <v>42405</v>
      </c>
      <c r="E659" t="s">
        <v>1278</v>
      </c>
      <c r="F659" t="s">
        <v>3714</v>
      </c>
      <c r="G659" t="s">
        <v>3715</v>
      </c>
      <c r="H659" t="s">
        <v>101</v>
      </c>
      <c r="I659" t="s">
        <v>26</v>
      </c>
      <c r="J659" t="s">
        <v>3716</v>
      </c>
      <c r="K659" t="s">
        <v>1260</v>
      </c>
      <c r="L659">
        <v>30080</v>
      </c>
      <c r="M659" t="s">
        <v>29</v>
      </c>
      <c r="N659" t="s">
        <v>3330</v>
      </c>
      <c r="O659" t="s">
        <v>45</v>
      </c>
      <c r="P659" t="s">
        <v>58</v>
      </c>
      <c r="Q659" t="s">
        <v>3331</v>
      </c>
      <c r="R659">
        <v>80.98</v>
      </c>
      <c r="S659">
        <v>1</v>
      </c>
      <c r="T659">
        <v>0</v>
      </c>
      <c r="U659">
        <v>1.6195999999999999</v>
      </c>
      <c r="V659" t="str">
        <f t="shared" si="10"/>
        <v>Paul Prost</v>
      </c>
      <c r="W659">
        <f>Table2[Profit]/Table2[Sales]</f>
        <v>1.9999999999999997E-2</v>
      </c>
    </row>
    <row r="660" spans="1:23" x14ac:dyDescent="0.25">
      <c r="A660">
        <v>659</v>
      </c>
      <c r="B660" t="s">
        <v>3724</v>
      </c>
      <c r="C660" s="1">
        <v>42919</v>
      </c>
      <c r="D660" s="1">
        <v>42920</v>
      </c>
      <c r="E660" t="s">
        <v>185</v>
      </c>
      <c r="F660" t="s">
        <v>3725</v>
      </c>
      <c r="G660" t="s">
        <v>3726</v>
      </c>
      <c r="H660" t="s">
        <v>40</v>
      </c>
      <c r="I660" t="s">
        <v>26</v>
      </c>
      <c r="J660" t="s">
        <v>2189</v>
      </c>
      <c r="K660" t="s">
        <v>87</v>
      </c>
      <c r="L660">
        <v>27217</v>
      </c>
      <c r="M660" t="s">
        <v>29</v>
      </c>
      <c r="N660" t="s">
        <v>763</v>
      </c>
      <c r="O660" t="s">
        <v>45</v>
      </c>
      <c r="P660" t="s">
        <v>67</v>
      </c>
      <c r="Q660" t="s">
        <v>764</v>
      </c>
      <c r="R660">
        <v>9.5519999999999996</v>
      </c>
      <c r="S660">
        <v>3</v>
      </c>
      <c r="T660">
        <v>0.2</v>
      </c>
      <c r="U660">
        <v>1.5522</v>
      </c>
      <c r="V660" t="str">
        <f t="shared" si="10"/>
        <v>Yana Sorensen</v>
      </c>
      <c r="W660">
        <f>Table2[Profit]/Table2[Sales]</f>
        <v>0.16250000000000001</v>
      </c>
    </row>
    <row r="661" spans="1:23" x14ac:dyDescent="0.25">
      <c r="A661">
        <v>660</v>
      </c>
      <c r="B661" t="s">
        <v>3727</v>
      </c>
      <c r="C661" s="1">
        <v>43017</v>
      </c>
      <c r="D661" s="1">
        <v>43022</v>
      </c>
      <c r="E661" t="s">
        <v>49</v>
      </c>
      <c r="F661" t="s">
        <v>2595</v>
      </c>
      <c r="G661" t="s">
        <v>2596</v>
      </c>
      <c r="H661" t="s">
        <v>40</v>
      </c>
      <c r="I661" t="s">
        <v>26</v>
      </c>
      <c r="J661" t="s">
        <v>449</v>
      </c>
      <c r="K661" t="s">
        <v>208</v>
      </c>
      <c r="L661">
        <v>60505</v>
      </c>
      <c r="M661" t="s">
        <v>104</v>
      </c>
      <c r="N661" t="s">
        <v>3728</v>
      </c>
      <c r="O661" t="s">
        <v>31</v>
      </c>
      <c r="P661" t="s">
        <v>55</v>
      </c>
      <c r="Q661" t="s">
        <v>3729</v>
      </c>
      <c r="R661">
        <v>652.45000000000005</v>
      </c>
      <c r="S661">
        <v>5</v>
      </c>
      <c r="T661">
        <v>0.5</v>
      </c>
      <c r="U661">
        <v>-430.61700000000002</v>
      </c>
      <c r="V661" t="str">
        <f t="shared" si="10"/>
        <v>Cyma Kinney</v>
      </c>
      <c r="W661">
        <f>Table2[Profit]/Table2[Sales]</f>
        <v>-0.66</v>
      </c>
    </row>
    <row r="662" spans="1:23" x14ac:dyDescent="0.25">
      <c r="A662">
        <v>661</v>
      </c>
      <c r="B662" t="s">
        <v>3732</v>
      </c>
      <c r="C662" s="1">
        <v>42698</v>
      </c>
      <c r="D662" s="1">
        <v>42700</v>
      </c>
      <c r="E662" t="s">
        <v>185</v>
      </c>
      <c r="F662" t="s">
        <v>3240</v>
      </c>
      <c r="G662" t="s">
        <v>3241</v>
      </c>
      <c r="H662" t="s">
        <v>25</v>
      </c>
      <c r="I662" t="s">
        <v>26</v>
      </c>
      <c r="J662" t="s">
        <v>263</v>
      </c>
      <c r="K662" t="s">
        <v>264</v>
      </c>
      <c r="L662">
        <v>10035</v>
      </c>
      <c r="M662" t="s">
        <v>145</v>
      </c>
      <c r="N662" t="s">
        <v>3733</v>
      </c>
      <c r="O662" t="s">
        <v>45</v>
      </c>
      <c r="P662" t="s">
        <v>74</v>
      </c>
      <c r="Q662" t="s">
        <v>3734</v>
      </c>
      <c r="R662">
        <v>17.216000000000001</v>
      </c>
      <c r="S662">
        <v>4</v>
      </c>
      <c r="T662">
        <v>0.2</v>
      </c>
      <c r="U662">
        <v>6.0255999999999998</v>
      </c>
      <c r="V662" t="str">
        <f t="shared" si="10"/>
        <v>Nat Carroll</v>
      </c>
      <c r="W662">
        <f>Table2[Profit]/Table2[Sales]</f>
        <v>0.35</v>
      </c>
    </row>
    <row r="663" spans="1:23" x14ac:dyDescent="0.25">
      <c r="A663">
        <v>662</v>
      </c>
      <c r="B663" t="s">
        <v>3737</v>
      </c>
      <c r="C663" s="1">
        <v>42675</v>
      </c>
      <c r="D663" s="1">
        <v>42679</v>
      </c>
      <c r="E663" t="s">
        <v>49</v>
      </c>
      <c r="F663" t="s">
        <v>3738</v>
      </c>
      <c r="G663" t="s">
        <v>3739</v>
      </c>
      <c r="H663" t="s">
        <v>101</v>
      </c>
      <c r="I663" t="s">
        <v>26</v>
      </c>
      <c r="J663" t="s">
        <v>1948</v>
      </c>
      <c r="K663" t="s">
        <v>312</v>
      </c>
      <c r="L663">
        <v>24153</v>
      </c>
      <c r="M663" t="s">
        <v>29</v>
      </c>
      <c r="N663" t="s">
        <v>245</v>
      </c>
      <c r="O663" t="s">
        <v>70</v>
      </c>
      <c r="P663" t="s">
        <v>71</v>
      </c>
      <c r="Q663" t="s">
        <v>246</v>
      </c>
      <c r="R663">
        <v>21.8</v>
      </c>
      <c r="S663">
        <v>2</v>
      </c>
      <c r="T663">
        <v>0</v>
      </c>
      <c r="U663">
        <v>6.1040000000000001</v>
      </c>
      <c r="V663" t="str">
        <f t="shared" si="10"/>
        <v>Katherine Murray</v>
      </c>
      <c r="W663">
        <f>Table2[Profit]/Table2[Sales]</f>
        <v>0.27999999999999997</v>
      </c>
    </row>
    <row r="664" spans="1:23" x14ac:dyDescent="0.25">
      <c r="A664">
        <v>663</v>
      </c>
      <c r="B664" t="s">
        <v>3740</v>
      </c>
      <c r="C664" s="1">
        <v>42479</v>
      </c>
      <c r="D664" s="1">
        <v>42485</v>
      </c>
      <c r="E664" t="s">
        <v>49</v>
      </c>
      <c r="F664" t="s">
        <v>388</v>
      </c>
      <c r="G664" t="s">
        <v>389</v>
      </c>
      <c r="H664" t="s">
        <v>101</v>
      </c>
      <c r="I664" t="s">
        <v>26</v>
      </c>
      <c r="J664" t="s">
        <v>490</v>
      </c>
      <c r="K664" t="s">
        <v>491</v>
      </c>
      <c r="L664">
        <v>43229</v>
      </c>
      <c r="M664" t="s">
        <v>145</v>
      </c>
      <c r="N664" t="s">
        <v>3741</v>
      </c>
      <c r="O664" t="s">
        <v>31</v>
      </c>
      <c r="P664" t="s">
        <v>55</v>
      </c>
      <c r="Q664" t="s">
        <v>3742</v>
      </c>
      <c r="R664">
        <v>205.17599999999999</v>
      </c>
      <c r="S664">
        <v>2</v>
      </c>
      <c r="T664">
        <v>0.4</v>
      </c>
      <c r="U664">
        <v>-58.133200000000002</v>
      </c>
      <c r="V664" t="str">
        <f t="shared" si="10"/>
        <v>Gary Mitchum</v>
      </c>
      <c r="W664">
        <f>Table2[Profit]/Table2[Sales]</f>
        <v>-0.28333333333333338</v>
      </c>
    </row>
    <row r="665" spans="1:23" x14ac:dyDescent="0.25">
      <c r="A665">
        <v>664</v>
      </c>
      <c r="B665" t="s">
        <v>3745</v>
      </c>
      <c r="C665" s="1">
        <v>41735</v>
      </c>
      <c r="D665" s="1">
        <v>41737</v>
      </c>
      <c r="E665" t="s">
        <v>185</v>
      </c>
      <c r="F665" t="s">
        <v>1483</v>
      </c>
      <c r="G665" t="s">
        <v>1484</v>
      </c>
      <c r="H665" t="s">
        <v>101</v>
      </c>
      <c r="I665" t="s">
        <v>26</v>
      </c>
      <c r="J665" t="s">
        <v>143</v>
      </c>
      <c r="K665" t="s">
        <v>144</v>
      </c>
      <c r="L665">
        <v>19143</v>
      </c>
      <c r="M665" t="s">
        <v>145</v>
      </c>
      <c r="N665" t="s">
        <v>1931</v>
      </c>
      <c r="O665" t="s">
        <v>45</v>
      </c>
      <c r="P665" t="s">
        <v>572</v>
      </c>
      <c r="Q665" t="s">
        <v>1932</v>
      </c>
      <c r="R665">
        <v>10.304</v>
      </c>
      <c r="S665">
        <v>1</v>
      </c>
      <c r="T665">
        <v>0.2</v>
      </c>
      <c r="U665">
        <v>-2.1896</v>
      </c>
      <c r="V665" t="str">
        <f t="shared" si="10"/>
        <v>Shirley Daniels</v>
      </c>
      <c r="W665">
        <f>Table2[Profit]/Table2[Sales]</f>
        <v>-0.21249999999999999</v>
      </c>
    </row>
    <row r="666" spans="1:23" x14ac:dyDescent="0.25">
      <c r="A666">
        <v>665</v>
      </c>
      <c r="B666" t="s">
        <v>3747</v>
      </c>
      <c r="C666" s="1">
        <v>42615</v>
      </c>
      <c r="D666" s="1">
        <v>42619</v>
      </c>
      <c r="E666" t="s">
        <v>49</v>
      </c>
      <c r="F666" t="s">
        <v>309</v>
      </c>
      <c r="G666" t="s">
        <v>310</v>
      </c>
      <c r="H666" t="s">
        <v>25</v>
      </c>
      <c r="I666" t="s">
        <v>26</v>
      </c>
      <c r="J666" t="s">
        <v>263</v>
      </c>
      <c r="K666" t="s">
        <v>264</v>
      </c>
      <c r="L666">
        <v>10024</v>
      </c>
      <c r="M666" t="s">
        <v>145</v>
      </c>
      <c r="N666" t="s">
        <v>3748</v>
      </c>
      <c r="O666" t="s">
        <v>45</v>
      </c>
      <c r="P666" t="s">
        <v>67</v>
      </c>
      <c r="Q666" t="s">
        <v>3749</v>
      </c>
      <c r="R666">
        <v>75.48</v>
      </c>
      <c r="S666">
        <v>2</v>
      </c>
      <c r="T666">
        <v>0</v>
      </c>
      <c r="U666">
        <v>19.6248</v>
      </c>
      <c r="V666" t="str">
        <f t="shared" si="10"/>
        <v>Karen Daniels</v>
      </c>
      <c r="W666">
        <f>Table2[Profit]/Table2[Sales]</f>
        <v>0.26</v>
      </c>
    </row>
    <row r="667" spans="1:23" x14ac:dyDescent="0.25">
      <c r="A667">
        <v>666</v>
      </c>
      <c r="B667" t="s">
        <v>3750</v>
      </c>
      <c r="C667" s="1">
        <v>42638</v>
      </c>
      <c r="D667" s="1">
        <v>42643</v>
      </c>
      <c r="E667" t="s">
        <v>49</v>
      </c>
      <c r="F667" t="s">
        <v>3751</v>
      </c>
      <c r="G667" t="s">
        <v>3752</v>
      </c>
      <c r="H667" t="s">
        <v>25</v>
      </c>
      <c r="I667" t="s">
        <v>26</v>
      </c>
      <c r="J667" t="s">
        <v>537</v>
      </c>
      <c r="K667" t="s">
        <v>303</v>
      </c>
      <c r="L667">
        <v>85023</v>
      </c>
      <c r="M667" t="s">
        <v>43</v>
      </c>
      <c r="N667" t="s">
        <v>2837</v>
      </c>
      <c r="O667" t="s">
        <v>31</v>
      </c>
      <c r="P667" t="s">
        <v>55</v>
      </c>
      <c r="Q667" t="s">
        <v>2838</v>
      </c>
      <c r="R667">
        <v>393.16500000000002</v>
      </c>
      <c r="S667">
        <v>3</v>
      </c>
      <c r="T667">
        <v>0.5</v>
      </c>
      <c r="U667">
        <v>-204.44579999999999</v>
      </c>
      <c r="V667" t="str">
        <f t="shared" si="10"/>
        <v>Adrian Barton</v>
      </c>
      <c r="W667">
        <f>Table2[Profit]/Table2[Sales]</f>
        <v>-0.51999999999999991</v>
      </c>
    </row>
    <row r="668" spans="1:23" x14ac:dyDescent="0.25">
      <c r="A668">
        <v>667</v>
      </c>
      <c r="B668" t="s">
        <v>3753</v>
      </c>
      <c r="C668" s="1">
        <v>43043</v>
      </c>
      <c r="D668" s="1">
        <v>43050</v>
      </c>
      <c r="E668" t="s">
        <v>49</v>
      </c>
      <c r="F668" t="s">
        <v>3687</v>
      </c>
      <c r="G668" t="s">
        <v>3688</v>
      </c>
      <c r="H668" t="s">
        <v>101</v>
      </c>
      <c r="I668" t="s">
        <v>26</v>
      </c>
      <c r="J668" t="s">
        <v>751</v>
      </c>
      <c r="K668" t="s">
        <v>103</v>
      </c>
      <c r="L668">
        <v>75051</v>
      </c>
      <c r="M668" t="s">
        <v>104</v>
      </c>
      <c r="N668" t="s">
        <v>1643</v>
      </c>
      <c r="O668" t="s">
        <v>45</v>
      </c>
      <c r="P668" t="s">
        <v>46</v>
      </c>
      <c r="Q668" t="s">
        <v>1644</v>
      </c>
      <c r="R668">
        <v>23.68</v>
      </c>
      <c r="S668">
        <v>2</v>
      </c>
      <c r="T668">
        <v>0.2</v>
      </c>
      <c r="U668">
        <v>8.8800000000000008</v>
      </c>
      <c r="V668" t="str">
        <f t="shared" si="10"/>
        <v>Sam Zeldin</v>
      </c>
      <c r="W668">
        <f>Table2[Profit]/Table2[Sales]</f>
        <v>0.37500000000000006</v>
      </c>
    </row>
    <row r="669" spans="1:23" x14ac:dyDescent="0.25">
      <c r="A669">
        <v>668</v>
      </c>
      <c r="B669" t="s">
        <v>3754</v>
      </c>
      <c r="C669" s="1">
        <v>42560</v>
      </c>
      <c r="D669" s="1">
        <v>42564</v>
      </c>
      <c r="E669" t="s">
        <v>49</v>
      </c>
      <c r="F669" t="s">
        <v>575</v>
      </c>
      <c r="G669" t="s">
        <v>576</v>
      </c>
      <c r="H669" t="s">
        <v>40</v>
      </c>
      <c r="I669" t="s">
        <v>26</v>
      </c>
      <c r="J669" t="s">
        <v>263</v>
      </c>
      <c r="K669" t="s">
        <v>264</v>
      </c>
      <c r="L669">
        <v>10035</v>
      </c>
      <c r="M669" t="s">
        <v>145</v>
      </c>
      <c r="N669" t="s">
        <v>2424</v>
      </c>
      <c r="O669" t="s">
        <v>31</v>
      </c>
      <c r="P669" t="s">
        <v>35</v>
      </c>
      <c r="Q669" t="s">
        <v>2425</v>
      </c>
      <c r="R669">
        <v>408.00599999999997</v>
      </c>
      <c r="S669">
        <v>2</v>
      </c>
      <c r="T669">
        <v>0.1</v>
      </c>
      <c r="U669">
        <v>72.534400000000005</v>
      </c>
      <c r="V669" t="str">
        <f t="shared" si="10"/>
        <v>Jonathan Doherty</v>
      </c>
      <c r="W669">
        <f>Table2[Profit]/Table2[Sales]</f>
        <v>0.17777777777777781</v>
      </c>
    </row>
    <row r="670" spans="1:23" x14ac:dyDescent="0.25">
      <c r="A670">
        <v>669</v>
      </c>
      <c r="B670" t="s">
        <v>3755</v>
      </c>
      <c r="C670" s="1">
        <v>41820</v>
      </c>
      <c r="D670" s="1">
        <v>41825</v>
      </c>
      <c r="E670" t="s">
        <v>49</v>
      </c>
      <c r="F670" t="s">
        <v>3756</v>
      </c>
      <c r="G670" t="s">
        <v>3757</v>
      </c>
      <c r="H670" t="s">
        <v>25</v>
      </c>
      <c r="I670" t="s">
        <v>26</v>
      </c>
      <c r="J670" t="s">
        <v>263</v>
      </c>
      <c r="K670" t="s">
        <v>264</v>
      </c>
      <c r="L670">
        <v>10024</v>
      </c>
      <c r="M670" t="s">
        <v>145</v>
      </c>
      <c r="N670" t="s">
        <v>3758</v>
      </c>
      <c r="O670" t="s">
        <v>45</v>
      </c>
      <c r="P670" t="s">
        <v>74</v>
      </c>
      <c r="Q670" t="s">
        <v>3759</v>
      </c>
      <c r="R670">
        <v>334.76799999999997</v>
      </c>
      <c r="S670">
        <v>7</v>
      </c>
      <c r="T670">
        <v>0.2</v>
      </c>
      <c r="U670">
        <v>108.7996</v>
      </c>
      <c r="V670" t="str">
        <f t="shared" si="10"/>
        <v>Helen Abelman</v>
      </c>
      <c r="W670">
        <f>Table2[Profit]/Table2[Sales]</f>
        <v>0.32500000000000001</v>
      </c>
    </row>
    <row r="671" spans="1:23" x14ac:dyDescent="0.25">
      <c r="A671">
        <v>670</v>
      </c>
      <c r="B671" t="s">
        <v>3760</v>
      </c>
      <c r="C671" s="1">
        <v>42763</v>
      </c>
      <c r="D671" s="1">
        <v>42766</v>
      </c>
      <c r="E671" t="s">
        <v>22</v>
      </c>
      <c r="F671" t="s">
        <v>3761</v>
      </c>
      <c r="G671" t="s">
        <v>3762</v>
      </c>
      <c r="H671" t="s">
        <v>101</v>
      </c>
      <c r="I671" t="s">
        <v>26</v>
      </c>
      <c r="J671" t="s">
        <v>1687</v>
      </c>
      <c r="K671" t="s">
        <v>42</v>
      </c>
      <c r="L671">
        <v>92627</v>
      </c>
      <c r="M671" t="s">
        <v>43</v>
      </c>
      <c r="N671" t="s">
        <v>3478</v>
      </c>
      <c r="O671" t="s">
        <v>70</v>
      </c>
      <c r="P671" t="s">
        <v>158</v>
      </c>
      <c r="Q671" t="s">
        <v>3479</v>
      </c>
      <c r="R671">
        <v>239.97</v>
      </c>
      <c r="S671">
        <v>3</v>
      </c>
      <c r="T671">
        <v>0</v>
      </c>
      <c r="U671">
        <v>26.396699999999999</v>
      </c>
      <c r="V671" t="str">
        <f t="shared" si="10"/>
        <v>Beth Thompson</v>
      </c>
      <c r="W671">
        <f>Table2[Profit]/Table2[Sales]</f>
        <v>0.11</v>
      </c>
    </row>
    <row r="672" spans="1:23" x14ac:dyDescent="0.25">
      <c r="A672">
        <v>671</v>
      </c>
      <c r="B672" t="s">
        <v>3763</v>
      </c>
      <c r="C672" s="1">
        <v>42268</v>
      </c>
      <c r="D672" s="1">
        <v>42271</v>
      </c>
      <c r="E672" t="s">
        <v>185</v>
      </c>
      <c r="F672" t="s">
        <v>3764</v>
      </c>
      <c r="G672" t="s">
        <v>3765</v>
      </c>
      <c r="H672" t="s">
        <v>40</v>
      </c>
      <c r="I672" t="s">
        <v>26</v>
      </c>
      <c r="J672" t="s">
        <v>181</v>
      </c>
      <c r="K672" t="s">
        <v>103</v>
      </c>
      <c r="L672">
        <v>77041</v>
      </c>
      <c r="M672" t="s">
        <v>104</v>
      </c>
      <c r="N672" t="s">
        <v>3766</v>
      </c>
      <c r="O672" t="s">
        <v>70</v>
      </c>
      <c r="P672" t="s">
        <v>71</v>
      </c>
      <c r="Q672" t="s">
        <v>3767</v>
      </c>
      <c r="R672">
        <v>946.34400000000005</v>
      </c>
      <c r="S672">
        <v>7</v>
      </c>
      <c r="T672">
        <v>0.2</v>
      </c>
      <c r="U672">
        <v>118.29300000000001</v>
      </c>
      <c r="V672" t="str">
        <f t="shared" si="10"/>
        <v>Stuart Van</v>
      </c>
      <c r="W672">
        <f>Table2[Profit]/Table2[Sales]</f>
        <v>0.125</v>
      </c>
    </row>
    <row r="673" spans="1:23" x14ac:dyDescent="0.25">
      <c r="A673">
        <v>672</v>
      </c>
      <c r="B673" t="s">
        <v>3768</v>
      </c>
      <c r="C673" s="1">
        <v>42273</v>
      </c>
      <c r="D673" s="1">
        <v>42277</v>
      </c>
      <c r="E673" t="s">
        <v>49</v>
      </c>
      <c r="F673" t="s">
        <v>3769</v>
      </c>
      <c r="G673" t="s">
        <v>3770</v>
      </c>
      <c r="H673" t="s">
        <v>40</v>
      </c>
      <c r="I673" t="s">
        <v>26</v>
      </c>
      <c r="J673" t="s">
        <v>1799</v>
      </c>
      <c r="K673" t="s">
        <v>303</v>
      </c>
      <c r="L673">
        <v>85204</v>
      </c>
      <c r="M673" t="s">
        <v>43</v>
      </c>
      <c r="N673" t="s">
        <v>3771</v>
      </c>
      <c r="O673" t="s">
        <v>45</v>
      </c>
      <c r="P673" t="s">
        <v>89</v>
      </c>
      <c r="Q673" t="s">
        <v>3772</v>
      </c>
      <c r="R673">
        <v>86.272000000000006</v>
      </c>
      <c r="S673">
        <v>4</v>
      </c>
      <c r="T673">
        <v>0.2</v>
      </c>
      <c r="U673">
        <v>31.273599999999998</v>
      </c>
      <c r="V673" t="str">
        <f t="shared" si="10"/>
        <v>Rick Wilson</v>
      </c>
      <c r="W673">
        <f>Table2[Profit]/Table2[Sales]</f>
        <v>0.36249999999999993</v>
      </c>
    </row>
    <row r="674" spans="1:23" x14ac:dyDescent="0.25">
      <c r="A674">
        <v>673</v>
      </c>
      <c r="B674" t="s">
        <v>3777</v>
      </c>
      <c r="C674" s="1">
        <v>42308</v>
      </c>
      <c r="D674" s="1">
        <v>42312</v>
      </c>
      <c r="E674" t="s">
        <v>22</v>
      </c>
      <c r="F674" t="s">
        <v>3778</v>
      </c>
      <c r="G674" t="s">
        <v>3779</v>
      </c>
      <c r="H674" t="s">
        <v>40</v>
      </c>
      <c r="I674" t="s">
        <v>26</v>
      </c>
      <c r="J674" t="s">
        <v>2603</v>
      </c>
      <c r="K674" t="s">
        <v>42</v>
      </c>
      <c r="L674">
        <v>93905</v>
      </c>
      <c r="M674" t="s">
        <v>43</v>
      </c>
      <c r="N674" t="s">
        <v>2008</v>
      </c>
      <c r="O674" t="s">
        <v>45</v>
      </c>
      <c r="P674" t="s">
        <v>74</v>
      </c>
      <c r="Q674" t="s">
        <v>2009</v>
      </c>
      <c r="R674">
        <v>9.7279999999999998</v>
      </c>
      <c r="S674">
        <v>2</v>
      </c>
      <c r="T674">
        <v>0.2</v>
      </c>
      <c r="U674">
        <v>3.2831999999999999</v>
      </c>
      <c r="V674" t="str">
        <f t="shared" si="10"/>
        <v>Damala Kotsonis</v>
      </c>
      <c r="W674">
        <f>Table2[Profit]/Table2[Sales]</f>
        <v>0.33750000000000002</v>
      </c>
    </row>
    <row r="675" spans="1:23" x14ac:dyDescent="0.25">
      <c r="A675">
        <v>674</v>
      </c>
      <c r="B675" t="s">
        <v>3782</v>
      </c>
      <c r="C675" s="1">
        <v>43065</v>
      </c>
      <c r="D675" s="1">
        <v>43069</v>
      </c>
      <c r="E675" t="s">
        <v>49</v>
      </c>
      <c r="F675" t="s">
        <v>2443</v>
      </c>
      <c r="G675" t="s">
        <v>2444</v>
      </c>
      <c r="H675" t="s">
        <v>25</v>
      </c>
      <c r="I675" t="s">
        <v>26</v>
      </c>
      <c r="J675" t="s">
        <v>490</v>
      </c>
      <c r="K675" t="s">
        <v>491</v>
      </c>
      <c r="L675">
        <v>43229</v>
      </c>
      <c r="M675" t="s">
        <v>145</v>
      </c>
      <c r="N675" t="s">
        <v>1990</v>
      </c>
      <c r="O675" t="s">
        <v>70</v>
      </c>
      <c r="P675" t="s">
        <v>71</v>
      </c>
      <c r="Q675" t="s">
        <v>1991</v>
      </c>
      <c r="R675">
        <v>220.75200000000001</v>
      </c>
      <c r="S675">
        <v>8</v>
      </c>
      <c r="T675">
        <v>0.4</v>
      </c>
      <c r="U675">
        <v>-40.471200000000003</v>
      </c>
      <c r="V675" t="str">
        <f t="shared" si="10"/>
        <v>Liz Thompson</v>
      </c>
      <c r="W675">
        <f>Table2[Profit]/Table2[Sales]</f>
        <v>-0.18333333333333335</v>
      </c>
    </row>
    <row r="676" spans="1:23" x14ac:dyDescent="0.25">
      <c r="A676">
        <v>675</v>
      </c>
      <c r="B676" t="s">
        <v>3783</v>
      </c>
      <c r="C676" s="1">
        <v>41992</v>
      </c>
      <c r="D676" s="1">
        <v>41994</v>
      </c>
      <c r="E676" t="s">
        <v>22</v>
      </c>
      <c r="F676" t="s">
        <v>92</v>
      </c>
      <c r="G676" t="s">
        <v>93</v>
      </c>
      <c r="H676" t="s">
        <v>25</v>
      </c>
      <c r="I676" t="s">
        <v>26</v>
      </c>
      <c r="J676" t="s">
        <v>2548</v>
      </c>
      <c r="K676" t="s">
        <v>351</v>
      </c>
      <c r="L676">
        <v>35630</v>
      </c>
      <c r="M676" t="s">
        <v>29</v>
      </c>
      <c r="N676" t="s">
        <v>3784</v>
      </c>
      <c r="O676" t="s">
        <v>45</v>
      </c>
      <c r="P676" t="s">
        <v>74</v>
      </c>
      <c r="Q676" t="s">
        <v>3785</v>
      </c>
      <c r="R676">
        <v>152.76</v>
      </c>
      <c r="S676">
        <v>6</v>
      </c>
      <c r="T676">
        <v>0</v>
      </c>
      <c r="U676">
        <v>74.852400000000003</v>
      </c>
      <c r="V676" t="str">
        <f t="shared" si="10"/>
        <v>Irene Maddox</v>
      </c>
      <c r="W676">
        <f>Table2[Profit]/Table2[Sales]</f>
        <v>0.49000000000000005</v>
      </c>
    </row>
    <row r="677" spans="1:23" x14ac:dyDescent="0.25">
      <c r="A677">
        <v>676</v>
      </c>
      <c r="B677" t="s">
        <v>3786</v>
      </c>
      <c r="C677" s="1">
        <v>42730</v>
      </c>
      <c r="D677" s="1">
        <v>42734</v>
      </c>
      <c r="E677" t="s">
        <v>49</v>
      </c>
      <c r="F677" t="s">
        <v>1892</v>
      </c>
      <c r="G677" t="s">
        <v>1893</v>
      </c>
      <c r="H677" t="s">
        <v>25</v>
      </c>
      <c r="I677" t="s">
        <v>26</v>
      </c>
      <c r="J677" t="s">
        <v>94</v>
      </c>
      <c r="K677" t="s">
        <v>95</v>
      </c>
      <c r="L677">
        <v>98105</v>
      </c>
      <c r="M677" t="s">
        <v>43</v>
      </c>
      <c r="N677" t="s">
        <v>3787</v>
      </c>
      <c r="O677" t="s">
        <v>45</v>
      </c>
      <c r="P677" t="s">
        <v>89</v>
      </c>
      <c r="Q677" t="s">
        <v>3788</v>
      </c>
      <c r="R677">
        <v>33.9</v>
      </c>
      <c r="S677">
        <v>5</v>
      </c>
      <c r="T677">
        <v>0</v>
      </c>
      <c r="U677">
        <v>15.593999999999999</v>
      </c>
      <c r="V677" t="str">
        <f t="shared" si="10"/>
        <v>Frank Preis</v>
      </c>
      <c r="W677">
        <f>Table2[Profit]/Table2[Sales]</f>
        <v>0.46</v>
      </c>
    </row>
    <row r="678" spans="1:23" x14ac:dyDescent="0.25">
      <c r="A678">
        <v>677</v>
      </c>
      <c r="B678" t="s">
        <v>3789</v>
      </c>
      <c r="C678" s="1">
        <v>42906</v>
      </c>
      <c r="D678" s="1">
        <v>42913</v>
      </c>
      <c r="E678" t="s">
        <v>49</v>
      </c>
      <c r="F678" t="s">
        <v>3790</v>
      </c>
      <c r="G678" t="s">
        <v>3791</v>
      </c>
      <c r="H678" t="s">
        <v>25</v>
      </c>
      <c r="I678" t="s">
        <v>26</v>
      </c>
      <c r="J678" t="s">
        <v>3792</v>
      </c>
      <c r="K678" t="s">
        <v>491</v>
      </c>
      <c r="L678">
        <v>44134</v>
      </c>
      <c r="M678" t="s">
        <v>145</v>
      </c>
      <c r="N678" t="s">
        <v>3793</v>
      </c>
      <c r="O678" t="s">
        <v>45</v>
      </c>
      <c r="P678" t="s">
        <v>89</v>
      </c>
      <c r="Q678" t="s">
        <v>3794</v>
      </c>
      <c r="R678">
        <v>31.103999999999999</v>
      </c>
      <c r="S678">
        <v>6</v>
      </c>
      <c r="T678">
        <v>0.2</v>
      </c>
      <c r="U678">
        <v>10.8864</v>
      </c>
      <c r="V678" t="str">
        <f t="shared" si="10"/>
        <v>Shui Tom</v>
      </c>
      <c r="W678">
        <f>Table2[Profit]/Table2[Sales]</f>
        <v>0.35000000000000003</v>
      </c>
    </row>
    <row r="679" spans="1:23" x14ac:dyDescent="0.25">
      <c r="A679">
        <v>678</v>
      </c>
      <c r="B679" t="s">
        <v>3795</v>
      </c>
      <c r="C679" s="1">
        <v>42292</v>
      </c>
      <c r="D679" s="1">
        <v>42292</v>
      </c>
      <c r="E679" t="s">
        <v>1278</v>
      </c>
      <c r="F679" t="s">
        <v>325</v>
      </c>
      <c r="G679" t="s">
        <v>326</v>
      </c>
      <c r="H679" t="s">
        <v>25</v>
      </c>
      <c r="I679" t="s">
        <v>26</v>
      </c>
      <c r="J679" t="s">
        <v>1590</v>
      </c>
      <c r="K679" t="s">
        <v>103</v>
      </c>
      <c r="L679">
        <v>79109</v>
      </c>
      <c r="M679" t="s">
        <v>104</v>
      </c>
      <c r="N679" t="s">
        <v>3796</v>
      </c>
      <c r="O679" t="s">
        <v>70</v>
      </c>
      <c r="P679" t="s">
        <v>158</v>
      </c>
      <c r="Q679" t="s">
        <v>3797</v>
      </c>
      <c r="R679">
        <v>263.88</v>
      </c>
      <c r="S679">
        <v>3</v>
      </c>
      <c r="T679">
        <v>0.2</v>
      </c>
      <c r="U679">
        <v>42.880499999999998</v>
      </c>
      <c r="V679" t="str">
        <f t="shared" si="10"/>
        <v>Joel Eaton</v>
      </c>
      <c r="W679">
        <f>Table2[Profit]/Table2[Sales]</f>
        <v>0.16250000000000001</v>
      </c>
    </row>
    <row r="680" spans="1:23" x14ac:dyDescent="0.25">
      <c r="A680">
        <v>679</v>
      </c>
      <c r="B680" t="s">
        <v>3798</v>
      </c>
      <c r="C680" s="1">
        <v>42837</v>
      </c>
      <c r="D680" s="1">
        <v>42840</v>
      </c>
      <c r="E680" t="s">
        <v>22</v>
      </c>
      <c r="F680" t="s">
        <v>1844</v>
      </c>
      <c r="G680" t="s">
        <v>1845</v>
      </c>
      <c r="H680" t="s">
        <v>25</v>
      </c>
      <c r="I680" t="s">
        <v>26</v>
      </c>
      <c r="J680" t="s">
        <v>3508</v>
      </c>
      <c r="K680" t="s">
        <v>1388</v>
      </c>
      <c r="L680">
        <v>2908</v>
      </c>
      <c r="M680" t="s">
        <v>145</v>
      </c>
      <c r="N680" t="s">
        <v>3799</v>
      </c>
      <c r="O680" t="s">
        <v>45</v>
      </c>
      <c r="P680" t="s">
        <v>74</v>
      </c>
      <c r="Q680" t="s">
        <v>1202</v>
      </c>
      <c r="R680">
        <v>29.7</v>
      </c>
      <c r="S680">
        <v>5</v>
      </c>
      <c r="T680">
        <v>0</v>
      </c>
      <c r="U680">
        <v>13.365</v>
      </c>
      <c r="V680" t="str">
        <f t="shared" si="10"/>
        <v>Bill Donatelli</v>
      </c>
      <c r="W680">
        <f>Table2[Profit]/Table2[Sales]</f>
        <v>0.45</v>
      </c>
    </row>
    <row r="681" spans="1:23" x14ac:dyDescent="0.25">
      <c r="A681">
        <v>680</v>
      </c>
      <c r="B681" t="s">
        <v>3800</v>
      </c>
      <c r="C681" s="1">
        <v>43088</v>
      </c>
      <c r="D681" s="1">
        <v>43093</v>
      </c>
      <c r="E681" t="s">
        <v>22</v>
      </c>
      <c r="F681" t="s">
        <v>3801</v>
      </c>
      <c r="G681" t="s">
        <v>3802</v>
      </c>
      <c r="H681" t="s">
        <v>25</v>
      </c>
      <c r="I681" t="s">
        <v>26</v>
      </c>
      <c r="J681" t="s">
        <v>126</v>
      </c>
      <c r="K681" t="s">
        <v>42</v>
      </c>
      <c r="L681">
        <v>94110</v>
      </c>
      <c r="M681" t="s">
        <v>43</v>
      </c>
      <c r="N681" t="s">
        <v>2737</v>
      </c>
      <c r="O681" t="s">
        <v>45</v>
      </c>
      <c r="P681" t="s">
        <v>74</v>
      </c>
      <c r="Q681" t="s">
        <v>2738</v>
      </c>
      <c r="R681">
        <v>36.671999999999997</v>
      </c>
      <c r="S681">
        <v>2</v>
      </c>
      <c r="T681">
        <v>0.2</v>
      </c>
      <c r="U681">
        <v>11.46</v>
      </c>
      <c r="V681" t="str">
        <f t="shared" si="10"/>
        <v>Michael Moore</v>
      </c>
      <c r="W681">
        <f>Table2[Profit]/Table2[Sales]</f>
        <v>0.31250000000000006</v>
      </c>
    </row>
    <row r="682" spans="1:23" x14ac:dyDescent="0.25">
      <c r="A682">
        <v>681</v>
      </c>
      <c r="B682" t="s">
        <v>3803</v>
      </c>
      <c r="C682" s="1">
        <v>42952</v>
      </c>
      <c r="D682" s="1">
        <v>42955</v>
      </c>
      <c r="E682" t="s">
        <v>185</v>
      </c>
      <c r="F682" t="s">
        <v>3804</v>
      </c>
      <c r="G682" t="s">
        <v>3805</v>
      </c>
      <c r="H682" t="s">
        <v>40</v>
      </c>
      <c r="I682" t="s">
        <v>26</v>
      </c>
      <c r="J682" t="s">
        <v>1450</v>
      </c>
      <c r="K682" t="s">
        <v>28</v>
      </c>
      <c r="L682">
        <v>40475</v>
      </c>
      <c r="M682" t="s">
        <v>29</v>
      </c>
      <c r="N682" t="s">
        <v>1254</v>
      </c>
      <c r="O682" t="s">
        <v>45</v>
      </c>
      <c r="P682" t="s">
        <v>89</v>
      </c>
      <c r="Q682" t="s">
        <v>1255</v>
      </c>
      <c r="R682">
        <v>13.76</v>
      </c>
      <c r="S682">
        <v>2</v>
      </c>
      <c r="T682">
        <v>0</v>
      </c>
      <c r="U682">
        <v>6.3296000000000001</v>
      </c>
      <c r="V682" t="str">
        <f t="shared" si="10"/>
        <v>Pauline Webber</v>
      </c>
      <c r="W682">
        <f>Table2[Profit]/Table2[Sales]</f>
        <v>0.46</v>
      </c>
    </row>
    <row r="683" spans="1:23" x14ac:dyDescent="0.25">
      <c r="A683">
        <v>682</v>
      </c>
      <c r="B683" t="s">
        <v>3806</v>
      </c>
      <c r="C683" s="1">
        <v>42278</v>
      </c>
      <c r="D683" s="1">
        <v>42283</v>
      </c>
      <c r="E683" t="s">
        <v>49</v>
      </c>
      <c r="F683" t="s">
        <v>3807</v>
      </c>
      <c r="G683" t="s">
        <v>3808</v>
      </c>
      <c r="H683" t="s">
        <v>40</v>
      </c>
      <c r="I683" t="s">
        <v>26</v>
      </c>
      <c r="J683" t="s">
        <v>449</v>
      </c>
      <c r="K683" t="s">
        <v>450</v>
      </c>
      <c r="L683">
        <v>80013</v>
      </c>
      <c r="M683" t="s">
        <v>43</v>
      </c>
      <c r="N683" t="s">
        <v>540</v>
      </c>
      <c r="O683" t="s">
        <v>45</v>
      </c>
      <c r="P683" t="s">
        <v>58</v>
      </c>
      <c r="Q683" t="s">
        <v>541</v>
      </c>
      <c r="R683">
        <v>139.42400000000001</v>
      </c>
      <c r="S683">
        <v>4</v>
      </c>
      <c r="T683">
        <v>0.2</v>
      </c>
      <c r="U683">
        <v>17.428000000000001</v>
      </c>
      <c r="V683" t="str">
        <f t="shared" si="10"/>
        <v>Shaun Chance</v>
      </c>
      <c r="W683">
        <f>Table2[Profit]/Table2[Sales]</f>
        <v>0.125</v>
      </c>
    </row>
    <row r="684" spans="1:23" x14ac:dyDescent="0.25">
      <c r="A684">
        <v>683</v>
      </c>
      <c r="B684" t="s">
        <v>3809</v>
      </c>
      <c r="C684" s="1">
        <v>42513</v>
      </c>
      <c r="D684" s="1">
        <v>42518</v>
      </c>
      <c r="E684" t="s">
        <v>49</v>
      </c>
      <c r="F684" t="s">
        <v>909</v>
      </c>
      <c r="G684" t="s">
        <v>910</v>
      </c>
      <c r="H684" t="s">
        <v>25</v>
      </c>
      <c r="I684" t="s">
        <v>26</v>
      </c>
      <c r="J684" t="s">
        <v>296</v>
      </c>
      <c r="K684" t="s">
        <v>208</v>
      </c>
      <c r="L684">
        <v>60623</v>
      </c>
      <c r="M684" t="s">
        <v>104</v>
      </c>
      <c r="N684" t="s">
        <v>3431</v>
      </c>
      <c r="O684" t="s">
        <v>70</v>
      </c>
      <c r="P684" t="s">
        <v>71</v>
      </c>
      <c r="Q684" t="s">
        <v>3432</v>
      </c>
      <c r="R684">
        <v>1979.9280000000001</v>
      </c>
      <c r="S684">
        <v>9</v>
      </c>
      <c r="T684">
        <v>0.2</v>
      </c>
      <c r="U684">
        <v>148.49459999999999</v>
      </c>
      <c r="V684" t="str">
        <f t="shared" si="10"/>
        <v>Ken Lonsdale</v>
      </c>
      <c r="W684">
        <f>Table2[Profit]/Table2[Sales]</f>
        <v>7.4999999999999997E-2</v>
      </c>
    </row>
    <row r="685" spans="1:23" x14ac:dyDescent="0.25">
      <c r="A685">
        <v>684</v>
      </c>
      <c r="B685" t="s">
        <v>3810</v>
      </c>
      <c r="C685" s="1">
        <v>42899</v>
      </c>
      <c r="D685" s="1">
        <v>42902</v>
      </c>
      <c r="E685" t="s">
        <v>185</v>
      </c>
      <c r="F685" t="s">
        <v>1483</v>
      </c>
      <c r="G685" t="s">
        <v>1484</v>
      </c>
      <c r="H685" t="s">
        <v>101</v>
      </c>
      <c r="I685" t="s">
        <v>26</v>
      </c>
      <c r="J685" t="s">
        <v>296</v>
      </c>
      <c r="K685" t="s">
        <v>208</v>
      </c>
      <c r="L685">
        <v>60653</v>
      </c>
      <c r="M685" t="s">
        <v>104</v>
      </c>
      <c r="N685" t="s">
        <v>954</v>
      </c>
      <c r="O685" t="s">
        <v>45</v>
      </c>
      <c r="P685" t="s">
        <v>58</v>
      </c>
      <c r="Q685" t="s">
        <v>955</v>
      </c>
      <c r="R685">
        <v>164.73599999999999</v>
      </c>
      <c r="S685">
        <v>4</v>
      </c>
      <c r="T685">
        <v>0.2</v>
      </c>
      <c r="U685">
        <v>-39.1248</v>
      </c>
      <c r="V685" t="str">
        <f t="shared" si="10"/>
        <v>Shirley Daniels</v>
      </c>
      <c r="W685">
        <f>Table2[Profit]/Table2[Sales]</f>
        <v>-0.23750000000000002</v>
      </c>
    </row>
    <row r="686" spans="1:23" x14ac:dyDescent="0.25">
      <c r="A686">
        <v>685</v>
      </c>
      <c r="B686" t="s">
        <v>3815</v>
      </c>
      <c r="C686" s="1">
        <v>41752</v>
      </c>
      <c r="D686" s="1">
        <v>41753</v>
      </c>
      <c r="E686" t="s">
        <v>185</v>
      </c>
      <c r="F686" t="s">
        <v>3084</v>
      </c>
      <c r="G686" t="s">
        <v>3085</v>
      </c>
      <c r="H686" t="s">
        <v>40</v>
      </c>
      <c r="I686" t="s">
        <v>26</v>
      </c>
      <c r="J686" t="s">
        <v>143</v>
      </c>
      <c r="K686" t="s">
        <v>144</v>
      </c>
      <c r="L686">
        <v>19134</v>
      </c>
      <c r="M686" t="s">
        <v>145</v>
      </c>
      <c r="N686" t="s">
        <v>3816</v>
      </c>
      <c r="O686" t="s">
        <v>45</v>
      </c>
      <c r="P686" t="s">
        <v>74</v>
      </c>
      <c r="Q686" t="s">
        <v>3817</v>
      </c>
      <c r="R686">
        <v>2.5019999999999998</v>
      </c>
      <c r="S686">
        <v>3</v>
      </c>
      <c r="T686">
        <v>0.7</v>
      </c>
      <c r="U686">
        <v>-1.7514000000000001</v>
      </c>
      <c r="V686" t="str">
        <f t="shared" si="10"/>
        <v>Theresa Swint</v>
      </c>
      <c r="W686">
        <f>Table2[Profit]/Table2[Sales]</f>
        <v>-0.70000000000000007</v>
      </c>
    </row>
    <row r="687" spans="1:23" x14ac:dyDescent="0.25">
      <c r="A687">
        <v>686</v>
      </c>
      <c r="B687" t="s">
        <v>3818</v>
      </c>
      <c r="C687" s="1">
        <v>42125</v>
      </c>
      <c r="D687" s="1">
        <v>42131</v>
      </c>
      <c r="E687" t="s">
        <v>49</v>
      </c>
      <c r="F687" t="s">
        <v>697</v>
      </c>
      <c r="G687" t="s">
        <v>698</v>
      </c>
      <c r="H687" t="s">
        <v>40</v>
      </c>
      <c r="I687" t="s">
        <v>26</v>
      </c>
      <c r="J687" t="s">
        <v>41</v>
      </c>
      <c r="K687" t="s">
        <v>42</v>
      </c>
      <c r="L687">
        <v>90008</v>
      </c>
      <c r="M687" t="s">
        <v>43</v>
      </c>
      <c r="N687" t="s">
        <v>3819</v>
      </c>
      <c r="O687" t="s">
        <v>70</v>
      </c>
      <c r="P687" t="s">
        <v>71</v>
      </c>
      <c r="Q687" t="s">
        <v>3820</v>
      </c>
      <c r="R687">
        <v>88.751999999999995</v>
      </c>
      <c r="S687">
        <v>3</v>
      </c>
      <c r="T687">
        <v>0.2</v>
      </c>
      <c r="U687">
        <v>11.093999999999999</v>
      </c>
      <c r="V687" t="str">
        <f t="shared" si="10"/>
        <v>Jennifer Braxton</v>
      </c>
      <c r="W687">
        <f>Table2[Profit]/Table2[Sales]</f>
        <v>0.125</v>
      </c>
    </row>
    <row r="688" spans="1:23" x14ac:dyDescent="0.25">
      <c r="A688">
        <v>687</v>
      </c>
      <c r="B688" t="s">
        <v>3821</v>
      </c>
      <c r="C688" s="1">
        <v>42204</v>
      </c>
      <c r="D688" s="1">
        <v>42205</v>
      </c>
      <c r="E688" t="s">
        <v>185</v>
      </c>
      <c r="F688" t="s">
        <v>3822</v>
      </c>
      <c r="G688" t="s">
        <v>3823</v>
      </c>
      <c r="H688" t="s">
        <v>25</v>
      </c>
      <c r="I688" t="s">
        <v>26</v>
      </c>
      <c r="J688" t="s">
        <v>537</v>
      </c>
      <c r="K688" t="s">
        <v>303</v>
      </c>
      <c r="L688">
        <v>85023</v>
      </c>
      <c r="M688" t="s">
        <v>43</v>
      </c>
      <c r="N688" t="s">
        <v>3824</v>
      </c>
      <c r="O688" t="s">
        <v>45</v>
      </c>
      <c r="P688" t="s">
        <v>74</v>
      </c>
      <c r="Q688" t="s">
        <v>3825</v>
      </c>
      <c r="R688">
        <v>2.0249999999999999</v>
      </c>
      <c r="S688">
        <v>1</v>
      </c>
      <c r="T688">
        <v>0.7</v>
      </c>
      <c r="U688">
        <v>-1.35</v>
      </c>
      <c r="V688" t="str">
        <f t="shared" si="10"/>
        <v>Thais Sissman</v>
      </c>
      <c r="W688">
        <f>Table2[Profit]/Table2[Sales]</f>
        <v>-0.66666666666666674</v>
      </c>
    </row>
    <row r="689" spans="1:23" x14ac:dyDescent="0.25">
      <c r="A689">
        <v>688</v>
      </c>
      <c r="B689" t="s">
        <v>3826</v>
      </c>
      <c r="C689" s="1">
        <v>42700</v>
      </c>
      <c r="D689" s="1">
        <v>42703</v>
      </c>
      <c r="E689" t="s">
        <v>185</v>
      </c>
      <c r="F689" t="s">
        <v>3827</v>
      </c>
      <c r="G689" t="s">
        <v>3828</v>
      </c>
      <c r="H689" t="s">
        <v>40</v>
      </c>
      <c r="I689" t="s">
        <v>26</v>
      </c>
      <c r="J689" t="s">
        <v>3829</v>
      </c>
      <c r="K689" t="s">
        <v>351</v>
      </c>
      <c r="L689">
        <v>36608</v>
      </c>
      <c r="M689" t="s">
        <v>29</v>
      </c>
      <c r="N689" t="s">
        <v>3374</v>
      </c>
      <c r="O689" t="s">
        <v>45</v>
      </c>
      <c r="P689" t="s">
        <v>89</v>
      </c>
      <c r="Q689" t="s">
        <v>183</v>
      </c>
      <c r="R689">
        <v>70.98</v>
      </c>
      <c r="S689">
        <v>7</v>
      </c>
      <c r="T689">
        <v>0</v>
      </c>
      <c r="U689">
        <v>34.780200000000001</v>
      </c>
      <c r="V689" t="str">
        <f t="shared" si="10"/>
        <v>Mark Cousins</v>
      </c>
      <c r="W689">
        <f>Table2[Profit]/Table2[Sales]</f>
        <v>0.49</v>
      </c>
    </row>
    <row r="690" spans="1:23" x14ac:dyDescent="0.25">
      <c r="A690">
        <v>689</v>
      </c>
      <c r="B690" t="s">
        <v>3832</v>
      </c>
      <c r="C690" s="1">
        <v>42898</v>
      </c>
      <c r="D690" s="1">
        <v>42905</v>
      </c>
      <c r="E690" t="s">
        <v>49</v>
      </c>
      <c r="F690" t="s">
        <v>3833</v>
      </c>
      <c r="G690" t="s">
        <v>3834</v>
      </c>
      <c r="H690" t="s">
        <v>101</v>
      </c>
      <c r="I690" t="s">
        <v>26</v>
      </c>
      <c r="J690" t="s">
        <v>490</v>
      </c>
      <c r="K690" t="s">
        <v>1260</v>
      </c>
      <c r="L690">
        <v>31907</v>
      </c>
      <c r="M690" t="s">
        <v>29</v>
      </c>
      <c r="N690" t="s">
        <v>3835</v>
      </c>
      <c r="O690" t="s">
        <v>45</v>
      </c>
      <c r="P690" t="s">
        <v>74</v>
      </c>
      <c r="Q690" t="s">
        <v>3836</v>
      </c>
      <c r="R690">
        <v>91.2</v>
      </c>
      <c r="S690">
        <v>3</v>
      </c>
      <c r="T690">
        <v>0</v>
      </c>
      <c r="U690">
        <v>41.951999999999998</v>
      </c>
      <c r="V690" t="str">
        <f t="shared" si="10"/>
        <v>Maria Etezadi</v>
      </c>
      <c r="W690">
        <f>Table2[Profit]/Table2[Sales]</f>
        <v>0.45999999999999996</v>
      </c>
    </row>
    <row r="691" spans="1:23" x14ac:dyDescent="0.25">
      <c r="A691">
        <v>690</v>
      </c>
      <c r="B691" t="s">
        <v>3839</v>
      </c>
      <c r="C691" s="1">
        <v>42233</v>
      </c>
      <c r="D691" s="1">
        <v>42237</v>
      </c>
      <c r="E691" t="s">
        <v>49</v>
      </c>
      <c r="F691" t="s">
        <v>3807</v>
      </c>
      <c r="G691" t="s">
        <v>3808</v>
      </c>
      <c r="H691" t="s">
        <v>40</v>
      </c>
      <c r="I691" t="s">
        <v>26</v>
      </c>
      <c r="J691" t="s">
        <v>3840</v>
      </c>
      <c r="K691" t="s">
        <v>1233</v>
      </c>
      <c r="L691">
        <v>2740</v>
      </c>
      <c r="M691" t="s">
        <v>145</v>
      </c>
      <c r="N691" t="s">
        <v>1282</v>
      </c>
      <c r="O691" t="s">
        <v>45</v>
      </c>
      <c r="P691" t="s">
        <v>74</v>
      </c>
      <c r="Q691" t="s">
        <v>1283</v>
      </c>
      <c r="R691">
        <v>52.2</v>
      </c>
      <c r="S691">
        <v>9</v>
      </c>
      <c r="T691">
        <v>0</v>
      </c>
      <c r="U691">
        <v>23.49</v>
      </c>
      <c r="V691" t="str">
        <f t="shared" si="10"/>
        <v>Shaun Chance</v>
      </c>
      <c r="W691">
        <f>Table2[Profit]/Table2[Sales]</f>
        <v>0.44999999999999996</v>
      </c>
    </row>
    <row r="692" spans="1:23" x14ac:dyDescent="0.25">
      <c r="A692">
        <v>691</v>
      </c>
      <c r="B692" t="s">
        <v>3841</v>
      </c>
      <c r="C692" s="1">
        <v>42638</v>
      </c>
      <c r="D692" s="1">
        <v>42644</v>
      </c>
      <c r="E692" t="s">
        <v>49</v>
      </c>
      <c r="F692" t="s">
        <v>3842</v>
      </c>
      <c r="G692" t="s">
        <v>3843</v>
      </c>
      <c r="H692" t="s">
        <v>40</v>
      </c>
      <c r="I692" t="s">
        <v>26</v>
      </c>
      <c r="J692" t="s">
        <v>3844</v>
      </c>
      <c r="K692" t="s">
        <v>103</v>
      </c>
      <c r="L692">
        <v>75061</v>
      </c>
      <c r="M692" t="s">
        <v>104</v>
      </c>
      <c r="N692" t="s">
        <v>2461</v>
      </c>
      <c r="O692" t="s">
        <v>45</v>
      </c>
      <c r="P692" t="s">
        <v>46</v>
      </c>
      <c r="Q692" t="s">
        <v>2462</v>
      </c>
      <c r="R692">
        <v>15.936</v>
      </c>
      <c r="S692">
        <v>4</v>
      </c>
      <c r="T692">
        <v>0.2</v>
      </c>
      <c r="U692">
        <v>5.1791999999999998</v>
      </c>
      <c r="V692" t="str">
        <f t="shared" si="10"/>
        <v>Nicole Hansen</v>
      </c>
      <c r="W692">
        <f>Table2[Profit]/Table2[Sales]</f>
        <v>0.32500000000000001</v>
      </c>
    </row>
    <row r="693" spans="1:23" x14ac:dyDescent="0.25">
      <c r="A693">
        <v>692</v>
      </c>
      <c r="B693" t="s">
        <v>3845</v>
      </c>
      <c r="C693" s="1">
        <v>41763</v>
      </c>
      <c r="D693" s="1">
        <v>41763</v>
      </c>
      <c r="E693" t="s">
        <v>1278</v>
      </c>
      <c r="F693" t="s">
        <v>84</v>
      </c>
      <c r="G693" t="s">
        <v>85</v>
      </c>
      <c r="H693" t="s">
        <v>25</v>
      </c>
      <c r="I693" t="s">
        <v>26</v>
      </c>
      <c r="J693" t="s">
        <v>3616</v>
      </c>
      <c r="K693" t="s">
        <v>740</v>
      </c>
      <c r="L693">
        <v>6457</v>
      </c>
      <c r="M693" t="s">
        <v>145</v>
      </c>
      <c r="N693" t="s">
        <v>3846</v>
      </c>
      <c r="O693" t="s">
        <v>31</v>
      </c>
      <c r="P693" t="s">
        <v>64</v>
      </c>
      <c r="Q693" t="s">
        <v>3847</v>
      </c>
      <c r="R693">
        <v>27.46</v>
      </c>
      <c r="S693">
        <v>2</v>
      </c>
      <c r="T693">
        <v>0</v>
      </c>
      <c r="U693">
        <v>9.8856000000000002</v>
      </c>
      <c r="V693" t="str">
        <f t="shared" si="10"/>
        <v>Andrew Allen</v>
      </c>
      <c r="W693">
        <f>Table2[Profit]/Table2[Sales]</f>
        <v>0.36</v>
      </c>
    </row>
    <row r="694" spans="1:23" x14ac:dyDescent="0.25">
      <c r="A694">
        <v>693</v>
      </c>
      <c r="B694" t="s">
        <v>3848</v>
      </c>
      <c r="C694" s="1">
        <v>42339</v>
      </c>
      <c r="D694" s="1">
        <v>42346</v>
      </c>
      <c r="E694" t="s">
        <v>49</v>
      </c>
      <c r="F694" t="s">
        <v>806</v>
      </c>
      <c r="G694" t="s">
        <v>807</v>
      </c>
      <c r="H694" t="s">
        <v>25</v>
      </c>
      <c r="I694" t="s">
        <v>26</v>
      </c>
      <c r="J694" t="s">
        <v>94</v>
      </c>
      <c r="K694" t="s">
        <v>95</v>
      </c>
      <c r="L694">
        <v>98103</v>
      </c>
      <c r="M694" t="s">
        <v>43</v>
      </c>
      <c r="N694" t="s">
        <v>3849</v>
      </c>
      <c r="O694" t="s">
        <v>45</v>
      </c>
      <c r="P694" t="s">
        <v>74</v>
      </c>
      <c r="Q694" t="s">
        <v>3850</v>
      </c>
      <c r="R694">
        <v>55.423999999999999</v>
      </c>
      <c r="S694">
        <v>2</v>
      </c>
      <c r="T694">
        <v>0.2</v>
      </c>
      <c r="U694">
        <v>19.398399999999999</v>
      </c>
      <c r="V694" t="str">
        <f t="shared" si="10"/>
        <v>Logan Currie</v>
      </c>
      <c r="W694">
        <f>Table2[Profit]/Table2[Sales]</f>
        <v>0.35</v>
      </c>
    </row>
    <row r="695" spans="1:23" x14ac:dyDescent="0.25">
      <c r="A695">
        <v>694</v>
      </c>
      <c r="B695" t="s">
        <v>3851</v>
      </c>
      <c r="C695" s="1">
        <v>42440</v>
      </c>
      <c r="D695" s="1">
        <v>42444</v>
      </c>
      <c r="E695" t="s">
        <v>49</v>
      </c>
      <c r="F695" t="s">
        <v>3852</v>
      </c>
      <c r="G695" t="s">
        <v>3853</v>
      </c>
      <c r="H695" t="s">
        <v>25</v>
      </c>
      <c r="I695" t="s">
        <v>26</v>
      </c>
      <c r="J695" t="s">
        <v>3854</v>
      </c>
      <c r="K695" t="s">
        <v>781</v>
      </c>
      <c r="L695">
        <v>8360</v>
      </c>
      <c r="M695" t="s">
        <v>145</v>
      </c>
      <c r="N695" t="s">
        <v>2368</v>
      </c>
      <c r="O695" t="s">
        <v>31</v>
      </c>
      <c r="P695" t="s">
        <v>55</v>
      </c>
      <c r="Q695" t="s">
        <v>2369</v>
      </c>
      <c r="R695">
        <v>244.006</v>
      </c>
      <c r="S695">
        <v>2</v>
      </c>
      <c r="T695">
        <v>0.3</v>
      </c>
      <c r="U695">
        <v>-31.372199999999999</v>
      </c>
      <c r="V695" t="str">
        <f t="shared" si="10"/>
        <v>Mick Brown</v>
      </c>
      <c r="W695">
        <f>Table2[Profit]/Table2[Sales]</f>
        <v>-0.12857142857142856</v>
      </c>
    </row>
    <row r="696" spans="1:23" x14ac:dyDescent="0.25">
      <c r="A696">
        <v>695</v>
      </c>
      <c r="B696" t="s">
        <v>3855</v>
      </c>
      <c r="C696" s="1">
        <v>42608</v>
      </c>
      <c r="D696" s="1">
        <v>42610</v>
      </c>
      <c r="E696" t="s">
        <v>185</v>
      </c>
      <c r="F696" t="s">
        <v>205</v>
      </c>
      <c r="G696" t="s">
        <v>206</v>
      </c>
      <c r="H696" t="s">
        <v>40</v>
      </c>
      <c r="I696" t="s">
        <v>26</v>
      </c>
      <c r="J696" t="s">
        <v>596</v>
      </c>
      <c r="K696" t="s">
        <v>103</v>
      </c>
      <c r="L696">
        <v>77506</v>
      </c>
      <c r="M696" t="s">
        <v>104</v>
      </c>
      <c r="N696" t="s">
        <v>1572</v>
      </c>
      <c r="O696" t="s">
        <v>70</v>
      </c>
      <c r="P696" t="s">
        <v>158</v>
      </c>
      <c r="Q696" t="s">
        <v>1573</v>
      </c>
      <c r="R696">
        <v>159.98400000000001</v>
      </c>
      <c r="S696">
        <v>2</v>
      </c>
      <c r="T696">
        <v>0.2</v>
      </c>
      <c r="U696">
        <v>43.995600000000003</v>
      </c>
      <c r="V696" t="str">
        <f t="shared" si="10"/>
        <v>Linda Cazamias</v>
      </c>
      <c r="W696">
        <f>Table2[Profit]/Table2[Sales]</f>
        <v>0.27500000000000002</v>
      </c>
    </row>
    <row r="697" spans="1:23" x14ac:dyDescent="0.25">
      <c r="A697">
        <v>696</v>
      </c>
      <c r="B697" t="s">
        <v>3856</v>
      </c>
      <c r="C697" s="1">
        <v>42720</v>
      </c>
      <c r="D697" s="1">
        <v>42723</v>
      </c>
      <c r="E697" t="s">
        <v>185</v>
      </c>
      <c r="F697" t="s">
        <v>3857</v>
      </c>
      <c r="G697" t="s">
        <v>3858</v>
      </c>
      <c r="H697" t="s">
        <v>40</v>
      </c>
      <c r="I697" t="s">
        <v>26</v>
      </c>
      <c r="J697" t="s">
        <v>263</v>
      </c>
      <c r="K697" t="s">
        <v>264</v>
      </c>
      <c r="L697">
        <v>10009</v>
      </c>
      <c r="M697" t="s">
        <v>145</v>
      </c>
      <c r="N697" t="s">
        <v>3080</v>
      </c>
      <c r="O697" t="s">
        <v>45</v>
      </c>
      <c r="P697" t="s">
        <v>266</v>
      </c>
      <c r="Q697" t="s">
        <v>3081</v>
      </c>
      <c r="R697">
        <v>3.68</v>
      </c>
      <c r="S697">
        <v>2</v>
      </c>
      <c r="T697">
        <v>0</v>
      </c>
      <c r="U697">
        <v>1.8031999999999999</v>
      </c>
      <c r="V697" t="str">
        <f t="shared" si="10"/>
        <v>Keith Dawkins</v>
      </c>
      <c r="W697">
        <f>Table2[Profit]/Table2[Sales]</f>
        <v>0.48999999999999994</v>
      </c>
    </row>
    <row r="698" spans="1:23" x14ac:dyDescent="0.25">
      <c r="A698">
        <v>697</v>
      </c>
      <c r="B698" t="s">
        <v>3859</v>
      </c>
      <c r="C698" s="1">
        <v>41859</v>
      </c>
      <c r="D698" s="1">
        <v>41865</v>
      </c>
      <c r="E698" t="s">
        <v>49</v>
      </c>
      <c r="F698" t="s">
        <v>792</v>
      </c>
      <c r="G698" t="s">
        <v>793</v>
      </c>
      <c r="H698" t="s">
        <v>25</v>
      </c>
      <c r="I698" t="s">
        <v>26</v>
      </c>
      <c r="J698" t="s">
        <v>3860</v>
      </c>
      <c r="K698" t="s">
        <v>303</v>
      </c>
      <c r="L698">
        <v>85301</v>
      </c>
      <c r="M698" t="s">
        <v>43</v>
      </c>
      <c r="N698" t="s">
        <v>2964</v>
      </c>
      <c r="O698" t="s">
        <v>31</v>
      </c>
      <c r="P698" t="s">
        <v>64</v>
      </c>
      <c r="Q698" t="s">
        <v>2965</v>
      </c>
      <c r="R698">
        <v>121.376</v>
      </c>
      <c r="S698">
        <v>4</v>
      </c>
      <c r="T698">
        <v>0.2</v>
      </c>
      <c r="U698">
        <v>-3.0344000000000002</v>
      </c>
      <c r="V698" t="str">
        <f t="shared" si="10"/>
        <v>Maria Bertelson</v>
      </c>
      <c r="W698">
        <f>Table2[Profit]/Table2[Sales]</f>
        <v>-2.5000000000000001E-2</v>
      </c>
    </row>
    <row r="699" spans="1:23" x14ac:dyDescent="0.25">
      <c r="A699">
        <v>698</v>
      </c>
      <c r="B699" t="s">
        <v>3861</v>
      </c>
      <c r="C699" s="1">
        <v>42140</v>
      </c>
      <c r="D699" s="1">
        <v>42140</v>
      </c>
      <c r="E699" t="s">
        <v>1278</v>
      </c>
      <c r="F699" t="s">
        <v>2252</v>
      </c>
      <c r="G699" t="s">
        <v>2253</v>
      </c>
      <c r="H699" t="s">
        <v>101</v>
      </c>
      <c r="I699" t="s">
        <v>26</v>
      </c>
      <c r="J699" t="s">
        <v>1507</v>
      </c>
      <c r="K699" t="s">
        <v>53</v>
      </c>
      <c r="L699">
        <v>32216</v>
      </c>
      <c r="M699" t="s">
        <v>29</v>
      </c>
      <c r="N699" t="s">
        <v>2533</v>
      </c>
      <c r="O699" t="s">
        <v>70</v>
      </c>
      <c r="P699" t="s">
        <v>158</v>
      </c>
      <c r="Q699" t="s">
        <v>2534</v>
      </c>
      <c r="R699">
        <v>255.96799999999999</v>
      </c>
      <c r="S699">
        <v>4</v>
      </c>
      <c r="T699">
        <v>0.2</v>
      </c>
      <c r="U699">
        <v>31.995999999999999</v>
      </c>
      <c r="V699" t="str">
        <f t="shared" si="10"/>
        <v>Tracy Hopkins</v>
      </c>
      <c r="W699">
        <f>Table2[Profit]/Table2[Sales]</f>
        <v>0.125</v>
      </c>
    </row>
    <row r="700" spans="1:23" x14ac:dyDescent="0.25">
      <c r="A700">
        <v>699</v>
      </c>
      <c r="B700" t="s">
        <v>3862</v>
      </c>
      <c r="C700" s="1">
        <v>43078</v>
      </c>
      <c r="D700" s="1">
        <v>43082</v>
      </c>
      <c r="E700" t="s">
        <v>49</v>
      </c>
      <c r="F700" t="s">
        <v>3778</v>
      </c>
      <c r="G700" t="s">
        <v>3779</v>
      </c>
      <c r="H700" t="s">
        <v>40</v>
      </c>
      <c r="I700" t="s">
        <v>26</v>
      </c>
      <c r="J700" t="s">
        <v>873</v>
      </c>
      <c r="K700" t="s">
        <v>235</v>
      </c>
      <c r="L700">
        <v>48234</v>
      </c>
      <c r="M700" t="s">
        <v>104</v>
      </c>
      <c r="N700" t="s">
        <v>3863</v>
      </c>
      <c r="O700" t="s">
        <v>31</v>
      </c>
      <c r="P700" t="s">
        <v>35</v>
      </c>
      <c r="Q700" t="s">
        <v>3864</v>
      </c>
      <c r="R700">
        <v>872.94</v>
      </c>
      <c r="S700">
        <v>3</v>
      </c>
      <c r="T700">
        <v>0</v>
      </c>
      <c r="U700">
        <v>226.96440000000001</v>
      </c>
      <c r="V700" t="str">
        <f t="shared" si="10"/>
        <v>Damala Kotsonis</v>
      </c>
      <c r="W700">
        <f>Table2[Profit]/Table2[Sales]</f>
        <v>0.26</v>
      </c>
    </row>
    <row r="701" spans="1:23" x14ac:dyDescent="0.25">
      <c r="A701">
        <v>700</v>
      </c>
      <c r="B701" t="s">
        <v>3865</v>
      </c>
      <c r="C701" s="1">
        <v>42271</v>
      </c>
      <c r="D701" s="1">
        <v>42274</v>
      </c>
      <c r="E701" t="s">
        <v>22</v>
      </c>
      <c r="F701" t="s">
        <v>223</v>
      </c>
      <c r="G701" t="s">
        <v>224</v>
      </c>
      <c r="H701" t="s">
        <v>40</v>
      </c>
      <c r="I701" t="s">
        <v>26</v>
      </c>
      <c r="J701" t="s">
        <v>143</v>
      </c>
      <c r="K701" t="s">
        <v>144</v>
      </c>
      <c r="L701">
        <v>19120</v>
      </c>
      <c r="M701" t="s">
        <v>145</v>
      </c>
      <c r="N701" t="s">
        <v>3866</v>
      </c>
      <c r="O701" t="s">
        <v>45</v>
      </c>
      <c r="P701" t="s">
        <v>67</v>
      </c>
      <c r="Q701" t="s">
        <v>3867</v>
      </c>
      <c r="R701">
        <v>6.8479999999999999</v>
      </c>
      <c r="S701">
        <v>2</v>
      </c>
      <c r="T701">
        <v>0.2</v>
      </c>
      <c r="U701">
        <v>0.59919999999999995</v>
      </c>
      <c r="V701" t="str">
        <f t="shared" si="10"/>
        <v>Odella Nelson</v>
      </c>
      <c r="W701">
        <f>Table2[Profit]/Table2[Sales]</f>
        <v>8.7499999999999994E-2</v>
      </c>
    </row>
    <row r="702" spans="1:23" x14ac:dyDescent="0.25">
      <c r="A702">
        <v>701</v>
      </c>
      <c r="B702" t="s">
        <v>3868</v>
      </c>
      <c r="C702" s="1">
        <v>42927</v>
      </c>
      <c r="D702" s="1">
        <v>42931</v>
      </c>
      <c r="E702" t="s">
        <v>49</v>
      </c>
      <c r="F702" t="s">
        <v>3869</v>
      </c>
      <c r="G702" t="s">
        <v>3870</v>
      </c>
      <c r="H702" t="s">
        <v>40</v>
      </c>
      <c r="I702" t="s">
        <v>26</v>
      </c>
      <c r="J702" t="s">
        <v>41</v>
      </c>
      <c r="K702" t="s">
        <v>42</v>
      </c>
      <c r="L702">
        <v>90004</v>
      </c>
      <c r="M702" t="s">
        <v>43</v>
      </c>
      <c r="N702" t="s">
        <v>2638</v>
      </c>
      <c r="O702" t="s">
        <v>45</v>
      </c>
      <c r="P702" t="s">
        <v>46</v>
      </c>
      <c r="Q702" t="s">
        <v>2639</v>
      </c>
      <c r="R702">
        <v>8.67</v>
      </c>
      <c r="S702">
        <v>3</v>
      </c>
      <c r="T702">
        <v>0</v>
      </c>
      <c r="U702">
        <v>4.0749000000000004</v>
      </c>
      <c r="V702" t="str">
        <f t="shared" si="10"/>
        <v>Katherine Nockton</v>
      </c>
      <c r="W702">
        <f>Table2[Profit]/Table2[Sales]</f>
        <v>0.47000000000000003</v>
      </c>
    </row>
    <row r="703" spans="1:23" x14ac:dyDescent="0.25">
      <c r="A703">
        <v>702</v>
      </c>
      <c r="B703" t="s">
        <v>3871</v>
      </c>
      <c r="C703" s="1">
        <v>42339</v>
      </c>
      <c r="D703" s="1">
        <v>42340</v>
      </c>
      <c r="E703" t="s">
        <v>1278</v>
      </c>
      <c r="F703" t="s">
        <v>3183</v>
      </c>
      <c r="G703" t="s">
        <v>3184</v>
      </c>
      <c r="H703" t="s">
        <v>25</v>
      </c>
      <c r="I703" t="s">
        <v>26</v>
      </c>
      <c r="J703" t="s">
        <v>181</v>
      </c>
      <c r="K703" t="s">
        <v>103</v>
      </c>
      <c r="L703">
        <v>77036</v>
      </c>
      <c r="M703" t="s">
        <v>104</v>
      </c>
      <c r="N703" t="s">
        <v>3872</v>
      </c>
      <c r="O703" t="s">
        <v>31</v>
      </c>
      <c r="P703" t="s">
        <v>64</v>
      </c>
      <c r="Q703" t="s">
        <v>3873</v>
      </c>
      <c r="R703">
        <v>6.6879999999999997</v>
      </c>
      <c r="S703">
        <v>4</v>
      </c>
      <c r="T703">
        <v>0.6</v>
      </c>
      <c r="U703">
        <v>-4.0128000000000004</v>
      </c>
      <c r="V703" t="str">
        <f t="shared" si="10"/>
        <v>Neoma Murray</v>
      </c>
      <c r="W703">
        <f>Table2[Profit]/Table2[Sales]</f>
        <v>-0.60000000000000009</v>
      </c>
    </row>
    <row r="704" spans="1:23" x14ac:dyDescent="0.25">
      <c r="A704">
        <v>703</v>
      </c>
      <c r="B704" t="s">
        <v>3874</v>
      </c>
      <c r="C704" s="1">
        <v>42693</v>
      </c>
      <c r="D704" s="1">
        <v>42699</v>
      </c>
      <c r="E704" t="s">
        <v>49</v>
      </c>
      <c r="F704" t="s">
        <v>3875</v>
      </c>
      <c r="G704" t="s">
        <v>3876</v>
      </c>
      <c r="H704" t="s">
        <v>101</v>
      </c>
      <c r="I704" t="s">
        <v>26</v>
      </c>
      <c r="J704" t="s">
        <v>3877</v>
      </c>
      <c r="K704" t="s">
        <v>264</v>
      </c>
      <c r="L704">
        <v>14304</v>
      </c>
      <c r="M704" t="s">
        <v>145</v>
      </c>
      <c r="N704" t="s">
        <v>3878</v>
      </c>
      <c r="O704" t="s">
        <v>45</v>
      </c>
      <c r="P704" t="s">
        <v>67</v>
      </c>
      <c r="Q704" t="s">
        <v>3879</v>
      </c>
      <c r="R704">
        <v>17.28</v>
      </c>
      <c r="S704">
        <v>6</v>
      </c>
      <c r="T704">
        <v>0</v>
      </c>
      <c r="U704">
        <v>5.0111999999999997</v>
      </c>
      <c r="V704" t="str">
        <f t="shared" si="10"/>
        <v>Nora Pelletier</v>
      </c>
      <c r="W704">
        <f>Table2[Profit]/Table2[Sales]</f>
        <v>0.28999999999999998</v>
      </c>
    </row>
    <row r="705" spans="1:23" x14ac:dyDescent="0.25">
      <c r="A705">
        <v>704</v>
      </c>
      <c r="B705" t="s">
        <v>3880</v>
      </c>
      <c r="C705" s="1">
        <v>42813</v>
      </c>
      <c r="D705" s="1">
        <v>42818</v>
      </c>
      <c r="E705" t="s">
        <v>49</v>
      </c>
      <c r="F705" t="s">
        <v>2806</v>
      </c>
      <c r="G705" t="s">
        <v>2807</v>
      </c>
      <c r="H705" t="s">
        <v>101</v>
      </c>
      <c r="I705" t="s">
        <v>26</v>
      </c>
      <c r="J705" t="s">
        <v>263</v>
      </c>
      <c r="K705" t="s">
        <v>264</v>
      </c>
      <c r="L705">
        <v>10024</v>
      </c>
      <c r="M705" t="s">
        <v>145</v>
      </c>
      <c r="N705" t="s">
        <v>3881</v>
      </c>
      <c r="O705" t="s">
        <v>45</v>
      </c>
      <c r="P705" t="s">
        <v>46</v>
      </c>
      <c r="Q705" t="s">
        <v>3882</v>
      </c>
      <c r="R705">
        <v>28.91</v>
      </c>
      <c r="S705">
        <v>7</v>
      </c>
      <c r="T705">
        <v>0</v>
      </c>
      <c r="U705">
        <v>13.2986</v>
      </c>
      <c r="V705" t="str">
        <f t="shared" si="10"/>
        <v>Catherine Glotzbach</v>
      </c>
      <c r="W705">
        <f>Table2[Profit]/Table2[Sales]</f>
        <v>0.46</v>
      </c>
    </row>
    <row r="706" spans="1:23" x14ac:dyDescent="0.25">
      <c r="A706">
        <v>705</v>
      </c>
      <c r="B706" t="s">
        <v>3883</v>
      </c>
      <c r="C706" s="1">
        <v>42687</v>
      </c>
      <c r="D706" s="1">
        <v>42691</v>
      </c>
      <c r="E706" t="s">
        <v>49</v>
      </c>
      <c r="F706" t="s">
        <v>3884</v>
      </c>
      <c r="G706" t="s">
        <v>3885</v>
      </c>
      <c r="H706" t="s">
        <v>25</v>
      </c>
      <c r="I706" t="s">
        <v>26</v>
      </c>
      <c r="J706" t="s">
        <v>3886</v>
      </c>
      <c r="K706" t="s">
        <v>87</v>
      </c>
      <c r="L706">
        <v>27360</v>
      </c>
      <c r="M706" t="s">
        <v>29</v>
      </c>
      <c r="N706" t="s">
        <v>2543</v>
      </c>
      <c r="O706" t="s">
        <v>45</v>
      </c>
      <c r="P706" t="s">
        <v>572</v>
      </c>
      <c r="Q706" t="s">
        <v>2544</v>
      </c>
      <c r="R706">
        <v>52.136000000000003</v>
      </c>
      <c r="S706">
        <v>7</v>
      </c>
      <c r="T706">
        <v>0.2</v>
      </c>
      <c r="U706">
        <v>5.8653000000000004</v>
      </c>
      <c r="V706" t="str">
        <f t="shared" si="10"/>
        <v>Cindy Stewart</v>
      </c>
      <c r="W706">
        <f>Table2[Profit]/Table2[Sales]</f>
        <v>0.1125</v>
      </c>
    </row>
    <row r="707" spans="1:23" x14ac:dyDescent="0.25">
      <c r="A707">
        <v>706</v>
      </c>
      <c r="B707" t="s">
        <v>3887</v>
      </c>
      <c r="C707" s="1">
        <v>43058</v>
      </c>
      <c r="D707" s="1">
        <v>43059</v>
      </c>
      <c r="E707" t="s">
        <v>185</v>
      </c>
      <c r="F707" t="s">
        <v>422</v>
      </c>
      <c r="G707" t="s">
        <v>423</v>
      </c>
      <c r="H707" t="s">
        <v>25</v>
      </c>
      <c r="I707" t="s">
        <v>26</v>
      </c>
      <c r="J707" t="s">
        <v>3888</v>
      </c>
      <c r="K707" t="s">
        <v>42</v>
      </c>
      <c r="L707">
        <v>92683</v>
      </c>
      <c r="M707" t="s">
        <v>43</v>
      </c>
      <c r="N707" t="s">
        <v>1658</v>
      </c>
      <c r="O707" t="s">
        <v>70</v>
      </c>
      <c r="P707" t="s">
        <v>71</v>
      </c>
      <c r="Q707" t="s">
        <v>1659</v>
      </c>
      <c r="R707">
        <v>31.968</v>
      </c>
      <c r="S707">
        <v>4</v>
      </c>
      <c r="T707">
        <v>0.2</v>
      </c>
      <c r="U707">
        <v>2.3976000000000002</v>
      </c>
      <c r="V707" t="str">
        <f t="shared" ref="V707:V770" si="11">TRIM(G707)</f>
        <v>Katherine Ducich</v>
      </c>
      <c r="W707">
        <f>Table2[Profit]/Table2[Sales]</f>
        <v>7.5000000000000011E-2</v>
      </c>
    </row>
    <row r="708" spans="1:23" x14ac:dyDescent="0.25">
      <c r="A708">
        <v>707</v>
      </c>
      <c r="B708" t="s">
        <v>3889</v>
      </c>
      <c r="C708" s="1">
        <v>42706</v>
      </c>
      <c r="D708" s="1">
        <v>42712</v>
      </c>
      <c r="E708" t="s">
        <v>49</v>
      </c>
      <c r="F708" t="s">
        <v>1505</v>
      </c>
      <c r="G708" t="s">
        <v>1506</v>
      </c>
      <c r="H708" t="s">
        <v>25</v>
      </c>
      <c r="I708" t="s">
        <v>26</v>
      </c>
      <c r="J708" t="s">
        <v>126</v>
      </c>
      <c r="K708" t="s">
        <v>42</v>
      </c>
      <c r="L708">
        <v>94122</v>
      </c>
      <c r="M708" t="s">
        <v>43</v>
      </c>
      <c r="N708" t="s">
        <v>3890</v>
      </c>
      <c r="O708" t="s">
        <v>45</v>
      </c>
      <c r="P708" t="s">
        <v>89</v>
      </c>
      <c r="Q708" t="s">
        <v>3891</v>
      </c>
      <c r="R708">
        <v>25.92</v>
      </c>
      <c r="S708">
        <v>4</v>
      </c>
      <c r="T708">
        <v>0</v>
      </c>
      <c r="U708">
        <v>12.441599999999999</v>
      </c>
      <c r="V708" t="str">
        <f t="shared" si="11"/>
        <v>Mike Kennedy</v>
      </c>
      <c r="W708">
        <f>Table2[Profit]/Table2[Sales]</f>
        <v>0.47999999999999993</v>
      </c>
    </row>
    <row r="709" spans="1:23" x14ac:dyDescent="0.25">
      <c r="A709">
        <v>708</v>
      </c>
      <c r="B709" t="s">
        <v>3896</v>
      </c>
      <c r="C709" s="1">
        <v>42972</v>
      </c>
      <c r="D709" s="1">
        <v>42975</v>
      </c>
      <c r="E709" t="s">
        <v>22</v>
      </c>
      <c r="F709" t="s">
        <v>3126</v>
      </c>
      <c r="G709" t="s">
        <v>3127</v>
      </c>
      <c r="H709" t="s">
        <v>25</v>
      </c>
      <c r="I709" t="s">
        <v>26</v>
      </c>
      <c r="J709" t="s">
        <v>321</v>
      </c>
      <c r="K709" t="s">
        <v>328</v>
      </c>
      <c r="L709">
        <v>38301</v>
      </c>
      <c r="M709" t="s">
        <v>29</v>
      </c>
      <c r="N709" t="s">
        <v>1863</v>
      </c>
      <c r="O709" t="s">
        <v>45</v>
      </c>
      <c r="P709" t="s">
        <v>67</v>
      </c>
      <c r="Q709" t="s">
        <v>1864</v>
      </c>
      <c r="R709">
        <v>9.7279999999999998</v>
      </c>
      <c r="S709">
        <v>2</v>
      </c>
      <c r="T709">
        <v>0.2</v>
      </c>
      <c r="U709">
        <v>1.7023999999999999</v>
      </c>
      <c r="V709" t="str">
        <f t="shared" si="11"/>
        <v>Don Weiss</v>
      </c>
      <c r="W709">
        <f>Table2[Profit]/Table2[Sales]</f>
        <v>0.17499999999999999</v>
      </c>
    </row>
    <row r="710" spans="1:23" x14ac:dyDescent="0.25">
      <c r="A710">
        <v>709</v>
      </c>
      <c r="B710" t="s">
        <v>3899</v>
      </c>
      <c r="C710" s="1">
        <v>42657</v>
      </c>
      <c r="D710" s="1">
        <v>42661</v>
      </c>
      <c r="E710" t="s">
        <v>49</v>
      </c>
      <c r="F710" t="s">
        <v>2375</v>
      </c>
      <c r="G710" t="s">
        <v>2376</v>
      </c>
      <c r="H710" t="s">
        <v>40</v>
      </c>
      <c r="I710" t="s">
        <v>26</v>
      </c>
      <c r="J710" t="s">
        <v>94</v>
      </c>
      <c r="K710" t="s">
        <v>95</v>
      </c>
      <c r="L710">
        <v>98115</v>
      </c>
      <c r="M710" t="s">
        <v>43</v>
      </c>
      <c r="N710" t="s">
        <v>3900</v>
      </c>
      <c r="O710" t="s">
        <v>70</v>
      </c>
      <c r="P710" t="s">
        <v>158</v>
      </c>
      <c r="Q710" t="s">
        <v>3901</v>
      </c>
      <c r="R710">
        <v>177</v>
      </c>
      <c r="S710">
        <v>3</v>
      </c>
      <c r="T710">
        <v>0</v>
      </c>
      <c r="U710">
        <v>30.09</v>
      </c>
      <c r="V710" t="str">
        <f t="shared" si="11"/>
        <v>Christine Phan</v>
      </c>
      <c r="W710">
        <f>Table2[Profit]/Table2[Sales]</f>
        <v>0.17</v>
      </c>
    </row>
    <row r="711" spans="1:23" x14ac:dyDescent="0.25">
      <c r="A711">
        <v>710</v>
      </c>
      <c r="B711" t="s">
        <v>3902</v>
      </c>
      <c r="C711" s="1">
        <v>41970</v>
      </c>
      <c r="D711" s="1">
        <v>41976</v>
      </c>
      <c r="E711" t="s">
        <v>49</v>
      </c>
      <c r="F711" t="s">
        <v>3903</v>
      </c>
      <c r="G711" t="s">
        <v>3904</v>
      </c>
      <c r="H711" t="s">
        <v>25</v>
      </c>
      <c r="I711" t="s">
        <v>26</v>
      </c>
      <c r="J711" t="s">
        <v>263</v>
      </c>
      <c r="K711" t="s">
        <v>264</v>
      </c>
      <c r="L711">
        <v>10035</v>
      </c>
      <c r="M711" t="s">
        <v>145</v>
      </c>
      <c r="N711" t="s">
        <v>3905</v>
      </c>
      <c r="O711" t="s">
        <v>45</v>
      </c>
      <c r="P711" t="s">
        <v>266</v>
      </c>
      <c r="Q711" t="s">
        <v>556</v>
      </c>
      <c r="R711">
        <v>3.76</v>
      </c>
      <c r="S711">
        <v>2</v>
      </c>
      <c r="T711">
        <v>0</v>
      </c>
      <c r="U711">
        <v>1.3160000000000001</v>
      </c>
      <c r="V711" t="str">
        <f t="shared" si="11"/>
        <v>Maxwell Schwartz</v>
      </c>
      <c r="W711">
        <f>Table2[Profit]/Table2[Sales]</f>
        <v>0.35000000000000003</v>
      </c>
    </row>
    <row r="712" spans="1:23" x14ac:dyDescent="0.25">
      <c r="A712">
        <v>711</v>
      </c>
      <c r="B712" t="s">
        <v>3906</v>
      </c>
      <c r="C712" s="1">
        <v>42311</v>
      </c>
      <c r="D712" s="1">
        <v>42315</v>
      </c>
      <c r="E712" t="s">
        <v>49</v>
      </c>
      <c r="F712" t="s">
        <v>3907</v>
      </c>
      <c r="G712" t="s">
        <v>3908</v>
      </c>
      <c r="H712" t="s">
        <v>101</v>
      </c>
      <c r="I712" t="s">
        <v>26</v>
      </c>
      <c r="J712" t="s">
        <v>41</v>
      </c>
      <c r="K712" t="s">
        <v>42</v>
      </c>
      <c r="L712">
        <v>90008</v>
      </c>
      <c r="M712" t="s">
        <v>43</v>
      </c>
      <c r="N712" t="s">
        <v>3909</v>
      </c>
      <c r="O712" t="s">
        <v>70</v>
      </c>
      <c r="P712" t="s">
        <v>71</v>
      </c>
      <c r="Q712" t="s">
        <v>3910</v>
      </c>
      <c r="R712">
        <v>1212.848</v>
      </c>
      <c r="S712">
        <v>7</v>
      </c>
      <c r="T712">
        <v>0.2</v>
      </c>
      <c r="U712">
        <v>106.1242</v>
      </c>
      <c r="V712" t="str">
        <f t="shared" si="11"/>
        <v>Corinna Mitchell</v>
      </c>
      <c r="W712">
        <f>Table2[Profit]/Table2[Sales]</f>
        <v>8.7500000000000008E-2</v>
      </c>
    </row>
    <row r="713" spans="1:23" x14ac:dyDescent="0.25">
      <c r="A713">
        <v>712</v>
      </c>
      <c r="B713" t="s">
        <v>3913</v>
      </c>
      <c r="C713" s="1">
        <v>41972</v>
      </c>
      <c r="D713" s="1">
        <v>41979</v>
      </c>
      <c r="E713" t="s">
        <v>49</v>
      </c>
      <c r="F713" t="s">
        <v>3914</v>
      </c>
      <c r="G713" t="s">
        <v>3915</v>
      </c>
      <c r="H713" t="s">
        <v>25</v>
      </c>
      <c r="I713" t="s">
        <v>26</v>
      </c>
      <c r="J713" t="s">
        <v>143</v>
      </c>
      <c r="K713" t="s">
        <v>144</v>
      </c>
      <c r="L713">
        <v>19143</v>
      </c>
      <c r="M713" t="s">
        <v>145</v>
      </c>
      <c r="N713" t="s">
        <v>3146</v>
      </c>
      <c r="O713" t="s">
        <v>45</v>
      </c>
      <c r="P713" t="s">
        <v>46</v>
      </c>
      <c r="Q713" t="s">
        <v>3147</v>
      </c>
      <c r="R713">
        <v>5.04</v>
      </c>
      <c r="S713">
        <v>2</v>
      </c>
      <c r="T713">
        <v>0.2</v>
      </c>
      <c r="U713">
        <v>1.764</v>
      </c>
      <c r="V713" t="str">
        <f t="shared" si="11"/>
        <v>Corey-Lock</v>
      </c>
      <c r="W713">
        <f>Table2[Profit]/Table2[Sales]</f>
        <v>0.35</v>
      </c>
    </row>
    <row r="714" spans="1:23" x14ac:dyDescent="0.25">
      <c r="A714">
        <v>713</v>
      </c>
      <c r="B714" t="s">
        <v>3916</v>
      </c>
      <c r="C714" s="1">
        <v>42855</v>
      </c>
      <c r="D714" s="1">
        <v>42860</v>
      </c>
      <c r="E714" t="s">
        <v>22</v>
      </c>
      <c r="F714" t="s">
        <v>3198</v>
      </c>
      <c r="G714" t="s">
        <v>3199</v>
      </c>
      <c r="H714" t="s">
        <v>40</v>
      </c>
      <c r="I714" t="s">
        <v>26</v>
      </c>
      <c r="J714" t="s">
        <v>263</v>
      </c>
      <c r="K714" t="s">
        <v>264</v>
      </c>
      <c r="L714">
        <v>10024</v>
      </c>
      <c r="M714" t="s">
        <v>145</v>
      </c>
      <c r="N714" t="s">
        <v>196</v>
      </c>
      <c r="O714" t="s">
        <v>45</v>
      </c>
      <c r="P714" t="s">
        <v>170</v>
      </c>
      <c r="Q714" t="s">
        <v>197</v>
      </c>
      <c r="R714">
        <v>62.96</v>
      </c>
      <c r="S714">
        <v>4</v>
      </c>
      <c r="T714">
        <v>0</v>
      </c>
      <c r="U714">
        <v>28.332000000000001</v>
      </c>
      <c r="V714" t="str">
        <f t="shared" si="11"/>
        <v>Dionis Lloyd</v>
      </c>
      <c r="W714">
        <f>Table2[Profit]/Table2[Sales]</f>
        <v>0.45</v>
      </c>
    </row>
    <row r="715" spans="1:23" x14ac:dyDescent="0.25">
      <c r="A715">
        <v>714</v>
      </c>
      <c r="B715" t="s">
        <v>3917</v>
      </c>
      <c r="C715" s="1">
        <v>43063</v>
      </c>
      <c r="D715" s="1">
        <v>43067</v>
      </c>
      <c r="E715" t="s">
        <v>49</v>
      </c>
      <c r="F715" t="s">
        <v>3918</v>
      </c>
      <c r="G715" t="s">
        <v>3919</v>
      </c>
      <c r="H715" t="s">
        <v>40</v>
      </c>
      <c r="I715" t="s">
        <v>26</v>
      </c>
      <c r="J715" t="s">
        <v>263</v>
      </c>
      <c r="K715" t="s">
        <v>264</v>
      </c>
      <c r="L715">
        <v>10035</v>
      </c>
      <c r="M715" t="s">
        <v>145</v>
      </c>
      <c r="N715" t="s">
        <v>3920</v>
      </c>
      <c r="O715" t="s">
        <v>45</v>
      </c>
      <c r="P715" t="s">
        <v>89</v>
      </c>
      <c r="Q715" t="s">
        <v>3921</v>
      </c>
      <c r="R715">
        <v>5.88</v>
      </c>
      <c r="S715">
        <v>1</v>
      </c>
      <c r="T715">
        <v>0</v>
      </c>
      <c r="U715">
        <v>2.8812000000000002</v>
      </c>
      <c r="V715" t="str">
        <f t="shared" si="11"/>
        <v>Todd Sumrall</v>
      </c>
      <c r="W715">
        <f>Table2[Profit]/Table2[Sales]</f>
        <v>0.49000000000000005</v>
      </c>
    </row>
    <row r="716" spans="1:23" x14ac:dyDescent="0.25">
      <c r="A716">
        <v>715</v>
      </c>
      <c r="B716" t="s">
        <v>3922</v>
      </c>
      <c r="C716" s="1">
        <v>43038</v>
      </c>
      <c r="D716" s="1">
        <v>43042</v>
      </c>
      <c r="E716" t="s">
        <v>49</v>
      </c>
      <c r="F716" t="s">
        <v>3923</v>
      </c>
      <c r="G716" t="s">
        <v>3924</v>
      </c>
      <c r="H716" t="s">
        <v>40</v>
      </c>
      <c r="I716" t="s">
        <v>26</v>
      </c>
      <c r="J716" t="s">
        <v>2112</v>
      </c>
      <c r="K716" t="s">
        <v>95</v>
      </c>
      <c r="L716">
        <v>98661</v>
      </c>
      <c r="M716" t="s">
        <v>43</v>
      </c>
      <c r="N716" t="s">
        <v>2941</v>
      </c>
      <c r="O716" t="s">
        <v>31</v>
      </c>
      <c r="P716" t="s">
        <v>64</v>
      </c>
      <c r="Q716" t="s">
        <v>2942</v>
      </c>
      <c r="R716">
        <v>9.64</v>
      </c>
      <c r="S716">
        <v>2</v>
      </c>
      <c r="T716">
        <v>0</v>
      </c>
      <c r="U716">
        <v>3.6631999999999998</v>
      </c>
      <c r="V716" t="str">
        <f t="shared" si="11"/>
        <v>Jane Waco</v>
      </c>
      <c r="W716">
        <f>Table2[Profit]/Table2[Sales]</f>
        <v>0.37999999999999995</v>
      </c>
    </row>
    <row r="717" spans="1:23" x14ac:dyDescent="0.25">
      <c r="A717">
        <v>716</v>
      </c>
      <c r="B717" t="s">
        <v>3925</v>
      </c>
      <c r="C717" s="1">
        <v>41990</v>
      </c>
      <c r="D717" s="1">
        <v>41992</v>
      </c>
      <c r="E717" t="s">
        <v>22</v>
      </c>
      <c r="F717" t="s">
        <v>1413</v>
      </c>
      <c r="G717" t="s">
        <v>1414</v>
      </c>
      <c r="H717" t="s">
        <v>25</v>
      </c>
      <c r="I717" t="s">
        <v>26</v>
      </c>
      <c r="J717" t="s">
        <v>490</v>
      </c>
      <c r="K717" t="s">
        <v>1260</v>
      </c>
      <c r="L717">
        <v>31907</v>
      </c>
      <c r="M717" t="s">
        <v>29</v>
      </c>
      <c r="N717" t="s">
        <v>3152</v>
      </c>
      <c r="O717" t="s">
        <v>45</v>
      </c>
      <c r="P717" t="s">
        <v>67</v>
      </c>
      <c r="Q717" t="s">
        <v>3153</v>
      </c>
      <c r="R717">
        <v>40.049999999999997</v>
      </c>
      <c r="S717">
        <v>3</v>
      </c>
      <c r="T717">
        <v>0</v>
      </c>
      <c r="U717">
        <v>11.214</v>
      </c>
      <c r="V717" t="str">
        <f t="shared" si="11"/>
        <v>Roy Französisch</v>
      </c>
      <c r="W717">
        <f>Table2[Profit]/Table2[Sales]</f>
        <v>0.28000000000000003</v>
      </c>
    </row>
    <row r="718" spans="1:23" x14ac:dyDescent="0.25">
      <c r="A718">
        <v>717</v>
      </c>
      <c r="B718" t="s">
        <v>3926</v>
      </c>
      <c r="C718" s="1">
        <v>42982</v>
      </c>
      <c r="D718" s="1">
        <v>42986</v>
      </c>
      <c r="E718" t="s">
        <v>49</v>
      </c>
      <c r="F718" t="s">
        <v>3927</v>
      </c>
      <c r="G718" t="s">
        <v>3928</v>
      </c>
      <c r="H718" t="s">
        <v>25</v>
      </c>
      <c r="I718" t="s">
        <v>26</v>
      </c>
      <c r="J718" t="s">
        <v>3929</v>
      </c>
      <c r="K718" t="s">
        <v>103</v>
      </c>
      <c r="L718">
        <v>75019</v>
      </c>
      <c r="M718" t="s">
        <v>104</v>
      </c>
      <c r="N718" t="s">
        <v>3256</v>
      </c>
      <c r="O718" t="s">
        <v>45</v>
      </c>
      <c r="P718" t="s">
        <v>67</v>
      </c>
      <c r="Q718" t="s">
        <v>3257</v>
      </c>
      <c r="R718">
        <v>10.192</v>
      </c>
      <c r="S718">
        <v>7</v>
      </c>
      <c r="T718">
        <v>0.2</v>
      </c>
      <c r="U718">
        <v>3.1850000000000001</v>
      </c>
      <c r="V718" t="str">
        <f t="shared" si="11"/>
        <v>John Dryer</v>
      </c>
      <c r="W718">
        <f>Table2[Profit]/Table2[Sales]</f>
        <v>0.3125</v>
      </c>
    </row>
    <row r="719" spans="1:23" x14ac:dyDescent="0.25">
      <c r="A719">
        <v>718</v>
      </c>
      <c r="B719" t="s">
        <v>3932</v>
      </c>
      <c r="C719" s="1">
        <v>42660</v>
      </c>
      <c r="D719" s="1">
        <v>42663</v>
      </c>
      <c r="E719" t="s">
        <v>185</v>
      </c>
      <c r="F719" t="s">
        <v>630</v>
      </c>
      <c r="G719" t="s">
        <v>631</v>
      </c>
      <c r="H719" t="s">
        <v>101</v>
      </c>
      <c r="I719" t="s">
        <v>26</v>
      </c>
      <c r="J719" t="s">
        <v>126</v>
      </c>
      <c r="K719" t="s">
        <v>42</v>
      </c>
      <c r="L719">
        <v>94122</v>
      </c>
      <c r="M719" t="s">
        <v>43</v>
      </c>
      <c r="N719" t="s">
        <v>485</v>
      </c>
      <c r="O719" t="s">
        <v>45</v>
      </c>
      <c r="P719" t="s">
        <v>74</v>
      </c>
      <c r="Q719" t="s">
        <v>486</v>
      </c>
      <c r="R719">
        <v>18.16</v>
      </c>
      <c r="S719">
        <v>5</v>
      </c>
      <c r="T719">
        <v>0.2</v>
      </c>
      <c r="U719">
        <v>6.5830000000000002</v>
      </c>
      <c r="V719" t="str">
        <f t="shared" si="11"/>
        <v>Neil Knudson</v>
      </c>
      <c r="W719">
        <f>Table2[Profit]/Table2[Sales]</f>
        <v>0.36249999999999999</v>
      </c>
    </row>
    <row r="720" spans="1:23" x14ac:dyDescent="0.25">
      <c r="A720">
        <v>719</v>
      </c>
      <c r="B720" t="s">
        <v>3933</v>
      </c>
      <c r="C720" s="1">
        <v>43051</v>
      </c>
      <c r="D720" s="1">
        <v>43057</v>
      </c>
      <c r="E720" t="s">
        <v>49</v>
      </c>
      <c r="F720" t="s">
        <v>1354</v>
      </c>
      <c r="G720" t="s">
        <v>1355</v>
      </c>
      <c r="H720" t="s">
        <v>25</v>
      </c>
      <c r="I720" t="s">
        <v>26</v>
      </c>
      <c r="J720" t="s">
        <v>1225</v>
      </c>
      <c r="K720" t="s">
        <v>103</v>
      </c>
      <c r="L720">
        <v>78745</v>
      </c>
      <c r="M720" t="s">
        <v>104</v>
      </c>
      <c r="N720" t="s">
        <v>789</v>
      </c>
      <c r="O720" t="s">
        <v>45</v>
      </c>
      <c r="P720" t="s">
        <v>89</v>
      </c>
      <c r="Q720" t="s">
        <v>790</v>
      </c>
      <c r="R720">
        <v>16.056000000000001</v>
      </c>
      <c r="S720">
        <v>3</v>
      </c>
      <c r="T720">
        <v>0.2</v>
      </c>
      <c r="U720">
        <v>5.8202999999999996</v>
      </c>
      <c r="V720" t="str">
        <f t="shared" si="11"/>
        <v>Nathan Gelder</v>
      </c>
      <c r="W720">
        <f>Table2[Profit]/Table2[Sales]</f>
        <v>0.36249999999999993</v>
      </c>
    </row>
    <row r="721" spans="1:23" x14ac:dyDescent="0.25">
      <c r="A721">
        <v>720</v>
      </c>
      <c r="B721" t="s">
        <v>3936</v>
      </c>
      <c r="C721" s="1">
        <v>42698</v>
      </c>
      <c r="D721" s="1">
        <v>42705</v>
      </c>
      <c r="E721" t="s">
        <v>49</v>
      </c>
      <c r="F721" t="s">
        <v>3306</v>
      </c>
      <c r="G721" t="s">
        <v>3307</v>
      </c>
      <c r="H721" t="s">
        <v>101</v>
      </c>
      <c r="I721" t="s">
        <v>26</v>
      </c>
      <c r="J721" t="s">
        <v>41</v>
      </c>
      <c r="K721" t="s">
        <v>42</v>
      </c>
      <c r="L721">
        <v>90045</v>
      </c>
      <c r="M721" t="s">
        <v>43</v>
      </c>
      <c r="N721" t="s">
        <v>3937</v>
      </c>
      <c r="O721" t="s">
        <v>70</v>
      </c>
      <c r="P721" t="s">
        <v>71</v>
      </c>
      <c r="Q721" t="s">
        <v>3938</v>
      </c>
      <c r="R721">
        <v>33.520000000000003</v>
      </c>
      <c r="S721">
        <v>2</v>
      </c>
      <c r="T721">
        <v>0.2</v>
      </c>
      <c r="U721">
        <v>3.3519999999999999</v>
      </c>
      <c r="V721" t="str">
        <f t="shared" si="11"/>
        <v>Alyssa Tate</v>
      </c>
      <c r="W721">
        <f>Table2[Profit]/Table2[Sales]</f>
        <v>9.9999999999999992E-2</v>
      </c>
    </row>
    <row r="722" spans="1:23" x14ac:dyDescent="0.25">
      <c r="A722">
        <v>721</v>
      </c>
      <c r="B722" t="s">
        <v>3939</v>
      </c>
      <c r="C722" s="1">
        <v>42217</v>
      </c>
      <c r="D722" s="1">
        <v>42223</v>
      </c>
      <c r="E722" t="s">
        <v>49</v>
      </c>
      <c r="F722" t="s">
        <v>3940</v>
      </c>
      <c r="G722" t="s">
        <v>3941</v>
      </c>
      <c r="H722" t="s">
        <v>101</v>
      </c>
      <c r="I722" t="s">
        <v>26</v>
      </c>
      <c r="J722" t="s">
        <v>41</v>
      </c>
      <c r="K722" t="s">
        <v>42</v>
      </c>
      <c r="L722">
        <v>90004</v>
      </c>
      <c r="M722" t="s">
        <v>43</v>
      </c>
      <c r="N722" t="s">
        <v>280</v>
      </c>
      <c r="O722" t="s">
        <v>45</v>
      </c>
      <c r="P722" t="s">
        <v>67</v>
      </c>
      <c r="Q722" t="s">
        <v>281</v>
      </c>
      <c r="R722">
        <v>6.72</v>
      </c>
      <c r="S722">
        <v>4</v>
      </c>
      <c r="T722">
        <v>0</v>
      </c>
      <c r="U722">
        <v>3.36</v>
      </c>
      <c r="V722" t="str">
        <f t="shared" si="11"/>
        <v>Pauline Chand</v>
      </c>
      <c r="W722">
        <f>Table2[Profit]/Table2[Sales]</f>
        <v>0.5</v>
      </c>
    </row>
    <row r="723" spans="1:23" x14ac:dyDescent="0.25">
      <c r="A723">
        <v>722</v>
      </c>
      <c r="B723" t="s">
        <v>3944</v>
      </c>
      <c r="C723" s="1">
        <v>43093</v>
      </c>
      <c r="D723" s="1">
        <v>43098</v>
      </c>
      <c r="E723" t="s">
        <v>49</v>
      </c>
      <c r="F723" t="s">
        <v>3945</v>
      </c>
      <c r="G723" t="s">
        <v>3946</v>
      </c>
      <c r="H723" t="s">
        <v>25</v>
      </c>
      <c r="I723" t="s">
        <v>26</v>
      </c>
      <c r="J723" t="s">
        <v>263</v>
      </c>
      <c r="K723" t="s">
        <v>264</v>
      </c>
      <c r="L723">
        <v>10024</v>
      </c>
      <c r="M723" t="s">
        <v>145</v>
      </c>
      <c r="N723" t="s">
        <v>3780</v>
      </c>
      <c r="O723" t="s">
        <v>45</v>
      </c>
      <c r="P723" t="s">
        <v>74</v>
      </c>
      <c r="Q723" t="s">
        <v>3781</v>
      </c>
      <c r="R723">
        <v>17.88</v>
      </c>
      <c r="S723">
        <v>3</v>
      </c>
      <c r="T723">
        <v>0.2</v>
      </c>
      <c r="U723">
        <v>5.5875000000000004</v>
      </c>
      <c r="V723" t="str">
        <f t="shared" si="11"/>
        <v>Andy Reiter</v>
      </c>
      <c r="W723">
        <f>Table2[Profit]/Table2[Sales]</f>
        <v>0.31250000000000006</v>
      </c>
    </row>
    <row r="724" spans="1:23" x14ac:dyDescent="0.25">
      <c r="A724">
        <v>723</v>
      </c>
      <c r="B724" t="s">
        <v>3947</v>
      </c>
      <c r="C724" s="1">
        <v>42630</v>
      </c>
      <c r="D724" s="1">
        <v>42636</v>
      </c>
      <c r="E724" t="s">
        <v>49</v>
      </c>
      <c r="F724" t="s">
        <v>3884</v>
      </c>
      <c r="G724" t="s">
        <v>3885</v>
      </c>
      <c r="H724" t="s">
        <v>25</v>
      </c>
      <c r="I724" t="s">
        <v>26</v>
      </c>
      <c r="J724" t="s">
        <v>490</v>
      </c>
      <c r="K724" t="s">
        <v>1260</v>
      </c>
      <c r="L724">
        <v>31907</v>
      </c>
      <c r="M724" t="s">
        <v>29</v>
      </c>
      <c r="N724" t="s">
        <v>3948</v>
      </c>
      <c r="O724" t="s">
        <v>70</v>
      </c>
      <c r="P724" t="s">
        <v>675</v>
      </c>
      <c r="Q724" t="s">
        <v>3949</v>
      </c>
      <c r="R724">
        <v>396</v>
      </c>
      <c r="S724">
        <v>4</v>
      </c>
      <c r="T724">
        <v>0</v>
      </c>
      <c r="U724">
        <v>190.08</v>
      </c>
      <c r="V724" t="str">
        <f t="shared" si="11"/>
        <v>Cindy Stewart</v>
      </c>
      <c r="W724">
        <f>Table2[Profit]/Table2[Sales]</f>
        <v>0.48000000000000004</v>
      </c>
    </row>
    <row r="725" spans="1:23" x14ac:dyDescent="0.25">
      <c r="A725">
        <v>724</v>
      </c>
      <c r="B725" t="s">
        <v>3950</v>
      </c>
      <c r="C725" s="1">
        <v>43079</v>
      </c>
      <c r="D725" s="1">
        <v>43079</v>
      </c>
      <c r="E725" t="s">
        <v>1278</v>
      </c>
      <c r="F725" t="s">
        <v>543</v>
      </c>
      <c r="G725" t="s">
        <v>544</v>
      </c>
      <c r="H725" t="s">
        <v>101</v>
      </c>
      <c r="I725" t="s">
        <v>26</v>
      </c>
      <c r="J725" t="s">
        <v>2499</v>
      </c>
      <c r="K725" t="s">
        <v>135</v>
      </c>
      <c r="L725">
        <v>68104</v>
      </c>
      <c r="M725" t="s">
        <v>104</v>
      </c>
      <c r="N725" t="s">
        <v>3951</v>
      </c>
      <c r="O725" t="s">
        <v>45</v>
      </c>
      <c r="P725" t="s">
        <v>74</v>
      </c>
      <c r="Q725" t="s">
        <v>3952</v>
      </c>
      <c r="R725">
        <v>34.5</v>
      </c>
      <c r="S725">
        <v>3</v>
      </c>
      <c r="T725">
        <v>0</v>
      </c>
      <c r="U725">
        <v>15.525</v>
      </c>
      <c r="V725" t="str">
        <f t="shared" si="11"/>
        <v>Lindsay Shagiari</v>
      </c>
      <c r="W725">
        <f>Table2[Profit]/Table2[Sales]</f>
        <v>0.45</v>
      </c>
    </row>
    <row r="726" spans="1:23" x14ac:dyDescent="0.25">
      <c r="A726">
        <v>725</v>
      </c>
      <c r="B726" t="s">
        <v>3953</v>
      </c>
      <c r="C726" s="1">
        <v>42990</v>
      </c>
      <c r="D726" s="1">
        <v>42993</v>
      </c>
      <c r="E726" t="s">
        <v>185</v>
      </c>
      <c r="F726" t="s">
        <v>2787</v>
      </c>
      <c r="G726" t="s">
        <v>2788</v>
      </c>
      <c r="H726" t="s">
        <v>25</v>
      </c>
      <c r="I726" t="s">
        <v>26</v>
      </c>
      <c r="J726" t="s">
        <v>41</v>
      </c>
      <c r="K726" t="s">
        <v>42</v>
      </c>
      <c r="L726">
        <v>90036</v>
      </c>
      <c r="M726" t="s">
        <v>43</v>
      </c>
      <c r="N726" t="s">
        <v>3872</v>
      </c>
      <c r="O726" t="s">
        <v>31</v>
      </c>
      <c r="P726" t="s">
        <v>64</v>
      </c>
      <c r="Q726" t="s">
        <v>3873</v>
      </c>
      <c r="R726">
        <v>8.36</v>
      </c>
      <c r="S726">
        <v>2</v>
      </c>
      <c r="T726">
        <v>0</v>
      </c>
      <c r="U726">
        <v>3.0095999999999998</v>
      </c>
      <c r="V726" t="str">
        <f t="shared" si="11"/>
        <v>Jessica Myrick</v>
      </c>
      <c r="W726">
        <f>Table2[Profit]/Table2[Sales]</f>
        <v>0.36</v>
      </c>
    </row>
    <row r="727" spans="1:23" x14ac:dyDescent="0.25">
      <c r="A727">
        <v>726</v>
      </c>
      <c r="B727" t="s">
        <v>3954</v>
      </c>
      <c r="C727" s="1">
        <v>42910</v>
      </c>
      <c r="D727" s="1">
        <v>42917</v>
      </c>
      <c r="E727" t="s">
        <v>49</v>
      </c>
      <c r="F727" t="s">
        <v>3842</v>
      </c>
      <c r="G727" t="s">
        <v>3843</v>
      </c>
      <c r="H727" t="s">
        <v>40</v>
      </c>
      <c r="I727" t="s">
        <v>26</v>
      </c>
      <c r="J727" t="s">
        <v>3955</v>
      </c>
      <c r="K727" t="s">
        <v>42</v>
      </c>
      <c r="L727">
        <v>91767</v>
      </c>
      <c r="M727" t="s">
        <v>43</v>
      </c>
      <c r="N727" t="s">
        <v>1114</v>
      </c>
      <c r="O727" t="s">
        <v>45</v>
      </c>
      <c r="P727" t="s">
        <v>67</v>
      </c>
      <c r="Q727" t="s">
        <v>1115</v>
      </c>
      <c r="R727">
        <v>385.6</v>
      </c>
      <c r="S727">
        <v>8</v>
      </c>
      <c r="T727">
        <v>0</v>
      </c>
      <c r="U727">
        <v>111.824</v>
      </c>
      <c r="V727" t="str">
        <f t="shared" si="11"/>
        <v>Nicole Hansen</v>
      </c>
      <c r="W727">
        <f>Table2[Profit]/Table2[Sales]</f>
        <v>0.28999999999999998</v>
      </c>
    </row>
    <row r="728" spans="1:23" x14ac:dyDescent="0.25">
      <c r="A728">
        <v>727</v>
      </c>
      <c r="B728" t="s">
        <v>3956</v>
      </c>
      <c r="C728" s="1">
        <v>42965</v>
      </c>
      <c r="D728" s="1">
        <v>42969</v>
      </c>
      <c r="E728" t="s">
        <v>49</v>
      </c>
      <c r="F728" t="s">
        <v>1318</v>
      </c>
      <c r="G728" t="s">
        <v>1319</v>
      </c>
      <c r="H728" t="s">
        <v>25</v>
      </c>
      <c r="I728" t="s">
        <v>26</v>
      </c>
      <c r="J728" t="s">
        <v>808</v>
      </c>
      <c r="K728" t="s">
        <v>103</v>
      </c>
      <c r="L728">
        <v>75220</v>
      </c>
      <c r="M728" t="s">
        <v>104</v>
      </c>
      <c r="N728" t="s">
        <v>927</v>
      </c>
      <c r="O728" t="s">
        <v>45</v>
      </c>
      <c r="P728" t="s">
        <v>58</v>
      </c>
      <c r="Q728" t="s">
        <v>928</v>
      </c>
      <c r="R728">
        <v>200.06399999999999</v>
      </c>
      <c r="S728">
        <v>3</v>
      </c>
      <c r="T728">
        <v>0.2</v>
      </c>
      <c r="U728">
        <v>12.504</v>
      </c>
      <c r="V728" t="str">
        <f t="shared" si="11"/>
        <v>Russell Applegate</v>
      </c>
      <c r="W728">
        <f>Table2[Profit]/Table2[Sales]</f>
        <v>6.25E-2</v>
      </c>
    </row>
    <row r="729" spans="1:23" x14ac:dyDescent="0.25">
      <c r="A729">
        <v>728</v>
      </c>
      <c r="B729" t="s">
        <v>3957</v>
      </c>
      <c r="C729" s="1">
        <v>43080</v>
      </c>
      <c r="D729" s="1">
        <v>43086</v>
      </c>
      <c r="E729" t="s">
        <v>49</v>
      </c>
      <c r="F729" t="s">
        <v>3958</v>
      </c>
      <c r="G729" t="s">
        <v>3959</v>
      </c>
      <c r="H729" t="s">
        <v>25</v>
      </c>
      <c r="I729" t="s">
        <v>26</v>
      </c>
      <c r="J729" t="s">
        <v>143</v>
      </c>
      <c r="K729" t="s">
        <v>144</v>
      </c>
      <c r="L729">
        <v>19120</v>
      </c>
      <c r="M729" t="s">
        <v>145</v>
      </c>
      <c r="N729" t="s">
        <v>3670</v>
      </c>
      <c r="O729" t="s">
        <v>31</v>
      </c>
      <c r="P729" t="s">
        <v>35</v>
      </c>
      <c r="Q729" t="s">
        <v>3671</v>
      </c>
      <c r="R729">
        <v>63.686</v>
      </c>
      <c r="S729">
        <v>1</v>
      </c>
      <c r="T729">
        <v>0.3</v>
      </c>
      <c r="U729">
        <v>-9.0980000000000008</v>
      </c>
      <c r="V729" t="str">
        <f t="shared" si="11"/>
        <v>Arianne Irving</v>
      </c>
      <c r="W729">
        <f>Table2[Profit]/Table2[Sales]</f>
        <v>-0.14285714285714288</v>
      </c>
    </row>
    <row r="730" spans="1:23" x14ac:dyDescent="0.25">
      <c r="A730">
        <v>729</v>
      </c>
      <c r="B730" t="s">
        <v>3960</v>
      </c>
      <c r="C730" s="1">
        <v>43079</v>
      </c>
      <c r="D730" s="1">
        <v>43083</v>
      </c>
      <c r="E730" t="s">
        <v>22</v>
      </c>
      <c r="F730" t="s">
        <v>2193</v>
      </c>
      <c r="G730" t="s">
        <v>2194</v>
      </c>
      <c r="H730" t="s">
        <v>25</v>
      </c>
      <c r="I730" t="s">
        <v>26</v>
      </c>
      <c r="J730" t="s">
        <v>3961</v>
      </c>
      <c r="K730" t="s">
        <v>1381</v>
      </c>
      <c r="L730">
        <v>89031</v>
      </c>
      <c r="M730" t="s">
        <v>43</v>
      </c>
      <c r="N730" t="s">
        <v>1870</v>
      </c>
      <c r="O730" t="s">
        <v>31</v>
      </c>
      <c r="P730" t="s">
        <v>55</v>
      </c>
      <c r="Q730" t="s">
        <v>1871</v>
      </c>
      <c r="R730">
        <v>1669.6</v>
      </c>
      <c r="S730">
        <v>4</v>
      </c>
      <c r="T730">
        <v>0</v>
      </c>
      <c r="U730">
        <v>116.872</v>
      </c>
      <c r="V730" t="str">
        <f t="shared" si="11"/>
        <v>Michael Chen</v>
      </c>
      <c r="W730">
        <f>Table2[Profit]/Table2[Sales]</f>
        <v>7.0000000000000007E-2</v>
      </c>
    </row>
    <row r="731" spans="1:23" x14ac:dyDescent="0.25">
      <c r="A731">
        <v>730</v>
      </c>
      <c r="B731" t="s">
        <v>3962</v>
      </c>
      <c r="C731" s="1">
        <v>41673</v>
      </c>
      <c r="D731" s="1">
        <v>41676</v>
      </c>
      <c r="E731" t="s">
        <v>22</v>
      </c>
      <c r="F731" t="s">
        <v>3963</v>
      </c>
      <c r="G731" t="s">
        <v>3964</v>
      </c>
      <c r="H731" t="s">
        <v>25</v>
      </c>
      <c r="I731" t="s">
        <v>26</v>
      </c>
      <c r="J731" t="s">
        <v>94</v>
      </c>
      <c r="K731" t="s">
        <v>95</v>
      </c>
      <c r="L731">
        <v>98105</v>
      </c>
      <c r="M731" t="s">
        <v>43</v>
      </c>
      <c r="N731" t="s">
        <v>1080</v>
      </c>
      <c r="O731" t="s">
        <v>45</v>
      </c>
      <c r="P731" t="s">
        <v>74</v>
      </c>
      <c r="Q731" t="s">
        <v>1081</v>
      </c>
      <c r="R731">
        <v>83.84</v>
      </c>
      <c r="S731">
        <v>2</v>
      </c>
      <c r="T731">
        <v>0.2</v>
      </c>
      <c r="U731">
        <v>27.248000000000001</v>
      </c>
      <c r="V731" t="str">
        <f t="shared" si="11"/>
        <v>Tom Boeckenhauer</v>
      </c>
      <c r="W731">
        <f>Table2[Profit]/Table2[Sales]</f>
        <v>0.32500000000000001</v>
      </c>
    </row>
    <row r="732" spans="1:23" x14ac:dyDescent="0.25">
      <c r="A732">
        <v>731</v>
      </c>
      <c r="B732" t="s">
        <v>3965</v>
      </c>
      <c r="C732" s="1">
        <v>42777</v>
      </c>
      <c r="D732" s="1">
        <v>42780</v>
      </c>
      <c r="E732" t="s">
        <v>22</v>
      </c>
      <c r="F732" t="s">
        <v>840</v>
      </c>
      <c r="G732" t="s">
        <v>841</v>
      </c>
      <c r="H732" t="s">
        <v>40</v>
      </c>
      <c r="I732" t="s">
        <v>26</v>
      </c>
      <c r="J732" t="s">
        <v>126</v>
      </c>
      <c r="K732" t="s">
        <v>42</v>
      </c>
      <c r="L732">
        <v>94110</v>
      </c>
      <c r="M732" t="s">
        <v>43</v>
      </c>
      <c r="N732" t="s">
        <v>2829</v>
      </c>
      <c r="O732" t="s">
        <v>45</v>
      </c>
      <c r="P732" t="s">
        <v>74</v>
      </c>
      <c r="Q732" t="s">
        <v>2830</v>
      </c>
      <c r="R732">
        <v>21.335999999999999</v>
      </c>
      <c r="S732">
        <v>7</v>
      </c>
      <c r="T732">
        <v>0.2</v>
      </c>
      <c r="U732">
        <v>7.7343000000000002</v>
      </c>
      <c r="V732" t="str">
        <f t="shared" si="11"/>
        <v>Victoria Wilson</v>
      </c>
      <c r="W732">
        <f>Table2[Profit]/Table2[Sales]</f>
        <v>0.36250000000000004</v>
      </c>
    </row>
    <row r="733" spans="1:23" x14ac:dyDescent="0.25">
      <c r="A733">
        <v>732</v>
      </c>
      <c r="B733" t="s">
        <v>3966</v>
      </c>
      <c r="C733" s="1">
        <v>42841</v>
      </c>
      <c r="D733" s="1">
        <v>42846</v>
      </c>
      <c r="E733" t="s">
        <v>49</v>
      </c>
      <c r="F733" t="s">
        <v>3967</v>
      </c>
      <c r="G733" t="s">
        <v>3968</v>
      </c>
      <c r="H733" t="s">
        <v>101</v>
      </c>
      <c r="I733" t="s">
        <v>26</v>
      </c>
      <c r="J733" t="s">
        <v>296</v>
      </c>
      <c r="K733" t="s">
        <v>208</v>
      </c>
      <c r="L733">
        <v>60610</v>
      </c>
      <c r="M733" t="s">
        <v>104</v>
      </c>
      <c r="N733" t="s">
        <v>3969</v>
      </c>
      <c r="O733" t="s">
        <v>45</v>
      </c>
      <c r="P733" t="s">
        <v>67</v>
      </c>
      <c r="Q733" t="s">
        <v>3970</v>
      </c>
      <c r="R733">
        <v>16.52</v>
      </c>
      <c r="S733">
        <v>5</v>
      </c>
      <c r="T733">
        <v>0.2</v>
      </c>
      <c r="U733">
        <v>2.0649999999999999</v>
      </c>
      <c r="V733" t="str">
        <f t="shared" si="11"/>
        <v>Paul Lucas</v>
      </c>
      <c r="W733">
        <f>Table2[Profit]/Table2[Sales]</f>
        <v>0.125</v>
      </c>
    </row>
    <row r="734" spans="1:23" x14ac:dyDescent="0.25">
      <c r="A734">
        <v>733</v>
      </c>
      <c r="B734" t="s">
        <v>3971</v>
      </c>
      <c r="C734" s="1">
        <v>42344</v>
      </c>
      <c r="D734" s="1">
        <v>42349</v>
      </c>
      <c r="E734" t="s">
        <v>49</v>
      </c>
      <c r="F734" t="s">
        <v>3972</v>
      </c>
      <c r="G734" t="s">
        <v>3973</v>
      </c>
      <c r="H734" t="s">
        <v>25</v>
      </c>
      <c r="I734" t="s">
        <v>26</v>
      </c>
      <c r="J734" t="s">
        <v>1299</v>
      </c>
      <c r="K734" t="s">
        <v>303</v>
      </c>
      <c r="L734">
        <v>85705</v>
      </c>
      <c r="M734" t="s">
        <v>43</v>
      </c>
      <c r="N734" t="s">
        <v>2275</v>
      </c>
      <c r="O734" t="s">
        <v>31</v>
      </c>
      <c r="P734" t="s">
        <v>64</v>
      </c>
      <c r="Q734" t="s">
        <v>2276</v>
      </c>
      <c r="R734">
        <v>206.11199999999999</v>
      </c>
      <c r="S734">
        <v>6</v>
      </c>
      <c r="T734">
        <v>0.2</v>
      </c>
      <c r="U734">
        <v>48.951599999999999</v>
      </c>
      <c r="V734" t="str">
        <f t="shared" si="11"/>
        <v>Gary Hwang</v>
      </c>
      <c r="W734">
        <f>Table2[Profit]/Table2[Sales]</f>
        <v>0.23749999999999999</v>
      </c>
    </row>
    <row r="735" spans="1:23" x14ac:dyDescent="0.25">
      <c r="A735">
        <v>734</v>
      </c>
      <c r="B735" t="s">
        <v>3976</v>
      </c>
      <c r="C735" s="1">
        <v>42573</v>
      </c>
      <c r="D735" s="1">
        <v>42578</v>
      </c>
      <c r="E735" t="s">
        <v>49</v>
      </c>
      <c r="F735" t="s">
        <v>1439</v>
      </c>
      <c r="G735" t="s">
        <v>1440</v>
      </c>
      <c r="H735" t="s">
        <v>25</v>
      </c>
      <c r="I735" t="s">
        <v>26</v>
      </c>
      <c r="J735" t="s">
        <v>3977</v>
      </c>
      <c r="K735" t="s">
        <v>144</v>
      </c>
      <c r="L735">
        <v>18103</v>
      </c>
      <c r="M735" t="s">
        <v>145</v>
      </c>
      <c r="N735" t="s">
        <v>3978</v>
      </c>
      <c r="O735" t="s">
        <v>45</v>
      </c>
      <c r="P735" t="s">
        <v>67</v>
      </c>
      <c r="Q735" t="s">
        <v>3979</v>
      </c>
      <c r="R735">
        <v>4.16</v>
      </c>
      <c r="S735">
        <v>2</v>
      </c>
      <c r="T735">
        <v>0.2</v>
      </c>
      <c r="U735">
        <v>0.36399999999999999</v>
      </c>
      <c r="V735" t="str">
        <f t="shared" si="11"/>
        <v>Caroline Jumper</v>
      </c>
      <c r="W735">
        <f>Table2[Profit]/Table2[Sales]</f>
        <v>8.7499999999999994E-2</v>
      </c>
    </row>
    <row r="736" spans="1:23" x14ac:dyDescent="0.25">
      <c r="A736">
        <v>735</v>
      </c>
      <c r="B736" t="s">
        <v>3982</v>
      </c>
      <c r="C736" s="1">
        <v>42315</v>
      </c>
      <c r="D736" s="1">
        <v>42318</v>
      </c>
      <c r="E736" t="s">
        <v>22</v>
      </c>
      <c r="F736" t="s">
        <v>2484</v>
      </c>
      <c r="G736" t="s">
        <v>2485</v>
      </c>
      <c r="H736" t="s">
        <v>40</v>
      </c>
      <c r="I736" t="s">
        <v>26</v>
      </c>
      <c r="J736" t="s">
        <v>600</v>
      </c>
      <c r="K736" t="s">
        <v>242</v>
      </c>
      <c r="L736">
        <v>19711</v>
      </c>
      <c r="M736" t="s">
        <v>145</v>
      </c>
      <c r="N736" t="s">
        <v>3983</v>
      </c>
      <c r="O736" t="s">
        <v>45</v>
      </c>
      <c r="P736" t="s">
        <v>266</v>
      </c>
      <c r="Q736" t="s">
        <v>3984</v>
      </c>
      <c r="R736">
        <v>26.18</v>
      </c>
      <c r="S736">
        <v>7</v>
      </c>
      <c r="T736">
        <v>0</v>
      </c>
      <c r="U736">
        <v>0.52359999999999995</v>
      </c>
      <c r="V736" t="str">
        <f t="shared" si="11"/>
        <v>Mike Caudle</v>
      </c>
      <c r="W736">
        <f>Table2[Profit]/Table2[Sales]</f>
        <v>1.9999999999999997E-2</v>
      </c>
    </row>
    <row r="737" spans="1:23" x14ac:dyDescent="0.25">
      <c r="A737">
        <v>736</v>
      </c>
      <c r="B737" t="s">
        <v>3985</v>
      </c>
      <c r="C737" s="1">
        <v>42089</v>
      </c>
      <c r="D737" s="1">
        <v>42094</v>
      </c>
      <c r="E737" t="s">
        <v>49</v>
      </c>
      <c r="F737" t="s">
        <v>2408</v>
      </c>
      <c r="G737" t="s">
        <v>2409</v>
      </c>
      <c r="H737" t="s">
        <v>40</v>
      </c>
      <c r="I737" t="s">
        <v>26</v>
      </c>
      <c r="J737" t="s">
        <v>1406</v>
      </c>
      <c r="K737" t="s">
        <v>53</v>
      </c>
      <c r="L737">
        <v>33142</v>
      </c>
      <c r="M737" t="s">
        <v>29</v>
      </c>
      <c r="N737" t="s">
        <v>3986</v>
      </c>
      <c r="O737" t="s">
        <v>45</v>
      </c>
      <c r="P737" t="s">
        <v>89</v>
      </c>
      <c r="Q737" t="s">
        <v>3987</v>
      </c>
      <c r="R737">
        <v>74.352000000000004</v>
      </c>
      <c r="S737">
        <v>3</v>
      </c>
      <c r="T737">
        <v>0.2</v>
      </c>
      <c r="U737">
        <v>23.234999999999999</v>
      </c>
      <c r="V737" t="str">
        <f t="shared" si="11"/>
        <v>Benjamin Venier</v>
      </c>
      <c r="W737">
        <f>Table2[Profit]/Table2[Sales]</f>
        <v>0.3125</v>
      </c>
    </row>
    <row r="738" spans="1:23" x14ac:dyDescent="0.25">
      <c r="A738">
        <v>737</v>
      </c>
      <c r="B738" t="s">
        <v>3988</v>
      </c>
      <c r="C738" s="1">
        <v>42978</v>
      </c>
      <c r="D738" s="1">
        <v>42983</v>
      </c>
      <c r="E738" t="s">
        <v>49</v>
      </c>
      <c r="F738" t="s">
        <v>1887</v>
      </c>
      <c r="G738" t="s">
        <v>1888</v>
      </c>
      <c r="H738" t="s">
        <v>25</v>
      </c>
      <c r="I738" t="s">
        <v>26</v>
      </c>
      <c r="J738" t="s">
        <v>3989</v>
      </c>
      <c r="K738" t="s">
        <v>303</v>
      </c>
      <c r="L738">
        <v>85281</v>
      </c>
      <c r="M738" t="s">
        <v>43</v>
      </c>
      <c r="N738" t="s">
        <v>3990</v>
      </c>
      <c r="O738" t="s">
        <v>45</v>
      </c>
      <c r="P738" t="s">
        <v>58</v>
      </c>
      <c r="Q738" t="s">
        <v>3991</v>
      </c>
      <c r="R738">
        <v>10.744</v>
      </c>
      <c r="S738">
        <v>1</v>
      </c>
      <c r="T738">
        <v>0.2</v>
      </c>
      <c r="U738">
        <v>0.80579999999999996</v>
      </c>
      <c r="V738" t="str">
        <f t="shared" si="11"/>
        <v>Jeremy Farry</v>
      </c>
      <c r="W738">
        <f>Table2[Profit]/Table2[Sales]</f>
        <v>7.4999999999999997E-2</v>
      </c>
    </row>
    <row r="739" spans="1:23" x14ac:dyDescent="0.25">
      <c r="A739">
        <v>738</v>
      </c>
      <c r="B739" t="s">
        <v>3992</v>
      </c>
      <c r="C739" s="1">
        <v>42708</v>
      </c>
      <c r="D739" s="1">
        <v>42712</v>
      </c>
      <c r="E739" t="s">
        <v>49</v>
      </c>
      <c r="F739" t="s">
        <v>1897</v>
      </c>
      <c r="G739" t="s">
        <v>1898</v>
      </c>
      <c r="H739" t="s">
        <v>40</v>
      </c>
      <c r="I739" t="s">
        <v>26</v>
      </c>
      <c r="J739" t="s">
        <v>263</v>
      </c>
      <c r="K739" t="s">
        <v>264</v>
      </c>
      <c r="L739">
        <v>10035</v>
      </c>
      <c r="M739" t="s">
        <v>145</v>
      </c>
      <c r="N739" t="s">
        <v>3993</v>
      </c>
      <c r="O739" t="s">
        <v>45</v>
      </c>
      <c r="P739" t="s">
        <v>58</v>
      </c>
      <c r="Q739" t="s">
        <v>3994</v>
      </c>
      <c r="R739">
        <v>212.88</v>
      </c>
      <c r="S739">
        <v>6</v>
      </c>
      <c r="T739">
        <v>0</v>
      </c>
      <c r="U739">
        <v>0</v>
      </c>
      <c r="V739" t="str">
        <f t="shared" si="11"/>
        <v>Ellis Ballard</v>
      </c>
      <c r="W739">
        <f>Table2[Profit]/Table2[Sales]</f>
        <v>0</v>
      </c>
    </row>
    <row r="740" spans="1:23" x14ac:dyDescent="0.25">
      <c r="A740">
        <v>739</v>
      </c>
      <c r="B740" t="s">
        <v>3995</v>
      </c>
      <c r="C740" s="1">
        <v>42776</v>
      </c>
      <c r="D740" s="1">
        <v>42780</v>
      </c>
      <c r="E740" t="s">
        <v>49</v>
      </c>
      <c r="F740" t="s">
        <v>3996</v>
      </c>
      <c r="G740" t="s">
        <v>3997</v>
      </c>
      <c r="H740" t="s">
        <v>101</v>
      </c>
      <c r="I740" t="s">
        <v>26</v>
      </c>
      <c r="J740" t="s">
        <v>3998</v>
      </c>
      <c r="K740" t="s">
        <v>42</v>
      </c>
      <c r="L740">
        <v>92677</v>
      </c>
      <c r="M740" t="s">
        <v>43</v>
      </c>
      <c r="N740" t="s">
        <v>2200</v>
      </c>
      <c r="O740" t="s">
        <v>31</v>
      </c>
      <c r="P740" t="s">
        <v>32</v>
      </c>
      <c r="Q740" t="s">
        <v>2201</v>
      </c>
      <c r="R740">
        <v>203.983</v>
      </c>
      <c r="S740">
        <v>2</v>
      </c>
      <c r="T740">
        <v>0.15</v>
      </c>
      <c r="U740">
        <v>16.7986</v>
      </c>
      <c r="V740" t="str">
        <f t="shared" si="11"/>
        <v>Mike Pelletier</v>
      </c>
      <c r="W740">
        <f>Table2[Profit]/Table2[Sales]</f>
        <v>8.2352941176470587E-2</v>
      </c>
    </row>
    <row r="741" spans="1:23" x14ac:dyDescent="0.25">
      <c r="A741">
        <v>740</v>
      </c>
      <c r="B741" t="s">
        <v>3999</v>
      </c>
      <c r="C741" s="1">
        <v>42672</v>
      </c>
      <c r="D741" s="1">
        <v>42676</v>
      </c>
      <c r="E741" t="s">
        <v>49</v>
      </c>
      <c r="F741" t="s">
        <v>4000</v>
      </c>
      <c r="G741" t="s">
        <v>4001</v>
      </c>
      <c r="H741" t="s">
        <v>40</v>
      </c>
      <c r="I741" t="s">
        <v>26</v>
      </c>
      <c r="J741" t="s">
        <v>4002</v>
      </c>
      <c r="K741" t="s">
        <v>781</v>
      </c>
      <c r="L741">
        <v>8302</v>
      </c>
      <c r="M741" t="s">
        <v>145</v>
      </c>
      <c r="N741" t="s">
        <v>4003</v>
      </c>
      <c r="O741" t="s">
        <v>45</v>
      </c>
      <c r="P741" t="s">
        <v>58</v>
      </c>
      <c r="Q741" t="s">
        <v>4004</v>
      </c>
      <c r="R741">
        <v>40.74</v>
      </c>
      <c r="S741">
        <v>3</v>
      </c>
      <c r="T741">
        <v>0</v>
      </c>
      <c r="U741">
        <v>0.40739999999999998</v>
      </c>
      <c r="V741" t="str">
        <f t="shared" si="11"/>
        <v>Jim Mitchum</v>
      </c>
      <c r="W741">
        <f>Table2[Profit]/Table2[Sales]</f>
        <v>9.9999999999999985E-3</v>
      </c>
    </row>
    <row r="742" spans="1:23" x14ac:dyDescent="0.25">
      <c r="A742">
        <v>741</v>
      </c>
      <c r="B742" t="s">
        <v>4007</v>
      </c>
      <c r="C742" s="1">
        <v>42993</v>
      </c>
      <c r="D742" s="1">
        <v>42995</v>
      </c>
      <c r="E742" t="s">
        <v>22</v>
      </c>
      <c r="F742" t="s">
        <v>4008</v>
      </c>
      <c r="G742" t="s">
        <v>4009</v>
      </c>
      <c r="H742" t="s">
        <v>25</v>
      </c>
      <c r="I742" t="s">
        <v>26</v>
      </c>
      <c r="J742" t="s">
        <v>4010</v>
      </c>
      <c r="K742" t="s">
        <v>1233</v>
      </c>
      <c r="L742">
        <v>2149</v>
      </c>
      <c r="M742" t="s">
        <v>145</v>
      </c>
      <c r="N742" t="s">
        <v>3371</v>
      </c>
      <c r="O742" t="s">
        <v>70</v>
      </c>
      <c r="P742" t="s">
        <v>71</v>
      </c>
      <c r="Q742" t="s">
        <v>3372</v>
      </c>
      <c r="R742">
        <v>39.99</v>
      </c>
      <c r="S742">
        <v>1</v>
      </c>
      <c r="T742">
        <v>0</v>
      </c>
      <c r="U742">
        <v>11.597099999999999</v>
      </c>
      <c r="V742" t="str">
        <f t="shared" si="11"/>
        <v>Carl Ludwig</v>
      </c>
      <c r="W742">
        <f>Table2[Profit]/Table2[Sales]</f>
        <v>0.28999999999999998</v>
      </c>
    </row>
    <row r="743" spans="1:23" x14ac:dyDescent="0.25">
      <c r="A743">
        <v>742</v>
      </c>
      <c r="B743" t="s">
        <v>4011</v>
      </c>
      <c r="C743" s="1">
        <v>41709</v>
      </c>
      <c r="D743" s="1">
        <v>41714</v>
      </c>
      <c r="E743" t="s">
        <v>22</v>
      </c>
      <c r="F743" t="s">
        <v>1974</v>
      </c>
      <c r="G743" t="s">
        <v>1975</v>
      </c>
      <c r="H743" t="s">
        <v>25</v>
      </c>
      <c r="I743" t="s">
        <v>26</v>
      </c>
      <c r="J743" t="s">
        <v>490</v>
      </c>
      <c r="K743" t="s">
        <v>491</v>
      </c>
      <c r="L743">
        <v>43229</v>
      </c>
      <c r="M743" t="s">
        <v>145</v>
      </c>
      <c r="N743" t="s">
        <v>4012</v>
      </c>
      <c r="O743" t="s">
        <v>31</v>
      </c>
      <c r="P743" t="s">
        <v>64</v>
      </c>
      <c r="Q743" t="s">
        <v>1273</v>
      </c>
      <c r="R743">
        <v>8.32</v>
      </c>
      <c r="S743">
        <v>5</v>
      </c>
      <c r="T743">
        <v>0.2</v>
      </c>
      <c r="U743">
        <v>2.2879999999999998</v>
      </c>
      <c r="V743" t="str">
        <f t="shared" si="11"/>
        <v>Chloris Kastensmidt</v>
      </c>
      <c r="W743">
        <f>Table2[Profit]/Table2[Sales]</f>
        <v>0.27499999999999997</v>
      </c>
    </row>
    <row r="744" spans="1:23" x14ac:dyDescent="0.25">
      <c r="A744">
        <v>743</v>
      </c>
      <c r="B744" t="s">
        <v>4013</v>
      </c>
      <c r="C744" s="1">
        <v>41674</v>
      </c>
      <c r="D744" s="1">
        <v>41678</v>
      </c>
      <c r="E744" t="s">
        <v>49</v>
      </c>
      <c r="F744" t="s">
        <v>4014</v>
      </c>
      <c r="G744" t="s">
        <v>4015</v>
      </c>
      <c r="H744" t="s">
        <v>101</v>
      </c>
      <c r="I744" t="s">
        <v>26</v>
      </c>
      <c r="J744" t="s">
        <v>941</v>
      </c>
      <c r="K744" t="s">
        <v>42</v>
      </c>
      <c r="L744">
        <v>92024</v>
      </c>
      <c r="M744" t="s">
        <v>43</v>
      </c>
      <c r="N744" t="s">
        <v>2526</v>
      </c>
      <c r="O744" t="s">
        <v>45</v>
      </c>
      <c r="P744" t="s">
        <v>74</v>
      </c>
      <c r="Q744" t="s">
        <v>2527</v>
      </c>
      <c r="R744">
        <v>82.896000000000001</v>
      </c>
      <c r="S744">
        <v>3</v>
      </c>
      <c r="T744">
        <v>0.2</v>
      </c>
      <c r="U744">
        <v>29.0136</v>
      </c>
      <c r="V744" t="str">
        <f t="shared" si="11"/>
        <v>Deborah Brumfield</v>
      </c>
      <c r="W744">
        <f>Table2[Profit]/Table2[Sales]</f>
        <v>0.35</v>
      </c>
    </row>
    <row r="745" spans="1:23" x14ac:dyDescent="0.25">
      <c r="A745">
        <v>744</v>
      </c>
      <c r="B745" t="s">
        <v>4016</v>
      </c>
      <c r="C745" s="1">
        <v>42004</v>
      </c>
      <c r="D745" s="1">
        <v>42008</v>
      </c>
      <c r="E745" t="s">
        <v>22</v>
      </c>
      <c r="F745" t="s">
        <v>2712</v>
      </c>
      <c r="G745" t="s">
        <v>2713</v>
      </c>
      <c r="H745" t="s">
        <v>40</v>
      </c>
      <c r="I745" t="s">
        <v>26</v>
      </c>
      <c r="J745" t="s">
        <v>4017</v>
      </c>
      <c r="K745" t="s">
        <v>264</v>
      </c>
      <c r="L745">
        <v>13601</v>
      </c>
      <c r="M745" t="s">
        <v>145</v>
      </c>
      <c r="N745" t="s">
        <v>757</v>
      </c>
      <c r="O745" t="s">
        <v>31</v>
      </c>
      <c r="P745" t="s">
        <v>32</v>
      </c>
      <c r="Q745" t="s">
        <v>758</v>
      </c>
      <c r="R745">
        <v>1573.4880000000001</v>
      </c>
      <c r="S745">
        <v>7</v>
      </c>
      <c r="T745">
        <v>0.2</v>
      </c>
      <c r="U745">
        <v>196.68600000000001</v>
      </c>
      <c r="V745" t="str">
        <f t="shared" si="11"/>
        <v>Pamela Coakley</v>
      </c>
      <c r="W745">
        <f>Table2[Profit]/Table2[Sales]</f>
        <v>0.125</v>
      </c>
    </row>
    <row r="746" spans="1:23" x14ac:dyDescent="0.25">
      <c r="A746">
        <v>745</v>
      </c>
      <c r="B746" t="s">
        <v>4018</v>
      </c>
      <c r="C746" s="1">
        <v>42331</v>
      </c>
      <c r="D746" s="1">
        <v>42335</v>
      </c>
      <c r="E746" t="s">
        <v>49</v>
      </c>
      <c r="F746" t="s">
        <v>1258</v>
      </c>
      <c r="G746" t="s">
        <v>1259</v>
      </c>
      <c r="H746" t="s">
        <v>40</v>
      </c>
      <c r="I746" t="s">
        <v>26</v>
      </c>
      <c r="J746" t="s">
        <v>671</v>
      </c>
      <c r="K746" t="s">
        <v>103</v>
      </c>
      <c r="L746">
        <v>78207</v>
      </c>
      <c r="M746" t="s">
        <v>104</v>
      </c>
      <c r="N746" t="s">
        <v>3500</v>
      </c>
      <c r="O746" t="s">
        <v>45</v>
      </c>
      <c r="P746" t="s">
        <v>89</v>
      </c>
      <c r="Q746" t="s">
        <v>3501</v>
      </c>
      <c r="R746">
        <v>335.52</v>
      </c>
      <c r="S746">
        <v>4</v>
      </c>
      <c r="T746">
        <v>0.2</v>
      </c>
      <c r="U746">
        <v>117.432</v>
      </c>
      <c r="V746" t="str">
        <f t="shared" si="11"/>
        <v>Victoria Brennan</v>
      </c>
      <c r="W746">
        <f>Table2[Profit]/Table2[Sales]</f>
        <v>0.35000000000000003</v>
      </c>
    </row>
    <row r="747" spans="1:23" x14ac:dyDescent="0.25">
      <c r="A747">
        <v>746</v>
      </c>
      <c r="B747" t="s">
        <v>4021</v>
      </c>
      <c r="C747" s="1">
        <v>41826</v>
      </c>
      <c r="D747" s="1">
        <v>41828</v>
      </c>
      <c r="E747" t="s">
        <v>185</v>
      </c>
      <c r="F747" t="s">
        <v>1803</v>
      </c>
      <c r="G747" t="s">
        <v>1804</v>
      </c>
      <c r="H747" t="s">
        <v>25</v>
      </c>
      <c r="I747" t="s">
        <v>26</v>
      </c>
      <c r="J747" t="s">
        <v>263</v>
      </c>
      <c r="K747" t="s">
        <v>264</v>
      </c>
      <c r="L747">
        <v>10011</v>
      </c>
      <c r="M747" t="s">
        <v>145</v>
      </c>
      <c r="N747" t="s">
        <v>3389</v>
      </c>
      <c r="O747" t="s">
        <v>70</v>
      </c>
      <c r="P747" t="s">
        <v>1204</v>
      </c>
      <c r="Q747" t="s">
        <v>3390</v>
      </c>
      <c r="R747">
        <v>559.99199999999996</v>
      </c>
      <c r="S747">
        <v>1</v>
      </c>
      <c r="T747">
        <v>0.2</v>
      </c>
      <c r="U747">
        <v>174.9975</v>
      </c>
      <c r="V747" t="str">
        <f t="shared" si="11"/>
        <v>Emily Phan</v>
      </c>
      <c r="W747">
        <f>Table2[Profit]/Table2[Sales]</f>
        <v>0.3125</v>
      </c>
    </row>
    <row r="748" spans="1:23" x14ac:dyDescent="0.25">
      <c r="A748">
        <v>747</v>
      </c>
      <c r="B748" t="s">
        <v>4022</v>
      </c>
      <c r="C748" s="1">
        <v>43052</v>
      </c>
      <c r="D748" s="1">
        <v>43057</v>
      </c>
      <c r="E748" t="s">
        <v>22</v>
      </c>
      <c r="F748" t="s">
        <v>3833</v>
      </c>
      <c r="G748" t="s">
        <v>3834</v>
      </c>
      <c r="H748" t="s">
        <v>101</v>
      </c>
      <c r="I748" t="s">
        <v>26</v>
      </c>
      <c r="J748" t="s">
        <v>181</v>
      </c>
      <c r="K748" t="s">
        <v>103</v>
      </c>
      <c r="L748">
        <v>77095</v>
      </c>
      <c r="M748" t="s">
        <v>104</v>
      </c>
      <c r="N748" t="s">
        <v>4023</v>
      </c>
      <c r="O748" t="s">
        <v>45</v>
      </c>
      <c r="P748" t="s">
        <v>77</v>
      </c>
      <c r="Q748" t="s">
        <v>4024</v>
      </c>
      <c r="R748">
        <v>9.3239999999999998</v>
      </c>
      <c r="S748">
        <v>6</v>
      </c>
      <c r="T748">
        <v>0.8</v>
      </c>
      <c r="U748">
        <v>-24.708600000000001</v>
      </c>
      <c r="V748" t="str">
        <f t="shared" si="11"/>
        <v>Maria Etezadi</v>
      </c>
      <c r="W748">
        <f>Table2[Profit]/Table2[Sales]</f>
        <v>-2.65</v>
      </c>
    </row>
    <row r="749" spans="1:23" x14ac:dyDescent="0.25">
      <c r="A749">
        <v>748</v>
      </c>
      <c r="B749" t="s">
        <v>4025</v>
      </c>
      <c r="C749" s="1">
        <v>42538</v>
      </c>
      <c r="D749" s="1">
        <v>42543</v>
      </c>
      <c r="E749" t="s">
        <v>49</v>
      </c>
      <c r="F749" t="s">
        <v>4026</v>
      </c>
      <c r="G749" t="s">
        <v>4027</v>
      </c>
      <c r="H749" t="s">
        <v>25</v>
      </c>
      <c r="I749" t="s">
        <v>26</v>
      </c>
      <c r="J749" t="s">
        <v>941</v>
      </c>
      <c r="K749" t="s">
        <v>42</v>
      </c>
      <c r="L749">
        <v>92024</v>
      </c>
      <c r="M749" t="s">
        <v>43</v>
      </c>
      <c r="N749" t="s">
        <v>3705</v>
      </c>
      <c r="O749" t="s">
        <v>45</v>
      </c>
      <c r="P749" t="s">
        <v>89</v>
      </c>
      <c r="Q749" t="s">
        <v>3706</v>
      </c>
      <c r="R749">
        <v>111.96</v>
      </c>
      <c r="S749">
        <v>2</v>
      </c>
      <c r="T749">
        <v>0</v>
      </c>
      <c r="U749">
        <v>54.860399999999998</v>
      </c>
      <c r="V749" t="str">
        <f t="shared" si="11"/>
        <v>Ivan Gibson</v>
      </c>
      <c r="W749">
        <f>Table2[Profit]/Table2[Sales]</f>
        <v>0.49</v>
      </c>
    </row>
    <row r="750" spans="1:23" x14ac:dyDescent="0.25">
      <c r="A750">
        <v>749</v>
      </c>
      <c r="B750" t="s">
        <v>4028</v>
      </c>
      <c r="C750" s="1">
        <v>41762</v>
      </c>
      <c r="D750" s="1">
        <v>41764</v>
      </c>
      <c r="E750" t="s">
        <v>185</v>
      </c>
      <c r="F750" t="s">
        <v>1586</v>
      </c>
      <c r="G750" t="s">
        <v>1587</v>
      </c>
      <c r="H750" t="s">
        <v>101</v>
      </c>
      <c r="I750" t="s">
        <v>26</v>
      </c>
      <c r="J750" t="s">
        <v>4029</v>
      </c>
      <c r="K750" t="s">
        <v>113</v>
      </c>
      <c r="L750">
        <v>54915</v>
      </c>
      <c r="M750" t="s">
        <v>104</v>
      </c>
      <c r="N750" t="s">
        <v>4030</v>
      </c>
      <c r="O750" t="s">
        <v>45</v>
      </c>
      <c r="P750" t="s">
        <v>46</v>
      </c>
      <c r="Q750" t="s">
        <v>4031</v>
      </c>
      <c r="R750">
        <v>21.56</v>
      </c>
      <c r="S750">
        <v>7</v>
      </c>
      <c r="T750">
        <v>0</v>
      </c>
      <c r="U750">
        <v>10.348800000000001</v>
      </c>
      <c r="V750" t="str">
        <f t="shared" si="11"/>
        <v>Joni Sundaresam</v>
      </c>
      <c r="W750">
        <f>Table2[Profit]/Table2[Sales]</f>
        <v>0.48000000000000004</v>
      </c>
    </row>
    <row r="751" spans="1:23" x14ac:dyDescent="0.25">
      <c r="A751">
        <v>750</v>
      </c>
      <c r="B751" t="s">
        <v>4032</v>
      </c>
      <c r="C751" s="1">
        <v>43024</v>
      </c>
      <c r="D751" s="1">
        <v>43029</v>
      </c>
      <c r="E751" t="s">
        <v>49</v>
      </c>
      <c r="F751" t="s">
        <v>4033</v>
      </c>
      <c r="G751" t="s">
        <v>4034</v>
      </c>
      <c r="H751" t="s">
        <v>25</v>
      </c>
      <c r="I751" t="s">
        <v>26</v>
      </c>
      <c r="J751" t="s">
        <v>1450</v>
      </c>
      <c r="K751" t="s">
        <v>28</v>
      </c>
      <c r="L751">
        <v>40475</v>
      </c>
      <c r="M751" t="s">
        <v>29</v>
      </c>
      <c r="N751" t="s">
        <v>2650</v>
      </c>
      <c r="O751" t="s">
        <v>45</v>
      </c>
      <c r="P751" t="s">
        <v>74</v>
      </c>
      <c r="Q751" t="s">
        <v>2651</v>
      </c>
      <c r="R751">
        <v>124.75</v>
      </c>
      <c r="S751">
        <v>5</v>
      </c>
      <c r="T751">
        <v>0</v>
      </c>
      <c r="U751">
        <v>57.384999999999998</v>
      </c>
      <c r="V751" t="str">
        <f t="shared" si="11"/>
        <v>Bobby Odegard</v>
      </c>
      <c r="W751">
        <f>Table2[Profit]/Table2[Sales]</f>
        <v>0.45999999999999996</v>
      </c>
    </row>
    <row r="752" spans="1:23" x14ac:dyDescent="0.25">
      <c r="A752">
        <v>751</v>
      </c>
      <c r="B752" t="s">
        <v>4035</v>
      </c>
      <c r="C752" s="1">
        <v>42041</v>
      </c>
      <c r="D752" s="1">
        <v>42048</v>
      </c>
      <c r="E752" t="s">
        <v>49</v>
      </c>
      <c r="F752" t="s">
        <v>840</v>
      </c>
      <c r="G752" t="s">
        <v>841</v>
      </c>
      <c r="H752" t="s">
        <v>40</v>
      </c>
      <c r="I752" t="s">
        <v>26</v>
      </c>
      <c r="J752" t="s">
        <v>4036</v>
      </c>
      <c r="K752" t="s">
        <v>95</v>
      </c>
      <c r="L752">
        <v>98006</v>
      </c>
      <c r="M752" t="s">
        <v>43</v>
      </c>
      <c r="N752" t="s">
        <v>4037</v>
      </c>
      <c r="O752" t="s">
        <v>45</v>
      </c>
      <c r="P752" t="s">
        <v>67</v>
      </c>
      <c r="Q752" t="s">
        <v>4038</v>
      </c>
      <c r="R752">
        <v>5.28</v>
      </c>
      <c r="S752">
        <v>3</v>
      </c>
      <c r="T752">
        <v>0</v>
      </c>
      <c r="U752">
        <v>1.5311999999999999</v>
      </c>
      <c r="V752" t="str">
        <f t="shared" si="11"/>
        <v>Victoria Wilson</v>
      </c>
      <c r="W752">
        <f>Table2[Profit]/Table2[Sales]</f>
        <v>0.28999999999999998</v>
      </c>
    </row>
    <row r="753" spans="1:23" x14ac:dyDescent="0.25">
      <c r="A753">
        <v>752</v>
      </c>
      <c r="B753" t="s">
        <v>4039</v>
      </c>
      <c r="C753" s="1">
        <v>42982</v>
      </c>
      <c r="D753" s="1">
        <v>42986</v>
      </c>
      <c r="E753" t="s">
        <v>49</v>
      </c>
      <c r="F753" t="s">
        <v>4040</v>
      </c>
      <c r="G753" t="s">
        <v>4041</v>
      </c>
      <c r="H753" t="s">
        <v>25</v>
      </c>
      <c r="I753" t="s">
        <v>26</v>
      </c>
      <c r="J753" t="s">
        <v>1161</v>
      </c>
      <c r="K753" t="s">
        <v>264</v>
      </c>
      <c r="L753">
        <v>11561</v>
      </c>
      <c r="M753" t="s">
        <v>145</v>
      </c>
      <c r="N753" t="s">
        <v>227</v>
      </c>
      <c r="O753" t="s">
        <v>70</v>
      </c>
      <c r="P753" t="s">
        <v>158</v>
      </c>
      <c r="Q753" t="s">
        <v>228</v>
      </c>
      <c r="R753">
        <v>91.96</v>
      </c>
      <c r="S753">
        <v>4</v>
      </c>
      <c r="T753">
        <v>0</v>
      </c>
      <c r="U753">
        <v>39.5428</v>
      </c>
      <c r="V753" t="str">
        <f t="shared" si="11"/>
        <v>Aimee Bixby</v>
      </c>
      <c r="W753">
        <f>Table2[Profit]/Table2[Sales]</f>
        <v>0.43000000000000005</v>
      </c>
    </row>
    <row r="754" spans="1:23" x14ac:dyDescent="0.25">
      <c r="A754">
        <v>753</v>
      </c>
      <c r="B754" t="s">
        <v>4042</v>
      </c>
      <c r="C754" s="1">
        <v>42499</v>
      </c>
      <c r="D754" s="1">
        <v>42505</v>
      </c>
      <c r="E754" t="s">
        <v>49</v>
      </c>
      <c r="F754" t="s">
        <v>4043</v>
      </c>
      <c r="G754" t="s">
        <v>4044</v>
      </c>
      <c r="H754" t="s">
        <v>25</v>
      </c>
      <c r="I754" t="s">
        <v>26</v>
      </c>
      <c r="J754" t="s">
        <v>143</v>
      </c>
      <c r="K754" t="s">
        <v>144</v>
      </c>
      <c r="L754">
        <v>19140</v>
      </c>
      <c r="M754" t="s">
        <v>145</v>
      </c>
      <c r="N754" t="s">
        <v>4045</v>
      </c>
      <c r="O754" t="s">
        <v>45</v>
      </c>
      <c r="P754" t="s">
        <v>170</v>
      </c>
      <c r="Q754" t="s">
        <v>662</v>
      </c>
      <c r="R754">
        <v>9.3439999999999994</v>
      </c>
      <c r="S754">
        <v>1</v>
      </c>
      <c r="T754">
        <v>0.2</v>
      </c>
      <c r="U754">
        <v>3.504</v>
      </c>
      <c r="V754" t="str">
        <f t="shared" si="11"/>
        <v>Julia West</v>
      </c>
      <c r="W754">
        <f>Table2[Profit]/Table2[Sales]</f>
        <v>0.375</v>
      </c>
    </row>
    <row r="755" spans="1:23" x14ac:dyDescent="0.25">
      <c r="A755">
        <v>754</v>
      </c>
      <c r="B755" t="s">
        <v>4048</v>
      </c>
      <c r="C755" s="1">
        <v>42079</v>
      </c>
      <c r="D755" s="1">
        <v>42081</v>
      </c>
      <c r="E755" t="s">
        <v>22</v>
      </c>
      <c r="F755" t="s">
        <v>1621</v>
      </c>
      <c r="G755" t="s">
        <v>1622</v>
      </c>
      <c r="H755" t="s">
        <v>25</v>
      </c>
      <c r="I755" t="s">
        <v>26</v>
      </c>
      <c r="J755" t="s">
        <v>94</v>
      </c>
      <c r="K755" t="s">
        <v>95</v>
      </c>
      <c r="L755">
        <v>98103</v>
      </c>
      <c r="M755" t="s">
        <v>43</v>
      </c>
      <c r="N755" t="s">
        <v>3746</v>
      </c>
      <c r="O755" t="s">
        <v>31</v>
      </c>
      <c r="P755" t="s">
        <v>55</v>
      </c>
      <c r="Q755" t="s">
        <v>3216</v>
      </c>
      <c r="R755">
        <v>171.96</v>
      </c>
      <c r="S755">
        <v>2</v>
      </c>
      <c r="T755">
        <v>0</v>
      </c>
      <c r="U755">
        <v>44.709600000000002</v>
      </c>
      <c r="V755" t="str">
        <f t="shared" si="11"/>
        <v>Jeremy Ellison</v>
      </c>
      <c r="W755">
        <f>Table2[Profit]/Table2[Sales]</f>
        <v>0.26</v>
      </c>
    </row>
    <row r="756" spans="1:23" x14ac:dyDescent="0.25">
      <c r="A756">
        <v>755</v>
      </c>
      <c r="B756" t="s">
        <v>4049</v>
      </c>
      <c r="C756" s="1">
        <v>42469</v>
      </c>
      <c r="D756" s="1">
        <v>42473</v>
      </c>
      <c r="E756" t="s">
        <v>49</v>
      </c>
      <c r="F756" t="s">
        <v>4050</v>
      </c>
      <c r="G756" t="s">
        <v>4051</v>
      </c>
      <c r="H756" t="s">
        <v>40</v>
      </c>
      <c r="I756" t="s">
        <v>26</v>
      </c>
      <c r="J756" t="s">
        <v>94</v>
      </c>
      <c r="K756" t="s">
        <v>95</v>
      </c>
      <c r="L756">
        <v>98103</v>
      </c>
      <c r="M756" t="s">
        <v>43</v>
      </c>
      <c r="N756" t="s">
        <v>2673</v>
      </c>
      <c r="O756" t="s">
        <v>45</v>
      </c>
      <c r="P756" t="s">
        <v>74</v>
      </c>
      <c r="Q756" t="s">
        <v>2674</v>
      </c>
      <c r="R756">
        <v>35.351999999999997</v>
      </c>
      <c r="S756">
        <v>9</v>
      </c>
      <c r="T756">
        <v>0.2</v>
      </c>
      <c r="U756">
        <v>12.815099999999999</v>
      </c>
      <c r="V756" t="str">
        <f t="shared" si="11"/>
        <v>Edward Becker</v>
      </c>
      <c r="W756">
        <f>Table2[Profit]/Table2[Sales]</f>
        <v>0.36249999999999999</v>
      </c>
    </row>
    <row r="757" spans="1:23" x14ac:dyDescent="0.25">
      <c r="A757">
        <v>756</v>
      </c>
      <c r="B757" t="s">
        <v>4052</v>
      </c>
      <c r="C757" s="1">
        <v>41733</v>
      </c>
      <c r="D757" s="1">
        <v>41738</v>
      </c>
      <c r="E757" t="s">
        <v>49</v>
      </c>
      <c r="F757" t="s">
        <v>2653</v>
      </c>
      <c r="G757" t="s">
        <v>2654</v>
      </c>
      <c r="H757" t="s">
        <v>101</v>
      </c>
      <c r="I757" t="s">
        <v>26</v>
      </c>
      <c r="J757" t="s">
        <v>126</v>
      </c>
      <c r="K757" t="s">
        <v>42</v>
      </c>
      <c r="L757">
        <v>94109</v>
      </c>
      <c r="M757" t="s">
        <v>43</v>
      </c>
      <c r="N757" t="s">
        <v>4053</v>
      </c>
      <c r="O757" t="s">
        <v>45</v>
      </c>
      <c r="P757" t="s">
        <v>46</v>
      </c>
      <c r="Q757" t="s">
        <v>4054</v>
      </c>
      <c r="R757">
        <v>18.899999999999999</v>
      </c>
      <c r="S757">
        <v>6</v>
      </c>
      <c r="T757">
        <v>0</v>
      </c>
      <c r="U757">
        <v>9.0719999999999992</v>
      </c>
      <c r="V757" t="str">
        <f t="shared" si="11"/>
        <v>Paul Knutson</v>
      </c>
      <c r="W757">
        <f>Table2[Profit]/Table2[Sales]</f>
        <v>0.48</v>
      </c>
    </row>
    <row r="758" spans="1:23" x14ac:dyDescent="0.25">
      <c r="A758">
        <v>757</v>
      </c>
      <c r="B758" t="s">
        <v>4055</v>
      </c>
      <c r="C758" s="1">
        <v>42983</v>
      </c>
      <c r="D758" s="1">
        <v>42984</v>
      </c>
      <c r="E758" t="s">
        <v>185</v>
      </c>
      <c r="F758" t="s">
        <v>370</v>
      </c>
      <c r="G758" t="s">
        <v>371</v>
      </c>
      <c r="H758" t="s">
        <v>101</v>
      </c>
      <c r="I758" t="s">
        <v>26</v>
      </c>
      <c r="J758" t="s">
        <v>94</v>
      </c>
      <c r="K758" t="s">
        <v>95</v>
      </c>
      <c r="L758">
        <v>98115</v>
      </c>
      <c r="M758" t="s">
        <v>43</v>
      </c>
      <c r="N758" t="s">
        <v>1270</v>
      </c>
      <c r="O758" t="s">
        <v>45</v>
      </c>
      <c r="P758" t="s">
        <v>67</v>
      </c>
      <c r="Q758" t="s">
        <v>1271</v>
      </c>
      <c r="R758">
        <v>2.78</v>
      </c>
      <c r="S758">
        <v>1</v>
      </c>
      <c r="T758">
        <v>0</v>
      </c>
      <c r="U758">
        <v>0.7228</v>
      </c>
      <c r="V758" t="str">
        <f t="shared" si="11"/>
        <v>Christopher Schild</v>
      </c>
      <c r="W758">
        <f>Table2[Profit]/Table2[Sales]</f>
        <v>0.26</v>
      </c>
    </row>
    <row r="759" spans="1:23" x14ac:dyDescent="0.25">
      <c r="A759">
        <v>758</v>
      </c>
      <c r="B759" t="s">
        <v>4056</v>
      </c>
      <c r="C759" s="1">
        <v>42916</v>
      </c>
      <c r="D759" s="1">
        <v>42916</v>
      </c>
      <c r="E759" t="s">
        <v>1278</v>
      </c>
      <c r="F759" t="s">
        <v>4057</v>
      </c>
      <c r="G759" t="s">
        <v>4058</v>
      </c>
      <c r="H759" t="s">
        <v>25</v>
      </c>
      <c r="I759" t="s">
        <v>26</v>
      </c>
      <c r="J759" t="s">
        <v>263</v>
      </c>
      <c r="K759" t="s">
        <v>264</v>
      </c>
      <c r="L759">
        <v>10011</v>
      </c>
      <c r="M759" t="s">
        <v>145</v>
      </c>
      <c r="N759" t="s">
        <v>54</v>
      </c>
      <c r="O759" t="s">
        <v>31</v>
      </c>
      <c r="P759" t="s">
        <v>55</v>
      </c>
      <c r="Q759" t="s">
        <v>56</v>
      </c>
      <c r="R759">
        <v>1044.6300000000001</v>
      </c>
      <c r="S759">
        <v>5</v>
      </c>
      <c r="T759">
        <v>0.4</v>
      </c>
      <c r="U759">
        <v>-295.9785</v>
      </c>
      <c r="V759" t="str">
        <f t="shared" si="11"/>
        <v>Sheri Gordon</v>
      </c>
      <c r="W759">
        <f>Table2[Profit]/Table2[Sales]</f>
        <v>-0.28333333333333333</v>
      </c>
    </row>
    <row r="760" spans="1:23" x14ac:dyDescent="0.25">
      <c r="A760">
        <v>759</v>
      </c>
      <c r="B760" t="s">
        <v>4059</v>
      </c>
      <c r="C760" s="1">
        <v>42317</v>
      </c>
      <c r="D760" s="1">
        <v>42317</v>
      </c>
      <c r="E760" t="s">
        <v>1278</v>
      </c>
      <c r="F760" t="s">
        <v>4060</v>
      </c>
      <c r="G760" t="s">
        <v>4061</v>
      </c>
      <c r="H760" t="s">
        <v>25</v>
      </c>
      <c r="I760" t="s">
        <v>26</v>
      </c>
      <c r="J760" t="s">
        <v>143</v>
      </c>
      <c r="K760" t="s">
        <v>144</v>
      </c>
      <c r="L760">
        <v>19134</v>
      </c>
      <c r="M760" t="s">
        <v>145</v>
      </c>
      <c r="N760" t="s">
        <v>862</v>
      </c>
      <c r="O760" t="s">
        <v>45</v>
      </c>
      <c r="P760" t="s">
        <v>89</v>
      </c>
      <c r="Q760" t="s">
        <v>863</v>
      </c>
      <c r="R760">
        <v>11.352</v>
      </c>
      <c r="S760">
        <v>3</v>
      </c>
      <c r="T760">
        <v>0.2</v>
      </c>
      <c r="U760">
        <v>4.1151</v>
      </c>
      <c r="V760" t="str">
        <f t="shared" si="11"/>
        <v>Charlotte Melton</v>
      </c>
      <c r="W760">
        <f>Table2[Profit]/Table2[Sales]</f>
        <v>0.36249999999999999</v>
      </c>
    </row>
    <row r="761" spans="1:23" x14ac:dyDescent="0.25">
      <c r="A761">
        <v>760</v>
      </c>
      <c r="B761" t="s">
        <v>4062</v>
      </c>
      <c r="C761" s="1">
        <v>41702</v>
      </c>
      <c r="D761" s="1">
        <v>41702</v>
      </c>
      <c r="E761" t="s">
        <v>1278</v>
      </c>
      <c r="F761" t="s">
        <v>479</v>
      </c>
      <c r="G761" t="s">
        <v>480</v>
      </c>
      <c r="H761" t="s">
        <v>25</v>
      </c>
      <c r="I761" t="s">
        <v>26</v>
      </c>
      <c r="J761" t="s">
        <v>375</v>
      </c>
      <c r="K761" t="s">
        <v>376</v>
      </c>
      <c r="L761">
        <v>29203</v>
      </c>
      <c r="M761" t="s">
        <v>29</v>
      </c>
      <c r="N761" t="s">
        <v>4063</v>
      </c>
      <c r="O761" t="s">
        <v>45</v>
      </c>
      <c r="P761" t="s">
        <v>58</v>
      </c>
      <c r="Q761" t="s">
        <v>4064</v>
      </c>
      <c r="R761">
        <v>354.9</v>
      </c>
      <c r="S761">
        <v>5</v>
      </c>
      <c r="T761">
        <v>0</v>
      </c>
      <c r="U761">
        <v>17.745000000000001</v>
      </c>
      <c r="V761" t="str">
        <f t="shared" si="11"/>
        <v>Clay Ludtke</v>
      </c>
      <c r="W761">
        <f>Table2[Profit]/Table2[Sales]</f>
        <v>0.05</v>
      </c>
    </row>
    <row r="762" spans="1:23" x14ac:dyDescent="0.25">
      <c r="A762">
        <v>761</v>
      </c>
      <c r="B762" t="s">
        <v>4065</v>
      </c>
      <c r="C762" s="1">
        <v>42082</v>
      </c>
      <c r="D762" s="1">
        <v>42088</v>
      </c>
      <c r="E762" t="s">
        <v>49</v>
      </c>
      <c r="F762" t="s">
        <v>2218</v>
      </c>
      <c r="G762" t="s">
        <v>2219</v>
      </c>
      <c r="H762" t="s">
        <v>101</v>
      </c>
      <c r="I762" t="s">
        <v>26</v>
      </c>
      <c r="J762" t="s">
        <v>94</v>
      </c>
      <c r="K762" t="s">
        <v>95</v>
      </c>
      <c r="L762">
        <v>98105</v>
      </c>
      <c r="M762" t="s">
        <v>43</v>
      </c>
      <c r="N762" t="s">
        <v>3318</v>
      </c>
      <c r="O762" t="s">
        <v>70</v>
      </c>
      <c r="P762" t="s">
        <v>71</v>
      </c>
      <c r="Q762" t="s">
        <v>3319</v>
      </c>
      <c r="R762">
        <v>453.57600000000002</v>
      </c>
      <c r="S762">
        <v>3</v>
      </c>
      <c r="T762">
        <v>0.2</v>
      </c>
      <c r="U762">
        <v>39.687899999999999</v>
      </c>
      <c r="V762" t="str">
        <f t="shared" si="11"/>
        <v>Jesus Ocampo</v>
      </c>
      <c r="W762">
        <f>Table2[Profit]/Table2[Sales]</f>
        <v>8.7499999999999994E-2</v>
      </c>
    </row>
    <row r="763" spans="1:23" x14ac:dyDescent="0.25">
      <c r="A763">
        <v>762</v>
      </c>
      <c r="B763" t="s">
        <v>4066</v>
      </c>
      <c r="C763" s="1">
        <v>42337</v>
      </c>
      <c r="D763" s="1">
        <v>42338</v>
      </c>
      <c r="E763" t="s">
        <v>185</v>
      </c>
      <c r="F763" t="s">
        <v>4067</v>
      </c>
      <c r="G763" t="s">
        <v>4068</v>
      </c>
      <c r="H763" t="s">
        <v>25</v>
      </c>
      <c r="I763" t="s">
        <v>26</v>
      </c>
      <c r="J763" t="s">
        <v>4069</v>
      </c>
      <c r="K763" t="s">
        <v>103</v>
      </c>
      <c r="L763">
        <v>75002</v>
      </c>
      <c r="M763" t="s">
        <v>104</v>
      </c>
      <c r="N763" t="s">
        <v>4070</v>
      </c>
      <c r="O763" t="s">
        <v>70</v>
      </c>
      <c r="P763" t="s">
        <v>158</v>
      </c>
      <c r="Q763" t="s">
        <v>4071</v>
      </c>
      <c r="R763">
        <v>21.48</v>
      </c>
      <c r="S763">
        <v>3</v>
      </c>
      <c r="T763">
        <v>0.2</v>
      </c>
      <c r="U763">
        <v>-0.26850000000000002</v>
      </c>
      <c r="V763" t="str">
        <f t="shared" si="11"/>
        <v>Anthony Witt</v>
      </c>
      <c r="W763">
        <f>Table2[Profit]/Table2[Sales]</f>
        <v>-1.2500000000000001E-2</v>
      </c>
    </row>
    <row r="764" spans="1:23" x14ac:dyDescent="0.25">
      <c r="A764">
        <v>763</v>
      </c>
      <c r="B764" t="s">
        <v>4074</v>
      </c>
      <c r="C764" s="1">
        <v>42897</v>
      </c>
      <c r="D764" s="1">
        <v>42897</v>
      </c>
      <c r="E764" t="s">
        <v>1278</v>
      </c>
      <c r="F764" t="s">
        <v>1934</v>
      </c>
      <c r="G764" t="s">
        <v>1935</v>
      </c>
      <c r="H764" t="s">
        <v>25</v>
      </c>
      <c r="I764" t="s">
        <v>26</v>
      </c>
      <c r="J764" t="s">
        <v>41</v>
      </c>
      <c r="K764" t="s">
        <v>42</v>
      </c>
      <c r="L764">
        <v>90004</v>
      </c>
      <c r="M764" t="s">
        <v>43</v>
      </c>
      <c r="N764" t="s">
        <v>1706</v>
      </c>
      <c r="O764" t="s">
        <v>45</v>
      </c>
      <c r="P764" t="s">
        <v>89</v>
      </c>
      <c r="Q764" t="s">
        <v>1707</v>
      </c>
      <c r="R764">
        <v>122.97</v>
      </c>
      <c r="S764">
        <v>3</v>
      </c>
      <c r="T764">
        <v>0</v>
      </c>
      <c r="U764">
        <v>60.255299999999998</v>
      </c>
      <c r="V764" t="str">
        <f t="shared" si="11"/>
        <v>Dianna Vittorini</v>
      </c>
      <c r="W764">
        <f>Table2[Profit]/Table2[Sales]</f>
        <v>0.49</v>
      </c>
    </row>
    <row r="765" spans="1:23" x14ac:dyDescent="0.25">
      <c r="A765">
        <v>764</v>
      </c>
      <c r="B765" t="s">
        <v>4075</v>
      </c>
      <c r="C765" s="1">
        <v>43065</v>
      </c>
      <c r="D765" s="1">
        <v>43069</v>
      </c>
      <c r="E765" t="s">
        <v>49</v>
      </c>
      <c r="F765" t="s">
        <v>2784</v>
      </c>
      <c r="G765" t="s">
        <v>2785</v>
      </c>
      <c r="H765" t="s">
        <v>40</v>
      </c>
      <c r="I765" t="s">
        <v>26</v>
      </c>
      <c r="J765" t="s">
        <v>1712</v>
      </c>
      <c r="K765" t="s">
        <v>1260</v>
      </c>
      <c r="L765">
        <v>30318</v>
      </c>
      <c r="M765" t="s">
        <v>29</v>
      </c>
      <c r="N765" t="s">
        <v>4076</v>
      </c>
      <c r="O765" t="s">
        <v>45</v>
      </c>
      <c r="P765" t="s">
        <v>67</v>
      </c>
      <c r="Q765" t="s">
        <v>4077</v>
      </c>
      <c r="R765">
        <v>12.84</v>
      </c>
      <c r="S765">
        <v>3</v>
      </c>
      <c r="T765">
        <v>0</v>
      </c>
      <c r="U765">
        <v>3.7235999999999998</v>
      </c>
      <c r="V765" t="str">
        <f t="shared" si="11"/>
        <v>Adam Hart</v>
      </c>
      <c r="W765">
        <f>Table2[Profit]/Table2[Sales]</f>
        <v>0.28999999999999998</v>
      </c>
    </row>
    <row r="766" spans="1:23" x14ac:dyDescent="0.25">
      <c r="A766">
        <v>765</v>
      </c>
      <c r="B766" t="s">
        <v>4078</v>
      </c>
      <c r="C766" s="1">
        <v>41966</v>
      </c>
      <c r="D766" s="1">
        <v>41968</v>
      </c>
      <c r="E766" t="s">
        <v>185</v>
      </c>
      <c r="F766" t="s">
        <v>1561</v>
      </c>
      <c r="G766" t="s">
        <v>1562</v>
      </c>
      <c r="H766" t="s">
        <v>25</v>
      </c>
      <c r="I766" t="s">
        <v>26</v>
      </c>
      <c r="J766" t="s">
        <v>41</v>
      </c>
      <c r="K766" t="s">
        <v>42</v>
      </c>
      <c r="L766">
        <v>90004</v>
      </c>
      <c r="M766" t="s">
        <v>43</v>
      </c>
      <c r="N766" t="s">
        <v>377</v>
      </c>
      <c r="O766" t="s">
        <v>31</v>
      </c>
      <c r="P766" t="s">
        <v>35</v>
      </c>
      <c r="Q766" t="s">
        <v>378</v>
      </c>
      <c r="R766">
        <v>603.91999999999996</v>
      </c>
      <c r="S766">
        <v>5</v>
      </c>
      <c r="T766">
        <v>0.2</v>
      </c>
      <c r="U766">
        <v>-67.941000000000003</v>
      </c>
      <c r="V766" t="str">
        <f t="shared" si="11"/>
        <v>Sanjit Chand</v>
      </c>
      <c r="W766">
        <f>Table2[Profit]/Table2[Sales]</f>
        <v>-0.11250000000000002</v>
      </c>
    </row>
    <row r="767" spans="1:23" x14ac:dyDescent="0.25">
      <c r="A767">
        <v>766</v>
      </c>
      <c r="B767" t="s">
        <v>4083</v>
      </c>
      <c r="C767" s="1">
        <v>41988</v>
      </c>
      <c r="D767" s="1">
        <v>41991</v>
      </c>
      <c r="E767" t="s">
        <v>185</v>
      </c>
      <c r="F767" t="s">
        <v>4084</v>
      </c>
      <c r="G767" t="s">
        <v>4085</v>
      </c>
      <c r="H767" t="s">
        <v>25</v>
      </c>
      <c r="I767" t="s">
        <v>26</v>
      </c>
      <c r="J767" t="s">
        <v>4086</v>
      </c>
      <c r="K767" t="s">
        <v>103</v>
      </c>
      <c r="L767">
        <v>79907</v>
      </c>
      <c r="M767" t="s">
        <v>104</v>
      </c>
      <c r="N767" t="s">
        <v>4087</v>
      </c>
      <c r="O767" t="s">
        <v>70</v>
      </c>
      <c r="P767" t="s">
        <v>71</v>
      </c>
      <c r="Q767" t="s">
        <v>4088</v>
      </c>
      <c r="R767">
        <v>40.68</v>
      </c>
      <c r="S767">
        <v>3</v>
      </c>
      <c r="T767">
        <v>0.2</v>
      </c>
      <c r="U767">
        <v>-9.1530000000000005</v>
      </c>
      <c r="V767" t="str">
        <f t="shared" si="11"/>
        <v>Mick Crebagga</v>
      </c>
      <c r="W767">
        <f>Table2[Profit]/Table2[Sales]</f>
        <v>-0.22500000000000001</v>
      </c>
    </row>
    <row r="768" spans="1:23" x14ac:dyDescent="0.25">
      <c r="A768">
        <v>767</v>
      </c>
      <c r="B768" t="s">
        <v>4089</v>
      </c>
      <c r="C768" s="1">
        <v>42482</v>
      </c>
      <c r="D768" s="1">
        <v>42487</v>
      </c>
      <c r="E768" t="s">
        <v>49</v>
      </c>
      <c r="F768" t="s">
        <v>4090</v>
      </c>
      <c r="G768" t="s">
        <v>4091</v>
      </c>
      <c r="H768" t="s">
        <v>101</v>
      </c>
      <c r="I768" t="s">
        <v>26</v>
      </c>
      <c r="J768" t="s">
        <v>449</v>
      </c>
      <c r="K768" t="s">
        <v>208</v>
      </c>
      <c r="L768">
        <v>60505</v>
      </c>
      <c r="M768" t="s">
        <v>104</v>
      </c>
      <c r="N768" t="s">
        <v>1286</v>
      </c>
      <c r="O768" t="s">
        <v>45</v>
      </c>
      <c r="P768" t="s">
        <v>58</v>
      </c>
      <c r="Q768" t="s">
        <v>1287</v>
      </c>
      <c r="R768">
        <v>23.952000000000002</v>
      </c>
      <c r="S768">
        <v>2</v>
      </c>
      <c r="T768">
        <v>0.2</v>
      </c>
      <c r="U768">
        <v>2.3952</v>
      </c>
      <c r="V768" t="str">
        <f t="shared" si="11"/>
        <v>Tonja Turnell</v>
      </c>
      <c r="W768">
        <f>Table2[Profit]/Table2[Sales]</f>
        <v>9.9999999999999992E-2</v>
      </c>
    </row>
    <row r="769" spans="1:23" x14ac:dyDescent="0.25">
      <c r="A769">
        <v>768</v>
      </c>
      <c r="B769" t="s">
        <v>4092</v>
      </c>
      <c r="C769" s="1">
        <v>42513</v>
      </c>
      <c r="D769" s="1">
        <v>42517</v>
      </c>
      <c r="E769" t="s">
        <v>49</v>
      </c>
      <c r="F769" t="s">
        <v>3276</v>
      </c>
      <c r="G769" t="s">
        <v>3277</v>
      </c>
      <c r="H769" t="s">
        <v>101</v>
      </c>
      <c r="I769" t="s">
        <v>26</v>
      </c>
      <c r="J769" t="s">
        <v>2548</v>
      </c>
      <c r="K769" t="s">
        <v>351</v>
      </c>
      <c r="L769">
        <v>35630</v>
      </c>
      <c r="M769" t="s">
        <v>29</v>
      </c>
      <c r="N769" t="s">
        <v>4093</v>
      </c>
      <c r="O769" t="s">
        <v>45</v>
      </c>
      <c r="P769" t="s">
        <v>89</v>
      </c>
      <c r="Q769" t="s">
        <v>4094</v>
      </c>
      <c r="R769">
        <v>4.9800000000000004</v>
      </c>
      <c r="S769">
        <v>1</v>
      </c>
      <c r="T769">
        <v>0</v>
      </c>
      <c r="U769">
        <v>2.4401999999999999</v>
      </c>
      <c r="V769" t="str">
        <f t="shared" si="11"/>
        <v>Anne Pryor</v>
      </c>
      <c r="W769">
        <f>Table2[Profit]/Table2[Sales]</f>
        <v>0.48999999999999994</v>
      </c>
    </row>
    <row r="770" spans="1:23" x14ac:dyDescent="0.25">
      <c r="A770">
        <v>769</v>
      </c>
      <c r="B770" t="s">
        <v>4095</v>
      </c>
      <c r="C770" s="1">
        <v>42427</v>
      </c>
      <c r="D770" s="1">
        <v>42430</v>
      </c>
      <c r="E770" t="s">
        <v>185</v>
      </c>
      <c r="F770" t="s">
        <v>2419</v>
      </c>
      <c r="G770" t="s">
        <v>2420</v>
      </c>
      <c r="H770" t="s">
        <v>25</v>
      </c>
      <c r="I770" t="s">
        <v>26</v>
      </c>
      <c r="J770" t="s">
        <v>263</v>
      </c>
      <c r="K770" t="s">
        <v>264</v>
      </c>
      <c r="L770">
        <v>10011</v>
      </c>
      <c r="M770" t="s">
        <v>145</v>
      </c>
      <c r="N770" t="s">
        <v>4096</v>
      </c>
      <c r="O770" t="s">
        <v>45</v>
      </c>
      <c r="P770" t="s">
        <v>77</v>
      </c>
      <c r="Q770" t="s">
        <v>4097</v>
      </c>
      <c r="R770">
        <v>170.88</v>
      </c>
      <c r="S770">
        <v>3</v>
      </c>
      <c r="T770">
        <v>0</v>
      </c>
      <c r="U770">
        <v>49.555199999999999</v>
      </c>
      <c r="V770" t="str">
        <f t="shared" si="11"/>
        <v>Dan Lawera</v>
      </c>
      <c r="W770">
        <f>Table2[Profit]/Table2[Sales]</f>
        <v>0.28999999999999998</v>
      </c>
    </row>
    <row r="771" spans="1:23" x14ac:dyDescent="0.25">
      <c r="A771">
        <v>770</v>
      </c>
      <c r="B771" t="s">
        <v>4098</v>
      </c>
      <c r="C771" s="1">
        <v>42225</v>
      </c>
      <c r="D771" s="1">
        <v>42228</v>
      </c>
      <c r="E771" t="s">
        <v>185</v>
      </c>
      <c r="F771" t="s">
        <v>2203</v>
      </c>
      <c r="G771" t="s">
        <v>2204</v>
      </c>
      <c r="H771" t="s">
        <v>25</v>
      </c>
      <c r="I771" t="s">
        <v>26</v>
      </c>
      <c r="J771" t="s">
        <v>263</v>
      </c>
      <c r="K771" t="s">
        <v>264</v>
      </c>
      <c r="L771">
        <v>10024</v>
      </c>
      <c r="M771" t="s">
        <v>145</v>
      </c>
      <c r="N771" t="s">
        <v>1367</v>
      </c>
      <c r="O771" t="s">
        <v>70</v>
      </c>
      <c r="P771" t="s">
        <v>71</v>
      </c>
      <c r="Q771" t="s">
        <v>1368</v>
      </c>
      <c r="R771">
        <v>307.98</v>
      </c>
      <c r="S771">
        <v>2</v>
      </c>
      <c r="T771">
        <v>0</v>
      </c>
      <c r="U771">
        <v>89.3142</v>
      </c>
      <c r="V771" t="str">
        <f t="shared" ref="V771:V834" si="12">TRIM(G771)</f>
        <v>Naresj Patel</v>
      </c>
      <c r="W771">
        <f>Table2[Profit]/Table2[Sales]</f>
        <v>0.28999999999999998</v>
      </c>
    </row>
    <row r="772" spans="1:23" x14ac:dyDescent="0.25">
      <c r="A772">
        <v>771</v>
      </c>
      <c r="B772" t="s">
        <v>4103</v>
      </c>
      <c r="C772" s="1">
        <v>42502</v>
      </c>
      <c r="D772" s="1">
        <v>42506</v>
      </c>
      <c r="E772" t="s">
        <v>49</v>
      </c>
      <c r="F772" t="s">
        <v>4104</v>
      </c>
      <c r="G772" t="s">
        <v>4105</v>
      </c>
      <c r="H772" t="s">
        <v>40</v>
      </c>
      <c r="I772" t="s">
        <v>26</v>
      </c>
      <c r="J772" t="s">
        <v>2930</v>
      </c>
      <c r="K772" t="s">
        <v>312</v>
      </c>
      <c r="L772">
        <v>23464</v>
      </c>
      <c r="M772" t="s">
        <v>29</v>
      </c>
      <c r="N772" t="s">
        <v>1713</v>
      </c>
      <c r="O772" t="s">
        <v>45</v>
      </c>
      <c r="P772" t="s">
        <v>67</v>
      </c>
      <c r="Q772" t="s">
        <v>1714</v>
      </c>
      <c r="R772">
        <v>10.96</v>
      </c>
      <c r="S772">
        <v>4</v>
      </c>
      <c r="T772">
        <v>0</v>
      </c>
      <c r="U772">
        <v>2.9592000000000001</v>
      </c>
      <c r="V772" t="str">
        <f t="shared" si="12"/>
        <v>Vivek Grady</v>
      </c>
      <c r="W772">
        <f>Table2[Profit]/Table2[Sales]</f>
        <v>0.26999999999999996</v>
      </c>
    </row>
    <row r="773" spans="1:23" x14ac:dyDescent="0.25">
      <c r="A773">
        <v>772</v>
      </c>
      <c r="B773" t="s">
        <v>4106</v>
      </c>
      <c r="C773" s="1">
        <v>42475</v>
      </c>
      <c r="D773" s="1">
        <v>42479</v>
      </c>
      <c r="E773" t="s">
        <v>49</v>
      </c>
      <c r="F773" t="s">
        <v>4107</v>
      </c>
      <c r="G773" t="s">
        <v>4108</v>
      </c>
      <c r="H773" t="s">
        <v>40</v>
      </c>
      <c r="I773" t="s">
        <v>26</v>
      </c>
      <c r="J773" t="s">
        <v>4109</v>
      </c>
      <c r="K773" t="s">
        <v>103</v>
      </c>
      <c r="L773">
        <v>76051</v>
      </c>
      <c r="M773" t="s">
        <v>104</v>
      </c>
      <c r="N773" t="s">
        <v>4110</v>
      </c>
      <c r="O773" t="s">
        <v>45</v>
      </c>
      <c r="P773" t="s">
        <v>67</v>
      </c>
      <c r="Q773" t="s">
        <v>4111</v>
      </c>
      <c r="R773">
        <v>33.488</v>
      </c>
      <c r="S773">
        <v>7</v>
      </c>
      <c r="T773">
        <v>0.2</v>
      </c>
      <c r="U773">
        <v>5.8604000000000003</v>
      </c>
      <c r="V773" t="str">
        <f t="shared" si="12"/>
        <v>Muhammed Yedwab</v>
      </c>
      <c r="W773">
        <f>Table2[Profit]/Table2[Sales]</f>
        <v>0.17500000000000002</v>
      </c>
    </row>
    <row r="774" spans="1:23" x14ac:dyDescent="0.25">
      <c r="A774">
        <v>773</v>
      </c>
      <c r="B774" t="s">
        <v>4112</v>
      </c>
      <c r="C774" s="1">
        <v>42178</v>
      </c>
      <c r="D774" s="1">
        <v>42180</v>
      </c>
      <c r="E774" t="s">
        <v>22</v>
      </c>
      <c r="F774" t="s">
        <v>4113</v>
      </c>
      <c r="G774" t="s">
        <v>4114</v>
      </c>
      <c r="H774" t="s">
        <v>25</v>
      </c>
      <c r="I774" t="s">
        <v>26</v>
      </c>
      <c r="J774" t="s">
        <v>2967</v>
      </c>
      <c r="K774" t="s">
        <v>95</v>
      </c>
      <c r="L774">
        <v>98502</v>
      </c>
      <c r="M774" t="s">
        <v>43</v>
      </c>
      <c r="N774" t="s">
        <v>4115</v>
      </c>
      <c r="O774" t="s">
        <v>70</v>
      </c>
      <c r="P774" t="s">
        <v>71</v>
      </c>
      <c r="Q774" t="s">
        <v>4116</v>
      </c>
      <c r="R774">
        <v>201.56800000000001</v>
      </c>
      <c r="S774">
        <v>4</v>
      </c>
      <c r="T774">
        <v>0.2</v>
      </c>
      <c r="U774">
        <v>22.676400000000001</v>
      </c>
      <c r="V774" t="str">
        <f t="shared" si="12"/>
        <v>Rick Duston</v>
      </c>
      <c r="W774">
        <f>Table2[Profit]/Table2[Sales]</f>
        <v>0.1125</v>
      </c>
    </row>
    <row r="775" spans="1:23" x14ac:dyDescent="0.25">
      <c r="A775">
        <v>774</v>
      </c>
      <c r="B775" t="s">
        <v>4117</v>
      </c>
      <c r="C775" s="1">
        <v>41931</v>
      </c>
      <c r="D775" s="1">
        <v>41931</v>
      </c>
      <c r="E775" t="s">
        <v>1278</v>
      </c>
      <c r="F775" t="s">
        <v>1887</v>
      </c>
      <c r="G775" t="s">
        <v>1888</v>
      </c>
      <c r="H775" t="s">
        <v>25</v>
      </c>
      <c r="I775" t="s">
        <v>26</v>
      </c>
      <c r="J775" t="s">
        <v>41</v>
      </c>
      <c r="K775" t="s">
        <v>42</v>
      </c>
      <c r="L775">
        <v>90032</v>
      </c>
      <c r="M775" t="s">
        <v>43</v>
      </c>
      <c r="N775" t="s">
        <v>4118</v>
      </c>
      <c r="O775" t="s">
        <v>45</v>
      </c>
      <c r="P775" t="s">
        <v>89</v>
      </c>
      <c r="Q775" t="s">
        <v>4119</v>
      </c>
      <c r="R775">
        <v>13.44</v>
      </c>
      <c r="S775">
        <v>3</v>
      </c>
      <c r="T775">
        <v>0</v>
      </c>
      <c r="U775">
        <v>6.5856000000000003</v>
      </c>
      <c r="V775" t="str">
        <f t="shared" si="12"/>
        <v>Jeremy Farry</v>
      </c>
      <c r="W775">
        <f>Table2[Profit]/Table2[Sales]</f>
        <v>0.49000000000000005</v>
      </c>
    </row>
    <row r="776" spans="1:23" x14ac:dyDescent="0.25">
      <c r="A776">
        <v>775</v>
      </c>
      <c r="B776" t="s">
        <v>4120</v>
      </c>
      <c r="C776" s="1">
        <v>42087</v>
      </c>
      <c r="D776" s="1">
        <v>42090</v>
      </c>
      <c r="E776" t="s">
        <v>185</v>
      </c>
      <c r="F776" t="s">
        <v>4121</v>
      </c>
      <c r="G776" t="s">
        <v>4122</v>
      </c>
      <c r="H776" t="s">
        <v>101</v>
      </c>
      <c r="I776" t="s">
        <v>26</v>
      </c>
      <c r="J776" t="s">
        <v>1374</v>
      </c>
      <c r="K776" t="s">
        <v>208</v>
      </c>
      <c r="L776">
        <v>61604</v>
      </c>
      <c r="M776" t="s">
        <v>104</v>
      </c>
      <c r="N776" t="s">
        <v>4123</v>
      </c>
      <c r="O776" t="s">
        <v>31</v>
      </c>
      <c r="P776" t="s">
        <v>32</v>
      </c>
      <c r="Q776" t="s">
        <v>4124</v>
      </c>
      <c r="R776">
        <v>359.05799999999999</v>
      </c>
      <c r="S776">
        <v>3</v>
      </c>
      <c r="T776">
        <v>0.3</v>
      </c>
      <c r="U776">
        <v>-35.905799999999999</v>
      </c>
      <c r="V776" t="str">
        <f t="shared" si="12"/>
        <v>Dennis Pardue</v>
      </c>
      <c r="W776">
        <f>Table2[Profit]/Table2[Sales]</f>
        <v>-0.1</v>
      </c>
    </row>
    <row r="777" spans="1:23" x14ac:dyDescent="0.25">
      <c r="A777">
        <v>776</v>
      </c>
      <c r="B777" t="s">
        <v>4125</v>
      </c>
      <c r="C777" s="1">
        <v>42863</v>
      </c>
      <c r="D777" s="1">
        <v>42867</v>
      </c>
      <c r="E777" t="s">
        <v>49</v>
      </c>
      <c r="F777" t="s">
        <v>1680</v>
      </c>
      <c r="G777" t="s">
        <v>1681</v>
      </c>
      <c r="H777" t="s">
        <v>25</v>
      </c>
      <c r="I777" t="s">
        <v>26</v>
      </c>
      <c r="J777" t="s">
        <v>490</v>
      </c>
      <c r="K777" t="s">
        <v>491</v>
      </c>
      <c r="L777">
        <v>43229</v>
      </c>
      <c r="M777" t="s">
        <v>145</v>
      </c>
      <c r="N777" t="s">
        <v>3346</v>
      </c>
      <c r="O777" t="s">
        <v>31</v>
      </c>
      <c r="P777" t="s">
        <v>35</v>
      </c>
      <c r="Q777" t="s">
        <v>3347</v>
      </c>
      <c r="R777">
        <v>47.991999999999997</v>
      </c>
      <c r="S777">
        <v>2</v>
      </c>
      <c r="T777">
        <v>0.3</v>
      </c>
      <c r="U777">
        <v>-2.0568</v>
      </c>
      <c r="V777" t="str">
        <f t="shared" si="12"/>
        <v>Maribeth Dona</v>
      </c>
      <c r="W777">
        <f>Table2[Profit]/Table2[Sales]</f>
        <v>-4.2857142857142858E-2</v>
      </c>
    </row>
    <row r="778" spans="1:23" x14ac:dyDescent="0.25">
      <c r="A778">
        <v>777</v>
      </c>
      <c r="B778" t="s">
        <v>4126</v>
      </c>
      <c r="C778" s="1">
        <v>43024</v>
      </c>
      <c r="D778" s="1">
        <v>43026</v>
      </c>
      <c r="E778" t="s">
        <v>185</v>
      </c>
      <c r="F778" t="s">
        <v>1695</v>
      </c>
      <c r="G778" t="s">
        <v>1696</v>
      </c>
      <c r="H778" t="s">
        <v>40</v>
      </c>
      <c r="I778" t="s">
        <v>26</v>
      </c>
      <c r="J778" t="s">
        <v>263</v>
      </c>
      <c r="K778" t="s">
        <v>264</v>
      </c>
      <c r="L778">
        <v>10011</v>
      </c>
      <c r="M778" t="s">
        <v>145</v>
      </c>
      <c r="N778" t="s">
        <v>1724</v>
      </c>
      <c r="O778" t="s">
        <v>31</v>
      </c>
      <c r="P778" t="s">
        <v>64</v>
      </c>
      <c r="Q778" t="s">
        <v>1725</v>
      </c>
      <c r="R778">
        <v>547.29999999999995</v>
      </c>
      <c r="S778">
        <v>13</v>
      </c>
      <c r="T778">
        <v>0</v>
      </c>
      <c r="U778">
        <v>175.136</v>
      </c>
      <c r="V778" t="str">
        <f t="shared" si="12"/>
        <v>Maribeth Yedwab</v>
      </c>
      <c r="W778">
        <f>Table2[Profit]/Table2[Sales]</f>
        <v>0.32</v>
      </c>
    </row>
    <row r="779" spans="1:23" x14ac:dyDescent="0.25">
      <c r="A779">
        <v>778</v>
      </c>
      <c r="B779" t="s">
        <v>4127</v>
      </c>
      <c r="C779" s="1">
        <v>43058</v>
      </c>
      <c r="D779" s="1">
        <v>43060</v>
      </c>
      <c r="E779" t="s">
        <v>22</v>
      </c>
      <c r="F779" t="s">
        <v>4040</v>
      </c>
      <c r="G779" t="s">
        <v>4041</v>
      </c>
      <c r="H779" t="s">
        <v>25</v>
      </c>
      <c r="I779" t="s">
        <v>26</v>
      </c>
      <c r="J779" t="s">
        <v>4128</v>
      </c>
      <c r="K779" t="s">
        <v>103</v>
      </c>
      <c r="L779">
        <v>75007</v>
      </c>
      <c r="M779" t="s">
        <v>104</v>
      </c>
      <c r="N779" t="s">
        <v>4129</v>
      </c>
      <c r="O779" t="s">
        <v>45</v>
      </c>
      <c r="P779" t="s">
        <v>89</v>
      </c>
      <c r="Q779" t="s">
        <v>4130</v>
      </c>
      <c r="R779">
        <v>16.896000000000001</v>
      </c>
      <c r="S779">
        <v>4</v>
      </c>
      <c r="T779">
        <v>0.2</v>
      </c>
      <c r="U779">
        <v>5.28</v>
      </c>
      <c r="V779" t="str">
        <f t="shared" si="12"/>
        <v>Aimee Bixby</v>
      </c>
      <c r="W779">
        <f>Table2[Profit]/Table2[Sales]</f>
        <v>0.3125</v>
      </c>
    </row>
    <row r="780" spans="1:23" x14ac:dyDescent="0.25">
      <c r="A780">
        <v>779</v>
      </c>
      <c r="B780" t="s">
        <v>4133</v>
      </c>
      <c r="C780" s="1">
        <v>42498</v>
      </c>
      <c r="D780" s="1">
        <v>42503</v>
      </c>
      <c r="E780" t="s">
        <v>22</v>
      </c>
      <c r="F780" t="s">
        <v>2724</v>
      </c>
      <c r="G780" t="s">
        <v>2725</v>
      </c>
      <c r="H780" t="s">
        <v>40</v>
      </c>
      <c r="I780" t="s">
        <v>26</v>
      </c>
      <c r="J780" t="s">
        <v>241</v>
      </c>
      <c r="K780" t="s">
        <v>242</v>
      </c>
      <c r="L780">
        <v>19901</v>
      </c>
      <c r="M780" t="s">
        <v>145</v>
      </c>
      <c r="N780" t="s">
        <v>4134</v>
      </c>
      <c r="O780" t="s">
        <v>31</v>
      </c>
      <c r="P780" t="s">
        <v>64</v>
      </c>
      <c r="Q780" t="s">
        <v>4135</v>
      </c>
      <c r="R780">
        <v>211.96</v>
      </c>
      <c r="S780">
        <v>2</v>
      </c>
      <c r="T780">
        <v>0</v>
      </c>
      <c r="U780">
        <v>42.392000000000003</v>
      </c>
      <c r="V780" t="str">
        <f t="shared" si="12"/>
        <v>George Bell</v>
      </c>
      <c r="W780">
        <f>Table2[Profit]/Table2[Sales]</f>
        <v>0.2</v>
      </c>
    </row>
    <row r="781" spans="1:23" x14ac:dyDescent="0.25">
      <c r="A781">
        <v>780</v>
      </c>
      <c r="B781" t="s">
        <v>4136</v>
      </c>
      <c r="C781" s="1">
        <v>42715</v>
      </c>
      <c r="D781" s="1">
        <v>42721</v>
      </c>
      <c r="E781" t="s">
        <v>49</v>
      </c>
      <c r="F781" t="s">
        <v>1880</v>
      </c>
      <c r="G781" t="s">
        <v>1881</v>
      </c>
      <c r="H781" t="s">
        <v>25</v>
      </c>
      <c r="I781" t="s">
        <v>26</v>
      </c>
      <c r="J781" t="s">
        <v>3716</v>
      </c>
      <c r="K781" t="s">
        <v>328</v>
      </c>
      <c r="L781">
        <v>37167</v>
      </c>
      <c r="M781" t="s">
        <v>29</v>
      </c>
      <c r="N781" t="s">
        <v>4137</v>
      </c>
      <c r="O781" t="s">
        <v>45</v>
      </c>
      <c r="P781" t="s">
        <v>67</v>
      </c>
      <c r="Q781" t="s">
        <v>4138</v>
      </c>
      <c r="R781">
        <v>6.6719999999999997</v>
      </c>
      <c r="S781">
        <v>3</v>
      </c>
      <c r="T781">
        <v>0.2</v>
      </c>
      <c r="U781">
        <v>1.6679999999999999</v>
      </c>
      <c r="V781" t="str">
        <f t="shared" si="12"/>
        <v>Cynthia Arntzen</v>
      </c>
      <c r="W781">
        <f>Table2[Profit]/Table2[Sales]</f>
        <v>0.25</v>
      </c>
    </row>
    <row r="782" spans="1:23" x14ac:dyDescent="0.25">
      <c r="A782">
        <v>781</v>
      </c>
      <c r="B782" t="s">
        <v>4139</v>
      </c>
      <c r="C782" s="1">
        <v>43069</v>
      </c>
      <c r="D782" s="1">
        <v>43073</v>
      </c>
      <c r="E782" t="s">
        <v>49</v>
      </c>
      <c r="F782" t="s">
        <v>2068</v>
      </c>
      <c r="G782" t="s">
        <v>2069</v>
      </c>
      <c r="H782" t="s">
        <v>25</v>
      </c>
      <c r="I782" t="s">
        <v>26</v>
      </c>
      <c r="J782" t="s">
        <v>600</v>
      </c>
      <c r="K782" t="s">
        <v>242</v>
      </c>
      <c r="L782">
        <v>19711</v>
      </c>
      <c r="M782" t="s">
        <v>145</v>
      </c>
      <c r="N782" t="s">
        <v>4140</v>
      </c>
      <c r="O782" t="s">
        <v>45</v>
      </c>
      <c r="P782" t="s">
        <v>67</v>
      </c>
      <c r="Q782" t="s">
        <v>4141</v>
      </c>
      <c r="R782">
        <v>155.94</v>
      </c>
      <c r="S782">
        <v>6</v>
      </c>
      <c r="T782">
        <v>0</v>
      </c>
      <c r="U782">
        <v>45.2226</v>
      </c>
      <c r="V782" t="str">
        <f t="shared" si="12"/>
        <v>Max Engle</v>
      </c>
      <c r="W782">
        <f>Table2[Profit]/Table2[Sales]</f>
        <v>0.28999999999999998</v>
      </c>
    </row>
    <row r="783" spans="1:23" x14ac:dyDescent="0.25">
      <c r="A783">
        <v>782</v>
      </c>
      <c r="B783" t="s">
        <v>4142</v>
      </c>
      <c r="C783" s="1">
        <v>42479</v>
      </c>
      <c r="D783" s="1">
        <v>42484</v>
      </c>
      <c r="E783" t="s">
        <v>22</v>
      </c>
      <c r="F783" t="s">
        <v>1041</v>
      </c>
      <c r="G783" t="s">
        <v>1042</v>
      </c>
      <c r="H783" t="s">
        <v>25</v>
      </c>
      <c r="I783" t="s">
        <v>26</v>
      </c>
      <c r="J783" t="s">
        <v>41</v>
      </c>
      <c r="K783" t="s">
        <v>42</v>
      </c>
      <c r="L783">
        <v>90049</v>
      </c>
      <c r="M783" t="s">
        <v>43</v>
      </c>
      <c r="N783" t="s">
        <v>3278</v>
      </c>
      <c r="O783" t="s">
        <v>70</v>
      </c>
      <c r="P783" t="s">
        <v>71</v>
      </c>
      <c r="Q783" t="s">
        <v>3279</v>
      </c>
      <c r="R783">
        <v>39.96</v>
      </c>
      <c r="S783">
        <v>5</v>
      </c>
      <c r="T783">
        <v>0.2</v>
      </c>
      <c r="U783">
        <v>12.987</v>
      </c>
      <c r="V783" t="str">
        <f t="shared" si="12"/>
        <v>Jas O'Carroll</v>
      </c>
      <c r="W783">
        <f>Table2[Profit]/Table2[Sales]</f>
        <v>0.32500000000000001</v>
      </c>
    </row>
    <row r="784" spans="1:23" x14ac:dyDescent="0.25">
      <c r="A784">
        <v>783</v>
      </c>
      <c r="B784" t="s">
        <v>4149</v>
      </c>
      <c r="C784" s="1">
        <v>41785</v>
      </c>
      <c r="D784" s="1">
        <v>41789</v>
      </c>
      <c r="E784" t="s">
        <v>49</v>
      </c>
      <c r="F784" t="s">
        <v>4150</v>
      </c>
      <c r="G784" t="s">
        <v>4151</v>
      </c>
      <c r="H784" t="s">
        <v>40</v>
      </c>
      <c r="I784" t="s">
        <v>26</v>
      </c>
      <c r="J784" t="s">
        <v>41</v>
      </c>
      <c r="K784" t="s">
        <v>42</v>
      </c>
      <c r="L784">
        <v>90008</v>
      </c>
      <c r="M784" t="s">
        <v>43</v>
      </c>
      <c r="N784" t="s">
        <v>4123</v>
      </c>
      <c r="O784" t="s">
        <v>31</v>
      </c>
      <c r="P784" t="s">
        <v>32</v>
      </c>
      <c r="Q784" t="s">
        <v>4124</v>
      </c>
      <c r="R784">
        <v>290.666</v>
      </c>
      <c r="S784">
        <v>2</v>
      </c>
      <c r="T784">
        <v>0.15</v>
      </c>
      <c r="U784">
        <v>27.3568</v>
      </c>
      <c r="V784" t="str">
        <f t="shared" si="12"/>
        <v>Marina Lichtenstein</v>
      </c>
      <c r="W784">
        <f>Table2[Profit]/Table2[Sales]</f>
        <v>9.4117647058823528E-2</v>
      </c>
    </row>
    <row r="785" spans="1:23" x14ac:dyDescent="0.25">
      <c r="A785">
        <v>784</v>
      </c>
      <c r="B785" t="s">
        <v>4154</v>
      </c>
      <c r="C785" s="1">
        <v>43090</v>
      </c>
      <c r="D785" s="1">
        <v>43094</v>
      </c>
      <c r="E785" t="s">
        <v>49</v>
      </c>
      <c r="F785" t="s">
        <v>3725</v>
      </c>
      <c r="G785" t="s">
        <v>3726</v>
      </c>
      <c r="H785" t="s">
        <v>40</v>
      </c>
      <c r="I785" t="s">
        <v>26</v>
      </c>
      <c r="J785" t="s">
        <v>3145</v>
      </c>
      <c r="K785" t="s">
        <v>42</v>
      </c>
      <c r="L785">
        <v>94601</v>
      </c>
      <c r="M785" t="s">
        <v>43</v>
      </c>
      <c r="N785" t="s">
        <v>1502</v>
      </c>
      <c r="O785" t="s">
        <v>45</v>
      </c>
      <c r="P785" t="s">
        <v>58</v>
      </c>
      <c r="Q785" t="s">
        <v>1503</v>
      </c>
      <c r="R785">
        <v>1000.02</v>
      </c>
      <c r="S785">
        <v>7</v>
      </c>
      <c r="T785">
        <v>0</v>
      </c>
      <c r="U785">
        <v>290.00580000000002</v>
      </c>
      <c r="V785" t="str">
        <f t="shared" si="12"/>
        <v>Yana Sorensen</v>
      </c>
      <c r="W785">
        <f>Table2[Profit]/Table2[Sales]</f>
        <v>0.29000000000000004</v>
      </c>
    </row>
    <row r="786" spans="1:23" x14ac:dyDescent="0.25">
      <c r="A786">
        <v>785</v>
      </c>
      <c r="B786" t="s">
        <v>4155</v>
      </c>
      <c r="C786" s="1">
        <v>42444</v>
      </c>
      <c r="D786" s="1">
        <v>42448</v>
      </c>
      <c r="E786" t="s">
        <v>49</v>
      </c>
      <c r="F786" t="s">
        <v>3967</v>
      </c>
      <c r="G786" t="s">
        <v>3968</v>
      </c>
      <c r="H786" t="s">
        <v>101</v>
      </c>
      <c r="I786" t="s">
        <v>26</v>
      </c>
      <c r="J786" t="s">
        <v>143</v>
      </c>
      <c r="K786" t="s">
        <v>144</v>
      </c>
      <c r="L786">
        <v>19143</v>
      </c>
      <c r="M786" t="s">
        <v>145</v>
      </c>
      <c r="N786" t="s">
        <v>4156</v>
      </c>
      <c r="O786" t="s">
        <v>70</v>
      </c>
      <c r="P786" t="s">
        <v>158</v>
      </c>
      <c r="Q786" t="s">
        <v>4157</v>
      </c>
      <c r="R786">
        <v>83.975999999999999</v>
      </c>
      <c r="S786">
        <v>3</v>
      </c>
      <c r="T786">
        <v>0.2</v>
      </c>
      <c r="U786">
        <v>-13.646100000000001</v>
      </c>
      <c r="V786" t="str">
        <f t="shared" si="12"/>
        <v>Paul Lucas</v>
      </c>
      <c r="W786">
        <f>Table2[Profit]/Table2[Sales]</f>
        <v>-0.16250000000000001</v>
      </c>
    </row>
    <row r="787" spans="1:23" x14ac:dyDescent="0.25">
      <c r="A787">
        <v>786</v>
      </c>
      <c r="B787" t="s">
        <v>4158</v>
      </c>
      <c r="C787" s="1">
        <v>42226</v>
      </c>
      <c r="D787" s="1">
        <v>42232</v>
      </c>
      <c r="E787" t="s">
        <v>49</v>
      </c>
      <c r="F787" t="s">
        <v>3711</v>
      </c>
      <c r="G787" t="s">
        <v>3712</v>
      </c>
      <c r="H787" t="s">
        <v>101</v>
      </c>
      <c r="I787" t="s">
        <v>26</v>
      </c>
      <c r="J787" t="s">
        <v>225</v>
      </c>
      <c r="K787" t="s">
        <v>226</v>
      </c>
      <c r="L787">
        <v>55122</v>
      </c>
      <c r="M787" t="s">
        <v>104</v>
      </c>
      <c r="N787" t="s">
        <v>2089</v>
      </c>
      <c r="O787" t="s">
        <v>45</v>
      </c>
      <c r="P787" t="s">
        <v>46</v>
      </c>
      <c r="Q787" t="s">
        <v>2090</v>
      </c>
      <c r="R787">
        <v>3.75</v>
      </c>
      <c r="S787">
        <v>1</v>
      </c>
      <c r="T787">
        <v>0</v>
      </c>
      <c r="U787">
        <v>1.8</v>
      </c>
      <c r="V787" t="str">
        <f t="shared" si="12"/>
        <v>Julie Kriz</v>
      </c>
      <c r="W787">
        <f>Table2[Profit]/Table2[Sales]</f>
        <v>0.48000000000000004</v>
      </c>
    </row>
    <row r="788" spans="1:23" x14ac:dyDescent="0.25">
      <c r="A788">
        <v>787</v>
      </c>
      <c r="B788" t="s">
        <v>4161</v>
      </c>
      <c r="C788" s="1">
        <v>42623</v>
      </c>
      <c r="D788" s="1">
        <v>42627</v>
      </c>
      <c r="E788" t="s">
        <v>22</v>
      </c>
      <c r="F788" t="s">
        <v>417</v>
      </c>
      <c r="G788" t="s">
        <v>418</v>
      </c>
      <c r="H788" t="s">
        <v>101</v>
      </c>
      <c r="I788" t="s">
        <v>26</v>
      </c>
      <c r="J788" t="s">
        <v>263</v>
      </c>
      <c r="K788" t="s">
        <v>264</v>
      </c>
      <c r="L788">
        <v>10011</v>
      </c>
      <c r="M788" t="s">
        <v>145</v>
      </c>
      <c r="N788" t="s">
        <v>4162</v>
      </c>
      <c r="O788" t="s">
        <v>45</v>
      </c>
      <c r="P788" t="s">
        <v>58</v>
      </c>
      <c r="Q788" t="s">
        <v>4163</v>
      </c>
      <c r="R788">
        <v>59.48</v>
      </c>
      <c r="S788">
        <v>2</v>
      </c>
      <c r="T788">
        <v>0</v>
      </c>
      <c r="U788">
        <v>8.9220000000000006</v>
      </c>
      <c r="V788" t="str">
        <f t="shared" si="12"/>
        <v>Parhena Norris</v>
      </c>
      <c r="W788">
        <f>Table2[Profit]/Table2[Sales]</f>
        <v>0.15000000000000002</v>
      </c>
    </row>
    <row r="789" spans="1:23" x14ac:dyDescent="0.25">
      <c r="A789">
        <v>788</v>
      </c>
      <c r="B789" t="s">
        <v>4166</v>
      </c>
      <c r="C789" s="1">
        <v>42924</v>
      </c>
      <c r="D789" s="1">
        <v>42931</v>
      </c>
      <c r="E789" t="s">
        <v>49</v>
      </c>
      <c r="F789" t="s">
        <v>4167</v>
      </c>
      <c r="G789" t="s">
        <v>4168</v>
      </c>
      <c r="H789" t="s">
        <v>25</v>
      </c>
      <c r="I789" t="s">
        <v>26</v>
      </c>
      <c r="J789" t="s">
        <v>4169</v>
      </c>
      <c r="K789" t="s">
        <v>95</v>
      </c>
      <c r="L789">
        <v>98031</v>
      </c>
      <c r="M789" t="s">
        <v>43</v>
      </c>
      <c r="N789" t="s">
        <v>4170</v>
      </c>
      <c r="O789" t="s">
        <v>31</v>
      </c>
      <c r="P789" t="s">
        <v>64</v>
      </c>
      <c r="Q789" t="s">
        <v>4171</v>
      </c>
      <c r="R789">
        <v>198.46</v>
      </c>
      <c r="S789">
        <v>2</v>
      </c>
      <c r="T789">
        <v>0</v>
      </c>
      <c r="U789">
        <v>99.23</v>
      </c>
      <c r="V789" t="str">
        <f t="shared" si="12"/>
        <v>Jenna Caffey</v>
      </c>
      <c r="W789">
        <f>Table2[Profit]/Table2[Sales]</f>
        <v>0.5</v>
      </c>
    </row>
    <row r="790" spans="1:23" x14ac:dyDescent="0.25">
      <c r="A790">
        <v>789</v>
      </c>
      <c r="B790" t="s">
        <v>4174</v>
      </c>
      <c r="C790" s="1">
        <v>42357</v>
      </c>
      <c r="D790" s="1">
        <v>42362</v>
      </c>
      <c r="E790" t="s">
        <v>49</v>
      </c>
      <c r="F790" t="s">
        <v>4175</v>
      </c>
      <c r="G790" t="s">
        <v>4176</v>
      </c>
      <c r="H790" t="s">
        <v>25</v>
      </c>
      <c r="I790" t="s">
        <v>26</v>
      </c>
      <c r="J790" t="s">
        <v>41</v>
      </c>
      <c r="K790" t="s">
        <v>42</v>
      </c>
      <c r="L790">
        <v>90049</v>
      </c>
      <c r="M790" t="s">
        <v>43</v>
      </c>
      <c r="N790" t="s">
        <v>3766</v>
      </c>
      <c r="O790" t="s">
        <v>70</v>
      </c>
      <c r="P790" t="s">
        <v>71</v>
      </c>
      <c r="Q790" t="s">
        <v>3767</v>
      </c>
      <c r="R790">
        <v>675.96</v>
      </c>
      <c r="S790">
        <v>5</v>
      </c>
      <c r="T790">
        <v>0.2</v>
      </c>
      <c r="U790">
        <v>84.495000000000005</v>
      </c>
      <c r="V790" t="str">
        <f t="shared" si="12"/>
        <v>James Galang</v>
      </c>
      <c r="W790">
        <f>Table2[Profit]/Table2[Sales]</f>
        <v>0.125</v>
      </c>
    </row>
    <row r="791" spans="1:23" x14ac:dyDescent="0.25">
      <c r="A791">
        <v>790</v>
      </c>
      <c r="B791" t="s">
        <v>4178</v>
      </c>
      <c r="C791" s="1">
        <v>42324</v>
      </c>
      <c r="D791" s="1">
        <v>42330</v>
      </c>
      <c r="E791" t="s">
        <v>49</v>
      </c>
      <c r="F791" t="s">
        <v>1511</v>
      </c>
      <c r="G791" t="s">
        <v>1512</v>
      </c>
      <c r="H791" t="s">
        <v>101</v>
      </c>
      <c r="I791" t="s">
        <v>26</v>
      </c>
      <c r="J791" t="s">
        <v>263</v>
      </c>
      <c r="K791" t="s">
        <v>264</v>
      </c>
      <c r="L791">
        <v>10011</v>
      </c>
      <c r="M791" t="s">
        <v>145</v>
      </c>
      <c r="N791" t="s">
        <v>2102</v>
      </c>
      <c r="O791" t="s">
        <v>45</v>
      </c>
      <c r="P791" t="s">
        <v>77</v>
      </c>
      <c r="Q791" t="s">
        <v>2103</v>
      </c>
      <c r="R791">
        <v>523.25</v>
      </c>
      <c r="S791">
        <v>5</v>
      </c>
      <c r="T791">
        <v>0</v>
      </c>
      <c r="U791">
        <v>141.2775</v>
      </c>
      <c r="V791" t="str">
        <f t="shared" si="12"/>
        <v>Philisse Overcash</v>
      </c>
      <c r="W791">
        <f>Table2[Profit]/Table2[Sales]</f>
        <v>0.27</v>
      </c>
    </row>
    <row r="792" spans="1:23" x14ac:dyDescent="0.25">
      <c r="A792">
        <v>791</v>
      </c>
      <c r="B792" t="s">
        <v>4179</v>
      </c>
      <c r="C792" s="1">
        <v>42271</v>
      </c>
      <c r="D792" s="1">
        <v>42277</v>
      </c>
      <c r="E792" t="s">
        <v>49</v>
      </c>
      <c r="F792" t="s">
        <v>4180</v>
      </c>
      <c r="G792" t="s">
        <v>4181</v>
      </c>
      <c r="H792" t="s">
        <v>25</v>
      </c>
      <c r="I792" t="s">
        <v>26</v>
      </c>
      <c r="J792" t="s">
        <v>4182</v>
      </c>
      <c r="K792" t="s">
        <v>729</v>
      </c>
      <c r="L792">
        <v>70506</v>
      </c>
      <c r="M792" t="s">
        <v>29</v>
      </c>
      <c r="N792" t="s">
        <v>3312</v>
      </c>
      <c r="O792" t="s">
        <v>31</v>
      </c>
      <c r="P792" t="s">
        <v>35</v>
      </c>
      <c r="Q792" t="s">
        <v>3313</v>
      </c>
      <c r="R792">
        <v>517.5</v>
      </c>
      <c r="S792">
        <v>6</v>
      </c>
      <c r="T792">
        <v>0</v>
      </c>
      <c r="U792">
        <v>155.25</v>
      </c>
      <c r="V792" t="str">
        <f t="shared" si="12"/>
        <v>Marc Crier</v>
      </c>
      <c r="W792">
        <f>Table2[Profit]/Table2[Sales]</f>
        <v>0.3</v>
      </c>
    </row>
    <row r="793" spans="1:23" x14ac:dyDescent="0.25">
      <c r="A793">
        <v>792</v>
      </c>
      <c r="B793" t="s">
        <v>4183</v>
      </c>
      <c r="C793" s="1">
        <v>42907</v>
      </c>
      <c r="D793" s="1">
        <v>42911</v>
      </c>
      <c r="E793" t="s">
        <v>22</v>
      </c>
      <c r="F793" t="s">
        <v>1979</v>
      </c>
      <c r="G793" t="s">
        <v>1980</v>
      </c>
      <c r="H793" t="s">
        <v>25</v>
      </c>
      <c r="I793" t="s">
        <v>26</v>
      </c>
      <c r="J793" t="s">
        <v>2148</v>
      </c>
      <c r="K793" t="s">
        <v>491</v>
      </c>
      <c r="L793">
        <v>44105</v>
      </c>
      <c r="M793" t="s">
        <v>145</v>
      </c>
      <c r="N793" t="s">
        <v>4184</v>
      </c>
      <c r="O793" t="s">
        <v>31</v>
      </c>
      <c r="P793" t="s">
        <v>64</v>
      </c>
      <c r="Q793" t="s">
        <v>4185</v>
      </c>
      <c r="R793">
        <v>17.920000000000002</v>
      </c>
      <c r="S793">
        <v>5</v>
      </c>
      <c r="T793">
        <v>0.2</v>
      </c>
      <c r="U793">
        <v>2.464</v>
      </c>
      <c r="V793" t="str">
        <f t="shared" si="12"/>
        <v>Alan Shonely</v>
      </c>
      <c r="W793">
        <f>Table2[Profit]/Table2[Sales]</f>
        <v>0.13749999999999998</v>
      </c>
    </row>
    <row r="794" spans="1:23" x14ac:dyDescent="0.25">
      <c r="A794">
        <v>793</v>
      </c>
      <c r="B794" t="s">
        <v>4186</v>
      </c>
      <c r="C794" s="1">
        <v>42498</v>
      </c>
      <c r="D794" s="1">
        <v>42498</v>
      </c>
      <c r="E794" t="s">
        <v>1278</v>
      </c>
      <c r="F794" t="s">
        <v>479</v>
      </c>
      <c r="G794" t="s">
        <v>480</v>
      </c>
      <c r="H794" t="s">
        <v>25</v>
      </c>
      <c r="I794" t="s">
        <v>26</v>
      </c>
      <c r="J794" t="s">
        <v>2148</v>
      </c>
      <c r="K794" t="s">
        <v>491</v>
      </c>
      <c r="L794">
        <v>44105</v>
      </c>
      <c r="M794" t="s">
        <v>145</v>
      </c>
      <c r="N794" t="s">
        <v>4187</v>
      </c>
      <c r="O794" t="s">
        <v>45</v>
      </c>
      <c r="P794" t="s">
        <v>58</v>
      </c>
      <c r="Q794" t="s">
        <v>4188</v>
      </c>
      <c r="R794">
        <v>1006.056</v>
      </c>
      <c r="S794">
        <v>3</v>
      </c>
      <c r="T794">
        <v>0.2</v>
      </c>
      <c r="U794">
        <v>88.029899999999998</v>
      </c>
      <c r="V794" t="str">
        <f t="shared" si="12"/>
        <v>Clay Ludtke</v>
      </c>
      <c r="W794">
        <f>Table2[Profit]/Table2[Sales]</f>
        <v>8.7499999999999994E-2</v>
      </c>
    </row>
    <row r="795" spans="1:23" x14ac:dyDescent="0.25">
      <c r="A795">
        <v>794</v>
      </c>
      <c r="B795" t="s">
        <v>4189</v>
      </c>
      <c r="C795" s="1">
        <v>41969</v>
      </c>
      <c r="D795" s="1">
        <v>41975</v>
      </c>
      <c r="E795" t="s">
        <v>49</v>
      </c>
      <c r="F795" t="s">
        <v>4190</v>
      </c>
      <c r="G795" t="s">
        <v>4191</v>
      </c>
      <c r="H795" t="s">
        <v>25</v>
      </c>
      <c r="I795" t="s">
        <v>26</v>
      </c>
      <c r="J795" t="s">
        <v>4192</v>
      </c>
      <c r="K795" t="s">
        <v>413</v>
      </c>
      <c r="L795">
        <v>97224</v>
      </c>
      <c r="M795" t="s">
        <v>43</v>
      </c>
      <c r="N795" t="s">
        <v>3002</v>
      </c>
      <c r="O795" t="s">
        <v>45</v>
      </c>
      <c r="P795" t="s">
        <v>89</v>
      </c>
      <c r="Q795" t="s">
        <v>3003</v>
      </c>
      <c r="R795">
        <v>15.552</v>
      </c>
      <c r="S795">
        <v>3</v>
      </c>
      <c r="T795">
        <v>0.2</v>
      </c>
      <c r="U795">
        <v>5.4432</v>
      </c>
      <c r="V795" t="str">
        <f t="shared" si="12"/>
        <v>Natalie Webber</v>
      </c>
      <c r="W795">
        <f>Table2[Profit]/Table2[Sales]</f>
        <v>0.35000000000000003</v>
      </c>
    </row>
    <row r="796" spans="1:23" x14ac:dyDescent="0.25">
      <c r="A796">
        <v>795</v>
      </c>
      <c r="B796" t="s">
        <v>4195</v>
      </c>
      <c r="C796" s="1">
        <v>42516</v>
      </c>
      <c r="D796" s="1">
        <v>42522</v>
      </c>
      <c r="E796" t="s">
        <v>49</v>
      </c>
      <c r="F796" t="s">
        <v>4196</v>
      </c>
      <c r="G796" t="s">
        <v>4197</v>
      </c>
      <c r="H796" t="s">
        <v>25</v>
      </c>
      <c r="I796" t="s">
        <v>26</v>
      </c>
      <c r="J796" t="s">
        <v>95</v>
      </c>
      <c r="K796" t="s">
        <v>2986</v>
      </c>
      <c r="L796">
        <v>20016</v>
      </c>
      <c r="M796" t="s">
        <v>145</v>
      </c>
      <c r="N796" t="s">
        <v>4198</v>
      </c>
      <c r="O796" t="s">
        <v>45</v>
      </c>
      <c r="P796" t="s">
        <v>89</v>
      </c>
      <c r="Q796" t="s">
        <v>4199</v>
      </c>
      <c r="R796">
        <v>19.440000000000001</v>
      </c>
      <c r="S796">
        <v>3</v>
      </c>
      <c r="T796">
        <v>0</v>
      </c>
      <c r="U796">
        <v>9.3312000000000008</v>
      </c>
      <c r="V796" t="str">
        <f t="shared" si="12"/>
        <v>Toby Braunhardt</v>
      </c>
      <c r="W796">
        <f>Table2[Profit]/Table2[Sales]</f>
        <v>0.48000000000000004</v>
      </c>
    </row>
    <row r="797" spans="1:23" x14ac:dyDescent="0.25">
      <c r="A797">
        <v>796</v>
      </c>
      <c r="B797" t="s">
        <v>4200</v>
      </c>
      <c r="C797" s="1">
        <v>41972</v>
      </c>
      <c r="D797" s="1">
        <v>41977</v>
      </c>
      <c r="E797" t="s">
        <v>49</v>
      </c>
      <c r="F797" t="s">
        <v>4201</v>
      </c>
      <c r="G797" t="s">
        <v>4202</v>
      </c>
      <c r="H797" t="s">
        <v>40</v>
      </c>
      <c r="I797" t="s">
        <v>26</v>
      </c>
      <c r="J797" t="s">
        <v>4203</v>
      </c>
      <c r="K797" t="s">
        <v>208</v>
      </c>
      <c r="L797">
        <v>60076</v>
      </c>
      <c r="M797" t="s">
        <v>104</v>
      </c>
      <c r="N797" t="s">
        <v>2106</v>
      </c>
      <c r="O797" t="s">
        <v>45</v>
      </c>
      <c r="P797" t="s">
        <v>266</v>
      </c>
      <c r="Q797" t="s">
        <v>556</v>
      </c>
      <c r="R797">
        <v>12.624000000000001</v>
      </c>
      <c r="S797">
        <v>2</v>
      </c>
      <c r="T797">
        <v>0.2</v>
      </c>
      <c r="U797">
        <v>3.9449999999999998</v>
      </c>
      <c r="V797" t="str">
        <f t="shared" si="12"/>
        <v>Bill Stewart</v>
      </c>
      <c r="W797">
        <f>Table2[Profit]/Table2[Sales]</f>
        <v>0.3125</v>
      </c>
    </row>
    <row r="798" spans="1:23" x14ac:dyDescent="0.25">
      <c r="A798">
        <v>797</v>
      </c>
      <c r="B798" t="s">
        <v>4204</v>
      </c>
      <c r="C798" s="1">
        <v>42082</v>
      </c>
      <c r="D798" s="1">
        <v>42083</v>
      </c>
      <c r="E798" t="s">
        <v>185</v>
      </c>
      <c r="F798" t="s">
        <v>785</v>
      </c>
      <c r="G798" t="s">
        <v>786</v>
      </c>
      <c r="H798" t="s">
        <v>40</v>
      </c>
      <c r="I798" t="s">
        <v>26</v>
      </c>
      <c r="J798" t="s">
        <v>94</v>
      </c>
      <c r="K798" t="s">
        <v>95</v>
      </c>
      <c r="L798">
        <v>98115</v>
      </c>
      <c r="M798" t="s">
        <v>43</v>
      </c>
      <c r="N798" t="s">
        <v>1554</v>
      </c>
      <c r="O798" t="s">
        <v>45</v>
      </c>
      <c r="P798" t="s">
        <v>58</v>
      </c>
      <c r="Q798" t="s">
        <v>1555</v>
      </c>
      <c r="R798">
        <v>1247.6400000000001</v>
      </c>
      <c r="S798">
        <v>3</v>
      </c>
      <c r="T798">
        <v>0</v>
      </c>
      <c r="U798">
        <v>349.33920000000001</v>
      </c>
      <c r="V798" t="str">
        <f t="shared" si="12"/>
        <v>Fred Hopkins</v>
      </c>
      <c r="W798">
        <f>Table2[Profit]/Table2[Sales]</f>
        <v>0.27999999999999997</v>
      </c>
    </row>
    <row r="799" spans="1:23" x14ac:dyDescent="0.25">
      <c r="A799">
        <v>798</v>
      </c>
      <c r="B799" t="s">
        <v>4209</v>
      </c>
      <c r="C799" s="1">
        <v>42309</v>
      </c>
      <c r="D799" s="1">
        <v>42311</v>
      </c>
      <c r="E799" t="s">
        <v>185</v>
      </c>
      <c r="F799" t="s">
        <v>778</v>
      </c>
      <c r="G799" t="s">
        <v>779</v>
      </c>
      <c r="H799" t="s">
        <v>101</v>
      </c>
      <c r="I799" t="s">
        <v>26</v>
      </c>
      <c r="J799" t="s">
        <v>143</v>
      </c>
      <c r="K799" t="s">
        <v>144</v>
      </c>
      <c r="L799">
        <v>19140</v>
      </c>
      <c r="M799" t="s">
        <v>145</v>
      </c>
      <c r="N799" t="s">
        <v>746</v>
      </c>
      <c r="O799" t="s">
        <v>70</v>
      </c>
      <c r="P799" t="s">
        <v>158</v>
      </c>
      <c r="Q799" t="s">
        <v>747</v>
      </c>
      <c r="R799">
        <v>35.36</v>
      </c>
      <c r="S799">
        <v>2</v>
      </c>
      <c r="T799">
        <v>0.2</v>
      </c>
      <c r="U799">
        <v>-3.0939999999999999</v>
      </c>
      <c r="V799" t="str">
        <f t="shared" si="12"/>
        <v>Valerie Mitchum</v>
      </c>
      <c r="W799">
        <f>Table2[Profit]/Table2[Sales]</f>
        <v>-8.7499999999999994E-2</v>
      </c>
    </row>
    <row r="800" spans="1:23" x14ac:dyDescent="0.25">
      <c r="A800">
        <v>799</v>
      </c>
      <c r="B800" t="s">
        <v>4212</v>
      </c>
      <c r="C800" s="1">
        <v>42273</v>
      </c>
      <c r="D800" s="1">
        <v>42276</v>
      </c>
      <c r="E800" t="s">
        <v>22</v>
      </c>
      <c r="F800" t="s">
        <v>1913</v>
      </c>
      <c r="G800" t="s">
        <v>1914</v>
      </c>
      <c r="H800" t="s">
        <v>25</v>
      </c>
      <c r="I800" t="s">
        <v>26</v>
      </c>
      <c r="J800" t="s">
        <v>143</v>
      </c>
      <c r="K800" t="s">
        <v>144</v>
      </c>
      <c r="L800">
        <v>19143</v>
      </c>
      <c r="M800" t="s">
        <v>145</v>
      </c>
      <c r="N800" t="s">
        <v>4213</v>
      </c>
      <c r="O800" t="s">
        <v>45</v>
      </c>
      <c r="P800" t="s">
        <v>74</v>
      </c>
      <c r="Q800" t="s">
        <v>4214</v>
      </c>
      <c r="R800">
        <v>121.104</v>
      </c>
      <c r="S800">
        <v>6</v>
      </c>
      <c r="T800">
        <v>0.7</v>
      </c>
      <c r="U800">
        <v>-100.92</v>
      </c>
      <c r="V800" t="str">
        <f t="shared" si="12"/>
        <v>Sarah Foster</v>
      </c>
      <c r="W800">
        <f>Table2[Profit]/Table2[Sales]</f>
        <v>-0.83333333333333337</v>
      </c>
    </row>
    <row r="801" spans="1:23" x14ac:dyDescent="0.25">
      <c r="A801">
        <v>800</v>
      </c>
      <c r="B801" t="s">
        <v>4217</v>
      </c>
      <c r="C801" s="1">
        <v>41880</v>
      </c>
      <c r="D801" s="1">
        <v>41880</v>
      </c>
      <c r="E801" t="s">
        <v>1278</v>
      </c>
      <c r="F801" t="s">
        <v>4218</v>
      </c>
      <c r="G801" t="s">
        <v>4219</v>
      </c>
      <c r="H801" t="s">
        <v>40</v>
      </c>
      <c r="I801" t="s">
        <v>26</v>
      </c>
      <c r="J801" t="s">
        <v>126</v>
      </c>
      <c r="K801" t="s">
        <v>42</v>
      </c>
      <c r="L801">
        <v>94110</v>
      </c>
      <c r="M801" t="s">
        <v>43</v>
      </c>
      <c r="N801" t="s">
        <v>4220</v>
      </c>
      <c r="O801" t="s">
        <v>45</v>
      </c>
      <c r="P801" t="s">
        <v>89</v>
      </c>
      <c r="Q801" t="s">
        <v>4221</v>
      </c>
      <c r="R801">
        <v>109.92</v>
      </c>
      <c r="S801">
        <v>2</v>
      </c>
      <c r="T801">
        <v>0</v>
      </c>
      <c r="U801">
        <v>53.860799999999998</v>
      </c>
      <c r="V801" t="str">
        <f t="shared" si="12"/>
        <v>Hilary Holden</v>
      </c>
      <c r="W801">
        <f>Table2[Profit]/Table2[Sales]</f>
        <v>0.49</v>
      </c>
    </row>
    <row r="802" spans="1:23" x14ac:dyDescent="0.25">
      <c r="A802">
        <v>801</v>
      </c>
      <c r="B802" t="s">
        <v>4224</v>
      </c>
      <c r="C802" s="1">
        <v>43057</v>
      </c>
      <c r="D802" s="1">
        <v>43060</v>
      </c>
      <c r="E802" t="s">
        <v>185</v>
      </c>
      <c r="F802" t="s">
        <v>4225</v>
      </c>
      <c r="G802" t="s">
        <v>4226</v>
      </c>
      <c r="H802" t="s">
        <v>25</v>
      </c>
      <c r="I802" t="s">
        <v>26</v>
      </c>
      <c r="J802" t="s">
        <v>94</v>
      </c>
      <c r="K802" t="s">
        <v>95</v>
      </c>
      <c r="L802">
        <v>98105</v>
      </c>
      <c r="M802" t="s">
        <v>43</v>
      </c>
      <c r="N802" t="s">
        <v>390</v>
      </c>
      <c r="O802" t="s">
        <v>45</v>
      </c>
      <c r="P802" t="s">
        <v>58</v>
      </c>
      <c r="Q802" t="s">
        <v>391</v>
      </c>
      <c r="R802">
        <v>169.68</v>
      </c>
      <c r="S802">
        <v>6</v>
      </c>
      <c r="T802">
        <v>0</v>
      </c>
      <c r="U802">
        <v>45.813600000000001</v>
      </c>
      <c r="V802" t="str">
        <f t="shared" si="12"/>
        <v>Christina DeMoss</v>
      </c>
      <c r="W802">
        <f>Table2[Profit]/Table2[Sales]</f>
        <v>0.27</v>
      </c>
    </row>
    <row r="803" spans="1:23" x14ac:dyDescent="0.25">
      <c r="A803">
        <v>802</v>
      </c>
      <c r="B803" t="s">
        <v>4231</v>
      </c>
      <c r="C803" s="1">
        <v>41771</v>
      </c>
      <c r="D803" s="1">
        <v>41774</v>
      </c>
      <c r="E803" t="s">
        <v>185</v>
      </c>
      <c r="F803" t="s">
        <v>2717</v>
      </c>
      <c r="G803" t="s">
        <v>2718</v>
      </c>
      <c r="H803" t="s">
        <v>25</v>
      </c>
      <c r="I803" t="s">
        <v>26</v>
      </c>
      <c r="J803" t="s">
        <v>2517</v>
      </c>
      <c r="K803" t="s">
        <v>113</v>
      </c>
      <c r="L803">
        <v>53209</v>
      </c>
      <c r="M803" t="s">
        <v>104</v>
      </c>
      <c r="N803" t="s">
        <v>2015</v>
      </c>
      <c r="O803" t="s">
        <v>31</v>
      </c>
      <c r="P803" t="s">
        <v>64</v>
      </c>
      <c r="Q803" t="s">
        <v>2016</v>
      </c>
      <c r="R803">
        <v>34.79</v>
      </c>
      <c r="S803">
        <v>7</v>
      </c>
      <c r="T803">
        <v>0</v>
      </c>
      <c r="U803">
        <v>10.7849</v>
      </c>
      <c r="V803" t="str">
        <f t="shared" si="12"/>
        <v>Hunter Lopez</v>
      </c>
      <c r="W803">
        <f>Table2[Profit]/Table2[Sales]</f>
        <v>0.31</v>
      </c>
    </row>
    <row r="804" spans="1:23" x14ac:dyDescent="0.25">
      <c r="A804">
        <v>803</v>
      </c>
      <c r="B804" t="s">
        <v>4232</v>
      </c>
      <c r="C804" s="1">
        <v>42755</v>
      </c>
      <c r="D804" s="1">
        <v>42761</v>
      </c>
      <c r="E804" t="s">
        <v>49</v>
      </c>
      <c r="F804" t="s">
        <v>4233</v>
      </c>
      <c r="G804" t="s">
        <v>4234</v>
      </c>
      <c r="H804" t="s">
        <v>25</v>
      </c>
      <c r="I804" t="s">
        <v>26</v>
      </c>
      <c r="J804" t="s">
        <v>41</v>
      </c>
      <c r="K804" t="s">
        <v>42</v>
      </c>
      <c r="L804">
        <v>90045</v>
      </c>
      <c r="M804" t="s">
        <v>43</v>
      </c>
      <c r="N804" t="s">
        <v>4235</v>
      </c>
      <c r="O804" t="s">
        <v>70</v>
      </c>
      <c r="P804" t="s">
        <v>71</v>
      </c>
      <c r="Q804" t="s">
        <v>4236</v>
      </c>
      <c r="R804">
        <v>160.77600000000001</v>
      </c>
      <c r="S804">
        <v>3</v>
      </c>
      <c r="T804">
        <v>0.2</v>
      </c>
      <c r="U804">
        <v>10.048500000000001</v>
      </c>
      <c r="V804" t="str">
        <f t="shared" si="12"/>
        <v>Thea Hendricks</v>
      </c>
      <c r="W804">
        <f>Table2[Profit]/Table2[Sales]</f>
        <v>6.25E-2</v>
      </c>
    </row>
    <row r="805" spans="1:23" x14ac:dyDescent="0.25">
      <c r="A805">
        <v>804</v>
      </c>
      <c r="B805" t="s">
        <v>4237</v>
      </c>
      <c r="C805" s="1">
        <v>43038</v>
      </c>
      <c r="D805" s="1">
        <v>43045</v>
      </c>
      <c r="E805" t="s">
        <v>49</v>
      </c>
      <c r="F805" t="s">
        <v>4238</v>
      </c>
      <c r="G805" t="s">
        <v>4239</v>
      </c>
      <c r="H805" t="s">
        <v>25</v>
      </c>
      <c r="I805" t="s">
        <v>26</v>
      </c>
      <c r="J805" t="s">
        <v>94</v>
      </c>
      <c r="K805" t="s">
        <v>95</v>
      </c>
      <c r="L805">
        <v>98115</v>
      </c>
      <c r="M805" t="s">
        <v>43</v>
      </c>
      <c r="N805" t="s">
        <v>3092</v>
      </c>
      <c r="O805" t="s">
        <v>45</v>
      </c>
      <c r="P805" t="s">
        <v>74</v>
      </c>
      <c r="Q805" t="s">
        <v>3093</v>
      </c>
      <c r="R805">
        <v>88.751999999999995</v>
      </c>
      <c r="S805">
        <v>3</v>
      </c>
      <c r="T805">
        <v>0.2</v>
      </c>
      <c r="U805">
        <v>27.734999999999999</v>
      </c>
      <c r="V805" t="str">
        <f t="shared" si="12"/>
        <v>Michelle Moray</v>
      </c>
      <c r="W805">
        <f>Table2[Profit]/Table2[Sales]</f>
        <v>0.3125</v>
      </c>
    </row>
    <row r="806" spans="1:23" x14ac:dyDescent="0.25">
      <c r="A806">
        <v>805</v>
      </c>
      <c r="B806" t="s">
        <v>4240</v>
      </c>
      <c r="C806" s="1">
        <v>42855</v>
      </c>
      <c r="D806" s="1">
        <v>42861</v>
      </c>
      <c r="E806" t="s">
        <v>49</v>
      </c>
      <c r="F806" t="s">
        <v>3530</v>
      </c>
      <c r="G806" t="s">
        <v>3531</v>
      </c>
      <c r="H806" t="s">
        <v>40</v>
      </c>
      <c r="I806" t="s">
        <v>26</v>
      </c>
      <c r="J806" t="s">
        <v>143</v>
      </c>
      <c r="K806" t="s">
        <v>144</v>
      </c>
      <c r="L806">
        <v>19143</v>
      </c>
      <c r="M806" t="s">
        <v>145</v>
      </c>
      <c r="N806" t="s">
        <v>3627</v>
      </c>
      <c r="O806" t="s">
        <v>70</v>
      </c>
      <c r="P806" t="s">
        <v>71</v>
      </c>
      <c r="Q806" t="s">
        <v>3628</v>
      </c>
      <c r="R806">
        <v>677.58</v>
      </c>
      <c r="S806">
        <v>5</v>
      </c>
      <c r="T806">
        <v>0.4</v>
      </c>
      <c r="U806">
        <v>-158.102</v>
      </c>
      <c r="V806" t="str">
        <f t="shared" si="12"/>
        <v>Quincy Jones</v>
      </c>
      <c r="W806">
        <f>Table2[Profit]/Table2[Sales]</f>
        <v>-0.23333333333333334</v>
      </c>
    </row>
    <row r="807" spans="1:23" x14ac:dyDescent="0.25">
      <c r="A807">
        <v>806</v>
      </c>
      <c r="B807" t="s">
        <v>4243</v>
      </c>
      <c r="C807" s="1">
        <v>42698</v>
      </c>
      <c r="D807" s="1">
        <v>42700</v>
      </c>
      <c r="E807" t="s">
        <v>22</v>
      </c>
      <c r="F807" t="s">
        <v>4244</v>
      </c>
      <c r="G807" t="s">
        <v>4245</v>
      </c>
      <c r="H807" t="s">
        <v>25</v>
      </c>
      <c r="I807" t="s">
        <v>26</v>
      </c>
      <c r="J807" t="s">
        <v>808</v>
      </c>
      <c r="K807" t="s">
        <v>103</v>
      </c>
      <c r="L807">
        <v>75217</v>
      </c>
      <c r="M807" t="s">
        <v>104</v>
      </c>
      <c r="N807" t="s">
        <v>1800</v>
      </c>
      <c r="O807" t="s">
        <v>45</v>
      </c>
      <c r="P807" t="s">
        <v>58</v>
      </c>
      <c r="Q807" t="s">
        <v>1801</v>
      </c>
      <c r="R807">
        <v>41.92</v>
      </c>
      <c r="S807">
        <v>5</v>
      </c>
      <c r="T807">
        <v>0.2</v>
      </c>
      <c r="U807">
        <v>3.6680000000000001</v>
      </c>
      <c r="V807" t="str">
        <f t="shared" si="12"/>
        <v>Neola Schneider</v>
      </c>
      <c r="W807">
        <f>Table2[Profit]/Table2[Sales]</f>
        <v>8.7499999999999994E-2</v>
      </c>
    </row>
    <row r="808" spans="1:23" x14ac:dyDescent="0.25">
      <c r="A808">
        <v>807</v>
      </c>
      <c r="B808" t="s">
        <v>4252</v>
      </c>
      <c r="C808" s="1">
        <v>42014</v>
      </c>
      <c r="D808" s="1">
        <v>42019</v>
      </c>
      <c r="E808" t="s">
        <v>49</v>
      </c>
      <c r="F808" t="s">
        <v>3801</v>
      </c>
      <c r="G808" t="s">
        <v>3802</v>
      </c>
      <c r="H808" t="s">
        <v>25</v>
      </c>
      <c r="I808" t="s">
        <v>26</v>
      </c>
      <c r="J808" t="s">
        <v>263</v>
      </c>
      <c r="K808" t="s">
        <v>264</v>
      </c>
      <c r="L808">
        <v>10011</v>
      </c>
      <c r="M808" t="s">
        <v>145</v>
      </c>
      <c r="N808" t="s">
        <v>1579</v>
      </c>
      <c r="O808" t="s">
        <v>31</v>
      </c>
      <c r="P808" t="s">
        <v>55</v>
      </c>
      <c r="Q808" t="s">
        <v>1580</v>
      </c>
      <c r="R808">
        <v>1018.104</v>
      </c>
      <c r="S808">
        <v>4</v>
      </c>
      <c r="T808">
        <v>0.4</v>
      </c>
      <c r="U808">
        <v>-373.3048</v>
      </c>
      <c r="V808" t="str">
        <f t="shared" si="12"/>
        <v>Michael Moore</v>
      </c>
      <c r="W808">
        <f>Table2[Profit]/Table2[Sales]</f>
        <v>-0.36666666666666664</v>
      </c>
    </row>
    <row r="809" spans="1:23" x14ac:dyDescent="0.25">
      <c r="A809">
        <v>808</v>
      </c>
      <c r="B809" t="s">
        <v>4253</v>
      </c>
      <c r="C809" s="1">
        <v>43027</v>
      </c>
      <c r="D809" s="1">
        <v>43034</v>
      </c>
      <c r="E809" t="s">
        <v>49</v>
      </c>
      <c r="F809" t="s">
        <v>4113</v>
      </c>
      <c r="G809" t="s">
        <v>4114</v>
      </c>
      <c r="H809" t="s">
        <v>25</v>
      </c>
      <c r="I809" t="s">
        <v>26</v>
      </c>
      <c r="J809" t="s">
        <v>181</v>
      </c>
      <c r="K809" t="s">
        <v>103</v>
      </c>
      <c r="L809">
        <v>77095</v>
      </c>
      <c r="M809" t="s">
        <v>104</v>
      </c>
      <c r="N809" t="s">
        <v>4254</v>
      </c>
      <c r="O809" t="s">
        <v>70</v>
      </c>
      <c r="P809" t="s">
        <v>71</v>
      </c>
      <c r="Q809" t="s">
        <v>4255</v>
      </c>
      <c r="R809">
        <v>16.68</v>
      </c>
      <c r="S809">
        <v>3</v>
      </c>
      <c r="T809">
        <v>0.2</v>
      </c>
      <c r="U809">
        <v>5.2125000000000004</v>
      </c>
      <c r="V809" t="str">
        <f t="shared" si="12"/>
        <v>Rick Duston</v>
      </c>
      <c r="W809">
        <f>Table2[Profit]/Table2[Sales]</f>
        <v>0.3125</v>
      </c>
    </row>
    <row r="810" spans="1:23" x14ac:dyDescent="0.25">
      <c r="A810">
        <v>809</v>
      </c>
      <c r="B810" t="s">
        <v>4256</v>
      </c>
      <c r="C810" s="1">
        <v>42451</v>
      </c>
      <c r="D810" s="1">
        <v>42454</v>
      </c>
      <c r="E810" t="s">
        <v>185</v>
      </c>
      <c r="F810" t="s">
        <v>4257</v>
      </c>
      <c r="G810" t="s">
        <v>4258</v>
      </c>
      <c r="H810" t="s">
        <v>40</v>
      </c>
      <c r="I810" t="s">
        <v>26</v>
      </c>
      <c r="J810" t="s">
        <v>3961</v>
      </c>
      <c r="K810" t="s">
        <v>1381</v>
      </c>
      <c r="L810">
        <v>89031</v>
      </c>
      <c r="M810" t="s">
        <v>43</v>
      </c>
      <c r="N810" t="s">
        <v>3177</v>
      </c>
      <c r="O810" t="s">
        <v>70</v>
      </c>
      <c r="P810" t="s">
        <v>158</v>
      </c>
      <c r="Q810" t="s">
        <v>3178</v>
      </c>
      <c r="R810">
        <v>58.58</v>
      </c>
      <c r="S810">
        <v>2</v>
      </c>
      <c r="T810">
        <v>0</v>
      </c>
      <c r="U810">
        <v>19.331399999999999</v>
      </c>
      <c r="V810" t="str">
        <f t="shared" si="12"/>
        <v>Robert Barroso</v>
      </c>
      <c r="W810">
        <f>Table2[Profit]/Table2[Sales]</f>
        <v>0.32999999999999996</v>
      </c>
    </row>
    <row r="811" spans="1:23" x14ac:dyDescent="0.25">
      <c r="A811">
        <v>810</v>
      </c>
      <c r="B811" t="s">
        <v>4259</v>
      </c>
      <c r="C811" s="1">
        <v>42919</v>
      </c>
      <c r="D811" s="1">
        <v>42923</v>
      </c>
      <c r="E811" t="s">
        <v>49</v>
      </c>
      <c r="F811" t="s">
        <v>2935</v>
      </c>
      <c r="G811" t="s">
        <v>2936</v>
      </c>
      <c r="H811" t="s">
        <v>25</v>
      </c>
      <c r="I811" t="s">
        <v>26</v>
      </c>
      <c r="J811" t="s">
        <v>4260</v>
      </c>
      <c r="K811" t="s">
        <v>103</v>
      </c>
      <c r="L811">
        <v>75023</v>
      </c>
      <c r="M811" t="s">
        <v>104</v>
      </c>
      <c r="N811" t="s">
        <v>306</v>
      </c>
      <c r="O811" t="s">
        <v>70</v>
      </c>
      <c r="P811" t="s">
        <v>71</v>
      </c>
      <c r="Q811" t="s">
        <v>307</v>
      </c>
      <c r="R811">
        <v>167.96799999999999</v>
      </c>
      <c r="S811">
        <v>4</v>
      </c>
      <c r="T811">
        <v>0.2</v>
      </c>
      <c r="U811">
        <v>62.988</v>
      </c>
      <c r="V811" t="str">
        <f t="shared" si="12"/>
        <v>Rob Dowd</v>
      </c>
      <c r="W811">
        <f>Table2[Profit]/Table2[Sales]</f>
        <v>0.375</v>
      </c>
    </row>
    <row r="812" spans="1:23" x14ac:dyDescent="0.25">
      <c r="A812">
        <v>811</v>
      </c>
      <c r="B812" t="s">
        <v>4261</v>
      </c>
      <c r="C812" s="1">
        <v>42349</v>
      </c>
      <c r="D812" s="1">
        <v>42350</v>
      </c>
      <c r="E812" t="s">
        <v>185</v>
      </c>
      <c r="F812" t="s">
        <v>4262</v>
      </c>
      <c r="G812" t="s">
        <v>4263</v>
      </c>
      <c r="H812" t="s">
        <v>25</v>
      </c>
      <c r="I812" t="s">
        <v>26</v>
      </c>
      <c r="J812" t="s">
        <v>4264</v>
      </c>
      <c r="K812" t="s">
        <v>312</v>
      </c>
      <c r="L812">
        <v>23434</v>
      </c>
      <c r="M812" t="s">
        <v>29</v>
      </c>
      <c r="N812" t="s">
        <v>1943</v>
      </c>
      <c r="O812" t="s">
        <v>45</v>
      </c>
      <c r="P812" t="s">
        <v>46</v>
      </c>
      <c r="Q812" t="s">
        <v>1944</v>
      </c>
      <c r="R812">
        <v>196.62</v>
      </c>
      <c r="S812">
        <v>2</v>
      </c>
      <c r="T812">
        <v>0</v>
      </c>
      <c r="U812">
        <v>96.343800000000002</v>
      </c>
      <c r="V812" t="str">
        <f t="shared" si="12"/>
        <v>Shaun Weien</v>
      </c>
      <c r="W812">
        <f>Table2[Profit]/Table2[Sales]</f>
        <v>0.49</v>
      </c>
    </row>
    <row r="813" spans="1:23" x14ac:dyDescent="0.25">
      <c r="A813">
        <v>812</v>
      </c>
      <c r="B813" t="s">
        <v>4265</v>
      </c>
      <c r="C813" s="1">
        <v>42264</v>
      </c>
      <c r="D813" s="1">
        <v>42268</v>
      </c>
      <c r="E813" t="s">
        <v>49</v>
      </c>
      <c r="F813" t="s">
        <v>2027</v>
      </c>
      <c r="G813" t="s">
        <v>2028</v>
      </c>
      <c r="H813" t="s">
        <v>40</v>
      </c>
      <c r="I813" t="s">
        <v>26</v>
      </c>
      <c r="J813" t="s">
        <v>181</v>
      </c>
      <c r="K813" t="s">
        <v>103</v>
      </c>
      <c r="L813">
        <v>77041</v>
      </c>
      <c r="M813" t="s">
        <v>104</v>
      </c>
      <c r="N813" t="s">
        <v>3438</v>
      </c>
      <c r="O813" t="s">
        <v>31</v>
      </c>
      <c r="P813" t="s">
        <v>64</v>
      </c>
      <c r="Q813" t="s">
        <v>3439</v>
      </c>
      <c r="R813">
        <v>21.936</v>
      </c>
      <c r="S813">
        <v>2</v>
      </c>
      <c r="T813">
        <v>0.6</v>
      </c>
      <c r="U813">
        <v>-10.419600000000001</v>
      </c>
      <c r="V813" t="str">
        <f t="shared" si="12"/>
        <v>Sylvia Foulston</v>
      </c>
      <c r="W813">
        <f>Table2[Profit]/Table2[Sales]</f>
        <v>-0.47500000000000003</v>
      </c>
    </row>
    <row r="814" spans="1:23" x14ac:dyDescent="0.25">
      <c r="A814">
        <v>813</v>
      </c>
      <c r="B814" t="s">
        <v>4266</v>
      </c>
      <c r="C814" s="1">
        <v>42508</v>
      </c>
      <c r="D814" s="1">
        <v>42514</v>
      </c>
      <c r="E814" t="s">
        <v>49</v>
      </c>
      <c r="F814" t="s">
        <v>4267</v>
      </c>
      <c r="G814" t="s">
        <v>4268</v>
      </c>
      <c r="H814" t="s">
        <v>25</v>
      </c>
      <c r="I814" t="s">
        <v>26</v>
      </c>
      <c r="J814" t="s">
        <v>126</v>
      </c>
      <c r="K814" t="s">
        <v>42</v>
      </c>
      <c r="L814">
        <v>94110</v>
      </c>
      <c r="M814" t="s">
        <v>43</v>
      </c>
      <c r="N814" t="s">
        <v>272</v>
      </c>
      <c r="O814" t="s">
        <v>45</v>
      </c>
      <c r="P814" t="s">
        <v>58</v>
      </c>
      <c r="Q814" t="s">
        <v>273</v>
      </c>
      <c r="R814">
        <v>104.28</v>
      </c>
      <c r="S814">
        <v>3</v>
      </c>
      <c r="T814">
        <v>0</v>
      </c>
      <c r="U814">
        <v>26.07</v>
      </c>
      <c r="V814" t="str">
        <f t="shared" si="12"/>
        <v>Eric Barreto</v>
      </c>
      <c r="W814">
        <f>Table2[Profit]/Table2[Sales]</f>
        <v>0.25</v>
      </c>
    </row>
    <row r="815" spans="1:23" x14ac:dyDescent="0.25">
      <c r="A815">
        <v>814</v>
      </c>
      <c r="B815" t="s">
        <v>4269</v>
      </c>
      <c r="C815" s="1">
        <v>41889</v>
      </c>
      <c r="D815" s="1">
        <v>41895</v>
      </c>
      <c r="E815" t="s">
        <v>49</v>
      </c>
      <c r="F815" t="s">
        <v>973</v>
      </c>
      <c r="G815" t="s">
        <v>974</v>
      </c>
      <c r="H815" t="s">
        <v>40</v>
      </c>
      <c r="I815" t="s">
        <v>26</v>
      </c>
      <c r="J815" t="s">
        <v>143</v>
      </c>
      <c r="K815" t="s">
        <v>144</v>
      </c>
      <c r="L815">
        <v>19134</v>
      </c>
      <c r="M815" t="s">
        <v>145</v>
      </c>
      <c r="N815" t="s">
        <v>3330</v>
      </c>
      <c r="O815" t="s">
        <v>45</v>
      </c>
      <c r="P815" t="s">
        <v>58</v>
      </c>
      <c r="Q815" t="s">
        <v>3331</v>
      </c>
      <c r="R815">
        <v>64.784000000000006</v>
      </c>
      <c r="S815">
        <v>1</v>
      </c>
      <c r="T815">
        <v>0.2</v>
      </c>
      <c r="U815">
        <v>-14.5764</v>
      </c>
      <c r="V815" t="str">
        <f t="shared" si="12"/>
        <v>Sean Braxton</v>
      </c>
      <c r="W815">
        <f>Table2[Profit]/Table2[Sales]</f>
        <v>-0.22499999999999998</v>
      </c>
    </row>
    <row r="816" spans="1:23" x14ac:dyDescent="0.25">
      <c r="A816">
        <v>815</v>
      </c>
      <c r="B816" t="s">
        <v>4274</v>
      </c>
      <c r="C816" s="1">
        <v>42642</v>
      </c>
      <c r="D816" s="1">
        <v>42644</v>
      </c>
      <c r="E816" t="s">
        <v>22</v>
      </c>
      <c r="F816" t="s">
        <v>4275</v>
      </c>
      <c r="G816" t="s">
        <v>4276</v>
      </c>
      <c r="H816" t="s">
        <v>25</v>
      </c>
      <c r="I816" t="s">
        <v>26</v>
      </c>
      <c r="J816" t="s">
        <v>41</v>
      </c>
      <c r="K816" t="s">
        <v>42</v>
      </c>
      <c r="L816">
        <v>90008</v>
      </c>
      <c r="M816" t="s">
        <v>43</v>
      </c>
      <c r="N816" t="s">
        <v>2467</v>
      </c>
      <c r="O816" t="s">
        <v>45</v>
      </c>
      <c r="P816" t="s">
        <v>89</v>
      </c>
      <c r="Q816" t="s">
        <v>2468</v>
      </c>
      <c r="R816">
        <v>18.97</v>
      </c>
      <c r="S816">
        <v>1</v>
      </c>
      <c r="T816">
        <v>0</v>
      </c>
      <c r="U816">
        <v>9.1056000000000008</v>
      </c>
      <c r="V816" t="str">
        <f t="shared" si="12"/>
        <v>Pamela Stobb</v>
      </c>
      <c r="W816">
        <f>Table2[Profit]/Table2[Sales]</f>
        <v>0.48000000000000009</v>
      </c>
    </row>
    <row r="817" spans="1:23" x14ac:dyDescent="0.25">
      <c r="A817">
        <v>816</v>
      </c>
      <c r="B817" t="s">
        <v>4277</v>
      </c>
      <c r="C817" s="1">
        <v>42681</v>
      </c>
      <c r="D817" s="1">
        <v>42686</v>
      </c>
      <c r="E817" t="s">
        <v>49</v>
      </c>
      <c r="F817" t="s">
        <v>987</v>
      </c>
      <c r="G817" t="s">
        <v>988</v>
      </c>
      <c r="H817" t="s">
        <v>40</v>
      </c>
      <c r="I817" t="s">
        <v>26</v>
      </c>
      <c r="J817" t="s">
        <v>126</v>
      </c>
      <c r="K817" t="s">
        <v>42</v>
      </c>
      <c r="L817">
        <v>94110</v>
      </c>
      <c r="M817" t="s">
        <v>43</v>
      </c>
      <c r="N817" t="s">
        <v>2416</v>
      </c>
      <c r="O817" t="s">
        <v>31</v>
      </c>
      <c r="P817" t="s">
        <v>64</v>
      </c>
      <c r="Q817" t="s">
        <v>2417</v>
      </c>
      <c r="R817">
        <v>14.82</v>
      </c>
      <c r="S817">
        <v>3</v>
      </c>
      <c r="T817">
        <v>0</v>
      </c>
      <c r="U817">
        <v>6.2244000000000002</v>
      </c>
      <c r="V817" t="str">
        <f t="shared" si="12"/>
        <v>Claudia Bergmann</v>
      </c>
      <c r="W817">
        <f>Table2[Profit]/Table2[Sales]</f>
        <v>0.42</v>
      </c>
    </row>
    <row r="818" spans="1:23" x14ac:dyDescent="0.25">
      <c r="A818">
        <v>817</v>
      </c>
      <c r="B818" t="s">
        <v>4278</v>
      </c>
      <c r="C818" s="1">
        <v>42849</v>
      </c>
      <c r="D818" s="1">
        <v>42852</v>
      </c>
      <c r="E818" t="s">
        <v>185</v>
      </c>
      <c r="F818" t="s">
        <v>3778</v>
      </c>
      <c r="G818" t="s">
        <v>3779</v>
      </c>
      <c r="H818" t="s">
        <v>40</v>
      </c>
      <c r="I818" t="s">
        <v>26</v>
      </c>
      <c r="J818" t="s">
        <v>143</v>
      </c>
      <c r="K818" t="s">
        <v>144</v>
      </c>
      <c r="L818">
        <v>19143</v>
      </c>
      <c r="M818" t="s">
        <v>145</v>
      </c>
      <c r="N818" t="s">
        <v>4279</v>
      </c>
      <c r="O818" t="s">
        <v>45</v>
      </c>
      <c r="P818" t="s">
        <v>77</v>
      </c>
      <c r="Q818" t="s">
        <v>4280</v>
      </c>
      <c r="R818">
        <v>99.28</v>
      </c>
      <c r="S818">
        <v>2</v>
      </c>
      <c r="T818">
        <v>0.2</v>
      </c>
      <c r="U818">
        <v>12.41</v>
      </c>
      <c r="V818" t="str">
        <f t="shared" si="12"/>
        <v>Damala Kotsonis</v>
      </c>
      <c r="W818">
        <f>Table2[Profit]/Table2[Sales]</f>
        <v>0.125</v>
      </c>
    </row>
    <row r="819" spans="1:23" x14ac:dyDescent="0.25">
      <c r="A819">
        <v>818</v>
      </c>
      <c r="B819" t="s">
        <v>4283</v>
      </c>
      <c r="C819" s="1">
        <v>43079</v>
      </c>
      <c r="D819" s="1">
        <v>43081</v>
      </c>
      <c r="E819" t="s">
        <v>185</v>
      </c>
      <c r="F819" t="s">
        <v>4067</v>
      </c>
      <c r="G819" t="s">
        <v>4068</v>
      </c>
      <c r="H819" t="s">
        <v>25</v>
      </c>
      <c r="I819" t="s">
        <v>26</v>
      </c>
      <c r="J819" t="s">
        <v>143</v>
      </c>
      <c r="K819" t="s">
        <v>144</v>
      </c>
      <c r="L819">
        <v>19140</v>
      </c>
      <c r="M819" t="s">
        <v>145</v>
      </c>
      <c r="N819" t="s">
        <v>2844</v>
      </c>
      <c r="O819" t="s">
        <v>45</v>
      </c>
      <c r="P819" t="s">
        <v>89</v>
      </c>
      <c r="Q819" t="s">
        <v>2845</v>
      </c>
      <c r="R819">
        <v>10.368</v>
      </c>
      <c r="S819">
        <v>2</v>
      </c>
      <c r="T819">
        <v>0.2</v>
      </c>
      <c r="U819">
        <v>3.6288</v>
      </c>
      <c r="V819" t="str">
        <f t="shared" si="12"/>
        <v>Anthony Witt</v>
      </c>
      <c r="W819">
        <f>Table2[Profit]/Table2[Sales]</f>
        <v>0.35</v>
      </c>
    </row>
    <row r="820" spans="1:23" x14ac:dyDescent="0.25">
      <c r="A820">
        <v>819</v>
      </c>
      <c r="B820" t="s">
        <v>4284</v>
      </c>
      <c r="C820" s="1">
        <v>41867</v>
      </c>
      <c r="D820" s="1">
        <v>41871</v>
      </c>
      <c r="E820" t="s">
        <v>49</v>
      </c>
      <c r="F820" t="s">
        <v>535</v>
      </c>
      <c r="G820" t="s">
        <v>536</v>
      </c>
      <c r="H820" t="s">
        <v>25</v>
      </c>
      <c r="I820" t="s">
        <v>26</v>
      </c>
      <c r="J820" t="s">
        <v>143</v>
      </c>
      <c r="K820" t="s">
        <v>144</v>
      </c>
      <c r="L820">
        <v>19143</v>
      </c>
      <c r="M820" t="s">
        <v>145</v>
      </c>
      <c r="N820" t="s">
        <v>79</v>
      </c>
      <c r="O820" t="s">
        <v>31</v>
      </c>
      <c r="P820" t="s">
        <v>55</v>
      </c>
      <c r="Q820" t="s">
        <v>80</v>
      </c>
      <c r="R820">
        <v>853.09199999999998</v>
      </c>
      <c r="S820">
        <v>6</v>
      </c>
      <c r="T820">
        <v>0.4</v>
      </c>
      <c r="U820">
        <v>-227.49119999999999</v>
      </c>
      <c r="V820" t="str">
        <f t="shared" si="12"/>
        <v>Troy Staebel</v>
      </c>
      <c r="W820">
        <f>Table2[Profit]/Table2[Sales]</f>
        <v>-0.26666666666666666</v>
      </c>
    </row>
    <row r="821" spans="1:23" x14ac:dyDescent="0.25">
      <c r="A821">
        <v>820</v>
      </c>
      <c r="B821" t="s">
        <v>4285</v>
      </c>
      <c r="C821" s="1">
        <v>43078</v>
      </c>
      <c r="D821" s="1">
        <v>43084</v>
      </c>
      <c r="E821" t="s">
        <v>49</v>
      </c>
      <c r="F821" t="s">
        <v>4286</v>
      </c>
      <c r="G821" t="s">
        <v>4287</v>
      </c>
      <c r="H821" t="s">
        <v>25</v>
      </c>
      <c r="I821" t="s">
        <v>26</v>
      </c>
      <c r="J821" t="s">
        <v>4288</v>
      </c>
      <c r="K821" t="s">
        <v>251</v>
      </c>
      <c r="L821">
        <v>46203</v>
      </c>
      <c r="M821" t="s">
        <v>104</v>
      </c>
      <c r="N821" t="s">
        <v>4164</v>
      </c>
      <c r="O821" t="s">
        <v>45</v>
      </c>
      <c r="P821" t="s">
        <v>89</v>
      </c>
      <c r="Q821" t="s">
        <v>4165</v>
      </c>
      <c r="R821">
        <v>33.450000000000003</v>
      </c>
      <c r="S821">
        <v>5</v>
      </c>
      <c r="T821">
        <v>0</v>
      </c>
      <c r="U821">
        <v>15.387</v>
      </c>
      <c r="V821" t="str">
        <f t="shared" si="12"/>
        <v>Herbert Flentye</v>
      </c>
      <c r="W821">
        <f>Table2[Profit]/Table2[Sales]</f>
        <v>0.45999999999999996</v>
      </c>
    </row>
    <row r="822" spans="1:23" x14ac:dyDescent="0.25">
      <c r="A822">
        <v>821</v>
      </c>
      <c r="B822" t="s">
        <v>4289</v>
      </c>
      <c r="C822" s="1">
        <v>42443</v>
      </c>
      <c r="D822" s="1">
        <v>42448</v>
      </c>
      <c r="E822" t="s">
        <v>49</v>
      </c>
      <c r="F822" t="s">
        <v>4290</v>
      </c>
      <c r="G822" t="s">
        <v>4291</v>
      </c>
      <c r="H822" t="s">
        <v>25</v>
      </c>
      <c r="I822" t="s">
        <v>26</v>
      </c>
      <c r="J822" t="s">
        <v>490</v>
      </c>
      <c r="K822" t="s">
        <v>491</v>
      </c>
      <c r="L822">
        <v>43229</v>
      </c>
      <c r="M822" t="s">
        <v>145</v>
      </c>
      <c r="N822" t="s">
        <v>1884</v>
      </c>
      <c r="O822" t="s">
        <v>31</v>
      </c>
      <c r="P822" t="s">
        <v>64</v>
      </c>
      <c r="Q822" t="s">
        <v>1885</v>
      </c>
      <c r="R822">
        <v>21.88</v>
      </c>
      <c r="S822">
        <v>5</v>
      </c>
      <c r="T822">
        <v>0.2</v>
      </c>
      <c r="U822">
        <v>6.2904999999999998</v>
      </c>
      <c r="V822" t="str">
        <f t="shared" si="12"/>
        <v>Henia Zydlo</v>
      </c>
      <c r="W822">
        <f>Table2[Profit]/Table2[Sales]</f>
        <v>0.28749999999999998</v>
      </c>
    </row>
    <row r="823" spans="1:23" x14ac:dyDescent="0.25">
      <c r="A823">
        <v>822</v>
      </c>
      <c r="B823" t="s">
        <v>4292</v>
      </c>
      <c r="C823" s="1">
        <v>42547</v>
      </c>
      <c r="D823" s="1">
        <v>42550</v>
      </c>
      <c r="E823" t="s">
        <v>22</v>
      </c>
      <c r="F823" t="s">
        <v>3605</v>
      </c>
      <c r="G823" t="s">
        <v>3606</v>
      </c>
      <c r="H823" t="s">
        <v>101</v>
      </c>
      <c r="I823" t="s">
        <v>26</v>
      </c>
      <c r="J823" t="s">
        <v>4260</v>
      </c>
      <c r="K823" t="s">
        <v>103</v>
      </c>
      <c r="L823">
        <v>75023</v>
      </c>
      <c r="M823" t="s">
        <v>104</v>
      </c>
      <c r="N823" t="s">
        <v>4293</v>
      </c>
      <c r="O823" t="s">
        <v>70</v>
      </c>
      <c r="P823" t="s">
        <v>158</v>
      </c>
      <c r="Q823" t="s">
        <v>4294</v>
      </c>
      <c r="R823">
        <v>13.616</v>
      </c>
      <c r="S823">
        <v>2</v>
      </c>
      <c r="T823">
        <v>0.2</v>
      </c>
      <c r="U823">
        <v>3.5741999999999998</v>
      </c>
      <c r="V823" t="str">
        <f t="shared" si="12"/>
        <v>Alejandro Ballentine</v>
      </c>
      <c r="W823">
        <f>Table2[Profit]/Table2[Sales]</f>
        <v>0.26250000000000001</v>
      </c>
    </row>
    <row r="824" spans="1:23" x14ac:dyDescent="0.25">
      <c r="A824">
        <v>823</v>
      </c>
      <c r="B824" t="s">
        <v>4295</v>
      </c>
      <c r="C824" s="1">
        <v>42272</v>
      </c>
      <c r="D824" s="1">
        <v>42275</v>
      </c>
      <c r="E824" t="s">
        <v>22</v>
      </c>
      <c r="F824" t="s">
        <v>2331</v>
      </c>
      <c r="G824" t="s">
        <v>2332</v>
      </c>
      <c r="H824" t="s">
        <v>101</v>
      </c>
      <c r="I824" t="s">
        <v>26</v>
      </c>
      <c r="J824" t="s">
        <v>4296</v>
      </c>
      <c r="K824" t="s">
        <v>781</v>
      </c>
      <c r="L824">
        <v>7002</v>
      </c>
      <c r="M824" t="s">
        <v>145</v>
      </c>
      <c r="N824" t="s">
        <v>4297</v>
      </c>
      <c r="O824" t="s">
        <v>70</v>
      </c>
      <c r="P824" t="s">
        <v>158</v>
      </c>
      <c r="Q824" t="s">
        <v>4298</v>
      </c>
      <c r="R824">
        <v>63.96</v>
      </c>
      <c r="S824">
        <v>4</v>
      </c>
      <c r="T824">
        <v>0</v>
      </c>
      <c r="U824">
        <v>19.8276</v>
      </c>
      <c r="V824" t="str">
        <f t="shared" si="12"/>
        <v>Phillina Ober</v>
      </c>
      <c r="W824">
        <f>Table2[Profit]/Table2[Sales]</f>
        <v>0.31</v>
      </c>
    </row>
    <row r="825" spans="1:23" x14ac:dyDescent="0.25">
      <c r="A825">
        <v>824</v>
      </c>
      <c r="B825" t="s">
        <v>4299</v>
      </c>
      <c r="C825" s="1">
        <v>42365</v>
      </c>
      <c r="D825" s="1">
        <v>42369</v>
      </c>
      <c r="E825" t="s">
        <v>49</v>
      </c>
      <c r="F825" t="s">
        <v>1297</v>
      </c>
      <c r="G825" t="s">
        <v>1298</v>
      </c>
      <c r="H825" t="s">
        <v>25</v>
      </c>
      <c r="I825" t="s">
        <v>26</v>
      </c>
      <c r="J825" t="s">
        <v>41</v>
      </c>
      <c r="K825" t="s">
        <v>42</v>
      </c>
      <c r="L825">
        <v>90008</v>
      </c>
      <c r="M825" t="s">
        <v>43</v>
      </c>
      <c r="N825" t="s">
        <v>2506</v>
      </c>
      <c r="O825" t="s">
        <v>45</v>
      </c>
      <c r="P825" t="s">
        <v>77</v>
      </c>
      <c r="Q825" t="s">
        <v>2507</v>
      </c>
      <c r="R825">
        <v>106.96</v>
      </c>
      <c r="S825">
        <v>2</v>
      </c>
      <c r="T825">
        <v>0</v>
      </c>
      <c r="U825">
        <v>31.0184</v>
      </c>
      <c r="V825" t="str">
        <f t="shared" si="12"/>
        <v>Arthur Gainer</v>
      </c>
      <c r="W825">
        <f>Table2[Profit]/Table2[Sales]</f>
        <v>0.29000000000000004</v>
      </c>
    </row>
    <row r="826" spans="1:23" x14ac:dyDescent="0.25">
      <c r="A826">
        <v>825</v>
      </c>
      <c r="B826" t="s">
        <v>4300</v>
      </c>
      <c r="C826" s="1">
        <v>41793</v>
      </c>
      <c r="D826" s="1">
        <v>41797</v>
      </c>
      <c r="E826" t="s">
        <v>22</v>
      </c>
      <c r="F826" t="s">
        <v>512</v>
      </c>
      <c r="G826" t="s">
        <v>513</v>
      </c>
      <c r="H826" t="s">
        <v>25</v>
      </c>
      <c r="I826" t="s">
        <v>26</v>
      </c>
      <c r="J826" t="s">
        <v>94</v>
      </c>
      <c r="K826" t="s">
        <v>95</v>
      </c>
      <c r="L826">
        <v>98115</v>
      </c>
      <c r="M826" t="s">
        <v>43</v>
      </c>
      <c r="N826" t="s">
        <v>3215</v>
      </c>
      <c r="O826" t="s">
        <v>31</v>
      </c>
      <c r="P826" t="s">
        <v>55</v>
      </c>
      <c r="Q826" t="s">
        <v>3216</v>
      </c>
      <c r="R826">
        <v>515.88</v>
      </c>
      <c r="S826">
        <v>6</v>
      </c>
      <c r="T826">
        <v>0</v>
      </c>
      <c r="U826">
        <v>113.4936</v>
      </c>
      <c r="V826" t="str">
        <f t="shared" si="12"/>
        <v>Steven Cartwright</v>
      </c>
      <c r="W826">
        <f>Table2[Profit]/Table2[Sales]</f>
        <v>0.22</v>
      </c>
    </row>
    <row r="827" spans="1:23" x14ac:dyDescent="0.25">
      <c r="A827">
        <v>826</v>
      </c>
      <c r="B827" t="s">
        <v>4301</v>
      </c>
      <c r="C827" s="1">
        <v>42198</v>
      </c>
      <c r="D827" s="1">
        <v>42200</v>
      </c>
      <c r="E827" t="s">
        <v>22</v>
      </c>
      <c r="F827" t="s">
        <v>3660</v>
      </c>
      <c r="G827" t="s">
        <v>3661</v>
      </c>
      <c r="H827" t="s">
        <v>25</v>
      </c>
      <c r="I827" t="s">
        <v>26</v>
      </c>
      <c r="J827" t="s">
        <v>263</v>
      </c>
      <c r="K827" t="s">
        <v>264</v>
      </c>
      <c r="L827">
        <v>10035</v>
      </c>
      <c r="M827" t="s">
        <v>145</v>
      </c>
      <c r="N827" t="s">
        <v>2997</v>
      </c>
      <c r="O827" t="s">
        <v>45</v>
      </c>
      <c r="P827" t="s">
        <v>74</v>
      </c>
      <c r="Q827" t="s">
        <v>2998</v>
      </c>
      <c r="R827">
        <v>11.808</v>
      </c>
      <c r="S827">
        <v>2</v>
      </c>
      <c r="T827">
        <v>0.2</v>
      </c>
      <c r="U827">
        <v>4.2804000000000002</v>
      </c>
      <c r="V827" t="str">
        <f t="shared" si="12"/>
        <v>Natalie DeCherney</v>
      </c>
      <c r="W827">
        <f>Table2[Profit]/Table2[Sales]</f>
        <v>0.36250000000000004</v>
      </c>
    </row>
    <row r="828" spans="1:23" x14ac:dyDescent="0.25">
      <c r="A828">
        <v>827</v>
      </c>
      <c r="B828" t="s">
        <v>4302</v>
      </c>
      <c r="C828" s="1">
        <v>41672</v>
      </c>
      <c r="D828" s="1">
        <v>41676</v>
      </c>
      <c r="E828" t="s">
        <v>49</v>
      </c>
      <c r="F828" t="s">
        <v>4303</v>
      </c>
      <c r="G828" t="s">
        <v>4304</v>
      </c>
      <c r="H828" t="s">
        <v>101</v>
      </c>
      <c r="I828" t="s">
        <v>26</v>
      </c>
      <c r="J828" t="s">
        <v>941</v>
      </c>
      <c r="K828" t="s">
        <v>42</v>
      </c>
      <c r="L828">
        <v>92037</v>
      </c>
      <c r="M828" t="s">
        <v>43</v>
      </c>
      <c r="N828" t="s">
        <v>4305</v>
      </c>
      <c r="O828" t="s">
        <v>45</v>
      </c>
      <c r="P828" t="s">
        <v>266</v>
      </c>
      <c r="Q828" t="s">
        <v>556</v>
      </c>
      <c r="R828">
        <v>12.35</v>
      </c>
      <c r="S828">
        <v>5</v>
      </c>
      <c r="T828">
        <v>0</v>
      </c>
      <c r="U828">
        <v>5.8045</v>
      </c>
      <c r="V828" t="str">
        <f t="shared" si="12"/>
        <v>Cynthia Delaney</v>
      </c>
      <c r="W828">
        <f>Table2[Profit]/Table2[Sales]</f>
        <v>0.47000000000000003</v>
      </c>
    </row>
    <row r="829" spans="1:23" x14ac:dyDescent="0.25">
      <c r="A829">
        <v>828</v>
      </c>
      <c r="B829" t="s">
        <v>4306</v>
      </c>
      <c r="C829" s="1">
        <v>42437</v>
      </c>
      <c r="D829" s="1">
        <v>42437</v>
      </c>
      <c r="E829" t="s">
        <v>1278</v>
      </c>
      <c r="F829" t="s">
        <v>2536</v>
      </c>
      <c r="G829" t="s">
        <v>2537</v>
      </c>
      <c r="H829" t="s">
        <v>25</v>
      </c>
      <c r="I829" t="s">
        <v>26</v>
      </c>
      <c r="J829" t="s">
        <v>3860</v>
      </c>
      <c r="K829" t="s">
        <v>303</v>
      </c>
      <c r="L829">
        <v>85301</v>
      </c>
      <c r="M829" t="s">
        <v>43</v>
      </c>
      <c r="N829" t="s">
        <v>3188</v>
      </c>
      <c r="O829" t="s">
        <v>45</v>
      </c>
      <c r="P829" t="s">
        <v>74</v>
      </c>
      <c r="Q829" t="s">
        <v>3189</v>
      </c>
      <c r="R829">
        <v>9.702</v>
      </c>
      <c r="S829">
        <v>3</v>
      </c>
      <c r="T829">
        <v>0.7</v>
      </c>
      <c r="U829">
        <v>-7.1147999999999998</v>
      </c>
      <c r="V829" t="str">
        <f t="shared" si="12"/>
        <v>Patrick Gardner</v>
      </c>
      <c r="W829">
        <f>Table2[Profit]/Table2[Sales]</f>
        <v>-0.73333333333333328</v>
      </c>
    </row>
    <row r="830" spans="1:23" x14ac:dyDescent="0.25">
      <c r="A830">
        <v>829</v>
      </c>
      <c r="B830" t="s">
        <v>4307</v>
      </c>
      <c r="C830" s="1">
        <v>42330</v>
      </c>
      <c r="D830" s="1">
        <v>42334</v>
      </c>
      <c r="E830" t="s">
        <v>49</v>
      </c>
      <c r="F830" t="s">
        <v>92</v>
      </c>
      <c r="G830" t="s">
        <v>93</v>
      </c>
      <c r="H830" t="s">
        <v>25</v>
      </c>
      <c r="I830" t="s">
        <v>26</v>
      </c>
      <c r="J830" t="s">
        <v>143</v>
      </c>
      <c r="K830" t="s">
        <v>144</v>
      </c>
      <c r="L830">
        <v>19120</v>
      </c>
      <c r="M830" t="s">
        <v>145</v>
      </c>
      <c r="N830" t="s">
        <v>2355</v>
      </c>
      <c r="O830" t="s">
        <v>45</v>
      </c>
      <c r="P830" t="s">
        <v>74</v>
      </c>
      <c r="Q830" t="s">
        <v>2356</v>
      </c>
      <c r="R830">
        <v>11.61</v>
      </c>
      <c r="S830">
        <v>2</v>
      </c>
      <c r="T830">
        <v>0.7</v>
      </c>
      <c r="U830">
        <v>-9.2880000000000003</v>
      </c>
      <c r="V830" t="str">
        <f t="shared" si="12"/>
        <v>Irene Maddox</v>
      </c>
      <c r="W830">
        <f>Table2[Profit]/Table2[Sales]</f>
        <v>-0.8</v>
      </c>
    </row>
    <row r="831" spans="1:23" x14ac:dyDescent="0.25">
      <c r="A831">
        <v>830</v>
      </c>
      <c r="B831" t="s">
        <v>4308</v>
      </c>
      <c r="C831" s="1">
        <v>43038</v>
      </c>
      <c r="D831" s="1">
        <v>43044</v>
      </c>
      <c r="E831" t="s">
        <v>49</v>
      </c>
      <c r="F831" t="s">
        <v>4309</v>
      </c>
      <c r="G831" t="s">
        <v>4310</v>
      </c>
      <c r="H831" t="s">
        <v>25</v>
      </c>
      <c r="I831" t="s">
        <v>26</v>
      </c>
      <c r="J831" t="s">
        <v>126</v>
      </c>
      <c r="K831" t="s">
        <v>42</v>
      </c>
      <c r="L831">
        <v>94122</v>
      </c>
      <c r="M831" t="s">
        <v>43</v>
      </c>
      <c r="N831" t="s">
        <v>4311</v>
      </c>
      <c r="O831" t="s">
        <v>45</v>
      </c>
      <c r="P831" t="s">
        <v>46</v>
      </c>
      <c r="Q831" t="s">
        <v>4312</v>
      </c>
      <c r="R831">
        <v>43.86</v>
      </c>
      <c r="S831">
        <v>6</v>
      </c>
      <c r="T831">
        <v>0</v>
      </c>
      <c r="U831">
        <v>20.6142</v>
      </c>
      <c r="V831" t="str">
        <f t="shared" si="12"/>
        <v>Jamie Kunitz</v>
      </c>
      <c r="W831">
        <f>Table2[Profit]/Table2[Sales]</f>
        <v>0.47000000000000003</v>
      </c>
    </row>
    <row r="832" spans="1:23" x14ac:dyDescent="0.25">
      <c r="A832">
        <v>831</v>
      </c>
      <c r="B832" t="s">
        <v>4315</v>
      </c>
      <c r="C832" s="1">
        <v>42034</v>
      </c>
      <c r="D832" s="1">
        <v>42039</v>
      </c>
      <c r="E832" t="s">
        <v>49</v>
      </c>
      <c r="F832" t="s">
        <v>1603</v>
      </c>
      <c r="G832" t="s">
        <v>1604</v>
      </c>
      <c r="H832" t="s">
        <v>25</v>
      </c>
      <c r="I832" t="s">
        <v>26</v>
      </c>
      <c r="J832" t="s">
        <v>181</v>
      </c>
      <c r="K832" t="s">
        <v>103</v>
      </c>
      <c r="L832">
        <v>77070</v>
      </c>
      <c r="M832" t="s">
        <v>104</v>
      </c>
      <c r="N832" t="s">
        <v>4316</v>
      </c>
      <c r="O832" t="s">
        <v>45</v>
      </c>
      <c r="P832" t="s">
        <v>89</v>
      </c>
      <c r="Q832" t="s">
        <v>4317</v>
      </c>
      <c r="R832">
        <v>14.304</v>
      </c>
      <c r="S832">
        <v>6</v>
      </c>
      <c r="T832">
        <v>0.2</v>
      </c>
      <c r="U832">
        <v>5.0064000000000002</v>
      </c>
      <c r="V832" t="str">
        <f t="shared" si="12"/>
        <v>Jeremy Pistek</v>
      </c>
      <c r="W832">
        <f>Table2[Profit]/Table2[Sales]</f>
        <v>0.35000000000000003</v>
      </c>
    </row>
    <row r="833" spans="1:23" x14ac:dyDescent="0.25">
      <c r="A833">
        <v>832</v>
      </c>
      <c r="B833" t="s">
        <v>4318</v>
      </c>
      <c r="C833" s="1">
        <v>42986</v>
      </c>
      <c r="D833" s="1">
        <v>42991</v>
      </c>
      <c r="E833" t="s">
        <v>22</v>
      </c>
      <c r="F833" t="s">
        <v>4238</v>
      </c>
      <c r="G833" t="s">
        <v>4239</v>
      </c>
      <c r="H833" t="s">
        <v>25</v>
      </c>
      <c r="I833" t="s">
        <v>26</v>
      </c>
      <c r="J833" t="s">
        <v>296</v>
      </c>
      <c r="K833" t="s">
        <v>208</v>
      </c>
      <c r="L833">
        <v>60610</v>
      </c>
      <c r="M833" t="s">
        <v>104</v>
      </c>
      <c r="N833" t="s">
        <v>801</v>
      </c>
      <c r="O833" t="s">
        <v>31</v>
      </c>
      <c r="P833" t="s">
        <v>55</v>
      </c>
      <c r="Q833" t="s">
        <v>802</v>
      </c>
      <c r="R833">
        <v>765.625</v>
      </c>
      <c r="S833">
        <v>7</v>
      </c>
      <c r="T833">
        <v>0.5</v>
      </c>
      <c r="U833">
        <v>-566.5625</v>
      </c>
      <c r="V833" t="str">
        <f t="shared" si="12"/>
        <v>Michelle Moray</v>
      </c>
      <c r="W833">
        <f>Table2[Profit]/Table2[Sales]</f>
        <v>-0.74</v>
      </c>
    </row>
    <row r="834" spans="1:23" x14ac:dyDescent="0.25">
      <c r="A834">
        <v>833</v>
      </c>
      <c r="B834" t="s">
        <v>4319</v>
      </c>
      <c r="C834" s="1">
        <v>43015</v>
      </c>
      <c r="D834" s="1">
        <v>43021</v>
      </c>
      <c r="E834" t="s">
        <v>49</v>
      </c>
      <c r="F834" t="s">
        <v>2371</v>
      </c>
      <c r="G834" t="s">
        <v>2372</v>
      </c>
      <c r="H834" t="s">
        <v>25</v>
      </c>
      <c r="I834" t="s">
        <v>26</v>
      </c>
      <c r="J834" t="s">
        <v>126</v>
      </c>
      <c r="K834" t="s">
        <v>42</v>
      </c>
      <c r="L834">
        <v>94110</v>
      </c>
      <c r="M834" t="s">
        <v>43</v>
      </c>
      <c r="N834" t="s">
        <v>4320</v>
      </c>
      <c r="O834" t="s">
        <v>31</v>
      </c>
      <c r="P834" t="s">
        <v>32</v>
      </c>
      <c r="Q834" t="s">
        <v>4321</v>
      </c>
      <c r="R834">
        <v>307.666</v>
      </c>
      <c r="S834">
        <v>2</v>
      </c>
      <c r="T834">
        <v>0.15</v>
      </c>
      <c r="U834">
        <v>-14.478400000000001</v>
      </c>
      <c r="V834" t="str">
        <f t="shared" si="12"/>
        <v>Debra Catini</v>
      </c>
      <c r="W834">
        <f>Table2[Profit]/Table2[Sales]</f>
        <v>-4.7058823529411764E-2</v>
      </c>
    </row>
    <row r="835" spans="1:23" x14ac:dyDescent="0.25">
      <c r="A835">
        <v>834</v>
      </c>
      <c r="B835" t="s">
        <v>4322</v>
      </c>
      <c r="C835" s="1">
        <v>42490</v>
      </c>
      <c r="D835" s="1">
        <v>42494</v>
      </c>
      <c r="E835" t="s">
        <v>49</v>
      </c>
      <c r="F835" t="s">
        <v>2084</v>
      </c>
      <c r="G835" t="s">
        <v>2085</v>
      </c>
      <c r="H835" t="s">
        <v>25</v>
      </c>
      <c r="I835" t="s">
        <v>26</v>
      </c>
      <c r="J835" t="s">
        <v>263</v>
      </c>
      <c r="K835" t="s">
        <v>264</v>
      </c>
      <c r="L835">
        <v>10011</v>
      </c>
      <c r="M835" t="s">
        <v>145</v>
      </c>
      <c r="N835" t="s">
        <v>1211</v>
      </c>
      <c r="O835" t="s">
        <v>45</v>
      </c>
      <c r="P835" t="s">
        <v>74</v>
      </c>
      <c r="Q835" t="s">
        <v>1212</v>
      </c>
      <c r="R835">
        <v>7.7119999999999997</v>
      </c>
      <c r="S835">
        <v>2</v>
      </c>
      <c r="T835">
        <v>0.2</v>
      </c>
      <c r="U835">
        <v>2.7955999999999999</v>
      </c>
      <c r="V835" t="str">
        <f t="shared" ref="V835:V898" si="13">TRIM(G835)</f>
        <v>John Lee</v>
      </c>
      <c r="W835">
        <f>Table2[Profit]/Table2[Sales]</f>
        <v>0.36249999999999999</v>
      </c>
    </row>
    <row r="836" spans="1:23" x14ac:dyDescent="0.25">
      <c r="A836">
        <v>835</v>
      </c>
      <c r="B836" t="s">
        <v>4323</v>
      </c>
      <c r="C836" s="1">
        <v>42509</v>
      </c>
      <c r="D836" s="1">
        <v>42514</v>
      </c>
      <c r="E836" t="s">
        <v>49</v>
      </c>
      <c r="F836" t="s">
        <v>1730</v>
      </c>
      <c r="G836" t="s">
        <v>1731</v>
      </c>
      <c r="H836" t="s">
        <v>25</v>
      </c>
      <c r="I836" t="s">
        <v>26</v>
      </c>
      <c r="J836" t="s">
        <v>263</v>
      </c>
      <c r="K836" t="s">
        <v>264</v>
      </c>
      <c r="L836">
        <v>10011</v>
      </c>
      <c r="M836" t="s">
        <v>145</v>
      </c>
      <c r="N836" t="s">
        <v>2044</v>
      </c>
      <c r="O836" t="s">
        <v>45</v>
      </c>
      <c r="P836" t="s">
        <v>77</v>
      </c>
      <c r="Q836" t="s">
        <v>2045</v>
      </c>
      <c r="R836">
        <v>242.9</v>
      </c>
      <c r="S836">
        <v>5</v>
      </c>
      <c r="T836">
        <v>0</v>
      </c>
      <c r="U836">
        <v>70.441000000000003</v>
      </c>
      <c r="V836" t="str">
        <f t="shared" si="13"/>
        <v>Bradley Nguyen</v>
      </c>
      <c r="W836">
        <f>Table2[Profit]/Table2[Sales]</f>
        <v>0.28999999999999998</v>
      </c>
    </row>
    <row r="837" spans="1:23" x14ac:dyDescent="0.25">
      <c r="A837">
        <v>836</v>
      </c>
      <c r="B837" t="s">
        <v>4326</v>
      </c>
      <c r="C837" s="1">
        <v>42358</v>
      </c>
      <c r="D837" s="1">
        <v>42363</v>
      </c>
      <c r="E837" t="s">
        <v>49</v>
      </c>
      <c r="F837" t="s">
        <v>422</v>
      </c>
      <c r="G837" t="s">
        <v>423</v>
      </c>
      <c r="H837" t="s">
        <v>25</v>
      </c>
      <c r="I837" t="s">
        <v>26</v>
      </c>
      <c r="J837" t="s">
        <v>296</v>
      </c>
      <c r="K837" t="s">
        <v>208</v>
      </c>
      <c r="L837">
        <v>60623</v>
      </c>
      <c r="M837" t="s">
        <v>104</v>
      </c>
      <c r="N837" t="s">
        <v>3208</v>
      </c>
      <c r="O837" t="s">
        <v>70</v>
      </c>
      <c r="P837" t="s">
        <v>71</v>
      </c>
      <c r="Q837" t="s">
        <v>3209</v>
      </c>
      <c r="R837">
        <v>159.98400000000001</v>
      </c>
      <c r="S837">
        <v>2</v>
      </c>
      <c r="T837">
        <v>0.2</v>
      </c>
      <c r="U837">
        <v>11.998799999999999</v>
      </c>
      <c r="V837" t="str">
        <f t="shared" si="13"/>
        <v>Katherine Ducich</v>
      </c>
      <c r="W837">
        <f>Table2[Profit]/Table2[Sales]</f>
        <v>7.4999999999999997E-2</v>
      </c>
    </row>
    <row r="838" spans="1:23" x14ac:dyDescent="0.25">
      <c r="A838">
        <v>837</v>
      </c>
      <c r="B838" t="s">
        <v>4331</v>
      </c>
      <c r="C838" s="1">
        <v>42357</v>
      </c>
      <c r="D838" s="1">
        <v>42358</v>
      </c>
      <c r="E838" t="s">
        <v>185</v>
      </c>
      <c r="F838" t="s">
        <v>2234</v>
      </c>
      <c r="G838" t="s">
        <v>2235</v>
      </c>
      <c r="H838" t="s">
        <v>25</v>
      </c>
      <c r="I838" t="s">
        <v>26</v>
      </c>
      <c r="J838" t="s">
        <v>143</v>
      </c>
      <c r="K838" t="s">
        <v>144</v>
      </c>
      <c r="L838">
        <v>19143</v>
      </c>
      <c r="M838" t="s">
        <v>145</v>
      </c>
      <c r="N838" t="s">
        <v>4332</v>
      </c>
      <c r="O838" t="s">
        <v>45</v>
      </c>
      <c r="P838" t="s">
        <v>77</v>
      </c>
      <c r="Q838" t="s">
        <v>4333</v>
      </c>
      <c r="R838">
        <v>434.35199999999998</v>
      </c>
      <c r="S838">
        <v>3</v>
      </c>
      <c r="T838">
        <v>0.2</v>
      </c>
      <c r="U838">
        <v>43.435200000000002</v>
      </c>
      <c r="V838" t="str">
        <f t="shared" si="13"/>
        <v>Jay Kimmel</v>
      </c>
      <c r="W838">
        <f>Table2[Profit]/Table2[Sales]</f>
        <v>0.1</v>
      </c>
    </row>
    <row r="839" spans="1:23" x14ac:dyDescent="0.25">
      <c r="A839">
        <v>838</v>
      </c>
      <c r="B839" t="s">
        <v>4336</v>
      </c>
      <c r="C839" s="1">
        <v>42854</v>
      </c>
      <c r="D839" s="1">
        <v>42859</v>
      </c>
      <c r="E839" t="s">
        <v>22</v>
      </c>
      <c r="F839" t="s">
        <v>4337</v>
      </c>
      <c r="G839" t="s">
        <v>4338</v>
      </c>
      <c r="H839" t="s">
        <v>40</v>
      </c>
      <c r="I839" t="s">
        <v>26</v>
      </c>
      <c r="J839" t="s">
        <v>859</v>
      </c>
      <c r="K839" t="s">
        <v>491</v>
      </c>
      <c r="L839">
        <v>43017</v>
      </c>
      <c r="M839" t="s">
        <v>145</v>
      </c>
      <c r="N839" t="s">
        <v>4339</v>
      </c>
      <c r="O839" t="s">
        <v>31</v>
      </c>
      <c r="P839" t="s">
        <v>55</v>
      </c>
      <c r="Q839" t="s">
        <v>4340</v>
      </c>
      <c r="R839">
        <v>1048.3499999999999</v>
      </c>
      <c r="S839">
        <v>5</v>
      </c>
      <c r="T839">
        <v>0.4</v>
      </c>
      <c r="U839">
        <v>-69.89</v>
      </c>
      <c r="V839" t="str">
        <f t="shared" si="13"/>
        <v>Filia McAdams</v>
      </c>
      <c r="W839">
        <f>Table2[Profit]/Table2[Sales]</f>
        <v>-6.666666666666668E-2</v>
      </c>
    </row>
    <row r="840" spans="1:23" x14ac:dyDescent="0.25">
      <c r="A840">
        <v>839</v>
      </c>
      <c r="B840" t="s">
        <v>4341</v>
      </c>
      <c r="C840" s="1">
        <v>42407</v>
      </c>
      <c r="D840" s="1">
        <v>42407</v>
      </c>
      <c r="E840" t="s">
        <v>1278</v>
      </c>
      <c r="F840" t="s">
        <v>2022</v>
      </c>
      <c r="G840" t="s">
        <v>2023</v>
      </c>
      <c r="H840" t="s">
        <v>25</v>
      </c>
      <c r="I840" t="s">
        <v>26</v>
      </c>
      <c r="J840" t="s">
        <v>311</v>
      </c>
      <c r="K840" t="s">
        <v>312</v>
      </c>
      <c r="L840">
        <v>22153</v>
      </c>
      <c r="M840" t="s">
        <v>29</v>
      </c>
      <c r="N840" t="s">
        <v>4172</v>
      </c>
      <c r="O840" t="s">
        <v>70</v>
      </c>
      <c r="P840" t="s">
        <v>158</v>
      </c>
      <c r="Q840" t="s">
        <v>4173</v>
      </c>
      <c r="R840">
        <v>100</v>
      </c>
      <c r="S840">
        <v>4</v>
      </c>
      <c r="T840">
        <v>0</v>
      </c>
      <c r="U840">
        <v>21</v>
      </c>
      <c r="V840" t="str">
        <f t="shared" si="13"/>
        <v>Christina Anderson</v>
      </c>
      <c r="W840">
        <f>Table2[Profit]/Table2[Sales]</f>
        <v>0.21</v>
      </c>
    </row>
    <row r="841" spans="1:23" x14ac:dyDescent="0.25">
      <c r="A841">
        <v>840</v>
      </c>
      <c r="B841" t="s">
        <v>4342</v>
      </c>
      <c r="C841" s="1">
        <v>41910</v>
      </c>
      <c r="D841" s="1">
        <v>41915</v>
      </c>
      <c r="E841" t="s">
        <v>49</v>
      </c>
      <c r="F841" t="s">
        <v>3857</v>
      </c>
      <c r="G841" t="s">
        <v>3858</v>
      </c>
      <c r="H841" t="s">
        <v>40</v>
      </c>
      <c r="I841" t="s">
        <v>26</v>
      </c>
      <c r="J841" t="s">
        <v>1682</v>
      </c>
      <c r="K841" t="s">
        <v>87</v>
      </c>
      <c r="L841">
        <v>28314</v>
      </c>
      <c r="M841" t="s">
        <v>29</v>
      </c>
      <c r="N841" t="s">
        <v>4343</v>
      </c>
      <c r="O841" t="s">
        <v>45</v>
      </c>
      <c r="P841" t="s">
        <v>89</v>
      </c>
      <c r="Q841" t="s">
        <v>4344</v>
      </c>
      <c r="R841">
        <v>96.256</v>
      </c>
      <c r="S841">
        <v>8</v>
      </c>
      <c r="T841">
        <v>0.2</v>
      </c>
      <c r="U841">
        <v>31.283200000000001</v>
      </c>
      <c r="V841" t="str">
        <f t="shared" si="13"/>
        <v>Keith Dawkins</v>
      </c>
      <c r="W841">
        <f>Table2[Profit]/Table2[Sales]</f>
        <v>0.32500000000000001</v>
      </c>
    </row>
    <row r="842" spans="1:23" x14ac:dyDescent="0.25">
      <c r="A842">
        <v>841</v>
      </c>
      <c r="B842" t="s">
        <v>4345</v>
      </c>
      <c r="C842" s="1">
        <v>42561</v>
      </c>
      <c r="D842" s="1">
        <v>42565</v>
      </c>
      <c r="E842" t="s">
        <v>49</v>
      </c>
      <c r="F842" t="s">
        <v>934</v>
      </c>
      <c r="G842" t="s">
        <v>935</v>
      </c>
      <c r="H842" t="s">
        <v>25</v>
      </c>
      <c r="I842" t="s">
        <v>26</v>
      </c>
      <c r="J842" t="s">
        <v>808</v>
      </c>
      <c r="K842" t="s">
        <v>103</v>
      </c>
      <c r="L842">
        <v>75081</v>
      </c>
      <c r="M842" t="s">
        <v>104</v>
      </c>
      <c r="N842" t="s">
        <v>1628</v>
      </c>
      <c r="O842" t="s">
        <v>45</v>
      </c>
      <c r="P842" t="s">
        <v>58</v>
      </c>
      <c r="Q842" t="s">
        <v>1629</v>
      </c>
      <c r="R842">
        <v>338.04</v>
      </c>
      <c r="S842">
        <v>3</v>
      </c>
      <c r="T842">
        <v>0.2</v>
      </c>
      <c r="U842">
        <v>-33.804000000000002</v>
      </c>
      <c r="V842" t="str">
        <f t="shared" si="13"/>
        <v>Logan Haushalter</v>
      </c>
      <c r="W842">
        <f>Table2[Profit]/Table2[Sales]</f>
        <v>-0.1</v>
      </c>
    </row>
    <row r="843" spans="1:23" x14ac:dyDescent="0.25">
      <c r="A843">
        <v>842</v>
      </c>
      <c r="B843" t="s">
        <v>4346</v>
      </c>
      <c r="C843" s="1">
        <v>42945</v>
      </c>
      <c r="D843" s="1">
        <v>42948</v>
      </c>
      <c r="E843" t="s">
        <v>22</v>
      </c>
      <c r="F843" t="s">
        <v>1397</v>
      </c>
      <c r="G843" t="s">
        <v>1398</v>
      </c>
      <c r="H843" t="s">
        <v>25</v>
      </c>
      <c r="I843" t="s">
        <v>26</v>
      </c>
      <c r="J843" t="s">
        <v>1507</v>
      </c>
      <c r="K843" t="s">
        <v>87</v>
      </c>
      <c r="L843">
        <v>28540</v>
      </c>
      <c r="M843" t="s">
        <v>29</v>
      </c>
      <c r="N843" t="s">
        <v>4347</v>
      </c>
      <c r="O843" t="s">
        <v>45</v>
      </c>
      <c r="P843" t="s">
        <v>77</v>
      </c>
      <c r="Q843" t="s">
        <v>4348</v>
      </c>
      <c r="R843">
        <v>34.847999999999999</v>
      </c>
      <c r="S843">
        <v>2</v>
      </c>
      <c r="T843">
        <v>0.2</v>
      </c>
      <c r="U843">
        <v>6.5339999999999998</v>
      </c>
      <c r="V843" t="str">
        <f t="shared" si="13"/>
        <v>Anna Gayman</v>
      </c>
      <c r="W843">
        <f>Table2[Profit]/Table2[Sales]</f>
        <v>0.1875</v>
      </c>
    </row>
    <row r="844" spans="1:23" x14ac:dyDescent="0.25">
      <c r="A844">
        <v>843</v>
      </c>
      <c r="B844" t="s">
        <v>4349</v>
      </c>
      <c r="C844" s="1">
        <v>42250</v>
      </c>
      <c r="D844" s="1">
        <v>42256</v>
      </c>
      <c r="E844" t="s">
        <v>49</v>
      </c>
      <c r="F844" t="s">
        <v>903</v>
      </c>
      <c r="G844" t="s">
        <v>904</v>
      </c>
      <c r="H844" t="s">
        <v>40</v>
      </c>
      <c r="I844" t="s">
        <v>26</v>
      </c>
      <c r="J844" t="s">
        <v>126</v>
      </c>
      <c r="K844" t="s">
        <v>42</v>
      </c>
      <c r="L844">
        <v>94122</v>
      </c>
      <c r="M844" t="s">
        <v>43</v>
      </c>
      <c r="N844" t="s">
        <v>1800</v>
      </c>
      <c r="O844" t="s">
        <v>45</v>
      </c>
      <c r="P844" t="s">
        <v>58</v>
      </c>
      <c r="Q844" t="s">
        <v>1801</v>
      </c>
      <c r="R844">
        <v>31.44</v>
      </c>
      <c r="S844">
        <v>3</v>
      </c>
      <c r="T844">
        <v>0</v>
      </c>
      <c r="U844">
        <v>8.4887999999999995</v>
      </c>
      <c r="V844" t="str">
        <f t="shared" si="13"/>
        <v>David Bremer</v>
      </c>
      <c r="W844">
        <f>Table2[Profit]/Table2[Sales]</f>
        <v>0.26999999999999996</v>
      </c>
    </row>
    <row r="845" spans="1:23" x14ac:dyDescent="0.25">
      <c r="A845">
        <v>844</v>
      </c>
      <c r="B845" t="s">
        <v>4352</v>
      </c>
      <c r="C845" s="1">
        <v>41860</v>
      </c>
      <c r="D845" s="1">
        <v>41867</v>
      </c>
      <c r="E845" t="s">
        <v>49</v>
      </c>
      <c r="F845" t="s">
        <v>4353</v>
      </c>
      <c r="G845" t="s">
        <v>4354</v>
      </c>
      <c r="H845" t="s">
        <v>101</v>
      </c>
      <c r="I845" t="s">
        <v>26</v>
      </c>
      <c r="J845" t="s">
        <v>941</v>
      </c>
      <c r="K845" t="s">
        <v>42</v>
      </c>
      <c r="L845">
        <v>92037</v>
      </c>
      <c r="M845" t="s">
        <v>43</v>
      </c>
      <c r="N845" t="s">
        <v>3640</v>
      </c>
      <c r="O845" t="s">
        <v>45</v>
      </c>
      <c r="P845" t="s">
        <v>46</v>
      </c>
      <c r="Q845" t="s">
        <v>3641</v>
      </c>
      <c r="R845">
        <v>20.88</v>
      </c>
      <c r="S845">
        <v>8</v>
      </c>
      <c r="T845">
        <v>0</v>
      </c>
      <c r="U845">
        <v>9.6047999999999991</v>
      </c>
      <c r="V845" t="str">
        <f t="shared" si="13"/>
        <v>Emily Ducich</v>
      </c>
      <c r="W845">
        <f>Table2[Profit]/Table2[Sales]</f>
        <v>0.45999999999999996</v>
      </c>
    </row>
    <row r="846" spans="1:23" x14ac:dyDescent="0.25">
      <c r="A846">
        <v>845</v>
      </c>
      <c r="B846" t="s">
        <v>4355</v>
      </c>
      <c r="C846" s="1">
        <v>43038</v>
      </c>
      <c r="D846" s="1">
        <v>43042</v>
      </c>
      <c r="E846" t="s">
        <v>49</v>
      </c>
      <c r="F846" t="s">
        <v>4084</v>
      </c>
      <c r="G846" t="s">
        <v>4085</v>
      </c>
      <c r="H846" t="s">
        <v>25</v>
      </c>
      <c r="I846" t="s">
        <v>26</v>
      </c>
      <c r="J846" t="s">
        <v>143</v>
      </c>
      <c r="K846" t="s">
        <v>144</v>
      </c>
      <c r="L846">
        <v>19140</v>
      </c>
      <c r="M846" t="s">
        <v>145</v>
      </c>
      <c r="N846" t="s">
        <v>4356</v>
      </c>
      <c r="O846" t="s">
        <v>45</v>
      </c>
      <c r="P846" t="s">
        <v>89</v>
      </c>
      <c r="Q846" t="s">
        <v>4357</v>
      </c>
      <c r="R846">
        <v>20.736000000000001</v>
      </c>
      <c r="S846">
        <v>4</v>
      </c>
      <c r="T846">
        <v>0.2</v>
      </c>
      <c r="U846">
        <v>7.2576000000000001</v>
      </c>
      <c r="V846" t="str">
        <f t="shared" si="13"/>
        <v>Mick Crebagga</v>
      </c>
      <c r="W846">
        <f>Table2[Profit]/Table2[Sales]</f>
        <v>0.35</v>
      </c>
    </row>
    <row r="847" spans="1:23" x14ac:dyDescent="0.25">
      <c r="A847">
        <v>846</v>
      </c>
      <c r="B847" t="s">
        <v>4358</v>
      </c>
      <c r="C847" s="1">
        <v>41796</v>
      </c>
      <c r="D847" s="1">
        <v>41799</v>
      </c>
      <c r="E847" t="s">
        <v>185</v>
      </c>
      <c r="F847" t="s">
        <v>2429</v>
      </c>
      <c r="G847" t="s">
        <v>2430</v>
      </c>
      <c r="H847" t="s">
        <v>25</v>
      </c>
      <c r="I847" t="s">
        <v>26</v>
      </c>
      <c r="J847" t="s">
        <v>382</v>
      </c>
      <c r="K847" t="s">
        <v>264</v>
      </c>
      <c r="L847">
        <v>14609</v>
      </c>
      <c r="M847" t="s">
        <v>145</v>
      </c>
      <c r="N847" t="s">
        <v>681</v>
      </c>
      <c r="O847" t="s">
        <v>45</v>
      </c>
      <c r="P847" t="s">
        <v>67</v>
      </c>
      <c r="Q847" t="s">
        <v>682</v>
      </c>
      <c r="R847">
        <v>13.36</v>
      </c>
      <c r="S847">
        <v>2</v>
      </c>
      <c r="T847">
        <v>0</v>
      </c>
      <c r="U847">
        <v>4.9432</v>
      </c>
      <c r="V847" t="str">
        <f t="shared" si="13"/>
        <v>Bryan Mills</v>
      </c>
      <c r="W847">
        <f>Table2[Profit]/Table2[Sales]</f>
        <v>0.37</v>
      </c>
    </row>
    <row r="848" spans="1:23" x14ac:dyDescent="0.25">
      <c r="A848">
        <v>847</v>
      </c>
      <c r="B848" t="s">
        <v>4359</v>
      </c>
      <c r="C848" s="1">
        <v>42595</v>
      </c>
      <c r="D848" s="1">
        <v>42599</v>
      </c>
      <c r="E848" t="s">
        <v>22</v>
      </c>
      <c r="F848" t="s">
        <v>1636</v>
      </c>
      <c r="G848" t="s">
        <v>1637</v>
      </c>
      <c r="H848" t="s">
        <v>25</v>
      </c>
      <c r="I848" t="s">
        <v>26</v>
      </c>
      <c r="J848" t="s">
        <v>1507</v>
      </c>
      <c r="K848" t="s">
        <v>87</v>
      </c>
      <c r="L848">
        <v>28540</v>
      </c>
      <c r="M848" t="s">
        <v>29</v>
      </c>
      <c r="N848" t="s">
        <v>2325</v>
      </c>
      <c r="O848" t="s">
        <v>45</v>
      </c>
      <c r="P848" t="s">
        <v>74</v>
      </c>
      <c r="Q848" t="s">
        <v>2326</v>
      </c>
      <c r="R848">
        <v>11.231999999999999</v>
      </c>
      <c r="S848">
        <v>8</v>
      </c>
      <c r="T848">
        <v>0.7</v>
      </c>
      <c r="U848">
        <v>-8.2368000000000006</v>
      </c>
      <c r="V848" t="str">
        <f t="shared" si="13"/>
        <v>Erin Mull</v>
      </c>
      <c r="W848">
        <f>Table2[Profit]/Table2[Sales]</f>
        <v>-0.73333333333333339</v>
      </c>
    </row>
    <row r="849" spans="1:23" x14ac:dyDescent="0.25">
      <c r="A849">
        <v>848</v>
      </c>
      <c r="B849" t="s">
        <v>4361</v>
      </c>
      <c r="C849" s="1">
        <v>41754</v>
      </c>
      <c r="D849" s="1">
        <v>41758</v>
      </c>
      <c r="E849" t="s">
        <v>49</v>
      </c>
      <c r="F849" t="s">
        <v>4362</v>
      </c>
      <c r="G849" t="s">
        <v>4363</v>
      </c>
      <c r="H849" t="s">
        <v>101</v>
      </c>
      <c r="I849" t="s">
        <v>26</v>
      </c>
      <c r="J849" t="s">
        <v>181</v>
      </c>
      <c r="K849" t="s">
        <v>103</v>
      </c>
      <c r="L849">
        <v>77095</v>
      </c>
      <c r="M849" t="s">
        <v>104</v>
      </c>
      <c r="N849" t="s">
        <v>2789</v>
      </c>
      <c r="O849" t="s">
        <v>45</v>
      </c>
      <c r="P849" t="s">
        <v>89</v>
      </c>
      <c r="Q849" t="s">
        <v>2790</v>
      </c>
      <c r="R849">
        <v>10.368</v>
      </c>
      <c r="S849">
        <v>2</v>
      </c>
      <c r="T849">
        <v>0.2</v>
      </c>
      <c r="U849">
        <v>3.6288</v>
      </c>
      <c r="V849" t="str">
        <f t="shared" si="13"/>
        <v>Dianna Arnett</v>
      </c>
      <c r="W849">
        <f>Table2[Profit]/Table2[Sales]</f>
        <v>0.35</v>
      </c>
    </row>
    <row r="850" spans="1:23" x14ac:dyDescent="0.25">
      <c r="A850">
        <v>849</v>
      </c>
      <c r="B850" t="s">
        <v>4364</v>
      </c>
      <c r="C850" s="1">
        <v>42330</v>
      </c>
      <c r="D850" s="1">
        <v>42335</v>
      </c>
      <c r="E850" t="s">
        <v>49</v>
      </c>
      <c r="F850" t="s">
        <v>2037</v>
      </c>
      <c r="G850" t="s">
        <v>2038</v>
      </c>
      <c r="H850" t="s">
        <v>101</v>
      </c>
      <c r="I850" t="s">
        <v>26</v>
      </c>
      <c r="J850" t="s">
        <v>671</v>
      </c>
      <c r="K850" t="s">
        <v>103</v>
      </c>
      <c r="L850">
        <v>78207</v>
      </c>
      <c r="M850" t="s">
        <v>104</v>
      </c>
      <c r="N850" t="s">
        <v>4365</v>
      </c>
      <c r="O850" t="s">
        <v>31</v>
      </c>
      <c r="P850" t="s">
        <v>55</v>
      </c>
      <c r="Q850" t="s">
        <v>4366</v>
      </c>
      <c r="R850">
        <v>206.96199999999999</v>
      </c>
      <c r="S850">
        <v>2</v>
      </c>
      <c r="T850">
        <v>0.3</v>
      </c>
      <c r="U850">
        <v>-32.522599999999997</v>
      </c>
      <c r="V850" t="str">
        <f t="shared" si="13"/>
        <v>Meg O'Connel</v>
      </c>
      <c r="W850">
        <f>Table2[Profit]/Table2[Sales]</f>
        <v>-0.15714285714285714</v>
      </c>
    </row>
    <row r="851" spans="1:23" x14ac:dyDescent="0.25">
      <c r="A851">
        <v>850</v>
      </c>
      <c r="B851" t="s">
        <v>4367</v>
      </c>
      <c r="C851" s="1">
        <v>43022</v>
      </c>
      <c r="D851" s="1">
        <v>43025</v>
      </c>
      <c r="E851" t="s">
        <v>185</v>
      </c>
      <c r="F851" t="s">
        <v>4368</v>
      </c>
      <c r="G851" t="s">
        <v>4369</v>
      </c>
      <c r="H851" t="s">
        <v>25</v>
      </c>
      <c r="I851" t="s">
        <v>26</v>
      </c>
      <c r="J851" t="s">
        <v>3145</v>
      </c>
      <c r="K851" t="s">
        <v>42</v>
      </c>
      <c r="L851">
        <v>94601</v>
      </c>
      <c r="M851" t="s">
        <v>43</v>
      </c>
      <c r="N851" t="s">
        <v>1126</v>
      </c>
      <c r="O851" t="s">
        <v>31</v>
      </c>
      <c r="P851" t="s">
        <v>64</v>
      </c>
      <c r="Q851" t="s">
        <v>1127</v>
      </c>
      <c r="R851">
        <v>9.4600000000000009</v>
      </c>
      <c r="S851">
        <v>2</v>
      </c>
      <c r="T851">
        <v>0</v>
      </c>
      <c r="U851">
        <v>3.6894</v>
      </c>
      <c r="V851" t="str">
        <f t="shared" si="13"/>
        <v>Joni Wasserman</v>
      </c>
      <c r="W851">
        <f>Table2[Profit]/Table2[Sales]</f>
        <v>0.38999999999999996</v>
      </c>
    </row>
    <row r="852" spans="1:23" x14ac:dyDescent="0.25">
      <c r="A852">
        <v>851</v>
      </c>
      <c r="B852" t="s">
        <v>4370</v>
      </c>
      <c r="C852" s="1">
        <v>43071</v>
      </c>
      <c r="D852" s="1">
        <v>43074</v>
      </c>
      <c r="E852" t="s">
        <v>185</v>
      </c>
      <c r="F852" t="s">
        <v>840</v>
      </c>
      <c r="G852" t="s">
        <v>841</v>
      </c>
      <c r="H852" t="s">
        <v>40</v>
      </c>
      <c r="I852" t="s">
        <v>26</v>
      </c>
      <c r="J852" t="s">
        <v>126</v>
      </c>
      <c r="K852" t="s">
        <v>42</v>
      </c>
      <c r="L852">
        <v>94122</v>
      </c>
      <c r="M852" t="s">
        <v>43</v>
      </c>
      <c r="N852" t="s">
        <v>3165</v>
      </c>
      <c r="O852" t="s">
        <v>45</v>
      </c>
      <c r="P852" t="s">
        <v>58</v>
      </c>
      <c r="Q852" t="s">
        <v>3166</v>
      </c>
      <c r="R852">
        <v>559.62</v>
      </c>
      <c r="S852">
        <v>9</v>
      </c>
      <c r="T852">
        <v>0</v>
      </c>
      <c r="U852">
        <v>151.09739999999999</v>
      </c>
      <c r="V852" t="str">
        <f t="shared" si="13"/>
        <v>Victoria Wilson</v>
      </c>
      <c r="W852">
        <f>Table2[Profit]/Table2[Sales]</f>
        <v>0.26999999999999996</v>
      </c>
    </row>
    <row r="853" spans="1:23" x14ac:dyDescent="0.25">
      <c r="A853">
        <v>852</v>
      </c>
      <c r="B853" t="s">
        <v>4373</v>
      </c>
      <c r="C853" s="1">
        <v>42346</v>
      </c>
      <c r="D853" s="1">
        <v>42349</v>
      </c>
      <c r="E853" t="s">
        <v>22</v>
      </c>
      <c r="F853" t="s">
        <v>4090</v>
      </c>
      <c r="G853" t="s">
        <v>4091</v>
      </c>
      <c r="H853" t="s">
        <v>101</v>
      </c>
      <c r="I853" t="s">
        <v>26</v>
      </c>
      <c r="J853" t="s">
        <v>102</v>
      </c>
      <c r="K853" t="s">
        <v>103</v>
      </c>
      <c r="L853">
        <v>76106</v>
      </c>
      <c r="M853" t="s">
        <v>104</v>
      </c>
      <c r="N853" t="s">
        <v>3217</v>
      </c>
      <c r="O853" t="s">
        <v>45</v>
      </c>
      <c r="P853" t="s">
        <v>89</v>
      </c>
      <c r="Q853" t="s">
        <v>3218</v>
      </c>
      <c r="R853">
        <v>360.71199999999999</v>
      </c>
      <c r="S853">
        <v>11</v>
      </c>
      <c r="T853">
        <v>0.2</v>
      </c>
      <c r="U853">
        <v>130.75810000000001</v>
      </c>
      <c r="V853" t="str">
        <f t="shared" si="13"/>
        <v>Tonja Turnell</v>
      </c>
      <c r="W853">
        <f>Table2[Profit]/Table2[Sales]</f>
        <v>0.36250000000000004</v>
      </c>
    </row>
    <row r="854" spans="1:23" x14ac:dyDescent="0.25">
      <c r="A854">
        <v>853</v>
      </c>
      <c r="B854" t="s">
        <v>4376</v>
      </c>
      <c r="C854" s="1">
        <v>42198</v>
      </c>
      <c r="D854" s="1">
        <v>42200</v>
      </c>
      <c r="E854" t="s">
        <v>185</v>
      </c>
      <c r="F854" t="s">
        <v>2923</v>
      </c>
      <c r="G854" t="s">
        <v>2924</v>
      </c>
      <c r="H854" t="s">
        <v>101</v>
      </c>
      <c r="I854" t="s">
        <v>26</v>
      </c>
      <c r="J854" t="s">
        <v>181</v>
      </c>
      <c r="K854" t="s">
        <v>103</v>
      </c>
      <c r="L854">
        <v>77095</v>
      </c>
      <c r="M854" t="s">
        <v>104</v>
      </c>
      <c r="N854" t="s">
        <v>3849</v>
      </c>
      <c r="O854" t="s">
        <v>45</v>
      </c>
      <c r="P854" t="s">
        <v>74</v>
      </c>
      <c r="Q854" t="s">
        <v>3850</v>
      </c>
      <c r="R854">
        <v>41.567999999999998</v>
      </c>
      <c r="S854">
        <v>6</v>
      </c>
      <c r="T854">
        <v>0.8</v>
      </c>
      <c r="U854">
        <v>-66.508799999999994</v>
      </c>
      <c r="V854" t="str">
        <f t="shared" si="13"/>
        <v>Sara Luxemburg</v>
      </c>
      <c r="W854">
        <f>Table2[Profit]/Table2[Sales]</f>
        <v>-1.5999999999999999</v>
      </c>
    </row>
    <row r="855" spans="1:23" x14ac:dyDescent="0.25">
      <c r="A855">
        <v>854</v>
      </c>
      <c r="B855" t="s">
        <v>4377</v>
      </c>
      <c r="C855" s="1">
        <v>41770</v>
      </c>
      <c r="D855" s="1">
        <v>41776</v>
      </c>
      <c r="E855" t="s">
        <v>49</v>
      </c>
      <c r="F855" t="s">
        <v>4378</v>
      </c>
      <c r="G855" t="s">
        <v>4379</v>
      </c>
      <c r="H855" t="s">
        <v>25</v>
      </c>
      <c r="I855" t="s">
        <v>26</v>
      </c>
      <c r="J855" t="s">
        <v>181</v>
      </c>
      <c r="K855" t="s">
        <v>103</v>
      </c>
      <c r="L855">
        <v>77095</v>
      </c>
      <c r="M855" t="s">
        <v>104</v>
      </c>
      <c r="N855" t="s">
        <v>3177</v>
      </c>
      <c r="O855" t="s">
        <v>70</v>
      </c>
      <c r="P855" t="s">
        <v>158</v>
      </c>
      <c r="Q855" t="s">
        <v>3178</v>
      </c>
      <c r="R855">
        <v>46.863999999999997</v>
      </c>
      <c r="S855">
        <v>2</v>
      </c>
      <c r="T855">
        <v>0.2</v>
      </c>
      <c r="U855">
        <v>7.6154000000000002</v>
      </c>
      <c r="V855" t="str">
        <f t="shared" si="13"/>
        <v>Raymond Messe</v>
      </c>
      <c r="W855">
        <f>Table2[Profit]/Table2[Sales]</f>
        <v>0.16250000000000001</v>
      </c>
    </row>
    <row r="856" spans="1:23" x14ac:dyDescent="0.25">
      <c r="A856">
        <v>855</v>
      </c>
      <c r="B856" t="s">
        <v>4380</v>
      </c>
      <c r="C856" s="1">
        <v>41644</v>
      </c>
      <c r="D856" s="1">
        <v>41651</v>
      </c>
      <c r="E856" t="s">
        <v>49</v>
      </c>
      <c r="F856" t="s">
        <v>3852</v>
      </c>
      <c r="G856" t="s">
        <v>3853</v>
      </c>
      <c r="H856" t="s">
        <v>25</v>
      </c>
      <c r="I856" t="s">
        <v>26</v>
      </c>
      <c r="J856" t="s">
        <v>143</v>
      </c>
      <c r="K856" t="s">
        <v>144</v>
      </c>
      <c r="L856">
        <v>19143</v>
      </c>
      <c r="M856" t="s">
        <v>145</v>
      </c>
      <c r="N856" t="s">
        <v>1410</v>
      </c>
      <c r="O856" t="s">
        <v>45</v>
      </c>
      <c r="P856" t="s">
        <v>67</v>
      </c>
      <c r="Q856" t="s">
        <v>1411</v>
      </c>
      <c r="R856">
        <v>19.536000000000001</v>
      </c>
      <c r="S856">
        <v>3</v>
      </c>
      <c r="T856">
        <v>0.2</v>
      </c>
      <c r="U856">
        <v>4.8840000000000003</v>
      </c>
      <c r="V856" t="str">
        <f t="shared" si="13"/>
        <v>Mick Brown</v>
      </c>
      <c r="W856">
        <f>Table2[Profit]/Table2[Sales]</f>
        <v>0.25</v>
      </c>
    </row>
    <row r="857" spans="1:23" x14ac:dyDescent="0.25">
      <c r="A857">
        <v>856</v>
      </c>
      <c r="B857" t="s">
        <v>4381</v>
      </c>
      <c r="C857" s="1">
        <v>42252</v>
      </c>
      <c r="D857" s="1">
        <v>42256</v>
      </c>
      <c r="E857" t="s">
        <v>49</v>
      </c>
      <c r="F857" t="s">
        <v>1297</v>
      </c>
      <c r="G857" t="s">
        <v>1298</v>
      </c>
      <c r="H857" t="s">
        <v>25</v>
      </c>
      <c r="I857" t="s">
        <v>26</v>
      </c>
      <c r="J857" t="s">
        <v>941</v>
      </c>
      <c r="K857" t="s">
        <v>42</v>
      </c>
      <c r="L857">
        <v>92105</v>
      </c>
      <c r="M857" t="s">
        <v>43</v>
      </c>
      <c r="N857" t="s">
        <v>4382</v>
      </c>
      <c r="O857" t="s">
        <v>31</v>
      </c>
      <c r="P857" t="s">
        <v>32</v>
      </c>
      <c r="Q857" t="s">
        <v>4383</v>
      </c>
      <c r="R857">
        <v>411.33199999999999</v>
      </c>
      <c r="S857">
        <v>4</v>
      </c>
      <c r="T857">
        <v>0.15</v>
      </c>
      <c r="U857">
        <v>-4.8391999999999999</v>
      </c>
      <c r="V857" t="str">
        <f t="shared" si="13"/>
        <v>Arthur Gainer</v>
      </c>
      <c r="W857">
        <f>Table2[Profit]/Table2[Sales]</f>
        <v>-1.1764705882352941E-2</v>
      </c>
    </row>
    <row r="858" spans="1:23" x14ac:dyDescent="0.25">
      <c r="A858">
        <v>857</v>
      </c>
      <c r="B858" t="s">
        <v>4386</v>
      </c>
      <c r="C858" s="1">
        <v>42586</v>
      </c>
      <c r="D858" s="1">
        <v>42590</v>
      </c>
      <c r="E858" t="s">
        <v>49</v>
      </c>
      <c r="F858" t="s">
        <v>4387</v>
      </c>
      <c r="G858" t="s">
        <v>4388</v>
      </c>
      <c r="H858" t="s">
        <v>101</v>
      </c>
      <c r="I858" t="s">
        <v>26</v>
      </c>
      <c r="J858" t="s">
        <v>4264</v>
      </c>
      <c r="K858" t="s">
        <v>312</v>
      </c>
      <c r="L858">
        <v>23434</v>
      </c>
      <c r="M858" t="s">
        <v>29</v>
      </c>
      <c r="N858" t="s">
        <v>1394</v>
      </c>
      <c r="O858" t="s">
        <v>45</v>
      </c>
      <c r="P858" t="s">
        <v>572</v>
      </c>
      <c r="Q858" t="s">
        <v>1395</v>
      </c>
      <c r="R858">
        <v>35.06</v>
      </c>
      <c r="S858">
        <v>2</v>
      </c>
      <c r="T858">
        <v>0</v>
      </c>
      <c r="U858">
        <v>10.518000000000001</v>
      </c>
      <c r="V858" t="str">
        <f t="shared" si="13"/>
        <v>Max Ludwig</v>
      </c>
      <c r="W858">
        <f>Table2[Profit]/Table2[Sales]</f>
        <v>0.3</v>
      </c>
    </row>
    <row r="859" spans="1:23" x14ac:dyDescent="0.25">
      <c r="A859">
        <v>858</v>
      </c>
      <c r="B859" t="s">
        <v>4393</v>
      </c>
      <c r="C859" s="1">
        <v>41720</v>
      </c>
      <c r="D859" s="1">
        <v>41724</v>
      </c>
      <c r="E859" t="s">
        <v>49</v>
      </c>
      <c r="F859" t="s">
        <v>4394</v>
      </c>
      <c r="G859" t="s">
        <v>4395</v>
      </c>
      <c r="H859" t="s">
        <v>25</v>
      </c>
      <c r="I859" t="s">
        <v>26</v>
      </c>
      <c r="J859" t="s">
        <v>4396</v>
      </c>
      <c r="K859" t="s">
        <v>87</v>
      </c>
      <c r="L859">
        <v>27405</v>
      </c>
      <c r="M859" t="s">
        <v>29</v>
      </c>
      <c r="N859" t="s">
        <v>252</v>
      </c>
      <c r="O859" t="s">
        <v>45</v>
      </c>
      <c r="P859" t="s">
        <v>74</v>
      </c>
      <c r="Q859" t="s">
        <v>253</v>
      </c>
      <c r="R859">
        <v>7.6440000000000001</v>
      </c>
      <c r="S859">
        <v>4</v>
      </c>
      <c r="T859">
        <v>0.7</v>
      </c>
      <c r="U859">
        <v>-5.8604000000000003</v>
      </c>
      <c r="V859" t="str">
        <f t="shared" si="13"/>
        <v>Craig Carroll</v>
      </c>
      <c r="W859">
        <f>Table2[Profit]/Table2[Sales]</f>
        <v>-0.76666666666666672</v>
      </c>
    </row>
    <row r="860" spans="1:23" x14ac:dyDescent="0.25">
      <c r="A860">
        <v>859</v>
      </c>
      <c r="B860" t="s">
        <v>4397</v>
      </c>
      <c r="C860" s="1">
        <v>42796</v>
      </c>
      <c r="D860" s="1">
        <v>42802</v>
      </c>
      <c r="E860" t="s">
        <v>49</v>
      </c>
      <c r="F860" t="s">
        <v>348</v>
      </c>
      <c r="G860" t="s">
        <v>349</v>
      </c>
      <c r="H860" t="s">
        <v>40</v>
      </c>
      <c r="I860" t="s">
        <v>26</v>
      </c>
      <c r="J860" t="s">
        <v>808</v>
      </c>
      <c r="K860" t="s">
        <v>103</v>
      </c>
      <c r="L860">
        <v>75081</v>
      </c>
      <c r="M860" t="s">
        <v>104</v>
      </c>
      <c r="N860" t="s">
        <v>1842</v>
      </c>
      <c r="O860" t="s">
        <v>45</v>
      </c>
      <c r="P860" t="s">
        <v>572</v>
      </c>
      <c r="Q860" t="s">
        <v>1285</v>
      </c>
      <c r="R860">
        <v>6.976</v>
      </c>
      <c r="S860">
        <v>4</v>
      </c>
      <c r="T860">
        <v>0.2</v>
      </c>
      <c r="U860">
        <v>-1.3952</v>
      </c>
      <c r="V860" t="str">
        <f t="shared" si="13"/>
        <v>Stewart Carmichael</v>
      </c>
      <c r="W860">
        <f>Table2[Profit]/Table2[Sales]</f>
        <v>-0.2</v>
      </c>
    </row>
    <row r="861" spans="1:23" x14ac:dyDescent="0.25">
      <c r="A861">
        <v>860</v>
      </c>
      <c r="B861" t="s">
        <v>4398</v>
      </c>
      <c r="C861" s="1">
        <v>42701</v>
      </c>
      <c r="D861" s="1">
        <v>42703</v>
      </c>
      <c r="E861" t="s">
        <v>22</v>
      </c>
      <c r="F861" t="s">
        <v>506</v>
      </c>
      <c r="G861" t="s">
        <v>507</v>
      </c>
      <c r="H861" t="s">
        <v>40</v>
      </c>
      <c r="I861" t="s">
        <v>26</v>
      </c>
      <c r="J861" t="s">
        <v>296</v>
      </c>
      <c r="K861" t="s">
        <v>208</v>
      </c>
      <c r="L861">
        <v>60623</v>
      </c>
      <c r="M861" t="s">
        <v>104</v>
      </c>
      <c r="N861" t="s">
        <v>3260</v>
      </c>
      <c r="O861" t="s">
        <v>45</v>
      </c>
      <c r="P861" t="s">
        <v>58</v>
      </c>
      <c r="Q861" t="s">
        <v>3261</v>
      </c>
      <c r="R861">
        <v>97.983999999999995</v>
      </c>
      <c r="S861">
        <v>2</v>
      </c>
      <c r="T861">
        <v>0.2</v>
      </c>
      <c r="U861">
        <v>-24.495999999999999</v>
      </c>
      <c r="V861" t="str">
        <f t="shared" si="13"/>
        <v>Greg Guthrie</v>
      </c>
      <c r="W861">
        <f>Table2[Profit]/Table2[Sales]</f>
        <v>-0.25</v>
      </c>
    </row>
    <row r="862" spans="1:23" x14ac:dyDescent="0.25">
      <c r="A862">
        <v>861</v>
      </c>
      <c r="B862" t="s">
        <v>4399</v>
      </c>
      <c r="C862" s="1">
        <v>41757</v>
      </c>
      <c r="D862" s="1">
        <v>41762</v>
      </c>
      <c r="E862" t="s">
        <v>49</v>
      </c>
      <c r="F862" t="s">
        <v>4107</v>
      </c>
      <c r="G862" t="s">
        <v>4108</v>
      </c>
      <c r="H862" t="s">
        <v>40</v>
      </c>
      <c r="I862" t="s">
        <v>26</v>
      </c>
      <c r="J862" t="s">
        <v>4400</v>
      </c>
      <c r="K862" t="s">
        <v>2699</v>
      </c>
      <c r="L862">
        <v>21215</v>
      </c>
      <c r="M862" t="s">
        <v>145</v>
      </c>
      <c r="N862" t="s">
        <v>4401</v>
      </c>
      <c r="O862" t="s">
        <v>45</v>
      </c>
      <c r="P862" t="s">
        <v>74</v>
      </c>
      <c r="Q862" t="s">
        <v>4402</v>
      </c>
      <c r="R862">
        <v>20.86</v>
      </c>
      <c r="S862">
        <v>2</v>
      </c>
      <c r="T862">
        <v>0</v>
      </c>
      <c r="U862">
        <v>9.3870000000000005</v>
      </c>
      <c r="V862" t="str">
        <f t="shared" si="13"/>
        <v>Muhammed Yedwab</v>
      </c>
      <c r="W862">
        <f>Table2[Profit]/Table2[Sales]</f>
        <v>0.45</v>
      </c>
    </row>
    <row r="863" spans="1:23" x14ac:dyDescent="0.25">
      <c r="A863">
        <v>862</v>
      </c>
      <c r="B863" t="s">
        <v>4407</v>
      </c>
      <c r="C863" s="1">
        <v>42332</v>
      </c>
      <c r="D863" s="1">
        <v>42336</v>
      </c>
      <c r="E863" t="s">
        <v>49</v>
      </c>
      <c r="F863" t="s">
        <v>248</v>
      </c>
      <c r="G863" t="s">
        <v>249</v>
      </c>
      <c r="H863" t="s">
        <v>25</v>
      </c>
      <c r="I863" t="s">
        <v>26</v>
      </c>
      <c r="J863" t="s">
        <v>41</v>
      </c>
      <c r="K863" t="s">
        <v>42</v>
      </c>
      <c r="L863">
        <v>90004</v>
      </c>
      <c r="M863" t="s">
        <v>43</v>
      </c>
      <c r="N863" t="s">
        <v>4408</v>
      </c>
      <c r="O863" t="s">
        <v>45</v>
      </c>
      <c r="P863" t="s">
        <v>89</v>
      </c>
      <c r="Q863" t="s">
        <v>4409</v>
      </c>
      <c r="R863">
        <v>368.91</v>
      </c>
      <c r="S863">
        <v>9</v>
      </c>
      <c r="T863">
        <v>0</v>
      </c>
      <c r="U863">
        <v>180.76589999999999</v>
      </c>
      <c r="V863" t="str">
        <f t="shared" si="13"/>
        <v>Darren Powers</v>
      </c>
      <c r="W863">
        <f>Table2[Profit]/Table2[Sales]</f>
        <v>0.48999999999999994</v>
      </c>
    </row>
    <row r="864" spans="1:23" x14ac:dyDescent="0.25">
      <c r="A864">
        <v>863</v>
      </c>
      <c r="B864" t="s">
        <v>4410</v>
      </c>
      <c r="C864" s="1">
        <v>42685</v>
      </c>
      <c r="D864" s="1">
        <v>42690</v>
      </c>
      <c r="E864" t="s">
        <v>49</v>
      </c>
      <c r="F864" t="s">
        <v>3481</v>
      </c>
      <c r="G864" t="s">
        <v>3482</v>
      </c>
      <c r="H864" t="s">
        <v>25</v>
      </c>
      <c r="I864" t="s">
        <v>26</v>
      </c>
      <c r="J864" t="s">
        <v>263</v>
      </c>
      <c r="K864" t="s">
        <v>264</v>
      </c>
      <c r="L864">
        <v>10011</v>
      </c>
      <c r="M864" t="s">
        <v>145</v>
      </c>
      <c r="N864" t="s">
        <v>3118</v>
      </c>
      <c r="O864" t="s">
        <v>70</v>
      </c>
      <c r="P864" t="s">
        <v>158</v>
      </c>
      <c r="Q864" t="s">
        <v>3119</v>
      </c>
      <c r="R864">
        <v>59.97</v>
      </c>
      <c r="S864">
        <v>3</v>
      </c>
      <c r="T864">
        <v>0</v>
      </c>
      <c r="U864">
        <v>14.9925</v>
      </c>
      <c r="V864" t="str">
        <f t="shared" si="13"/>
        <v>Bryan Davis</v>
      </c>
      <c r="W864">
        <f>Table2[Profit]/Table2[Sales]</f>
        <v>0.25</v>
      </c>
    </row>
    <row r="865" spans="1:23" x14ac:dyDescent="0.25">
      <c r="A865">
        <v>864</v>
      </c>
      <c r="B865" t="s">
        <v>4411</v>
      </c>
      <c r="C865" s="1">
        <v>42194</v>
      </c>
      <c r="D865" s="1">
        <v>42198</v>
      </c>
      <c r="E865" t="s">
        <v>49</v>
      </c>
      <c r="F865" t="s">
        <v>987</v>
      </c>
      <c r="G865" t="s">
        <v>988</v>
      </c>
      <c r="H865" t="s">
        <v>40</v>
      </c>
      <c r="I865" t="s">
        <v>26</v>
      </c>
      <c r="J865" t="s">
        <v>606</v>
      </c>
      <c r="K865" t="s">
        <v>1233</v>
      </c>
      <c r="L865">
        <v>2038</v>
      </c>
      <c r="M865" t="s">
        <v>145</v>
      </c>
      <c r="N865" t="s">
        <v>4412</v>
      </c>
      <c r="O865" t="s">
        <v>45</v>
      </c>
      <c r="P865" t="s">
        <v>89</v>
      </c>
      <c r="Q865" t="s">
        <v>4413</v>
      </c>
      <c r="R865">
        <v>6.58</v>
      </c>
      <c r="S865">
        <v>2</v>
      </c>
      <c r="T865">
        <v>0</v>
      </c>
      <c r="U865">
        <v>3.0268000000000002</v>
      </c>
      <c r="V865" t="str">
        <f t="shared" si="13"/>
        <v>Claudia Bergmann</v>
      </c>
      <c r="W865">
        <f>Table2[Profit]/Table2[Sales]</f>
        <v>0.46</v>
      </c>
    </row>
    <row r="866" spans="1:23" x14ac:dyDescent="0.25">
      <c r="A866">
        <v>865</v>
      </c>
      <c r="B866" t="s">
        <v>4414</v>
      </c>
      <c r="C866" s="1">
        <v>43000</v>
      </c>
      <c r="D866" s="1">
        <v>43004</v>
      </c>
      <c r="E866" t="s">
        <v>49</v>
      </c>
      <c r="F866" t="s">
        <v>4415</v>
      </c>
      <c r="G866" t="s">
        <v>4416</v>
      </c>
      <c r="H866" t="s">
        <v>40</v>
      </c>
      <c r="I866" t="s">
        <v>26</v>
      </c>
      <c r="J866" t="s">
        <v>2517</v>
      </c>
      <c r="K866" t="s">
        <v>113</v>
      </c>
      <c r="L866">
        <v>53209</v>
      </c>
      <c r="M866" t="s">
        <v>104</v>
      </c>
      <c r="N866" t="s">
        <v>4220</v>
      </c>
      <c r="O866" t="s">
        <v>45</v>
      </c>
      <c r="P866" t="s">
        <v>89</v>
      </c>
      <c r="Q866" t="s">
        <v>4221</v>
      </c>
      <c r="R866">
        <v>219.84</v>
      </c>
      <c r="S866">
        <v>4</v>
      </c>
      <c r="T866">
        <v>0</v>
      </c>
      <c r="U866">
        <v>107.7216</v>
      </c>
      <c r="V866" t="str">
        <f t="shared" si="13"/>
        <v>Jim Epp</v>
      </c>
      <c r="W866">
        <f>Table2[Profit]/Table2[Sales]</f>
        <v>0.49</v>
      </c>
    </row>
    <row r="867" spans="1:23" x14ac:dyDescent="0.25">
      <c r="A867">
        <v>866</v>
      </c>
      <c r="B867" t="s">
        <v>4419</v>
      </c>
      <c r="C867" s="1">
        <v>42050</v>
      </c>
      <c r="D867" s="1">
        <v>42054</v>
      </c>
      <c r="E867" t="s">
        <v>49</v>
      </c>
      <c r="F867" t="s">
        <v>4420</v>
      </c>
      <c r="G867" t="s">
        <v>4421</v>
      </c>
      <c r="H867" t="s">
        <v>40</v>
      </c>
      <c r="I867" t="s">
        <v>26</v>
      </c>
      <c r="J867" t="s">
        <v>4422</v>
      </c>
      <c r="K867" t="s">
        <v>113</v>
      </c>
      <c r="L867">
        <v>53142</v>
      </c>
      <c r="M867" t="s">
        <v>104</v>
      </c>
      <c r="N867" t="s">
        <v>3149</v>
      </c>
      <c r="O867" t="s">
        <v>70</v>
      </c>
      <c r="P867" t="s">
        <v>71</v>
      </c>
      <c r="Q867" t="s">
        <v>3150</v>
      </c>
      <c r="R867">
        <v>134.97</v>
      </c>
      <c r="S867">
        <v>3</v>
      </c>
      <c r="T867">
        <v>0</v>
      </c>
      <c r="U867">
        <v>64.785600000000002</v>
      </c>
      <c r="V867" t="str">
        <f t="shared" si="13"/>
        <v>Roy Phan</v>
      </c>
      <c r="W867">
        <f>Table2[Profit]/Table2[Sales]</f>
        <v>0.48000000000000004</v>
      </c>
    </row>
    <row r="868" spans="1:23" x14ac:dyDescent="0.25">
      <c r="A868">
        <v>867</v>
      </c>
      <c r="B868" t="s">
        <v>4425</v>
      </c>
      <c r="C868" s="1">
        <v>41912</v>
      </c>
      <c r="D868" s="1">
        <v>41916</v>
      </c>
      <c r="E868" t="s">
        <v>49</v>
      </c>
      <c r="F868" t="s">
        <v>1318</v>
      </c>
      <c r="G868" t="s">
        <v>1319</v>
      </c>
      <c r="H868" t="s">
        <v>25</v>
      </c>
      <c r="I868" t="s">
        <v>26</v>
      </c>
      <c r="J868" t="s">
        <v>263</v>
      </c>
      <c r="K868" t="s">
        <v>264</v>
      </c>
      <c r="L868">
        <v>10011</v>
      </c>
      <c r="M868" t="s">
        <v>145</v>
      </c>
      <c r="N868" t="s">
        <v>2283</v>
      </c>
      <c r="O868" t="s">
        <v>45</v>
      </c>
      <c r="P868" t="s">
        <v>89</v>
      </c>
      <c r="Q868" t="s">
        <v>2284</v>
      </c>
      <c r="R868">
        <v>48.94</v>
      </c>
      <c r="S868">
        <v>1</v>
      </c>
      <c r="T868">
        <v>0</v>
      </c>
      <c r="U868">
        <v>24.47</v>
      </c>
      <c r="V868" t="str">
        <f t="shared" si="13"/>
        <v>Russell Applegate</v>
      </c>
      <c r="W868">
        <f>Table2[Profit]/Table2[Sales]</f>
        <v>0.5</v>
      </c>
    </row>
    <row r="869" spans="1:23" x14ac:dyDescent="0.25">
      <c r="A869">
        <v>868</v>
      </c>
      <c r="B869" t="s">
        <v>4426</v>
      </c>
      <c r="C869" s="1">
        <v>41974</v>
      </c>
      <c r="D869" s="1">
        <v>41976</v>
      </c>
      <c r="E869" t="s">
        <v>185</v>
      </c>
      <c r="F869" t="s">
        <v>2146</v>
      </c>
      <c r="G869" t="s">
        <v>2147</v>
      </c>
      <c r="H869" t="s">
        <v>25</v>
      </c>
      <c r="I869" t="s">
        <v>26</v>
      </c>
      <c r="J869" t="s">
        <v>112</v>
      </c>
      <c r="K869" t="s">
        <v>113</v>
      </c>
      <c r="L869">
        <v>53711</v>
      </c>
      <c r="M869" t="s">
        <v>104</v>
      </c>
      <c r="N869" t="s">
        <v>4427</v>
      </c>
      <c r="O869" t="s">
        <v>31</v>
      </c>
      <c r="P869" t="s">
        <v>35</v>
      </c>
      <c r="Q869" t="s">
        <v>4428</v>
      </c>
      <c r="R869">
        <v>2807.84</v>
      </c>
      <c r="S869">
        <v>8</v>
      </c>
      <c r="T869">
        <v>0</v>
      </c>
      <c r="U869">
        <v>673.88160000000005</v>
      </c>
      <c r="V869" t="str">
        <f t="shared" si="13"/>
        <v>Resi Pölking</v>
      </c>
      <c r="W869">
        <f>Table2[Profit]/Table2[Sales]</f>
        <v>0.24</v>
      </c>
    </row>
    <row r="870" spans="1:23" x14ac:dyDescent="0.25">
      <c r="A870">
        <v>869</v>
      </c>
      <c r="B870" t="s">
        <v>4429</v>
      </c>
      <c r="C870" s="1">
        <v>41981</v>
      </c>
      <c r="D870" s="1">
        <v>41986</v>
      </c>
      <c r="E870" t="s">
        <v>49</v>
      </c>
      <c r="F870" t="s">
        <v>4430</v>
      </c>
      <c r="G870" t="s">
        <v>4431</v>
      </c>
      <c r="H870" t="s">
        <v>40</v>
      </c>
      <c r="I870" t="s">
        <v>26</v>
      </c>
      <c r="J870" t="s">
        <v>181</v>
      </c>
      <c r="K870" t="s">
        <v>103</v>
      </c>
      <c r="L870">
        <v>77041</v>
      </c>
      <c r="M870" t="s">
        <v>104</v>
      </c>
      <c r="N870" t="s">
        <v>517</v>
      </c>
      <c r="O870" t="s">
        <v>45</v>
      </c>
      <c r="P870" t="s">
        <v>58</v>
      </c>
      <c r="Q870" t="s">
        <v>518</v>
      </c>
      <c r="R870">
        <v>60.415999999999997</v>
      </c>
      <c r="S870">
        <v>2</v>
      </c>
      <c r="T870">
        <v>0.2</v>
      </c>
      <c r="U870">
        <v>6.0415999999999999</v>
      </c>
      <c r="V870" t="str">
        <f t="shared" si="13"/>
        <v>Thomas Boland</v>
      </c>
      <c r="W870">
        <f>Table2[Profit]/Table2[Sales]</f>
        <v>0.1</v>
      </c>
    </row>
    <row r="871" spans="1:23" x14ac:dyDescent="0.25">
      <c r="A871">
        <v>870</v>
      </c>
      <c r="B871" t="s">
        <v>4432</v>
      </c>
      <c r="C871" s="1">
        <v>42618</v>
      </c>
      <c r="D871" s="1">
        <v>42623</v>
      </c>
      <c r="E871" t="s">
        <v>49</v>
      </c>
      <c r="F871" t="s">
        <v>4433</v>
      </c>
      <c r="G871" t="s">
        <v>4434</v>
      </c>
      <c r="H871" t="s">
        <v>101</v>
      </c>
      <c r="I871" t="s">
        <v>26</v>
      </c>
      <c r="J871" t="s">
        <v>4435</v>
      </c>
      <c r="K871" t="s">
        <v>4436</v>
      </c>
      <c r="L871">
        <v>66062</v>
      </c>
      <c r="M871" t="s">
        <v>104</v>
      </c>
      <c r="N871" t="s">
        <v>3483</v>
      </c>
      <c r="O871" t="s">
        <v>45</v>
      </c>
      <c r="P871" t="s">
        <v>67</v>
      </c>
      <c r="Q871" t="s">
        <v>3484</v>
      </c>
      <c r="R871">
        <v>107.94</v>
      </c>
      <c r="S871">
        <v>3</v>
      </c>
      <c r="T871">
        <v>0</v>
      </c>
      <c r="U871">
        <v>26.984999999999999</v>
      </c>
      <c r="V871" t="str">
        <f t="shared" si="13"/>
        <v>Brad Eason</v>
      </c>
      <c r="W871">
        <f>Table2[Profit]/Table2[Sales]</f>
        <v>0.25</v>
      </c>
    </row>
    <row r="872" spans="1:23" x14ac:dyDescent="0.25">
      <c r="A872">
        <v>871</v>
      </c>
      <c r="B872" t="s">
        <v>4437</v>
      </c>
      <c r="C872" s="1">
        <v>42974</v>
      </c>
      <c r="D872" s="1">
        <v>42977</v>
      </c>
      <c r="E872" t="s">
        <v>185</v>
      </c>
      <c r="F872" t="s">
        <v>2291</v>
      </c>
      <c r="G872" t="s">
        <v>2292</v>
      </c>
      <c r="H872" t="s">
        <v>101</v>
      </c>
      <c r="I872" t="s">
        <v>26</v>
      </c>
      <c r="J872" t="s">
        <v>263</v>
      </c>
      <c r="K872" t="s">
        <v>264</v>
      </c>
      <c r="L872">
        <v>10024</v>
      </c>
      <c r="M872" t="s">
        <v>145</v>
      </c>
      <c r="N872" t="s">
        <v>3291</v>
      </c>
      <c r="O872" t="s">
        <v>45</v>
      </c>
      <c r="P872" t="s">
        <v>58</v>
      </c>
      <c r="Q872" t="s">
        <v>3292</v>
      </c>
      <c r="R872">
        <v>63.84</v>
      </c>
      <c r="S872">
        <v>8</v>
      </c>
      <c r="T872">
        <v>0</v>
      </c>
      <c r="U872">
        <v>16.598400000000002</v>
      </c>
      <c r="V872" t="str">
        <f t="shared" si="13"/>
        <v>Mathew Reese</v>
      </c>
      <c r="W872">
        <f>Table2[Profit]/Table2[Sales]</f>
        <v>0.26</v>
      </c>
    </row>
    <row r="873" spans="1:23" x14ac:dyDescent="0.25">
      <c r="A873">
        <v>872</v>
      </c>
      <c r="B873" t="s">
        <v>4440</v>
      </c>
      <c r="C873" s="1">
        <v>42558</v>
      </c>
      <c r="D873" s="1">
        <v>42562</v>
      </c>
      <c r="E873" t="s">
        <v>49</v>
      </c>
      <c r="F873" t="s">
        <v>4378</v>
      </c>
      <c r="G873" t="s">
        <v>4379</v>
      </c>
      <c r="H873" t="s">
        <v>25</v>
      </c>
      <c r="I873" t="s">
        <v>26</v>
      </c>
      <c r="J873" t="s">
        <v>622</v>
      </c>
      <c r="K873" t="s">
        <v>42</v>
      </c>
      <c r="L873">
        <v>95123</v>
      </c>
      <c r="M873" t="s">
        <v>43</v>
      </c>
      <c r="N873" t="s">
        <v>1849</v>
      </c>
      <c r="O873" t="s">
        <v>31</v>
      </c>
      <c r="P873" t="s">
        <v>64</v>
      </c>
      <c r="Q873" t="s">
        <v>1850</v>
      </c>
      <c r="R873">
        <v>215.65</v>
      </c>
      <c r="S873">
        <v>5</v>
      </c>
      <c r="T873">
        <v>0</v>
      </c>
      <c r="U873">
        <v>73.320999999999998</v>
      </c>
      <c r="V873" t="str">
        <f t="shared" si="13"/>
        <v>Raymond Messe</v>
      </c>
      <c r="W873">
        <f>Table2[Profit]/Table2[Sales]</f>
        <v>0.33999999999999997</v>
      </c>
    </row>
    <row r="874" spans="1:23" x14ac:dyDescent="0.25">
      <c r="A874">
        <v>873</v>
      </c>
      <c r="B874" t="s">
        <v>4441</v>
      </c>
      <c r="C874" s="1">
        <v>42590</v>
      </c>
      <c r="D874" s="1">
        <v>42592</v>
      </c>
      <c r="E874" t="s">
        <v>22</v>
      </c>
      <c r="F874" t="s">
        <v>4442</v>
      </c>
      <c r="G874" t="s">
        <v>4443</v>
      </c>
      <c r="H874" t="s">
        <v>25</v>
      </c>
      <c r="I874" t="s">
        <v>26</v>
      </c>
      <c r="J874" t="s">
        <v>808</v>
      </c>
      <c r="K874" t="s">
        <v>103</v>
      </c>
      <c r="L874">
        <v>75081</v>
      </c>
      <c r="M874" t="s">
        <v>104</v>
      </c>
      <c r="N874" t="s">
        <v>860</v>
      </c>
      <c r="O874" t="s">
        <v>45</v>
      </c>
      <c r="P874" t="s">
        <v>266</v>
      </c>
      <c r="Q874" t="s">
        <v>861</v>
      </c>
      <c r="R874">
        <v>11.167999999999999</v>
      </c>
      <c r="S874">
        <v>4</v>
      </c>
      <c r="T874">
        <v>0.2</v>
      </c>
      <c r="U874">
        <v>3.6295999999999999</v>
      </c>
      <c r="V874" t="str">
        <f t="shared" si="13"/>
        <v>Jill Fjeld</v>
      </c>
      <c r="W874">
        <f>Table2[Profit]/Table2[Sales]</f>
        <v>0.32500000000000001</v>
      </c>
    </row>
    <row r="875" spans="1:23" x14ac:dyDescent="0.25">
      <c r="A875">
        <v>874</v>
      </c>
      <c r="B875" t="s">
        <v>4446</v>
      </c>
      <c r="C875" s="1">
        <v>42687</v>
      </c>
      <c r="D875" s="1">
        <v>42693</v>
      </c>
      <c r="E875" t="s">
        <v>49</v>
      </c>
      <c r="F875" t="s">
        <v>1835</v>
      </c>
      <c r="G875" t="s">
        <v>1836</v>
      </c>
      <c r="H875" t="s">
        <v>101</v>
      </c>
      <c r="I875" t="s">
        <v>26</v>
      </c>
      <c r="J875" t="s">
        <v>1540</v>
      </c>
      <c r="K875" t="s">
        <v>95</v>
      </c>
      <c r="L875">
        <v>98002</v>
      </c>
      <c r="M875" t="s">
        <v>43</v>
      </c>
      <c r="N875" t="s">
        <v>3872</v>
      </c>
      <c r="O875" t="s">
        <v>31</v>
      </c>
      <c r="P875" t="s">
        <v>64</v>
      </c>
      <c r="Q875" t="s">
        <v>3873</v>
      </c>
      <c r="R875">
        <v>4.18</v>
      </c>
      <c r="S875">
        <v>1</v>
      </c>
      <c r="T875">
        <v>0</v>
      </c>
      <c r="U875">
        <v>1.5047999999999999</v>
      </c>
      <c r="V875" t="str">
        <f t="shared" si="13"/>
        <v>Adrian Shami</v>
      </c>
      <c r="W875">
        <f>Table2[Profit]/Table2[Sales]</f>
        <v>0.36</v>
      </c>
    </row>
    <row r="876" spans="1:23" x14ac:dyDescent="0.25">
      <c r="A876">
        <v>875</v>
      </c>
      <c r="B876" t="s">
        <v>4447</v>
      </c>
      <c r="C876" s="1">
        <v>43000</v>
      </c>
      <c r="D876" s="1">
        <v>43004</v>
      </c>
      <c r="E876" t="s">
        <v>22</v>
      </c>
      <c r="F876" t="s">
        <v>2858</v>
      </c>
      <c r="G876" t="s">
        <v>2859</v>
      </c>
      <c r="H876" t="s">
        <v>25</v>
      </c>
      <c r="I876" t="s">
        <v>26</v>
      </c>
      <c r="J876" t="s">
        <v>143</v>
      </c>
      <c r="K876" t="s">
        <v>144</v>
      </c>
      <c r="L876">
        <v>19134</v>
      </c>
      <c r="M876" t="s">
        <v>145</v>
      </c>
      <c r="N876" t="s">
        <v>1688</v>
      </c>
      <c r="O876" t="s">
        <v>45</v>
      </c>
      <c r="P876" t="s">
        <v>74</v>
      </c>
      <c r="Q876" t="s">
        <v>1689</v>
      </c>
      <c r="R876">
        <v>5.6070000000000002</v>
      </c>
      <c r="S876">
        <v>1</v>
      </c>
      <c r="T876">
        <v>0.7</v>
      </c>
      <c r="U876">
        <v>-4.2987000000000002</v>
      </c>
      <c r="V876" t="str">
        <f t="shared" si="13"/>
        <v>Joseph Airdo</v>
      </c>
      <c r="W876">
        <f>Table2[Profit]/Table2[Sales]</f>
        <v>-0.76666666666666672</v>
      </c>
    </row>
    <row r="877" spans="1:23" x14ac:dyDescent="0.25">
      <c r="A877">
        <v>876</v>
      </c>
      <c r="B877" t="s">
        <v>4450</v>
      </c>
      <c r="C877" s="1">
        <v>42729</v>
      </c>
      <c r="D877" s="1">
        <v>42732</v>
      </c>
      <c r="E877" t="s">
        <v>185</v>
      </c>
      <c r="F877" t="s">
        <v>1165</v>
      </c>
      <c r="G877" t="s">
        <v>1166</v>
      </c>
      <c r="H877" t="s">
        <v>40</v>
      </c>
      <c r="I877" t="s">
        <v>26</v>
      </c>
      <c r="J877" t="s">
        <v>41</v>
      </c>
      <c r="K877" t="s">
        <v>42</v>
      </c>
      <c r="L877">
        <v>90049</v>
      </c>
      <c r="M877" t="s">
        <v>43</v>
      </c>
      <c r="N877" t="s">
        <v>3366</v>
      </c>
      <c r="O877" t="s">
        <v>70</v>
      </c>
      <c r="P877" t="s">
        <v>71</v>
      </c>
      <c r="Q877" t="s">
        <v>3367</v>
      </c>
      <c r="R877">
        <v>2575.944</v>
      </c>
      <c r="S877">
        <v>7</v>
      </c>
      <c r="T877">
        <v>0.2</v>
      </c>
      <c r="U877">
        <v>257.59440000000001</v>
      </c>
      <c r="V877" t="str">
        <f t="shared" si="13"/>
        <v>Grace Kelly</v>
      </c>
      <c r="W877">
        <f>Table2[Profit]/Table2[Sales]</f>
        <v>0.1</v>
      </c>
    </row>
    <row r="878" spans="1:23" x14ac:dyDescent="0.25">
      <c r="A878">
        <v>877</v>
      </c>
      <c r="B878" t="s">
        <v>4451</v>
      </c>
      <c r="C878" s="1">
        <v>42411</v>
      </c>
      <c r="D878" s="1">
        <v>42413</v>
      </c>
      <c r="E878" t="s">
        <v>185</v>
      </c>
      <c r="F878" t="s">
        <v>4452</v>
      </c>
      <c r="G878" t="s">
        <v>4453</v>
      </c>
      <c r="H878" t="s">
        <v>40</v>
      </c>
      <c r="I878" t="s">
        <v>26</v>
      </c>
      <c r="J878" t="s">
        <v>4454</v>
      </c>
      <c r="K878" t="s">
        <v>641</v>
      </c>
      <c r="L878">
        <v>74133</v>
      </c>
      <c r="M878" t="s">
        <v>104</v>
      </c>
      <c r="N878" t="s">
        <v>4455</v>
      </c>
      <c r="O878" t="s">
        <v>70</v>
      </c>
      <c r="P878" t="s">
        <v>71</v>
      </c>
      <c r="Q878" t="s">
        <v>4456</v>
      </c>
      <c r="R878">
        <v>69.930000000000007</v>
      </c>
      <c r="S878">
        <v>7</v>
      </c>
      <c r="T878">
        <v>0</v>
      </c>
      <c r="U878">
        <v>0.69930000000000003</v>
      </c>
      <c r="V878" t="str">
        <f t="shared" si="13"/>
        <v>Phillip Breyer</v>
      </c>
      <c r="W878">
        <f>Table2[Profit]/Table2[Sales]</f>
        <v>0.01</v>
      </c>
    </row>
    <row r="879" spans="1:23" x14ac:dyDescent="0.25">
      <c r="A879">
        <v>878</v>
      </c>
      <c r="B879" t="s">
        <v>4457</v>
      </c>
      <c r="C879" s="1">
        <v>42666</v>
      </c>
      <c r="D879" s="1">
        <v>42672</v>
      </c>
      <c r="E879" t="s">
        <v>49</v>
      </c>
      <c r="F879" t="s">
        <v>812</v>
      </c>
      <c r="G879" t="s">
        <v>813</v>
      </c>
      <c r="H879" t="s">
        <v>40</v>
      </c>
      <c r="I879" t="s">
        <v>26</v>
      </c>
      <c r="J879" t="s">
        <v>296</v>
      </c>
      <c r="K879" t="s">
        <v>208</v>
      </c>
      <c r="L879">
        <v>60610</v>
      </c>
      <c r="M879" t="s">
        <v>104</v>
      </c>
      <c r="N879" t="s">
        <v>4458</v>
      </c>
      <c r="O879" t="s">
        <v>31</v>
      </c>
      <c r="P879" t="s">
        <v>64</v>
      </c>
      <c r="Q879" t="s">
        <v>4459</v>
      </c>
      <c r="R879">
        <v>16.155999999999999</v>
      </c>
      <c r="S879">
        <v>7</v>
      </c>
      <c r="T879">
        <v>0.6</v>
      </c>
      <c r="U879">
        <v>-12.117000000000001</v>
      </c>
      <c r="V879" t="str">
        <f t="shared" si="13"/>
        <v>Heather Kirkland</v>
      </c>
      <c r="W879">
        <f>Table2[Profit]/Table2[Sales]</f>
        <v>-0.75000000000000011</v>
      </c>
    </row>
    <row r="880" spans="1:23" x14ac:dyDescent="0.25">
      <c r="A880">
        <v>879</v>
      </c>
      <c r="B880" t="s">
        <v>4462</v>
      </c>
      <c r="C880" s="1">
        <v>41799</v>
      </c>
      <c r="D880" s="1">
        <v>41801</v>
      </c>
      <c r="E880" t="s">
        <v>22</v>
      </c>
      <c r="F880" t="s">
        <v>3109</v>
      </c>
      <c r="G880" t="s">
        <v>3110</v>
      </c>
      <c r="H880" t="s">
        <v>25</v>
      </c>
      <c r="I880" t="s">
        <v>26</v>
      </c>
      <c r="J880" t="s">
        <v>3259</v>
      </c>
      <c r="K880" t="s">
        <v>312</v>
      </c>
      <c r="L880">
        <v>22801</v>
      </c>
      <c r="M880" t="s">
        <v>29</v>
      </c>
      <c r="N880" t="s">
        <v>532</v>
      </c>
      <c r="O880" t="s">
        <v>31</v>
      </c>
      <c r="P880" t="s">
        <v>55</v>
      </c>
      <c r="Q880" t="s">
        <v>533</v>
      </c>
      <c r="R880">
        <v>1441.3</v>
      </c>
      <c r="S880">
        <v>7</v>
      </c>
      <c r="T880">
        <v>0</v>
      </c>
      <c r="U880">
        <v>245.02099999999999</v>
      </c>
      <c r="V880" t="str">
        <f t="shared" si="13"/>
        <v>Frank Olsen</v>
      </c>
      <c r="W880">
        <f>Table2[Profit]/Table2[Sales]</f>
        <v>0.16999999999999998</v>
      </c>
    </row>
    <row r="881" spans="1:23" x14ac:dyDescent="0.25">
      <c r="A881">
        <v>880</v>
      </c>
      <c r="B881" t="s">
        <v>4463</v>
      </c>
      <c r="C881" s="1">
        <v>43059</v>
      </c>
      <c r="D881" s="1">
        <v>43065</v>
      </c>
      <c r="E881" t="s">
        <v>49</v>
      </c>
      <c r="F881" t="s">
        <v>4464</v>
      </c>
      <c r="G881" t="s">
        <v>4465</v>
      </c>
      <c r="H881" t="s">
        <v>25</v>
      </c>
      <c r="I881" t="s">
        <v>26</v>
      </c>
      <c r="J881" t="s">
        <v>600</v>
      </c>
      <c r="K881" t="s">
        <v>491</v>
      </c>
      <c r="L881">
        <v>43055</v>
      </c>
      <c r="M881" t="s">
        <v>145</v>
      </c>
      <c r="N881" t="s">
        <v>1092</v>
      </c>
      <c r="O881" t="s">
        <v>31</v>
      </c>
      <c r="P881" t="s">
        <v>64</v>
      </c>
      <c r="Q881" t="s">
        <v>1093</v>
      </c>
      <c r="R881">
        <v>77.599999999999994</v>
      </c>
      <c r="S881">
        <v>5</v>
      </c>
      <c r="T881">
        <v>0.2</v>
      </c>
      <c r="U881">
        <v>28.13</v>
      </c>
      <c r="V881" t="str">
        <f t="shared" si="13"/>
        <v>Brian Thompson</v>
      </c>
      <c r="W881">
        <f>Table2[Profit]/Table2[Sales]</f>
        <v>0.36249999999999999</v>
      </c>
    </row>
    <row r="882" spans="1:23" x14ac:dyDescent="0.25">
      <c r="A882">
        <v>881</v>
      </c>
      <c r="B882" t="s">
        <v>4466</v>
      </c>
      <c r="C882" s="1">
        <v>42261</v>
      </c>
      <c r="D882" s="1">
        <v>42265</v>
      </c>
      <c r="E882" t="s">
        <v>49</v>
      </c>
      <c r="F882" t="s">
        <v>3360</v>
      </c>
      <c r="G882" t="s">
        <v>3361</v>
      </c>
      <c r="H882" t="s">
        <v>40</v>
      </c>
      <c r="I882" t="s">
        <v>26</v>
      </c>
      <c r="J882" t="s">
        <v>41</v>
      </c>
      <c r="K882" t="s">
        <v>42</v>
      </c>
      <c r="L882">
        <v>90045</v>
      </c>
      <c r="M882" t="s">
        <v>43</v>
      </c>
      <c r="N882" t="s">
        <v>919</v>
      </c>
      <c r="O882" t="s">
        <v>31</v>
      </c>
      <c r="P882" t="s">
        <v>55</v>
      </c>
      <c r="Q882" t="s">
        <v>920</v>
      </c>
      <c r="R882">
        <v>170.136</v>
      </c>
      <c r="S882">
        <v>3</v>
      </c>
      <c r="T882">
        <v>0.2</v>
      </c>
      <c r="U882">
        <v>-8.5068000000000001</v>
      </c>
      <c r="V882" t="str">
        <f t="shared" si="13"/>
        <v>Stefania Perrino</v>
      </c>
      <c r="W882">
        <f>Table2[Profit]/Table2[Sales]</f>
        <v>-0.05</v>
      </c>
    </row>
    <row r="883" spans="1:23" x14ac:dyDescent="0.25">
      <c r="A883">
        <v>882</v>
      </c>
      <c r="B883" t="s">
        <v>4467</v>
      </c>
      <c r="C883" s="1">
        <v>42159</v>
      </c>
      <c r="D883" s="1">
        <v>42159</v>
      </c>
      <c r="E883" t="s">
        <v>1278</v>
      </c>
      <c r="F883" t="s">
        <v>2684</v>
      </c>
      <c r="G883" t="s">
        <v>2685</v>
      </c>
      <c r="H883" t="s">
        <v>25</v>
      </c>
      <c r="I883" t="s">
        <v>26</v>
      </c>
      <c r="J883" t="s">
        <v>94</v>
      </c>
      <c r="K883" t="s">
        <v>95</v>
      </c>
      <c r="L883">
        <v>98105</v>
      </c>
      <c r="M883" t="s">
        <v>43</v>
      </c>
      <c r="N883" t="s">
        <v>4468</v>
      </c>
      <c r="O883" t="s">
        <v>45</v>
      </c>
      <c r="P883" t="s">
        <v>46</v>
      </c>
      <c r="Q883" t="s">
        <v>4469</v>
      </c>
      <c r="R883">
        <v>7.38</v>
      </c>
      <c r="S883">
        <v>2</v>
      </c>
      <c r="T883">
        <v>0</v>
      </c>
      <c r="U883">
        <v>3.4685999999999999</v>
      </c>
      <c r="V883" t="str">
        <f t="shared" si="13"/>
        <v>Lauren Leatherbury</v>
      </c>
      <c r="W883">
        <f>Table2[Profit]/Table2[Sales]</f>
        <v>0.47</v>
      </c>
    </row>
    <row r="884" spans="1:23" x14ac:dyDescent="0.25">
      <c r="A884">
        <v>883</v>
      </c>
      <c r="B884" t="s">
        <v>4470</v>
      </c>
      <c r="C884" s="1">
        <v>42351</v>
      </c>
      <c r="D884" s="1">
        <v>42353</v>
      </c>
      <c r="E884" t="s">
        <v>22</v>
      </c>
      <c r="F884" t="s">
        <v>3573</v>
      </c>
      <c r="G884" t="s">
        <v>3574</v>
      </c>
      <c r="H884" t="s">
        <v>25</v>
      </c>
      <c r="I884" t="s">
        <v>26</v>
      </c>
      <c r="J884" t="s">
        <v>41</v>
      </c>
      <c r="K884" t="s">
        <v>42</v>
      </c>
      <c r="L884">
        <v>90036</v>
      </c>
      <c r="M884" t="s">
        <v>43</v>
      </c>
      <c r="N884" t="s">
        <v>4471</v>
      </c>
      <c r="O884" t="s">
        <v>45</v>
      </c>
      <c r="P884" t="s">
        <v>46</v>
      </c>
      <c r="Q884" t="s">
        <v>4472</v>
      </c>
      <c r="R884">
        <v>9.9600000000000009</v>
      </c>
      <c r="S884">
        <v>2</v>
      </c>
      <c r="T884">
        <v>0</v>
      </c>
      <c r="U884">
        <v>4.5815999999999999</v>
      </c>
      <c r="V884" t="str">
        <f t="shared" si="13"/>
        <v>Matt Collins</v>
      </c>
      <c r="W884">
        <f>Table2[Profit]/Table2[Sales]</f>
        <v>0.45999999999999996</v>
      </c>
    </row>
    <row r="885" spans="1:23" x14ac:dyDescent="0.25">
      <c r="A885">
        <v>884</v>
      </c>
      <c r="B885" t="s">
        <v>4473</v>
      </c>
      <c r="C885" s="1">
        <v>41784</v>
      </c>
      <c r="D885" s="1">
        <v>41788</v>
      </c>
      <c r="E885" t="s">
        <v>49</v>
      </c>
      <c r="F885" t="s">
        <v>4474</v>
      </c>
      <c r="G885" t="s">
        <v>4475</v>
      </c>
      <c r="H885" t="s">
        <v>25</v>
      </c>
      <c r="I885" t="s">
        <v>26</v>
      </c>
      <c r="J885" t="s">
        <v>296</v>
      </c>
      <c r="K885" t="s">
        <v>208</v>
      </c>
      <c r="L885">
        <v>60623</v>
      </c>
      <c r="M885" t="s">
        <v>104</v>
      </c>
      <c r="N885" t="s">
        <v>4476</v>
      </c>
      <c r="O885" t="s">
        <v>45</v>
      </c>
      <c r="P885" t="s">
        <v>77</v>
      </c>
      <c r="Q885" t="s">
        <v>4477</v>
      </c>
      <c r="R885">
        <v>75.599999999999994</v>
      </c>
      <c r="S885">
        <v>2</v>
      </c>
      <c r="T885">
        <v>0.8</v>
      </c>
      <c r="U885">
        <v>-166.32</v>
      </c>
      <c r="V885" t="str">
        <f t="shared" si="13"/>
        <v>Janet Lee</v>
      </c>
      <c r="W885">
        <f>Table2[Profit]/Table2[Sales]</f>
        <v>-2.2000000000000002</v>
      </c>
    </row>
    <row r="886" spans="1:23" x14ac:dyDescent="0.25">
      <c r="A886">
        <v>885</v>
      </c>
      <c r="B886" t="s">
        <v>4480</v>
      </c>
      <c r="C886" s="1">
        <v>42416</v>
      </c>
      <c r="D886" s="1">
        <v>42420</v>
      </c>
      <c r="E886" t="s">
        <v>49</v>
      </c>
      <c r="F886" t="s">
        <v>888</v>
      </c>
      <c r="G886" t="s">
        <v>889</v>
      </c>
      <c r="H886" t="s">
        <v>40</v>
      </c>
      <c r="I886" t="s">
        <v>26</v>
      </c>
      <c r="J886" t="s">
        <v>296</v>
      </c>
      <c r="K886" t="s">
        <v>208</v>
      </c>
      <c r="L886">
        <v>60623</v>
      </c>
      <c r="M886" t="s">
        <v>104</v>
      </c>
      <c r="N886" t="s">
        <v>4481</v>
      </c>
      <c r="O886" t="s">
        <v>45</v>
      </c>
      <c r="P886" t="s">
        <v>77</v>
      </c>
      <c r="Q886" t="s">
        <v>4482</v>
      </c>
      <c r="R886">
        <v>92.063999999999993</v>
      </c>
      <c r="S886">
        <v>6</v>
      </c>
      <c r="T886">
        <v>0.8</v>
      </c>
      <c r="U886">
        <v>-225.55680000000001</v>
      </c>
      <c r="V886" t="str">
        <f t="shared" si="13"/>
        <v>Erin Ashbrook</v>
      </c>
      <c r="W886">
        <f>Table2[Profit]/Table2[Sales]</f>
        <v>-2.4500000000000002</v>
      </c>
    </row>
    <row r="887" spans="1:23" x14ac:dyDescent="0.25">
      <c r="A887">
        <v>886</v>
      </c>
      <c r="B887" t="s">
        <v>4487</v>
      </c>
      <c r="C887" s="1">
        <v>42726</v>
      </c>
      <c r="D887" s="1">
        <v>42732</v>
      </c>
      <c r="E887" t="s">
        <v>49</v>
      </c>
      <c r="F887" t="s">
        <v>1650</v>
      </c>
      <c r="G887" t="s">
        <v>1651</v>
      </c>
      <c r="H887" t="s">
        <v>25</v>
      </c>
      <c r="I887" t="s">
        <v>26</v>
      </c>
      <c r="J887" t="s">
        <v>4488</v>
      </c>
      <c r="K887" t="s">
        <v>413</v>
      </c>
      <c r="L887">
        <v>97756</v>
      </c>
      <c r="M887" t="s">
        <v>43</v>
      </c>
      <c r="N887" t="s">
        <v>3302</v>
      </c>
      <c r="O887" t="s">
        <v>45</v>
      </c>
      <c r="P887" t="s">
        <v>74</v>
      </c>
      <c r="Q887" t="s">
        <v>3303</v>
      </c>
      <c r="R887">
        <v>31.32</v>
      </c>
      <c r="S887">
        <v>10</v>
      </c>
      <c r="T887">
        <v>0.7</v>
      </c>
      <c r="U887">
        <v>-25.056000000000001</v>
      </c>
      <c r="V887" t="str">
        <f t="shared" si="13"/>
        <v>Sue Ann Reed</v>
      </c>
      <c r="W887">
        <f>Table2[Profit]/Table2[Sales]</f>
        <v>-0.8</v>
      </c>
    </row>
    <row r="888" spans="1:23" x14ac:dyDescent="0.25">
      <c r="A888">
        <v>887</v>
      </c>
      <c r="B888" t="s">
        <v>4491</v>
      </c>
      <c r="C888" s="1">
        <v>42408</v>
      </c>
      <c r="D888" s="1">
        <v>42411</v>
      </c>
      <c r="E888" t="s">
        <v>22</v>
      </c>
      <c r="F888" t="s">
        <v>4492</v>
      </c>
      <c r="G888" t="s">
        <v>4493</v>
      </c>
      <c r="H888" t="s">
        <v>101</v>
      </c>
      <c r="I888" t="s">
        <v>26</v>
      </c>
      <c r="J888" t="s">
        <v>4494</v>
      </c>
      <c r="K888" t="s">
        <v>87</v>
      </c>
      <c r="L888">
        <v>27604</v>
      </c>
      <c r="M888" t="s">
        <v>29</v>
      </c>
      <c r="N888" t="s">
        <v>4495</v>
      </c>
      <c r="O888" t="s">
        <v>70</v>
      </c>
      <c r="P888" t="s">
        <v>71</v>
      </c>
      <c r="Q888" t="s">
        <v>4496</v>
      </c>
      <c r="R888">
        <v>1127.9760000000001</v>
      </c>
      <c r="S888">
        <v>3</v>
      </c>
      <c r="T888">
        <v>0.2</v>
      </c>
      <c r="U888">
        <v>126.8973</v>
      </c>
      <c r="V888" t="str">
        <f t="shared" si="13"/>
        <v>Cathy Hwang</v>
      </c>
      <c r="W888">
        <f>Table2[Profit]/Table2[Sales]</f>
        <v>0.11249999999999999</v>
      </c>
    </row>
    <row r="889" spans="1:23" x14ac:dyDescent="0.25">
      <c r="A889">
        <v>888</v>
      </c>
      <c r="B889" t="s">
        <v>4497</v>
      </c>
      <c r="C889" s="1">
        <v>42198</v>
      </c>
      <c r="D889" s="1">
        <v>42200</v>
      </c>
      <c r="E889" t="s">
        <v>22</v>
      </c>
      <c r="F889" t="s">
        <v>4498</v>
      </c>
      <c r="G889" t="s">
        <v>4499</v>
      </c>
      <c r="H889" t="s">
        <v>40</v>
      </c>
      <c r="I889" t="s">
        <v>26</v>
      </c>
      <c r="J889" t="s">
        <v>3486</v>
      </c>
      <c r="K889" t="s">
        <v>1260</v>
      </c>
      <c r="L889">
        <v>31204</v>
      </c>
      <c r="M889" t="s">
        <v>29</v>
      </c>
      <c r="N889" t="s">
        <v>2743</v>
      </c>
      <c r="O889" t="s">
        <v>45</v>
      </c>
      <c r="P889" t="s">
        <v>89</v>
      </c>
      <c r="Q889" t="s">
        <v>2744</v>
      </c>
      <c r="R889">
        <v>38.880000000000003</v>
      </c>
      <c r="S889">
        <v>6</v>
      </c>
      <c r="T889">
        <v>0</v>
      </c>
      <c r="U889">
        <v>18.662400000000002</v>
      </c>
      <c r="V889" t="str">
        <f t="shared" si="13"/>
        <v>Neil Ducich</v>
      </c>
      <c r="W889">
        <f>Table2[Profit]/Table2[Sales]</f>
        <v>0.48000000000000004</v>
      </c>
    </row>
    <row r="890" spans="1:23" x14ac:dyDescent="0.25">
      <c r="A890">
        <v>889</v>
      </c>
      <c r="B890" t="s">
        <v>4500</v>
      </c>
      <c r="C890" s="1">
        <v>41777</v>
      </c>
      <c r="D890" s="1">
        <v>41783</v>
      </c>
      <c r="E890" t="s">
        <v>49</v>
      </c>
      <c r="F890" t="s">
        <v>798</v>
      </c>
      <c r="G890" t="s">
        <v>799</v>
      </c>
      <c r="H890" t="s">
        <v>25</v>
      </c>
      <c r="I890" t="s">
        <v>26</v>
      </c>
      <c r="J890" t="s">
        <v>2148</v>
      </c>
      <c r="K890" t="s">
        <v>491</v>
      </c>
      <c r="L890">
        <v>44105</v>
      </c>
      <c r="M890" t="s">
        <v>145</v>
      </c>
      <c r="N890" t="s">
        <v>4501</v>
      </c>
      <c r="O890" t="s">
        <v>70</v>
      </c>
      <c r="P890" t="s">
        <v>71</v>
      </c>
      <c r="Q890" t="s">
        <v>4502</v>
      </c>
      <c r="R890">
        <v>779.79600000000005</v>
      </c>
      <c r="S890">
        <v>2</v>
      </c>
      <c r="T890">
        <v>0.4</v>
      </c>
      <c r="U890">
        <v>-168.95580000000001</v>
      </c>
      <c r="V890" t="str">
        <f t="shared" si="13"/>
        <v>Bruce Stewart</v>
      </c>
      <c r="W890">
        <f>Table2[Profit]/Table2[Sales]</f>
        <v>-0.21666666666666667</v>
      </c>
    </row>
    <row r="891" spans="1:23" x14ac:dyDescent="0.25">
      <c r="A891">
        <v>890</v>
      </c>
      <c r="B891" t="s">
        <v>4503</v>
      </c>
      <c r="C891" s="1">
        <v>43029</v>
      </c>
      <c r="D891" s="1">
        <v>43029</v>
      </c>
      <c r="E891" t="s">
        <v>1278</v>
      </c>
      <c r="F891" t="s">
        <v>2923</v>
      </c>
      <c r="G891" t="s">
        <v>2924</v>
      </c>
      <c r="H891" t="s">
        <v>101</v>
      </c>
      <c r="I891" t="s">
        <v>26</v>
      </c>
      <c r="J891" t="s">
        <v>4504</v>
      </c>
      <c r="K891" t="s">
        <v>641</v>
      </c>
      <c r="L891">
        <v>74403</v>
      </c>
      <c r="M891" t="s">
        <v>104</v>
      </c>
      <c r="N891" t="s">
        <v>4505</v>
      </c>
      <c r="O891" t="s">
        <v>70</v>
      </c>
      <c r="P891" t="s">
        <v>71</v>
      </c>
      <c r="Q891" t="s">
        <v>4506</v>
      </c>
      <c r="R891">
        <v>1439.92</v>
      </c>
      <c r="S891">
        <v>8</v>
      </c>
      <c r="T891">
        <v>0</v>
      </c>
      <c r="U891">
        <v>374.37920000000003</v>
      </c>
      <c r="V891" t="str">
        <f t="shared" si="13"/>
        <v>Sara Luxemburg</v>
      </c>
      <c r="W891">
        <f>Table2[Profit]/Table2[Sales]</f>
        <v>0.26</v>
      </c>
    </row>
    <row r="892" spans="1:23" x14ac:dyDescent="0.25">
      <c r="A892">
        <v>891</v>
      </c>
      <c r="B892" t="s">
        <v>4507</v>
      </c>
      <c r="C892" s="1">
        <v>42313</v>
      </c>
      <c r="D892" s="1">
        <v>42317</v>
      </c>
      <c r="E892" t="s">
        <v>49</v>
      </c>
      <c r="F892" t="s">
        <v>2724</v>
      </c>
      <c r="G892" t="s">
        <v>2725</v>
      </c>
      <c r="H892" t="s">
        <v>40</v>
      </c>
      <c r="I892" t="s">
        <v>26</v>
      </c>
      <c r="J892" t="s">
        <v>728</v>
      </c>
      <c r="K892" t="s">
        <v>87</v>
      </c>
      <c r="L892">
        <v>28110</v>
      </c>
      <c r="M892" t="s">
        <v>29</v>
      </c>
      <c r="N892" t="s">
        <v>3312</v>
      </c>
      <c r="O892" t="s">
        <v>31</v>
      </c>
      <c r="P892" t="s">
        <v>35</v>
      </c>
      <c r="Q892" t="s">
        <v>3313</v>
      </c>
      <c r="R892">
        <v>207</v>
      </c>
      <c r="S892">
        <v>3</v>
      </c>
      <c r="T892">
        <v>0.2</v>
      </c>
      <c r="U892">
        <v>25.875</v>
      </c>
      <c r="V892" t="str">
        <f t="shared" si="13"/>
        <v>George Bell</v>
      </c>
      <c r="W892">
        <f>Table2[Profit]/Table2[Sales]</f>
        <v>0.125</v>
      </c>
    </row>
    <row r="893" spans="1:23" x14ac:dyDescent="0.25">
      <c r="A893">
        <v>892</v>
      </c>
      <c r="B893" t="s">
        <v>4508</v>
      </c>
      <c r="C893" s="1">
        <v>42948</v>
      </c>
      <c r="D893" s="1">
        <v>42954</v>
      </c>
      <c r="E893" t="s">
        <v>49</v>
      </c>
      <c r="F893" t="s">
        <v>3632</v>
      </c>
      <c r="G893" t="s">
        <v>3633</v>
      </c>
      <c r="H893" t="s">
        <v>40</v>
      </c>
      <c r="I893" t="s">
        <v>26</v>
      </c>
      <c r="J893" t="s">
        <v>1225</v>
      </c>
      <c r="K893" t="s">
        <v>103</v>
      </c>
      <c r="L893">
        <v>78745</v>
      </c>
      <c r="M893" t="s">
        <v>104</v>
      </c>
      <c r="N893" t="s">
        <v>4509</v>
      </c>
      <c r="O893" t="s">
        <v>70</v>
      </c>
      <c r="P893" t="s">
        <v>675</v>
      </c>
      <c r="Q893" t="s">
        <v>4510</v>
      </c>
      <c r="R893">
        <v>1439.982</v>
      </c>
      <c r="S893">
        <v>3</v>
      </c>
      <c r="T893">
        <v>0.4</v>
      </c>
      <c r="U893">
        <v>-263.99669999999998</v>
      </c>
      <c r="V893" t="str">
        <f t="shared" si="13"/>
        <v>Aaron Smayling</v>
      </c>
      <c r="W893">
        <f>Table2[Profit]/Table2[Sales]</f>
        <v>-0.18333333333333332</v>
      </c>
    </row>
    <row r="894" spans="1:23" x14ac:dyDescent="0.25">
      <c r="A894">
        <v>893</v>
      </c>
      <c r="B894" t="s">
        <v>4513</v>
      </c>
      <c r="C894" s="1">
        <v>41811</v>
      </c>
      <c r="D894" s="1">
        <v>41814</v>
      </c>
      <c r="E894" t="s">
        <v>185</v>
      </c>
      <c r="F894" t="s">
        <v>4378</v>
      </c>
      <c r="G894" t="s">
        <v>4379</v>
      </c>
      <c r="H894" t="s">
        <v>25</v>
      </c>
      <c r="I894" t="s">
        <v>26</v>
      </c>
      <c r="J894" t="s">
        <v>4514</v>
      </c>
      <c r="K894" t="s">
        <v>740</v>
      </c>
      <c r="L894">
        <v>6450</v>
      </c>
      <c r="M894" t="s">
        <v>145</v>
      </c>
      <c r="N894" t="s">
        <v>127</v>
      </c>
      <c r="O894" t="s">
        <v>45</v>
      </c>
      <c r="P894" t="s">
        <v>67</v>
      </c>
      <c r="Q894" t="s">
        <v>128</v>
      </c>
      <c r="R894">
        <v>21.4</v>
      </c>
      <c r="S894">
        <v>5</v>
      </c>
      <c r="T894">
        <v>0</v>
      </c>
      <c r="U894">
        <v>6.2060000000000004</v>
      </c>
      <c r="V894" t="str">
        <f t="shared" si="13"/>
        <v>Raymond Messe</v>
      </c>
      <c r="W894">
        <f>Table2[Profit]/Table2[Sales]</f>
        <v>0.29000000000000004</v>
      </c>
    </row>
    <row r="895" spans="1:23" x14ac:dyDescent="0.25">
      <c r="A895">
        <v>894</v>
      </c>
      <c r="B895" t="s">
        <v>4515</v>
      </c>
      <c r="C895" s="1">
        <v>42785</v>
      </c>
      <c r="D895" s="1">
        <v>42787</v>
      </c>
      <c r="E895" t="s">
        <v>22</v>
      </c>
      <c r="F895" t="s">
        <v>3842</v>
      </c>
      <c r="G895" t="s">
        <v>3843</v>
      </c>
      <c r="H895" t="s">
        <v>40</v>
      </c>
      <c r="I895" t="s">
        <v>26</v>
      </c>
      <c r="J895" t="s">
        <v>3203</v>
      </c>
      <c r="K895" t="s">
        <v>1260</v>
      </c>
      <c r="L895">
        <v>30076</v>
      </c>
      <c r="M895" t="s">
        <v>29</v>
      </c>
      <c r="N895" t="s">
        <v>683</v>
      </c>
      <c r="O895" t="s">
        <v>45</v>
      </c>
      <c r="P895" t="s">
        <v>77</v>
      </c>
      <c r="Q895" t="s">
        <v>684</v>
      </c>
      <c r="R895">
        <v>1245.8599999999999</v>
      </c>
      <c r="S895">
        <v>7</v>
      </c>
      <c r="T895">
        <v>0</v>
      </c>
      <c r="U895">
        <v>361.29939999999999</v>
      </c>
      <c r="V895" t="str">
        <f t="shared" si="13"/>
        <v>Nicole Hansen</v>
      </c>
      <c r="W895">
        <f>Table2[Profit]/Table2[Sales]</f>
        <v>0.29000000000000004</v>
      </c>
    </row>
    <row r="896" spans="1:23" x14ac:dyDescent="0.25">
      <c r="A896">
        <v>895</v>
      </c>
      <c r="B896" t="s">
        <v>4516</v>
      </c>
      <c r="C896" s="1">
        <v>41852</v>
      </c>
      <c r="D896" s="1">
        <v>41856</v>
      </c>
      <c r="E896" t="s">
        <v>49</v>
      </c>
      <c r="F896" t="s">
        <v>4517</v>
      </c>
      <c r="G896" t="s">
        <v>4518</v>
      </c>
      <c r="H896" t="s">
        <v>40</v>
      </c>
      <c r="I896" t="s">
        <v>26</v>
      </c>
      <c r="J896" t="s">
        <v>460</v>
      </c>
      <c r="K896" t="s">
        <v>87</v>
      </c>
      <c r="L896">
        <v>28205</v>
      </c>
      <c r="M896" t="s">
        <v>29</v>
      </c>
      <c r="N896" t="s">
        <v>44</v>
      </c>
      <c r="O896" t="s">
        <v>45</v>
      </c>
      <c r="P896" t="s">
        <v>46</v>
      </c>
      <c r="Q896" t="s">
        <v>47</v>
      </c>
      <c r="R896">
        <v>17.544</v>
      </c>
      <c r="S896">
        <v>3</v>
      </c>
      <c r="T896">
        <v>0.2</v>
      </c>
      <c r="U896">
        <v>5.9211</v>
      </c>
      <c r="V896" t="str">
        <f t="shared" si="13"/>
        <v>Barbara Fisher</v>
      </c>
      <c r="W896">
        <f>Table2[Profit]/Table2[Sales]</f>
        <v>0.33749999999999997</v>
      </c>
    </row>
    <row r="897" spans="1:23" x14ac:dyDescent="0.25">
      <c r="A897">
        <v>896</v>
      </c>
      <c r="B897" t="s">
        <v>4521</v>
      </c>
      <c r="C897" s="1">
        <v>42569</v>
      </c>
      <c r="D897" s="1">
        <v>42574</v>
      </c>
      <c r="E897" t="s">
        <v>49</v>
      </c>
      <c r="F897" t="s">
        <v>4522</v>
      </c>
      <c r="G897" t="s">
        <v>4523</v>
      </c>
      <c r="H897" t="s">
        <v>40</v>
      </c>
      <c r="I897" t="s">
        <v>26</v>
      </c>
      <c r="J897" t="s">
        <v>4524</v>
      </c>
      <c r="K897" t="s">
        <v>28</v>
      </c>
      <c r="L897">
        <v>42104</v>
      </c>
      <c r="M897" t="s">
        <v>29</v>
      </c>
      <c r="N897" t="s">
        <v>4525</v>
      </c>
      <c r="O897" t="s">
        <v>31</v>
      </c>
      <c r="P897" t="s">
        <v>35</v>
      </c>
      <c r="Q897" t="s">
        <v>4526</v>
      </c>
      <c r="R897">
        <v>140.81</v>
      </c>
      <c r="S897">
        <v>1</v>
      </c>
      <c r="T897">
        <v>0</v>
      </c>
      <c r="U897">
        <v>39.4268</v>
      </c>
      <c r="V897" t="str">
        <f t="shared" si="13"/>
        <v>Katharine Harms</v>
      </c>
      <c r="W897">
        <f>Table2[Profit]/Table2[Sales]</f>
        <v>0.27999999999999997</v>
      </c>
    </row>
    <row r="898" spans="1:23" x14ac:dyDescent="0.25">
      <c r="A898">
        <v>897</v>
      </c>
      <c r="B898" t="s">
        <v>4527</v>
      </c>
      <c r="C898" s="1">
        <v>42044</v>
      </c>
      <c r="D898" s="1">
        <v>42046</v>
      </c>
      <c r="E898" t="s">
        <v>22</v>
      </c>
      <c r="F898" t="s">
        <v>1159</v>
      </c>
      <c r="G898" t="s">
        <v>1160</v>
      </c>
      <c r="H898" t="s">
        <v>40</v>
      </c>
      <c r="I898" t="s">
        <v>26</v>
      </c>
      <c r="J898" t="s">
        <v>671</v>
      </c>
      <c r="K898" t="s">
        <v>103</v>
      </c>
      <c r="L898">
        <v>78207</v>
      </c>
      <c r="M898" t="s">
        <v>104</v>
      </c>
      <c r="N898" t="s">
        <v>1185</v>
      </c>
      <c r="O898" t="s">
        <v>45</v>
      </c>
      <c r="P898" t="s">
        <v>46</v>
      </c>
      <c r="Q898" t="s">
        <v>1186</v>
      </c>
      <c r="R898">
        <v>40.095999999999997</v>
      </c>
      <c r="S898">
        <v>4</v>
      </c>
      <c r="T898">
        <v>0.2</v>
      </c>
      <c r="U898">
        <v>13.532400000000001</v>
      </c>
      <c r="V898" t="str">
        <f t="shared" si="13"/>
        <v>Frank Atkinson</v>
      </c>
      <c r="W898">
        <f>Table2[Profit]/Table2[Sales]</f>
        <v>0.33750000000000008</v>
      </c>
    </row>
    <row r="899" spans="1:23" x14ac:dyDescent="0.25">
      <c r="A899">
        <v>898</v>
      </c>
      <c r="B899" t="s">
        <v>4530</v>
      </c>
      <c r="C899" s="1">
        <v>42945</v>
      </c>
      <c r="D899" s="1">
        <v>42949</v>
      </c>
      <c r="E899" t="s">
        <v>49</v>
      </c>
      <c r="F899" t="s">
        <v>4531</v>
      </c>
      <c r="G899" t="s">
        <v>4532</v>
      </c>
      <c r="H899" t="s">
        <v>25</v>
      </c>
      <c r="I899" t="s">
        <v>26</v>
      </c>
      <c r="J899" t="s">
        <v>94</v>
      </c>
      <c r="K899" t="s">
        <v>95</v>
      </c>
      <c r="L899">
        <v>98115</v>
      </c>
      <c r="M899" t="s">
        <v>43</v>
      </c>
      <c r="N899" t="s">
        <v>157</v>
      </c>
      <c r="O899" t="s">
        <v>70</v>
      </c>
      <c r="P899" t="s">
        <v>158</v>
      </c>
      <c r="Q899" t="s">
        <v>159</v>
      </c>
      <c r="R899">
        <v>90.57</v>
      </c>
      <c r="S899">
        <v>3</v>
      </c>
      <c r="T899">
        <v>0</v>
      </c>
      <c r="U899">
        <v>11.774100000000001</v>
      </c>
      <c r="V899" t="str">
        <f t="shared" ref="V899:V962" si="14">TRIM(G899)</f>
        <v>Giulietta Weimer</v>
      </c>
      <c r="W899">
        <f>Table2[Profit]/Table2[Sales]</f>
        <v>0.13</v>
      </c>
    </row>
    <row r="900" spans="1:23" x14ac:dyDescent="0.25">
      <c r="A900">
        <v>899</v>
      </c>
      <c r="B900" t="s">
        <v>4533</v>
      </c>
      <c r="C900" s="1">
        <v>42747</v>
      </c>
      <c r="D900" s="1">
        <v>42752</v>
      </c>
      <c r="E900" t="s">
        <v>22</v>
      </c>
      <c r="F900" t="s">
        <v>4362</v>
      </c>
      <c r="G900" t="s">
        <v>4363</v>
      </c>
      <c r="H900" t="s">
        <v>101</v>
      </c>
      <c r="I900" t="s">
        <v>26</v>
      </c>
      <c r="J900" t="s">
        <v>95</v>
      </c>
      <c r="K900" t="s">
        <v>2986</v>
      </c>
      <c r="L900">
        <v>20016</v>
      </c>
      <c r="M900" t="s">
        <v>145</v>
      </c>
      <c r="N900" t="s">
        <v>561</v>
      </c>
      <c r="O900" t="s">
        <v>45</v>
      </c>
      <c r="P900" t="s">
        <v>89</v>
      </c>
      <c r="Q900" t="s">
        <v>562</v>
      </c>
      <c r="R900">
        <v>40.08</v>
      </c>
      <c r="S900">
        <v>6</v>
      </c>
      <c r="T900">
        <v>0</v>
      </c>
      <c r="U900">
        <v>19.238399999999999</v>
      </c>
      <c r="V900" t="str">
        <f t="shared" si="14"/>
        <v>Dianna Arnett</v>
      </c>
      <c r="W900">
        <f>Table2[Profit]/Table2[Sales]</f>
        <v>0.48</v>
      </c>
    </row>
    <row r="901" spans="1:23" x14ac:dyDescent="0.25">
      <c r="A901">
        <v>900</v>
      </c>
      <c r="B901" t="s">
        <v>4536</v>
      </c>
      <c r="C901" s="1">
        <v>42988</v>
      </c>
      <c r="D901" s="1">
        <v>42988</v>
      </c>
      <c r="E901" t="s">
        <v>1278</v>
      </c>
      <c r="F901" t="s">
        <v>3227</v>
      </c>
      <c r="G901" t="s">
        <v>3228</v>
      </c>
      <c r="H901" t="s">
        <v>40</v>
      </c>
      <c r="I901" t="s">
        <v>26</v>
      </c>
      <c r="J901" t="s">
        <v>41</v>
      </c>
      <c r="K901" t="s">
        <v>42</v>
      </c>
      <c r="L901">
        <v>90004</v>
      </c>
      <c r="M901" t="s">
        <v>43</v>
      </c>
      <c r="N901" t="s">
        <v>1154</v>
      </c>
      <c r="O901" t="s">
        <v>31</v>
      </c>
      <c r="P901" t="s">
        <v>35</v>
      </c>
      <c r="Q901" t="s">
        <v>1155</v>
      </c>
      <c r="R901">
        <v>362.35199999999998</v>
      </c>
      <c r="S901">
        <v>3</v>
      </c>
      <c r="T901">
        <v>0.2</v>
      </c>
      <c r="U901">
        <v>27.176400000000001</v>
      </c>
      <c r="V901" t="str">
        <f t="shared" si="14"/>
        <v>Frank Hawley</v>
      </c>
      <c r="W901">
        <f>Table2[Profit]/Table2[Sales]</f>
        <v>7.5000000000000011E-2</v>
      </c>
    </row>
    <row r="902" spans="1:23" x14ac:dyDescent="0.25">
      <c r="A902">
        <v>901</v>
      </c>
      <c r="B902" t="s">
        <v>4537</v>
      </c>
      <c r="C902" s="1">
        <v>42205</v>
      </c>
      <c r="D902" s="1">
        <v>42210</v>
      </c>
      <c r="E902" t="s">
        <v>22</v>
      </c>
      <c r="F902" t="s">
        <v>2801</v>
      </c>
      <c r="G902" t="s">
        <v>2802</v>
      </c>
      <c r="H902" t="s">
        <v>25</v>
      </c>
      <c r="I902" t="s">
        <v>26</v>
      </c>
      <c r="J902" t="s">
        <v>4538</v>
      </c>
      <c r="K902" t="s">
        <v>251</v>
      </c>
      <c r="L902">
        <v>46614</v>
      </c>
      <c r="M902" t="s">
        <v>104</v>
      </c>
      <c r="N902" t="s">
        <v>4539</v>
      </c>
      <c r="O902" t="s">
        <v>45</v>
      </c>
      <c r="P902" t="s">
        <v>58</v>
      </c>
      <c r="Q902" t="s">
        <v>4540</v>
      </c>
      <c r="R902">
        <v>34.76</v>
      </c>
      <c r="S902">
        <v>1</v>
      </c>
      <c r="T902">
        <v>0</v>
      </c>
      <c r="U902">
        <v>9.7327999999999992</v>
      </c>
      <c r="V902" t="str">
        <f t="shared" si="14"/>
        <v>Ralph Kennedy</v>
      </c>
      <c r="W902">
        <f>Table2[Profit]/Table2[Sales]</f>
        <v>0.27999999999999997</v>
      </c>
    </row>
    <row r="903" spans="1:23" x14ac:dyDescent="0.25">
      <c r="A903">
        <v>902</v>
      </c>
      <c r="B903" t="s">
        <v>4545</v>
      </c>
      <c r="C903" s="1">
        <v>41803</v>
      </c>
      <c r="D903" s="1">
        <v>41807</v>
      </c>
      <c r="E903" t="s">
        <v>49</v>
      </c>
      <c r="F903" t="s">
        <v>4337</v>
      </c>
      <c r="G903" t="s">
        <v>4338</v>
      </c>
      <c r="H903" t="s">
        <v>40</v>
      </c>
      <c r="I903" t="s">
        <v>26</v>
      </c>
      <c r="J903" t="s">
        <v>41</v>
      </c>
      <c r="K903" t="s">
        <v>42</v>
      </c>
      <c r="L903">
        <v>90032</v>
      </c>
      <c r="M903" t="s">
        <v>43</v>
      </c>
      <c r="N903" t="s">
        <v>4546</v>
      </c>
      <c r="O903" t="s">
        <v>45</v>
      </c>
      <c r="P903" t="s">
        <v>67</v>
      </c>
      <c r="Q903" t="s">
        <v>2988</v>
      </c>
      <c r="R903">
        <v>14.52</v>
      </c>
      <c r="S903">
        <v>3</v>
      </c>
      <c r="T903">
        <v>0</v>
      </c>
      <c r="U903">
        <v>4.7915999999999999</v>
      </c>
      <c r="V903" t="str">
        <f t="shared" si="14"/>
        <v>Filia McAdams</v>
      </c>
      <c r="W903">
        <f>Table2[Profit]/Table2[Sales]</f>
        <v>0.33</v>
      </c>
    </row>
    <row r="904" spans="1:23" x14ac:dyDescent="0.25">
      <c r="A904">
        <v>903</v>
      </c>
      <c r="B904" t="s">
        <v>4547</v>
      </c>
      <c r="C904" s="1">
        <v>42867</v>
      </c>
      <c r="D904" s="1">
        <v>42870</v>
      </c>
      <c r="E904" t="s">
        <v>22</v>
      </c>
      <c r="F904" t="s">
        <v>1209</v>
      </c>
      <c r="G904" t="s">
        <v>1210</v>
      </c>
      <c r="H904" t="s">
        <v>40</v>
      </c>
      <c r="I904" t="s">
        <v>26</v>
      </c>
      <c r="J904" t="s">
        <v>181</v>
      </c>
      <c r="K904" t="s">
        <v>103</v>
      </c>
      <c r="L904">
        <v>77041</v>
      </c>
      <c r="M904" t="s">
        <v>104</v>
      </c>
      <c r="N904" t="s">
        <v>3471</v>
      </c>
      <c r="O904" t="s">
        <v>45</v>
      </c>
      <c r="P904" t="s">
        <v>58</v>
      </c>
      <c r="Q904" t="s">
        <v>3472</v>
      </c>
      <c r="R904">
        <v>127.92</v>
      </c>
      <c r="S904">
        <v>5</v>
      </c>
      <c r="T904">
        <v>0.2</v>
      </c>
      <c r="U904">
        <v>-15.99</v>
      </c>
      <c r="V904" t="str">
        <f t="shared" si="14"/>
        <v>Alyssa Crouse</v>
      </c>
      <c r="W904">
        <f>Table2[Profit]/Table2[Sales]</f>
        <v>-0.125</v>
      </c>
    </row>
    <row r="905" spans="1:23" x14ac:dyDescent="0.25">
      <c r="A905">
        <v>904</v>
      </c>
      <c r="B905" t="s">
        <v>4550</v>
      </c>
      <c r="C905" s="1">
        <v>42250</v>
      </c>
      <c r="D905" s="1">
        <v>42252</v>
      </c>
      <c r="E905" t="s">
        <v>185</v>
      </c>
      <c r="F905" t="s">
        <v>697</v>
      </c>
      <c r="G905" t="s">
        <v>698</v>
      </c>
      <c r="H905" t="s">
        <v>40</v>
      </c>
      <c r="I905" t="s">
        <v>26</v>
      </c>
      <c r="J905" t="s">
        <v>508</v>
      </c>
      <c r="K905" t="s">
        <v>740</v>
      </c>
      <c r="L905">
        <v>6010</v>
      </c>
      <c r="M905" t="s">
        <v>145</v>
      </c>
      <c r="N905" t="s">
        <v>105</v>
      </c>
      <c r="O905" t="s">
        <v>45</v>
      </c>
      <c r="P905" t="s">
        <v>77</v>
      </c>
      <c r="Q905" t="s">
        <v>106</v>
      </c>
      <c r="R905">
        <v>137.62</v>
      </c>
      <c r="S905">
        <v>2</v>
      </c>
      <c r="T905">
        <v>0</v>
      </c>
      <c r="U905">
        <v>60.552799999999998</v>
      </c>
      <c r="V905" t="str">
        <f t="shared" si="14"/>
        <v>Jennifer Braxton</v>
      </c>
      <c r="W905">
        <f>Table2[Profit]/Table2[Sales]</f>
        <v>0.43999999999999995</v>
      </c>
    </row>
    <row r="906" spans="1:23" x14ac:dyDescent="0.25">
      <c r="A906">
        <v>905</v>
      </c>
      <c r="B906" t="s">
        <v>4551</v>
      </c>
      <c r="C906" s="1">
        <v>42820</v>
      </c>
      <c r="D906" s="1">
        <v>42821</v>
      </c>
      <c r="E906" t="s">
        <v>185</v>
      </c>
      <c r="F906" t="s">
        <v>2489</v>
      </c>
      <c r="G906" t="s">
        <v>2490</v>
      </c>
      <c r="H906" t="s">
        <v>25</v>
      </c>
      <c r="I906" t="s">
        <v>26</v>
      </c>
      <c r="J906" t="s">
        <v>263</v>
      </c>
      <c r="K906" t="s">
        <v>264</v>
      </c>
      <c r="L906">
        <v>10009</v>
      </c>
      <c r="M906" t="s">
        <v>145</v>
      </c>
      <c r="N906" t="s">
        <v>4552</v>
      </c>
      <c r="O906" t="s">
        <v>31</v>
      </c>
      <c r="P906" t="s">
        <v>32</v>
      </c>
      <c r="Q906" t="s">
        <v>4553</v>
      </c>
      <c r="R906">
        <v>257.56799999999998</v>
      </c>
      <c r="S906">
        <v>2</v>
      </c>
      <c r="T906">
        <v>0.2</v>
      </c>
      <c r="U906">
        <v>-28.976400000000002</v>
      </c>
      <c r="V906" t="str">
        <f t="shared" si="14"/>
        <v>Gary McGarr</v>
      </c>
      <c r="W906">
        <f>Table2[Profit]/Table2[Sales]</f>
        <v>-0.11250000000000002</v>
      </c>
    </row>
    <row r="907" spans="1:23" x14ac:dyDescent="0.25">
      <c r="A907">
        <v>906</v>
      </c>
      <c r="B907" t="s">
        <v>4554</v>
      </c>
      <c r="C907" s="1">
        <v>41955</v>
      </c>
      <c r="D907" s="1">
        <v>41955</v>
      </c>
      <c r="E907" t="s">
        <v>1278</v>
      </c>
      <c r="F907" t="s">
        <v>1413</v>
      </c>
      <c r="G907" t="s">
        <v>1414</v>
      </c>
      <c r="H907" t="s">
        <v>25</v>
      </c>
      <c r="I907" t="s">
        <v>26</v>
      </c>
      <c r="J907" t="s">
        <v>671</v>
      </c>
      <c r="K907" t="s">
        <v>103</v>
      </c>
      <c r="L907">
        <v>78207</v>
      </c>
      <c r="M907" t="s">
        <v>104</v>
      </c>
      <c r="N907" t="s">
        <v>752</v>
      </c>
      <c r="O907" t="s">
        <v>45</v>
      </c>
      <c r="P907" t="s">
        <v>58</v>
      </c>
      <c r="Q907" t="s">
        <v>753</v>
      </c>
      <c r="R907">
        <v>49.631999999999998</v>
      </c>
      <c r="S907">
        <v>4</v>
      </c>
      <c r="T907">
        <v>0.2</v>
      </c>
      <c r="U907">
        <v>4.9631999999999996</v>
      </c>
      <c r="V907" t="str">
        <f t="shared" si="14"/>
        <v>Roy Französisch</v>
      </c>
      <c r="W907">
        <f>Table2[Profit]/Table2[Sales]</f>
        <v>9.9999999999999992E-2</v>
      </c>
    </row>
    <row r="908" spans="1:23" x14ac:dyDescent="0.25">
      <c r="A908">
        <v>907</v>
      </c>
      <c r="B908" t="s">
        <v>4555</v>
      </c>
      <c r="C908" s="1">
        <v>42656</v>
      </c>
      <c r="D908" s="1">
        <v>42660</v>
      </c>
      <c r="E908" t="s">
        <v>49</v>
      </c>
      <c r="F908" t="s">
        <v>4556</v>
      </c>
      <c r="G908" t="s">
        <v>4557</v>
      </c>
      <c r="H908" t="s">
        <v>40</v>
      </c>
      <c r="I908" t="s">
        <v>26</v>
      </c>
      <c r="J908" t="s">
        <v>449</v>
      </c>
      <c r="K908" t="s">
        <v>450</v>
      </c>
      <c r="L908">
        <v>80013</v>
      </c>
      <c r="M908" t="s">
        <v>43</v>
      </c>
      <c r="N908" t="s">
        <v>1213</v>
      </c>
      <c r="O908" t="s">
        <v>31</v>
      </c>
      <c r="P908" t="s">
        <v>55</v>
      </c>
      <c r="Q908" t="s">
        <v>1214</v>
      </c>
      <c r="R908">
        <v>727.45</v>
      </c>
      <c r="S908">
        <v>5</v>
      </c>
      <c r="T908">
        <v>0.5</v>
      </c>
      <c r="U908">
        <v>-465.56799999999998</v>
      </c>
      <c r="V908" t="str">
        <f t="shared" si="14"/>
        <v>Noah Childs</v>
      </c>
      <c r="W908">
        <f>Table2[Profit]/Table2[Sales]</f>
        <v>-0.6399999999999999</v>
      </c>
    </row>
    <row r="909" spans="1:23" x14ac:dyDescent="0.25">
      <c r="A909">
        <v>908</v>
      </c>
      <c r="B909" t="s">
        <v>4560</v>
      </c>
      <c r="C909" s="1">
        <v>43051</v>
      </c>
      <c r="D909" s="1">
        <v>43051</v>
      </c>
      <c r="E909" t="s">
        <v>1278</v>
      </c>
      <c r="F909" t="s">
        <v>2011</v>
      </c>
      <c r="G909" t="s">
        <v>2012</v>
      </c>
      <c r="H909" t="s">
        <v>40</v>
      </c>
      <c r="I909" t="s">
        <v>26</v>
      </c>
      <c r="J909" t="s">
        <v>600</v>
      </c>
      <c r="K909" t="s">
        <v>491</v>
      </c>
      <c r="L909">
        <v>43055</v>
      </c>
      <c r="M909" t="s">
        <v>145</v>
      </c>
      <c r="N909" t="s">
        <v>4561</v>
      </c>
      <c r="O909" t="s">
        <v>70</v>
      </c>
      <c r="P909" t="s">
        <v>71</v>
      </c>
      <c r="Q909" t="s">
        <v>4562</v>
      </c>
      <c r="R909">
        <v>370.78199999999998</v>
      </c>
      <c r="S909">
        <v>3</v>
      </c>
      <c r="T909">
        <v>0.4</v>
      </c>
      <c r="U909">
        <v>-92.695499999999996</v>
      </c>
      <c r="V909" t="str">
        <f t="shared" si="14"/>
        <v>Nat Gilpin</v>
      </c>
      <c r="W909">
        <f>Table2[Profit]/Table2[Sales]</f>
        <v>-0.25</v>
      </c>
    </row>
    <row r="910" spans="1:23" x14ac:dyDescent="0.25">
      <c r="A910">
        <v>909</v>
      </c>
      <c r="B910" t="s">
        <v>4563</v>
      </c>
      <c r="C910" s="1">
        <v>42840</v>
      </c>
      <c r="D910" s="1">
        <v>42843</v>
      </c>
      <c r="E910" t="s">
        <v>185</v>
      </c>
      <c r="F910" t="s">
        <v>2784</v>
      </c>
      <c r="G910" t="s">
        <v>2785</v>
      </c>
      <c r="H910" t="s">
        <v>40</v>
      </c>
      <c r="I910" t="s">
        <v>26</v>
      </c>
      <c r="J910" t="s">
        <v>27</v>
      </c>
      <c r="K910" t="s">
        <v>1381</v>
      </c>
      <c r="L910">
        <v>89015</v>
      </c>
      <c r="M910" t="s">
        <v>43</v>
      </c>
      <c r="N910" t="s">
        <v>3061</v>
      </c>
      <c r="O910" t="s">
        <v>31</v>
      </c>
      <c r="P910" t="s">
        <v>64</v>
      </c>
      <c r="Q910" t="s">
        <v>3062</v>
      </c>
      <c r="R910">
        <v>196.45</v>
      </c>
      <c r="S910">
        <v>5</v>
      </c>
      <c r="T910">
        <v>0</v>
      </c>
      <c r="U910">
        <v>70.721999999999994</v>
      </c>
      <c r="V910" t="str">
        <f t="shared" si="14"/>
        <v>Adam Hart</v>
      </c>
      <c r="W910">
        <f>Table2[Profit]/Table2[Sales]</f>
        <v>0.36</v>
      </c>
    </row>
    <row r="911" spans="1:23" x14ac:dyDescent="0.25">
      <c r="A911">
        <v>910</v>
      </c>
      <c r="B911" t="s">
        <v>4564</v>
      </c>
      <c r="C911" s="1">
        <v>42180</v>
      </c>
      <c r="D911" s="1">
        <v>42186</v>
      </c>
      <c r="E911" t="s">
        <v>49</v>
      </c>
      <c r="F911" t="s">
        <v>4492</v>
      </c>
      <c r="G911" t="s">
        <v>4493</v>
      </c>
      <c r="H911" t="s">
        <v>101</v>
      </c>
      <c r="I911" t="s">
        <v>26</v>
      </c>
      <c r="J911" t="s">
        <v>143</v>
      </c>
      <c r="K911" t="s">
        <v>144</v>
      </c>
      <c r="L911">
        <v>19143</v>
      </c>
      <c r="M911" t="s">
        <v>145</v>
      </c>
      <c r="N911" t="s">
        <v>4565</v>
      </c>
      <c r="O911" t="s">
        <v>45</v>
      </c>
      <c r="P911" t="s">
        <v>89</v>
      </c>
      <c r="Q911" t="s">
        <v>4566</v>
      </c>
      <c r="R911">
        <v>31.103999999999999</v>
      </c>
      <c r="S911">
        <v>6</v>
      </c>
      <c r="T911">
        <v>0.2</v>
      </c>
      <c r="U911">
        <v>10.8864</v>
      </c>
      <c r="V911" t="str">
        <f t="shared" si="14"/>
        <v>Cathy Hwang</v>
      </c>
      <c r="W911">
        <f>Table2[Profit]/Table2[Sales]</f>
        <v>0.35000000000000003</v>
      </c>
    </row>
    <row r="912" spans="1:23" x14ac:dyDescent="0.25">
      <c r="A912">
        <v>911</v>
      </c>
      <c r="B912" t="s">
        <v>4569</v>
      </c>
      <c r="C912" s="1">
        <v>42608</v>
      </c>
      <c r="D912" s="1">
        <v>42611</v>
      </c>
      <c r="E912" t="s">
        <v>22</v>
      </c>
      <c r="F912" t="s">
        <v>1929</v>
      </c>
      <c r="G912" t="s">
        <v>1930</v>
      </c>
      <c r="H912" t="s">
        <v>25</v>
      </c>
      <c r="I912" t="s">
        <v>26</v>
      </c>
      <c r="J912" t="s">
        <v>94</v>
      </c>
      <c r="K912" t="s">
        <v>95</v>
      </c>
      <c r="L912">
        <v>98103</v>
      </c>
      <c r="M912" t="s">
        <v>43</v>
      </c>
      <c r="N912" t="s">
        <v>2743</v>
      </c>
      <c r="O912" t="s">
        <v>45</v>
      </c>
      <c r="P912" t="s">
        <v>89</v>
      </c>
      <c r="Q912" t="s">
        <v>2744</v>
      </c>
      <c r="R912">
        <v>6.48</v>
      </c>
      <c r="S912">
        <v>1</v>
      </c>
      <c r="T912">
        <v>0</v>
      </c>
      <c r="U912">
        <v>3.1103999999999998</v>
      </c>
      <c r="V912" t="str">
        <f t="shared" si="14"/>
        <v>Charles Crestani</v>
      </c>
      <c r="W912">
        <f>Table2[Profit]/Table2[Sales]</f>
        <v>0.47999999999999993</v>
      </c>
    </row>
    <row r="913" spans="1:23" x14ac:dyDescent="0.25">
      <c r="A913">
        <v>912</v>
      </c>
      <c r="B913" t="s">
        <v>4570</v>
      </c>
      <c r="C913" s="1">
        <v>41841</v>
      </c>
      <c r="D913" s="1">
        <v>41845</v>
      </c>
      <c r="E913" t="s">
        <v>49</v>
      </c>
      <c r="F913" t="s">
        <v>4571</v>
      </c>
      <c r="G913" t="s">
        <v>4572</v>
      </c>
      <c r="H913" t="s">
        <v>40</v>
      </c>
      <c r="I913" t="s">
        <v>26</v>
      </c>
      <c r="J913" t="s">
        <v>126</v>
      </c>
      <c r="K913" t="s">
        <v>42</v>
      </c>
      <c r="L913">
        <v>94122</v>
      </c>
      <c r="M913" t="s">
        <v>43</v>
      </c>
      <c r="N913" t="s">
        <v>4573</v>
      </c>
      <c r="O913" t="s">
        <v>45</v>
      </c>
      <c r="P913" t="s">
        <v>67</v>
      </c>
      <c r="Q913" t="s">
        <v>4574</v>
      </c>
      <c r="R913">
        <v>99.2</v>
      </c>
      <c r="S913">
        <v>5</v>
      </c>
      <c r="T913">
        <v>0</v>
      </c>
      <c r="U913">
        <v>25.792000000000002</v>
      </c>
      <c r="V913" t="str">
        <f t="shared" si="14"/>
        <v>Michelle Ellison</v>
      </c>
      <c r="W913">
        <f>Table2[Profit]/Table2[Sales]</f>
        <v>0.26</v>
      </c>
    </row>
    <row r="914" spans="1:23" x14ac:dyDescent="0.25">
      <c r="A914">
        <v>913</v>
      </c>
      <c r="B914" t="s">
        <v>4575</v>
      </c>
      <c r="C914" s="1">
        <v>43060</v>
      </c>
      <c r="D914" s="1">
        <v>43064</v>
      </c>
      <c r="E914" t="s">
        <v>49</v>
      </c>
      <c r="F914" t="s">
        <v>4576</v>
      </c>
      <c r="G914" t="s">
        <v>4577</v>
      </c>
      <c r="H914" t="s">
        <v>25</v>
      </c>
      <c r="I914" t="s">
        <v>26</v>
      </c>
      <c r="J914" t="s">
        <v>4578</v>
      </c>
      <c r="K914" t="s">
        <v>95</v>
      </c>
      <c r="L914">
        <v>99207</v>
      </c>
      <c r="M914" t="s">
        <v>43</v>
      </c>
      <c r="N914" t="s">
        <v>4579</v>
      </c>
      <c r="O914" t="s">
        <v>31</v>
      </c>
      <c r="P914" t="s">
        <v>55</v>
      </c>
      <c r="Q914" t="s">
        <v>4580</v>
      </c>
      <c r="R914">
        <v>70.98</v>
      </c>
      <c r="S914">
        <v>1</v>
      </c>
      <c r="T914">
        <v>0</v>
      </c>
      <c r="U914">
        <v>20.584199999999999</v>
      </c>
      <c r="V914" t="str">
        <f t="shared" si="14"/>
        <v>Benjamin Patterson</v>
      </c>
      <c r="W914">
        <f>Table2[Profit]/Table2[Sales]</f>
        <v>0.28999999999999998</v>
      </c>
    </row>
    <row r="915" spans="1:23" x14ac:dyDescent="0.25">
      <c r="A915">
        <v>914</v>
      </c>
      <c r="B915" t="s">
        <v>4581</v>
      </c>
      <c r="C915" s="1">
        <v>41794</v>
      </c>
      <c r="D915" s="1">
        <v>41799</v>
      </c>
      <c r="E915" t="s">
        <v>49</v>
      </c>
      <c r="F915" t="s">
        <v>755</v>
      </c>
      <c r="G915" t="s">
        <v>756</v>
      </c>
      <c r="H915" t="s">
        <v>101</v>
      </c>
      <c r="I915" t="s">
        <v>26</v>
      </c>
      <c r="J915" t="s">
        <v>490</v>
      </c>
      <c r="K915" t="s">
        <v>491</v>
      </c>
      <c r="L915">
        <v>43229</v>
      </c>
      <c r="M915" t="s">
        <v>145</v>
      </c>
      <c r="N915" t="s">
        <v>3374</v>
      </c>
      <c r="O915" t="s">
        <v>45</v>
      </c>
      <c r="P915" t="s">
        <v>89</v>
      </c>
      <c r="Q915" t="s">
        <v>183</v>
      </c>
      <c r="R915">
        <v>16.224</v>
      </c>
      <c r="S915">
        <v>2</v>
      </c>
      <c r="T915">
        <v>0.2</v>
      </c>
      <c r="U915">
        <v>5.8811999999999998</v>
      </c>
      <c r="V915" t="str">
        <f t="shared" si="14"/>
        <v>Mark Packer</v>
      </c>
      <c r="W915">
        <f>Table2[Profit]/Table2[Sales]</f>
        <v>0.36249999999999999</v>
      </c>
    </row>
    <row r="916" spans="1:23" x14ac:dyDescent="0.25">
      <c r="A916">
        <v>915</v>
      </c>
      <c r="B916" t="s">
        <v>4582</v>
      </c>
      <c r="C916" s="1">
        <v>42439</v>
      </c>
      <c r="D916" s="1">
        <v>42445</v>
      </c>
      <c r="E916" t="s">
        <v>49</v>
      </c>
      <c r="F916" t="s">
        <v>1439</v>
      </c>
      <c r="G916" t="s">
        <v>1440</v>
      </c>
      <c r="H916" t="s">
        <v>25</v>
      </c>
      <c r="I916" t="s">
        <v>26</v>
      </c>
      <c r="J916" t="s">
        <v>1161</v>
      </c>
      <c r="K916" t="s">
        <v>264</v>
      </c>
      <c r="L916">
        <v>11561</v>
      </c>
      <c r="M916" t="s">
        <v>145</v>
      </c>
      <c r="N916" t="s">
        <v>2249</v>
      </c>
      <c r="O916" t="s">
        <v>31</v>
      </c>
      <c r="P916" t="s">
        <v>32</v>
      </c>
      <c r="Q916" t="s">
        <v>2250</v>
      </c>
      <c r="R916">
        <v>176.78399999999999</v>
      </c>
      <c r="S916">
        <v>1</v>
      </c>
      <c r="T916">
        <v>0.2</v>
      </c>
      <c r="U916">
        <v>-22.097999999999999</v>
      </c>
      <c r="V916" t="str">
        <f t="shared" si="14"/>
        <v>Caroline Jumper</v>
      </c>
      <c r="W916">
        <f>Table2[Profit]/Table2[Sales]</f>
        <v>-0.125</v>
      </c>
    </row>
    <row r="917" spans="1:23" x14ac:dyDescent="0.25">
      <c r="A917">
        <v>916</v>
      </c>
      <c r="B917" t="s">
        <v>4583</v>
      </c>
      <c r="C917" s="1">
        <v>42819</v>
      </c>
      <c r="D917" s="1">
        <v>42823</v>
      </c>
      <c r="E917" t="s">
        <v>49</v>
      </c>
      <c r="F917" t="s">
        <v>4584</v>
      </c>
      <c r="G917" t="s">
        <v>4585</v>
      </c>
      <c r="H917" t="s">
        <v>25</v>
      </c>
      <c r="I917" t="s">
        <v>26</v>
      </c>
      <c r="J917" t="s">
        <v>671</v>
      </c>
      <c r="K917" t="s">
        <v>103</v>
      </c>
      <c r="L917">
        <v>78207</v>
      </c>
      <c r="M917" t="s">
        <v>104</v>
      </c>
      <c r="N917" t="s">
        <v>1794</v>
      </c>
      <c r="O917" t="s">
        <v>70</v>
      </c>
      <c r="P917" t="s">
        <v>71</v>
      </c>
      <c r="Q917" t="s">
        <v>1795</v>
      </c>
      <c r="R917">
        <v>470.37599999999998</v>
      </c>
      <c r="S917">
        <v>3</v>
      </c>
      <c r="T917">
        <v>0.2</v>
      </c>
      <c r="U917">
        <v>47.037599999999998</v>
      </c>
      <c r="V917" t="str">
        <f t="shared" si="14"/>
        <v>John Castell</v>
      </c>
      <c r="W917">
        <f>Table2[Profit]/Table2[Sales]</f>
        <v>0.1</v>
      </c>
    </row>
    <row r="918" spans="1:23" x14ac:dyDescent="0.25">
      <c r="A918">
        <v>917</v>
      </c>
      <c r="B918" t="s">
        <v>4586</v>
      </c>
      <c r="C918" s="1">
        <v>43098</v>
      </c>
      <c r="D918" s="1">
        <v>43102</v>
      </c>
      <c r="E918" t="s">
        <v>49</v>
      </c>
      <c r="F918" t="s">
        <v>4175</v>
      </c>
      <c r="G918" t="s">
        <v>4176</v>
      </c>
      <c r="H918" t="s">
        <v>25</v>
      </c>
      <c r="I918" t="s">
        <v>26</v>
      </c>
      <c r="J918" t="s">
        <v>41</v>
      </c>
      <c r="K918" t="s">
        <v>42</v>
      </c>
      <c r="L918">
        <v>90049</v>
      </c>
      <c r="M918" t="s">
        <v>43</v>
      </c>
      <c r="N918" t="s">
        <v>3134</v>
      </c>
      <c r="O918" t="s">
        <v>31</v>
      </c>
      <c r="P918" t="s">
        <v>35</v>
      </c>
      <c r="Q918" t="s">
        <v>3135</v>
      </c>
      <c r="R918">
        <v>393.56799999999998</v>
      </c>
      <c r="S918">
        <v>4</v>
      </c>
      <c r="T918">
        <v>0.2</v>
      </c>
      <c r="U918">
        <v>-44.276400000000002</v>
      </c>
      <c r="V918" t="str">
        <f t="shared" si="14"/>
        <v>James Galang</v>
      </c>
      <c r="W918">
        <f>Table2[Profit]/Table2[Sales]</f>
        <v>-0.11250000000000002</v>
      </c>
    </row>
    <row r="919" spans="1:23" x14ac:dyDescent="0.25">
      <c r="A919">
        <v>918</v>
      </c>
      <c r="B919" t="s">
        <v>4587</v>
      </c>
      <c r="C919" s="1">
        <v>42822</v>
      </c>
      <c r="D919" s="1">
        <v>42827</v>
      </c>
      <c r="E919" t="s">
        <v>49</v>
      </c>
      <c r="F919" t="s">
        <v>2595</v>
      </c>
      <c r="G919" t="s">
        <v>2596</v>
      </c>
      <c r="H919" t="s">
        <v>40</v>
      </c>
      <c r="I919" t="s">
        <v>26</v>
      </c>
      <c r="J919" t="s">
        <v>1507</v>
      </c>
      <c r="K919" t="s">
        <v>53</v>
      </c>
      <c r="L919">
        <v>32216</v>
      </c>
      <c r="M919" t="s">
        <v>29</v>
      </c>
      <c r="N919" t="s">
        <v>3784</v>
      </c>
      <c r="O919" t="s">
        <v>45</v>
      </c>
      <c r="P919" t="s">
        <v>74</v>
      </c>
      <c r="Q919" t="s">
        <v>3785</v>
      </c>
      <c r="R919">
        <v>68.742000000000004</v>
      </c>
      <c r="S919">
        <v>9</v>
      </c>
      <c r="T919">
        <v>0.7</v>
      </c>
      <c r="U919">
        <v>-48.119399999999999</v>
      </c>
      <c r="V919" t="str">
        <f t="shared" si="14"/>
        <v>Cyma Kinney</v>
      </c>
      <c r="W919">
        <f>Table2[Profit]/Table2[Sales]</f>
        <v>-0.7</v>
      </c>
    </row>
    <row r="920" spans="1:23" x14ac:dyDescent="0.25">
      <c r="A920">
        <v>919</v>
      </c>
      <c r="B920" t="s">
        <v>4588</v>
      </c>
      <c r="C920" s="1">
        <v>42068</v>
      </c>
      <c r="D920" s="1">
        <v>42068</v>
      </c>
      <c r="E920" t="s">
        <v>1278</v>
      </c>
      <c r="F920" t="s">
        <v>1404</v>
      </c>
      <c r="G920" t="s">
        <v>1405</v>
      </c>
      <c r="H920" t="s">
        <v>25</v>
      </c>
      <c r="I920" t="s">
        <v>26</v>
      </c>
      <c r="J920" t="s">
        <v>263</v>
      </c>
      <c r="K920" t="s">
        <v>264</v>
      </c>
      <c r="L920">
        <v>10011</v>
      </c>
      <c r="M920" t="s">
        <v>145</v>
      </c>
      <c r="N920" t="s">
        <v>4589</v>
      </c>
      <c r="O920" t="s">
        <v>45</v>
      </c>
      <c r="P920" t="s">
        <v>170</v>
      </c>
      <c r="Q920" t="s">
        <v>662</v>
      </c>
      <c r="R920">
        <v>29.34</v>
      </c>
      <c r="S920">
        <v>3</v>
      </c>
      <c r="T920">
        <v>0</v>
      </c>
      <c r="U920">
        <v>14.67</v>
      </c>
      <c r="V920" t="str">
        <f t="shared" si="14"/>
        <v>Luke Foster</v>
      </c>
      <c r="W920">
        <f>Table2[Profit]/Table2[Sales]</f>
        <v>0.5</v>
      </c>
    </row>
    <row r="921" spans="1:23" x14ac:dyDescent="0.25">
      <c r="A921">
        <v>920</v>
      </c>
      <c r="B921" t="s">
        <v>4590</v>
      </c>
      <c r="C921" s="1">
        <v>42687</v>
      </c>
      <c r="D921" s="1">
        <v>42691</v>
      </c>
      <c r="E921" t="s">
        <v>49</v>
      </c>
      <c r="F921" t="s">
        <v>2100</v>
      </c>
      <c r="G921" t="s">
        <v>2101</v>
      </c>
      <c r="H921" t="s">
        <v>101</v>
      </c>
      <c r="I921" t="s">
        <v>26</v>
      </c>
      <c r="J921" t="s">
        <v>143</v>
      </c>
      <c r="K921" t="s">
        <v>144</v>
      </c>
      <c r="L921">
        <v>19143</v>
      </c>
      <c r="M921" t="s">
        <v>145</v>
      </c>
      <c r="N921" t="s">
        <v>3717</v>
      </c>
      <c r="O921" t="s">
        <v>45</v>
      </c>
      <c r="P921" t="s">
        <v>89</v>
      </c>
      <c r="Q921" t="s">
        <v>3718</v>
      </c>
      <c r="R921">
        <v>217.05600000000001</v>
      </c>
      <c r="S921">
        <v>7</v>
      </c>
      <c r="T921">
        <v>0.2</v>
      </c>
      <c r="U921">
        <v>78.6828</v>
      </c>
      <c r="V921" t="str">
        <f t="shared" si="14"/>
        <v>Chuck Clark</v>
      </c>
      <c r="W921">
        <f>Table2[Profit]/Table2[Sales]</f>
        <v>0.36249999999999999</v>
      </c>
    </row>
    <row r="922" spans="1:23" x14ac:dyDescent="0.25">
      <c r="A922">
        <v>921</v>
      </c>
      <c r="B922" t="s">
        <v>4591</v>
      </c>
      <c r="C922" s="1">
        <v>42754</v>
      </c>
      <c r="D922" s="1">
        <v>42758</v>
      </c>
      <c r="E922" t="s">
        <v>22</v>
      </c>
      <c r="F922" t="s">
        <v>2419</v>
      </c>
      <c r="G922" t="s">
        <v>2420</v>
      </c>
      <c r="H922" t="s">
        <v>25</v>
      </c>
      <c r="I922" t="s">
        <v>26</v>
      </c>
      <c r="J922" t="s">
        <v>4592</v>
      </c>
      <c r="K922" t="s">
        <v>103</v>
      </c>
      <c r="L922">
        <v>76248</v>
      </c>
      <c r="M922" t="s">
        <v>104</v>
      </c>
      <c r="N922" t="s">
        <v>4593</v>
      </c>
      <c r="O922" t="s">
        <v>45</v>
      </c>
      <c r="P922" t="s">
        <v>46</v>
      </c>
      <c r="Q922" t="s">
        <v>4594</v>
      </c>
      <c r="R922">
        <v>6</v>
      </c>
      <c r="S922">
        <v>2</v>
      </c>
      <c r="T922">
        <v>0.2</v>
      </c>
      <c r="U922">
        <v>2.1</v>
      </c>
      <c r="V922" t="str">
        <f t="shared" si="14"/>
        <v>Dan Lawera</v>
      </c>
      <c r="W922">
        <f>Table2[Profit]/Table2[Sales]</f>
        <v>0.35000000000000003</v>
      </c>
    </row>
    <row r="923" spans="1:23" x14ac:dyDescent="0.25">
      <c r="A923">
        <v>922</v>
      </c>
      <c r="B923" t="s">
        <v>4595</v>
      </c>
      <c r="C923" s="1">
        <v>42482</v>
      </c>
      <c r="D923" s="1">
        <v>42486</v>
      </c>
      <c r="E923" t="s">
        <v>22</v>
      </c>
      <c r="F923" t="s">
        <v>380</v>
      </c>
      <c r="G923" t="s">
        <v>381</v>
      </c>
      <c r="H923" t="s">
        <v>25</v>
      </c>
      <c r="I923" t="s">
        <v>26</v>
      </c>
      <c r="J923" t="s">
        <v>126</v>
      </c>
      <c r="K923" t="s">
        <v>42</v>
      </c>
      <c r="L923">
        <v>94122</v>
      </c>
      <c r="M923" t="s">
        <v>43</v>
      </c>
      <c r="N923" t="s">
        <v>4596</v>
      </c>
      <c r="O923" t="s">
        <v>31</v>
      </c>
      <c r="P923" t="s">
        <v>64</v>
      </c>
      <c r="Q923" t="s">
        <v>4597</v>
      </c>
      <c r="R923">
        <v>31.56</v>
      </c>
      <c r="S923">
        <v>3</v>
      </c>
      <c r="T923">
        <v>0</v>
      </c>
      <c r="U923">
        <v>10.4148</v>
      </c>
      <c r="V923" t="str">
        <f t="shared" si="14"/>
        <v>Paul Gonzalez</v>
      </c>
      <c r="W923">
        <f>Table2[Profit]/Table2[Sales]</f>
        <v>0.33</v>
      </c>
    </row>
    <row r="924" spans="1:23" x14ac:dyDescent="0.25">
      <c r="A924">
        <v>923</v>
      </c>
      <c r="B924" t="s">
        <v>4598</v>
      </c>
      <c r="C924" s="1">
        <v>41772</v>
      </c>
      <c r="D924" s="1">
        <v>41774</v>
      </c>
      <c r="E924" t="s">
        <v>185</v>
      </c>
      <c r="F924" t="s">
        <v>3106</v>
      </c>
      <c r="G924" t="s">
        <v>3107</v>
      </c>
      <c r="H924" t="s">
        <v>101</v>
      </c>
      <c r="I924" t="s">
        <v>26</v>
      </c>
      <c r="J924" t="s">
        <v>2298</v>
      </c>
      <c r="K924" t="s">
        <v>53</v>
      </c>
      <c r="L924">
        <v>33012</v>
      </c>
      <c r="M924" t="s">
        <v>29</v>
      </c>
      <c r="N924" t="s">
        <v>1764</v>
      </c>
      <c r="O924" t="s">
        <v>45</v>
      </c>
      <c r="P924" t="s">
        <v>266</v>
      </c>
      <c r="Q924" t="s">
        <v>556</v>
      </c>
      <c r="R924">
        <v>7.1040000000000001</v>
      </c>
      <c r="S924">
        <v>2</v>
      </c>
      <c r="T924">
        <v>0.2</v>
      </c>
      <c r="U924">
        <v>2.3976000000000002</v>
      </c>
      <c r="V924" t="str">
        <f t="shared" si="14"/>
        <v>Erica Hernandez</v>
      </c>
      <c r="W924">
        <f>Table2[Profit]/Table2[Sales]</f>
        <v>0.33750000000000002</v>
      </c>
    </row>
    <row r="925" spans="1:23" x14ac:dyDescent="0.25">
      <c r="A925">
        <v>924</v>
      </c>
      <c r="B925" t="s">
        <v>4599</v>
      </c>
      <c r="C925" s="1">
        <v>41933</v>
      </c>
      <c r="D925" s="1">
        <v>41934</v>
      </c>
      <c r="E925" t="s">
        <v>185</v>
      </c>
      <c r="F925" t="s">
        <v>161</v>
      </c>
      <c r="G925" t="s">
        <v>162</v>
      </c>
      <c r="H925" t="s">
        <v>25</v>
      </c>
      <c r="I925" t="s">
        <v>26</v>
      </c>
      <c r="J925" t="s">
        <v>739</v>
      </c>
      <c r="K925" t="s">
        <v>491</v>
      </c>
      <c r="L925">
        <v>45014</v>
      </c>
      <c r="M925" t="s">
        <v>145</v>
      </c>
      <c r="N925" t="s">
        <v>1964</v>
      </c>
      <c r="O925" t="s">
        <v>45</v>
      </c>
      <c r="P925" t="s">
        <v>77</v>
      </c>
      <c r="Q925" t="s">
        <v>1965</v>
      </c>
      <c r="R925">
        <v>121.792</v>
      </c>
      <c r="S925">
        <v>4</v>
      </c>
      <c r="T925">
        <v>0.2</v>
      </c>
      <c r="U925">
        <v>13.701599999999999</v>
      </c>
      <c r="V925" t="str">
        <f t="shared" si="14"/>
        <v>Tracy Blumstein</v>
      </c>
      <c r="W925">
        <f>Table2[Profit]/Table2[Sales]</f>
        <v>0.11249999999999999</v>
      </c>
    </row>
    <row r="926" spans="1:23" x14ac:dyDescent="0.25">
      <c r="A926">
        <v>925</v>
      </c>
      <c r="B926" t="s">
        <v>4600</v>
      </c>
      <c r="C926" s="1">
        <v>41712</v>
      </c>
      <c r="D926" s="1">
        <v>41716</v>
      </c>
      <c r="E926" t="s">
        <v>49</v>
      </c>
      <c r="F926" t="s">
        <v>1347</v>
      </c>
      <c r="G926" t="s">
        <v>1348</v>
      </c>
      <c r="H926" t="s">
        <v>40</v>
      </c>
      <c r="I926" t="s">
        <v>26</v>
      </c>
      <c r="J926" t="s">
        <v>1441</v>
      </c>
      <c r="K926" t="s">
        <v>42</v>
      </c>
      <c r="L926">
        <v>92646</v>
      </c>
      <c r="M926" t="s">
        <v>43</v>
      </c>
      <c r="N926" t="s">
        <v>2000</v>
      </c>
      <c r="O926" t="s">
        <v>45</v>
      </c>
      <c r="P926" t="s">
        <v>89</v>
      </c>
      <c r="Q926" t="s">
        <v>2001</v>
      </c>
      <c r="R926">
        <v>10.56</v>
      </c>
      <c r="S926">
        <v>2</v>
      </c>
      <c r="T926">
        <v>0</v>
      </c>
      <c r="U926">
        <v>4.7519999999999998</v>
      </c>
      <c r="V926" t="str">
        <f t="shared" si="14"/>
        <v>Dean Katz</v>
      </c>
      <c r="W926">
        <f>Table2[Profit]/Table2[Sales]</f>
        <v>0.44999999999999996</v>
      </c>
    </row>
    <row r="927" spans="1:23" x14ac:dyDescent="0.25">
      <c r="A927">
        <v>926</v>
      </c>
      <c r="B927" t="s">
        <v>4603</v>
      </c>
      <c r="C927" s="1">
        <v>43091</v>
      </c>
      <c r="D927" s="1">
        <v>43093</v>
      </c>
      <c r="E927" t="s">
        <v>22</v>
      </c>
      <c r="F927" t="s">
        <v>1603</v>
      </c>
      <c r="G927" t="s">
        <v>1604</v>
      </c>
      <c r="H927" t="s">
        <v>25</v>
      </c>
      <c r="I927" t="s">
        <v>26</v>
      </c>
      <c r="J927" t="s">
        <v>4604</v>
      </c>
      <c r="K927" t="s">
        <v>53</v>
      </c>
      <c r="L927">
        <v>32127</v>
      </c>
      <c r="M927" t="s">
        <v>29</v>
      </c>
      <c r="N927" t="s">
        <v>4589</v>
      </c>
      <c r="O927" t="s">
        <v>45</v>
      </c>
      <c r="P927" t="s">
        <v>170</v>
      </c>
      <c r="Q927" t="s">
        <v>662</v>
      </c>
      <c r="R927">
        <v>7.8239999999999998</v>
      </c>
      <c r="S927">
        <v>1</v>
      </c>
      <c r="T927">
        <v>0.2</v>
      </c>
      <c r="U927">
        <v>2.9340000000000002</v>
      </c>
      <c r="V927" t="str">
        <f t="shared" si="14"/>
        <v>Jeremy Pistek</v>
      </c>
      <c r="W927">
        <f>Table2[Profit]/Table2[Sales]</f>
        <v>0.37500000000000006</v>
      </c>
    </row>
    <row r="928" spans="1:23" x14ac:dyDescent="0.25">
      <c r="A928">
        <v>927</v>
      </c>
      <c r="B928" t="s">
        <v>4605</v>
      </c>
      <c r="C928" s="1">
        <v>42698</v>
      </c>
      <c r="D928" s="1">
        <v>42703</v>
      </c>
      <c r="E928" t="s">
        <v>49</v>
      </c>
      <c r="F928" t="s">
        <v>2168</v>
      </c>
      <c r="G928" t="s">
        <v>2169</v>
      </c>
      <c r="H928" t="s">
        <v>25</v>
      </c>
      <c r="I928" t="s">
        <v>26</v>
      </c>
      <c r="J928" t="s">
        <v>4606</v>
      </c>
      <c r="K928" t="s">
        <v>413</v>
      </c>
      <c r="L928">
        <v>97504</v>
      </c>
      <c r="M928" t="s">
        <v>43</v>
      </c>
      <c r="N928" t="s">
        <v>4607</v>
      </c>
      <c r="O928" t="s">
        <v>45</v>
      </c>
      <c r="P928" t="s">
        <v>89</v>
      </c>
      <c r="Q928" t="s">
        <v>4608</v>
      </c>
      <c r="R928">
        <v>24.783999999999999</v>
      </c>
      <c r="S928">
        <v>1</v>
      </c>
      <c r="T928">
        <v>0.2</v>
      </c>
      <c r="U928">
        <v>7.7450000000000001</v>
      </c>
      <c r="V928" t="str">
        <f t="shared" si="14"/>
        <v>Carol Darley</v>
      </c>
      <c r="W928">
        <f>Table2[Profit]/Table2[Sales]</f>
        <v>0.3125</v>
      </c>
    </row>
    <row r="929" spans="1:23" x14ac:dyDescent="0.25">
      <c r="A929">
        <v>928</v>
      </c>
      <c r="B929" t="s">
        <v>4609</v>
      </c>
      <c r="C929" s="1">
        <v>43071</v>
      </c>
      <c r="D929" s="1">
        <v>43074</v>
      </c>
      <c r="E929" t="s">
        <v>185</v>
      </c>
      <c r="F929" t="s">
        <v>4610</v>
      </c>
      <c r="G929" t="s">
        <v>4611</v>
      </c>
      <c r="H929" t="s">
        <v>25</v>
      </c>
      <c r="I929" t="s">
        <v>26</v>
      </c>
      <c r="J929" t="s">
        <v>4612</v>
      </c>
      <c r="K929" t="s">
        <v>312</v>
      </c>
      <c r="L929">
        <v>22901</v>
      </c>
      <c r="M929" t="s">
        <v>29</v>
      </c>
      <c r="N929" t="s">
        <v>4613</v>
      </c>
      <c r="O929" t="s">
        <v>45</v>
      </c>
      <c r="P929" t="s">
        <v>67</v>
      </c>
      <c r="Q929" t="s">
        <v>4614</v>
      </c>
      <c r="R929">
        <v>34.65</v>
      </c>
      <c r="S929">
        <v>3</v>
      </c>
      <c r="T929">
        <v>0</v>
      </c>
      <c r="U929">
        <v>10.395</v>
      </c>
      <c r="V929" t="str">
        <f t="shared" si="14"/>
        <v>Adam Shillingsburg</v>
      </c>
      <c r="W929">
        <f>Table2[Profit]/Table2[Sales]</f>
        <v>0.3</v>
      </c>
    </row>
    <row r="930" spans="1:23" x14ac:dyDescent="0.25">
      <c r="A930">
        <v>929</v>
      </c>
      <c r="B930" t="s">
        <v>4615</v>
      </c>
      <c r="C930" s="1">
        <v>42369</v>
      </c>
      <c r="D930" s="1">
        <v>42373</v>
      </c>
      <c r="E930" t="s">
        <v>49</v>
      </c>
      <c r="F930" t="s">
        <v>1041</v>
      </c>
      <c r="G930" t="s">
        <v>1042</v>
      </c>
      <c r="H930" t="s">
        <v>25</v>
      </c>
      <c r="I930" t="s">
        <v>26</v>
      </c>
      <c r="J930" t="s">
        <v>4616</v>
      </c>
      <c r="K930" t="s">
        <v>1738</v>
      </c>
      <c r="L930">
        <v>59801</v>
      </c>
      <c r="M930" t="s">
        <v>43</v>
      </c>
      <c r="N930" t="s">
        <v>2177</v>
      </c>
      <c r="O930" t="s">
        <v>45</v>
      </c>
      <c r="P930" t="s">
        <v>74</v>
      </c>
      <c r="Q930" t="s">
        <v>2178</v>
      </c>
      <c r="R930">
        <v>487.98399999999998</v>
      </c>
      <c r="S930">
        <v>2</v>
      </c>
      <c r="T930">
        <v>0.2</v>
      </c>
      <c r="U930">
        <v>152.495</v>
      </c>
      <c r="V930" t="str">
        <f t="shared" si="14"/>
        <v>Jas O'Carroll</v>
      </c>
      <c r="W930">
        <f>Table2[Profit]/Table2[Sales]</f>
        <v>0.3125</v>
      </c>
    </row>
    <row r="931" spans="1:23" x14ac:dyDescent="0.25">
      <c r="A931">
        <v>930</v>
      </c>
      <c r="B931" t="s">
        <v>4617</v>
      </c>
      <c r="C931" s="1">
        <v>43011</v>
      </c>
      <c r="D931" s="1">
        <v>43014</v>
      </c>
      <c r="E931" t="s">
        <v>185</v>
      </c>
      <c r="F931" t="s">
        <v>4618</v>
      </c>
      <c r="G931" t="s">
        <v>4619</v>
      </c>
      <c r="H931" t="s">
        <v>25</v>
      </c>
      <c r="I931" t="s">
        <v>26</v>
      </c>
      <c r="J931" t="s">
        <v>402</v>
      </c>
      <c r="K931" t="s">
        <v>226</v>
      </c>
      <c r="L931">
        <v>55407</v>
      </c>
      <c r="M931" t="s">
        <v>104</v>
      </c>
      <c r="N931" t="s">
        <v>4620</v>
      </c>
      <c r="O931" t="s">
        <v>45</v>
      </c>
      <c r="P931" t="s">
        <v>74</v>
      </c>
      <c r="Q931" t="s">
        <v>4621</v>
      </c>
      <c r="R931">
        <v>1793.98</v>
      </c>
      <c r="S931">
        <v>2</v>
      </c>
      <c r="T931">
        <v>0</v>
      </c>
      <c r="U931">
        <v>843.17060000000004</v>
      </c>
      <c r="V931" t="str">
        <f t="shared" si="14"/>
        <v>Amy Cox</v>
      </c>
      <c r="W931">
        <f>Table2[Profit]/Table2[Sales]</f>
        <v>0.47000000000000003</v>
      </c>
    </row>
    <row r="932" spans="1:23" x14ac:dyDescent="0.25">
      <c r="A932">
        <v>931</v>
      </c>
      <c r="B932" t="s">
        <v>4622</v>
      </c>
      <c r="C932" s="1">
        <v>41880</v>
      </c>
      <c r="D932" s="1">
        <v>41884</v>
      </c>
      <c r="E932" t="s">
        <v>22</v>
      </c>
      <c r="F932" t="s">
        <v>2948</v>
      </c>
      <c r="G932" t="s">
        <v>2949</v>
      </c>
      <c r="H932" t="s">
        <v>25</v>
      </c>
      <c r="I932" t="s">
        <v>26</v>
      </c>
      <c r="J932" t="s">
        <v>1406</v>
      </c>
      <c r="K932" t="s">
        <v>53</v>
      </c>
      <c r="L932">
        <v>33178</v>
      </c>
      <c r="M932" t="s">
        <v>29</v>
      </c>
      <c r="N932" t="s">
        <v>4623</v>
      </c>
      <c r="O932" t="s">
        <v>45</v>
      </c>
      <c r="P932" t="s">
        <v>170</v>
      </c>
      <c r="Q932" t="s">
        <v>4624</v>
      </c>
      <c r="R932">
        <v>29.808</v>
      </c>
      <c r="S932">
        <v>2</v>
      </c>
      <c r="T932">
        <v>0.2</v>
      </c>
      <c r="U932">
        <v>10.805400000000001</v>
      </c>
      <c r="V932" t="str">
        <f t="shared" si="14"/>
        <v>Ryan Akin</v>
      </c>
      <c r="W932">
        <f>Table2[Profit]/Table2[Sales]</f>
        <v>0.36250000000000004</v>
      </c>
    </row>
    <row r="933" spans="1:23" x14ac:dyDescent="0.25">
      <c r="A933">
        <v>932</v>
      </c>
      <c r="B933" t="s">
        <v>4627</v>
      </c>
      <c r="C933" s="1">
        <v>42550</v>
      </c>
      <c r="D933" s="1">
        <v>42554</v>
      </c>
      <c r="E933" t="s">
        <v>22</v>
      </c>
      <c r="F933" t="s">
        <v>3914</v>
      </c>
      <c r="G933" t="s">
        <v>3915</v>
      </c>
      <c r="H933" t="s">
        <v>25</v>
      </c>
      <c r="I933" t="s">
        <v>26</v>
      </c>
      <c r="J933" t="s">
        <v>2548</v>
      </c>
      <c r="K933" t="s">
        <v>376</v>
      </c>
      <c r="L933">
        <v>29501</v>
      </c>
      <c r="M933" t="s">
        <v>29</v>
      </c>
      <c r="N933" t="s">
        <v>3471</v>
      </c>
      <c r="O933" t="s">
        <v>45</v>
      </c>
      <c r="P933" t="s">
        <v>58</v>
      </c>
      <c r="Q933" t="s">
        <v>3472</v>
      </c>
      <c r="R933">
        <v>191.88</v>
      </c>
      <c r="S933">
        <v>6</v>
      </c>
      <c r="T933">
        <v>0</v>
      </c>
      <c r="U933">
        <v>19.187999999999999</v>
      </c>
      <c r="V933" t="str">
        <f t="shared" si="14"/>
        <v>Corey-Lock</v>
      </c>
      <c r="W933">
        <f>Table2[Profit]/Table2[Sales]</f>
        <v>9.9999999999999992E-2</v>
      </c>
    </row>
    <row r="934" spans="1:23" x14ac:dyDescent="0.25">
      <c r="A934">
        <v>933</v>
      </c>
      <c r="B934" t="s">
        <v>4628</v>
      </c>
      <c r="C934" s="1">
        <v>42602</v>
      </c>
      <c r="D934" s="1">
        <v>42605</v>
      </c>
      <c r="E934" t="s">
        <v>185</v>
      </c>
      <c r="F934" t="s">
        <v>924</v>
      </c>
      <c r="G934" t="s">
        <v>925</v>
      </c>
      <c r="H934" t="s">
        <v>101</v>
      </c>
      <c r="I934" t="s">
        <v>26</v>
      </c>
      <c r="J934" t="s">
        <v>873</v>
      </c>
      <c r="K934" t="s">
        <v>235</v>
      </c>
      <c r="L934">
        <v>48205</v>
      </c>
      <c r="M934" t="s">
        <v>104</v>
      </c>
      <c r="N934" t="s">
        <v>4629</v>
      </c>
      <c r="O934" t="s">
        <v>70</v>
      </c>
      <c r="P934" t="s">
        <v>71</v>
      </c>
      <c r="Q934" t="s">
        <v>4630</v>
      </c>
      <c r="R934">
        <v>14.78</v>
      </c>
      <c r="S934">
        <v>2</v>
      </c>
      <c r="T934">
        <v>0</v>
      </c>
      <c r="U934">
        <v>3.9906000000000001</v>
      </c>
      <c r="V934" t="str">
        <f t="shared" si="14"/>
        <v>Dianna Wilson</v>
      </c>
      <c r="W934">
        <f>Table2[Profit]/Table2[Sales]</f>
        <v>0.27</v>
      </c>
    </row>
    <row r="935" spans="1:23" x14ac:dyDescent="0.25">
      <c r="A935">
        <v>934</v>
      </c>
      <c r="B935" t="s">
        <v>4631</v>
      </c>
      <c r="C935" s="1">
        <v>43029</v>
      </c>
      <c r="D935" s="1">
        <v>43030</v>
      </c>
      <c r="E935" t="s">
        <v>185</v>
      </c>
      <c r="F935" t="s">
        <v>3778</v>
      </c>
      <c r="G935" t="s">
        <v>3779</v>
      </c>
      <c r="H935" t="s">
        <v>40</v>
      </c>
      <c r="I935" t="s">
        <v>26</v>
      </c>
      <c r="J935" t="s">
        <v>311</v>
      </c>
      <c r="K935" t="s">
        <v>413</v>
      </c>
      <c r="L935">
        <v>97477</v>
      </c>
      <c r="M935" t="s">
        <v>43</v>
      </c>
      <c r="N935" t="s">
        <v>2486</v>
      </c>
      <c r="O935" t="s">
        <v>45</v>
      </c>
      <c r="P935" t="s">
        <v>89</v>
      </c>
      <c r="Q935" t="s">
        <v>2487</v>
      </c>
      <c r="R935">
        <v>5.1840000000000002</v>
      </c>
      <c r="S935">
        <v>1</v>
      </c>
      <c r="T935">
        <v>0.2</v>
      </c>
      <c r="U935">
        <v>1.8144</v>
      </c>
      <c r="V935" t="str">
        <f t="shared" si="14"/>
        <v>Damala Kotsonis</v>
      </c>
      <c r="W935">
        <f>Table2[Profit]/Table2[Sales]</f>
        <v>0.35</v>
      </c>
    </row>
    <row r="936" spans="1:23" x14ac:dyDescent="0.25">
      <c r="A936">
        <v>935</v>
      </c>
      <c r="B936" t="s">
        <v>4634</v>
      </c>
      <c r="C936" s="1">
        <v>43029</v>
      </c>
      <c r="D936" s="1">
        <v>43032</v>
      </c>
      <c r="E936" t="s">
        <v>185</v>
      </c>
      <c r="F936" t="s">
        <v>4635</v>
      </c>
      <c r="G936" t="s">
        <v>4636</v>
      </c>
      <c r="H936" t="s">
        <v>40</v>
      </c>
      <c r="I936" t="s">
        <v>26</v>
      </c>
      <c r="J936" t="s">
        <v>4288</v>
      </c>
      <c r="K936" t="s">
        <v>251</v>
      </c>
      <c r="L936">
        <v>46203</v>
      </c>
      <c r="M936" t="s">
        <v>104</v>
      </c>
      <c r="N936" t="s">
        <v>1605</v>
      </c>
      <c r="O936" t="s">
        <v>45</v>
      </c>
      <c r="P936" t="s">
        <v>58</v>
      </c>
      <c r="Q936" t="s">
        <v>1606</v>
      </c>
      <c r="R936">
        <v>909.12</v>
      </c>
      <c r="S936">
        <v>8</v>
      </c>
      <c r="T936">
        <v>0</v>
      </c>
      <c r="U936">
        <v>9.0912000000000006</v>
      </c>
      <c r="V936" t="str">
        <f t="shared" si="14"/>
        <v>Michael Dominguez</v>
      </c>
      <c r="W936">
        <f>Table2[Profit]/Table2[Sales]</f>
        <v>0.01</v>
      </c>
    </row>
    <row r="937" spans="1:23" x14ac:dyDescent="0.25">
      <c r="A937">
        <v>936</v>
      </c>
      <c r="B937" t="s">
        <v>4637</v>
      </c>
      <c r="C937" s="1">
        <v>42507</v>
      </c>
      <c r="D937" s="1">
        <v>42511</v>
      </c>
      <c r="E937" t="s">
        <v>49</v>
      </c>
      <c r="F937" t="s">
        <v>4420</v>
      </c>
      <c r="G937" t="s">
        <v>4421</v>
      </c>
      <c r="H937" t="s">
        <v>40</v>
      </c>
      <c r="I937" t="s">
        <v>26</v>
      </c>
      <c r="J937" t="s">
        <v>4638</v>
      </c>
      <c r="K937" t="s">
        <v>53</v>
      </c>
      <c r="L937">
        <v>32712</v>
      </c>
      <c r="M937" t="s">
        <v>29</v>
      </c>
      <c r="N937" t="s">
        <v>4639</v>
      </c>
      <c r="O937" t="s">
        <v>45</v>
      </c>
      <c r="P937" t="s">
        <v>74</v>
      </c>
      <c r="Q937" t="s">
        <v>4640</v>
      </c>
      <c r="R937">
        <v>2.952</v>
      </c>
      <c r="S937">
        <v>2</v>
      </c>
      <c r="T937">
        <v>0.7</v>
      </c>
      <c r="U937">
        <v>-2.1648000000000001</v>
      </c>
      <c r="V937" t="str">
        <f t="shared" si="14"/>
        <v>Roy Phan</v>
      </c>
      <c r="W937">
        <f>Table2[Profit]/Table2[Sales]</f>
        <v>-0.73333333333333339</v>
      </c>
    </row>
    <row r="938" spans="1:23" x14ac:dyDescent="0.25">
      <c r="A938">
        <v>937</v>
      </c>
      <c r="B938" t="s">
        <v>4641</v>
      </c>
      <c r="C938" s="1">
        <v>42038</v>
      </c>
      <c r="D938" s="1">
        <v>42039</v>
      </c>
      <c r="E938" t="s">
        <v>185</v>
      </c>
      <c r="F938" t="s">
        <v>3769</v>
      </c>
      <c r="G938" t="s">
        <v>3770</v>
      </c>
      <c r="H938" t="s">
        <v>40</v>
      </c>
      <c r="I938" t="s">
        <v>26</v>
      </c>
      <c r="J938" t="s">
        <v>41</v>
      </c>
      <c r="K938" t="s">
        <v>42</v>
      </c>
      <c r="L938">
        <v>90008</v>
      </c>
      <c r="M938" t="s">
        <v>43</v>
      </c>
      <c r="N938" t="s">
        <v>4642</v>
      </c>
      <c r="O938" t="s">
        <v>31</v>
      </c>
      <c r="P938" t="s">
        <v>64</v>
      </c>
      <c r="Q938" t="s">
        <v>4643</v>
      </c>
      <c r="R938">
        <v>136.91999999999999</v>
      </c>
      <c r="S938">
        <v>4</v>
      </c>
      <c r="T938">
        <v>0</v>
      </c>
      <c r="U938">
        <v>41.076000000000001</v>
      </c>
      <c r="V938" t="str">
        <f t="shared" si="14"/>
        <v>Rick Wilson</v>
      </c>
      <c r="W938">
        <f>Table2[Profit]/Table2[Sales]</f>
        <v>0.30000000000000004</v>
      </c>
    </row>
    <row r="939" spans="1:23" x14ac:dyDescent="0.25">
      <c r="A939">
        <v>938</v>
      </c>
      <c r="B939" t="s">
        <v>4644</v>
      </c>
      <c r="C939" s="1">
        <v>43087</v>
      </c>
      <c r="D939" s="1">
        <v>43092</v>
      </c>
      <c r="E939" t="s">
        <v>49</v>
      </c>
      <c r="F939" t="s">
        <v>4645</v>
      </c>
      <c r="G939" t="s">
        <v>4646</v>
      </c>
      <c r="H939" t="s">
        <v>25</v>
      </c>
      <c r="I939" t="s">
        <v>26</v>
      </c>
      <c r="J939" t="s">
        <v>2311</v>
      </c>
      <c r="K939" t="s">
        <v>264</v>
      </c>
      <c r="L939">
        <v>11572</v>
      </c>
      <c r="M939" t="s">
        <v>145</v>
      </c>
      <c r="N939" t="s">
        <v>4647</v>
      </c>
      <c r="O939" t="s">
        <v>31</v>
      </c>
      <c r="P939" t="s">
        <v>64</v>
      </c>
      <c r="Q939" t="s">
        <v>4648</v>
      </c>
      <c r="R939">
        <v>18.96</v>
      </c>
      <c r="S939">
        <v>2</v>
      </c>
      <c r="T939">
        <v>0</v>
      </c>
      <c r="U939">
        <v>8.532</v>
      </c>
      <c r="V939" t="str">
        <f t="shared" si="14"/>
        <v>Duane Benoit</v>
      </c>
      <c r="W939">
        <f>Table2[Profit]/Table2[Sales]</f>
        <v>0.44999999999999996</v>
      </c>
    </row>
    <row r="940" spans="1:23" x14ac:dyDescent="0.25">
      <c r="A940">
        <v>939</v>
      </c>
      <c r="B940" t="s">
        <v>4649</v>
      </c>
      <c r="C940" s="1">
        <v>42689</v>
      </c>
      <c r="D940" s="1">
        <v>42696</v>
      </c>
      <c r="E940" t="s">
        <v>49</v>
      </c>
      <c r="F940" t="s">
        <v>348</v>
      </c>
      <c r="G940" t="s">
        <v>349</v>
      </c>
      <c r="H940" t="s">
        <v>40</v>
      </c>
      <c r="I940" t="s">
        <v>26</v>
      </c>
      <c r="J940" t="s">
        <v>41</v>
      </c>
      <c r="K940" t="s">
        <v>42</v>
      </c>
      <c r="L940">
        <v>90008</v>
      </c>
      <c r="M940" t="s">
        <v>43</v>
      </c>
      <c r="N940" t="s">
        <v>900</v>
      </c>
      <c r="O940" t="s">
        <v>70</v>
      </c>
      <c r="P940" t="s">
        <v>158</v>
      </c>
      <c r="Q940" t="s">
        <v>1760</v>
      </c>
      <c r="R940">
        <v>99.39</v>
      </c>
      <c r="S940">
        <v>3</v>
      </c>
      <c r="T940">
        <v>0</v>
      </c>
      <c r="U940">
        <v>40.749899999999997</v>
      </c>
      <c r="V940" t="str">
        <f t="shared" si="14"/>
        <v>Stewart Carmichael</v>
      </c>
      <c r="W940">
        <f>Table2[Profit]/Table2[Sales]</f>
        <v>0.41</v>
      </c>
    </row>
    <row r="941" spans="1:23" x14ac:dyDescent="0.25">
      <c r="A941">
        <v>940</v>
      </c>
      <c r="B941" t="s">
        <v>4650</v>
      </c>
      <c r="C941" s="1">
        <v>42919</v>
      </c>
      <c r="D941" s="1">
        <v>42922</v>
      </c>
      <c r="E941" t="s">
        <v>22</v>
      </c>
      <c r="F941" t="s">
        <v>3227</v>
      </c>
      <c r="G941" t="s">
        <v>3228</v>
      </c>
      <c r="H941" t="s">
        <v>40</v>
      </c>
      <c r="I941" t="s">
        <v>26</v>
      </c>
      <c r="J941" t="s">
        <v>181</v>
      </c>
      <c r="K941" t="s">
        <v>103</v>
      </c>
      <c r="L941">
        <v>77041</v>
      </c>
      <c r="M941" t="s">
        <v>104</v>
      </c>
      <c r="N941" t="s">
        <v>4651</v>
      </c>
      <c r="O941" t="s">
        <v>45</v>
      </c>
      <c r="P941" t="s">
        <v>89</v>
      </c>
      <c r="Q941" t="s">
        <v>4652</v>
      </c>
      <c r="R941">
        <v>273.89600000000002</v>
      </c>
      <c r="S941">
        <v>7</v>
      </c>
      <c r="T941">
        <v>0.2</v>
      </c>
      <c r="U941">
        <v>92.439899999999994</v>
      </c>
      <c r="V941" t="str">
        <f t="shared" si="14"/>
        <v>Frank Hawley</v>
      </c>
      <c r="W941">
        <f>Table2[Profit]/Table2[Sales]</f>
        <v>0.33749999999999997</v>
      </c>
    </row>
    <row r="942" spans="1:23" x14ac:dyDescent="0.25">
      <c r="A942">
        <v>941</v>
      </c>
      <c r="B942" t="s">
        <v>4653</v>
      </c>
      <c r="C942" s="1">
        <v>41654</v>
      </c>
      <c r="D942" s="1">
        <v>41656</v>
      </c>
      <c r="E942" t="s">
        <v>185</v>
      </c>
      <c r="F942" t="s">
        <v>4654</v>
      </c>
      <c r="G942" t="s">
        <v>4655</v>
      </c>
      <c r="H942" t="s">
        <v>25</v>
      </c>
      <c r="I942" t="s">
        <v>26</v>
      </c>
      <c r="J942" t="s">
        <v>3203</v>
      </c>
      <c r="K942" t="s">
        <v>1260</v>
      </c>
      <c r="L942">
        <v>30076</v>
      </c>
      <c r="M942" t="s">
        <v>29</v>
      </c>
      <c r="N942" t="s">
        <v>1010</v>
      </c>
      <c r="O942" t="s">
        <v>70</v>
      </c>
      <c r="P942" t="s">
        <v>158</v>
      </c>
      <c r="Q942" t="s">
        <v>1011</v>
      </c>
      <c r="R942">
        <v>149.94999999999999</v>
      </c>
      <c r="S942">
        <v>5</v>
      </c>
      <c r="T942">
        <v>0</v>
      </c>
      <c r="U942">
        <v>65.977999999999994</v>
      </c>
      <c r="V942" t="str">
        <f t="shared" si="14"/>
        <v>Erica Hackney</v>
      </c>
      <c r="W942">
        <f>Table2[Profit]/Table2[Sales]</f>
        <v>0.44</v>
      </c>
    </row>
    <row r="943" spans="1:23" x14ac:dyDescent="0.25">
      <c r="A943">
        <v>942</v>
      </c>
      <c r="B943" t="s">
        <v>4656</v>
      </c>
      <c r="C943" s="1">
        <v>42855</v>
      </c>
      <c r="D943" s="1">
        <v>42860</v>
      </c>
      <c r="E943" t="s">
        <v>49</v>
      </c>
      <c r="F943" t="s">
        <v>2912</v>
      </c>
      <c r="G943" t="s">
        <v>2913</v>
      </c>
      <c r="H943" t="s">
        <v>101</v>
      </c>
      <c r="I943" t="s">
        <v>26</v>
      </c>
      <c r="J943" t="s">
        <v>3392</v>
      </c>
      <c r="K943" t="s">
        <v>53</v>
      </c>
      <c r="L943">
        <v>33437</v>
      </c>
      <c r="M943" t="s">
        <v>29</v>
      </c>
      <c r="N943" t="s">
        <v>4657</v>
      </c>
      <c r="O943" t="s">
        <v>45</v>
      </c>
      <c r="P943" t="s">
        <v>46</v>
      </c>
      <c r="Q943" t="s">
        <v>4658</v>
      </c>
      <c r="R943">
        <v>4.6079999999999997</v>
      </c>
      <c r="S943">
        <v>2</v>
      </c>
      <c r="T943">
        <v>0.2</v>
      </c>
      <c r="U943">
        <v>1.6704000000000001</v>
      </c>
      <c r="V943" t="str">
        <f t="shared" si="14"/>
        <v>Ann Steele</v>
      </c>
      <c r="W943">
        <f>Table2[Profit]/Table2[Sales]</f>
        <v>0.36250000000000004</v>
      </c>
    </row>
    <row r="944" spans="1:23" x14ac:dyDescent="0.25">
      <c r="A944">
        <v>943</v>
      </c>
      <c r="B944" t="s">
        <v>4659</v>
      </c>
      <c r="C944" s="1">
        <v>42316</v>
      </c>
      <c r="D944" s="1">
        <v>42322</v>
      </c>
      <c r="E944" t="s">
        <v>49</v>
      </c>
      <c r="F944" t="s">
        <v>3756</v>
      </c>
      <c r="G944" t="s">
        <v>3757</v>
      </c>
      <c r="H944" t="s">
        <v>25</v>
      </c>
      <c r="I944" t="s">
        <v>26</v>
      </c>
      <c r="J944" t="s">
        <v>606</v>
      </c>
      <c r="K944" t="s">
        <v>1233</v>
      </c>
      <c r="L944">
        <v>2038</v>
      </c>
      <c r="M944" t="s">
        <v>145</v>
      </c>
      <c r="N944" t="s">
        <v>1454</v>
      </c>
      <c r="O944" t="s">
        <v>45</v>
      </c>
      <c r="P944" t="s">
        <v>67</v>
      </c>
      <c r="Q944" t="s">
        <v>1455</v>
      </c>
      <c r="R944">
        <v>11.65</v>
      </c>
      <c r="S944">
        <v>5</v>
      </c>
      <c r="T944">
        <v>0</v>
      </c>
      <c r="U944">
        <v>3.3784999999999998</v>
      </c>
      <c r="V944" t="str">
        <f t="shared" si="14"/>
        <v>Helen Abelman</v>
      </c>
      <c r="W944">
        <f>Table2[Profit]/Table2[Sales]</f>
        <v>0.28999999999999998</v>
      </c>
    </row>
    <row r="945" spans="1:23" x14ac:dyDescent="0.25">
      <c r="A945">
        <v>944</v>
      </c>
      <c r="B945" t="s">
        <v>4660</v>
      </c>
      <c r="C945" s="1">
        <v>42307</v>
      </c>
      <c r="D945" s="1">
        <v>42309</v>
      </c>
      <c r="E945" t="s">
        <v>22</v>
      </c>
      <c r="F945" t="s">
        <v>4492</v>
      </c>
      <c r="G945" t="s">
        <v>4493</v>
      </c>
      <c r="H945" t="s">
        <v>101</v>
      </c>
      <c r="I945" t="s">
        <v>26</v>
      </c>
      <c r="J945" t="s">
        <v>873</v>
      </c>
      <c r="K945" t="s">
        <v>235</v>
      </c>
      <c r="L945">
        <v>48227</v>
      </c>
      <c r="M945" t="s">
        <v>104</v>
      </c>
      <c r="N945" t="s">
        <v>4661</v>
      </c>
      <c r="O945" t="s">
        <v>70</v>
      </c>
      <c r="P945" t="s">
        <v>71</v>
      </c>
      <c r="Q945" t="s">
        <v>4662</v>
      </c>
      <c r="R945">
        <v>299.89999999999998</v>
      </c>
      <c r="S945">
        <v>2</v>
      </c>
      <c r="T945">
        <v>0</v>
      </c>
      <c r="U945">
        <v>74.974999999999994</v>
      </c>
      <c r="V945" t="str">
        <f t="shared" si="14"/>
        <v>Cathy Hwang</v>
      </c>
      <c r="W945">
        <f>Table2[Profit]/Table2[Sales]</f>
        <v>0.25</v>
      </c>
    </row>
    <row r="946" spans="1:23" x14ac:dyDescent="0.25">
      <c r="A946">
        <v>945</v>
      </c>
      <c r="B946" t="s">
        <v>4663</v>
      </c>
      <c r="C946" s="1">
        <v>42964</v>
      </c>
      <c r="D946" s="1">
        <v>42966</v>
      </c>
      <c r="E946" t="s">
        <v>185</v>
      </c>
      <c r="F946" t="s">
        <v>4664</v>
      </c>
      <c r="G946" t="s">
        <v>4665</v>
      </c>
      <c r="H946" t="s">
        <v>40</v>
      </c>
      <c r="I946" t="s">
        <v>26</v>
      </c>
      <c r="J946" t="s">
        <v>4017</v>
      </c>
      <c r="K946" t="s">
        <v>264</v>
      </c>
      <c r="L946">
        <v>13601</v>
      </c>
      <c r="M946" t="s">
        <v>145</v>
      </c>
      <c r="N946" t="s">
        <v>4666</v>
      </c>
      <c r="O946" t="s">
        <v>45</v>
      </c>
      <c r="P946" t="s">
        <v>74</v>
      </c>
      <c r="Q946" t="s">
        <v>4667</v>
      </c>
      <c r="R946">
        <v>895.92</v>
      </c>
      <c r="S946">
        <v>5</v>
      </c>
      <c r="T946">
        <v>0.2</v>
      </c>
      <c r="U946">
        <v>302.37299999999999</v>
      </c>
      <c r="V946" t="str">
        <f t="shared" si="14"/>
        <v>Edward Hooks</v>
      </c>
      <c r="W946">
        <f>Table2[Profit]/Table2[Sales]</f>
        <v>0.33750000000000002</v>
      </c>
    </row>
    <row r="947" spans="1:23" x14ac:dyDescent="0.25">
      <c r="A947">
        <v>946</v>
      </c>
      <c r="B947" t="s">
        <v>4670</v>
      </c>
      <c r="C947" s="1">
        <v>42280</v>
      </c>
      <c r="D947" s="1">
        <v>42286</v>
      </c>
      <c r="E947" t="s">
        <v>49</v>
      </c>
      <c r="F947" t="s">
        <v>766</v>
      </c>
      <c r="G947" t="s">
        <v>767</v>
      </c>
      <c r="H947" t="s">
        <v>40</v>
      </c>
      <c r="I947" t="s">
        <v>26</v>
      </c>
      <c r="J947" t="s">
        <v>4671</v>
      </c>
      <c r="K947" t="s">
        <v>144</v>
      </c>
      <c r="L947">
        <v>19601</v>
      </c>
      <c r="M947" t="s">
        <v>145</v>
      </c>
      <c r="N947" t="s">
        <v>4672</v>
      </c>
      <c r="O947" t="s">
        <v>45</v>
      </c>
      <c r="P947" t="s">
        <v>58</v>
      </c>
      <c r="Q947" t="s">
        <v>2618</v>
      </c>
      <c r="R947">
        <v>15.007999999999999</v>
      </c>
      <c r="S947">
        <v>2</v>
      </c>
      <c r="T947">
        <v>0.2</v>
      </c>
      <c r="U947">
        <v>1.5007999999999999</v>
      </c>
      <c r="V947" t="str">
        <f t="shared" si="14"/>
        <v>Mary Zewe</v>
      </c>
      <c r="W947">
        <f>Table2[Profit]/Table2[Sales]</f>
        <v>0.1</v>
      </c>
    </row>
    <row r="948" spans="1:23" x14ac:dyDescent="0.25">
      <c r="A948">
        <v>947</v>
      </c>
      <c r="B948" t="s">
        <v>4673</v>
      </c>
      <c r="C948" s="1">
        <v>42559</v>
      </c>
      <c r="D948" s="1">
        <v>42561</v>
      </c>
      <c r="E948" t="s">
        <v>22</v>
      </c>
      <c r="F948" t="s">
        <v>4674</v>
      </c>
      <c r="G948" t="s">
        <v>4675</v>
      </c>
      <c r="H948" t="s">
        <v>40</v>
      </c>
      <c r="I948" t="s">
        <v>26</v>
      </c>
      <c r="J948" t="s">
        <v>1119</v>
      </c>
      <c r="K948" t="s">
        <v>103</v>
      </c>
      <c r="L948">
        <v>76017</v>
      </c>
      <c r="M948" t="s">
        <v>104</v>
      </c>
      <c r="N948" t="s">
        <v>4676</v>
      </c>
      <c r="O948" t="s">
        <v>70</v>
      </c>
      <c r="P948" t="s">
        <v>71</v>
      </c>
      <c r="Q948" t="s">
        <v>4677</v>
      </c>
      <c r="R948">
        <v>863.64</v>
      </c>
      <c r="S948">
        <v>9</v>
      </c>
      <c r="T948">
        <v>0.2</v>
      </c>
      <c r="U948">
        <v>107.955</v>
      </c>
      <c r="V948" t="str">
        <f t="shared" si="14"/>
        <v>Scot Coram</v>
      </c>
      <c r="W948">
        <f>Table2[Profit]/Table2[Sales]</f>
        <v>0.125</v>
      </c>
    </row>
    <row r="949" spans="1:23" x14ac:dyDescent="0.25">
      <c r="A949">
        <v>948</v>
      </c>
      <c r="B949" t="s">
        <v>4678</v>
      </c>
      <c r="C949" s="1">
        <v>43074</v>
      </c>
      <c r="D949" s="1">
        <v>43076</v>
      </c>
      <c r="E949" t="s">
        <v>22</v>
      </c>
      <c r="F949" t="s">
        <v>2203</v>
      </c>
      <c r="G949" t="s">
        <v>2204</v>
      </c>
      <c r="H949" t="s">
        <v>25</v>
      </c>
      <c r="I949" t="s">
        <v>26</v>
      </c>
      <c r="J949" t="s">
        <v>941</v>
      </c>
      <c r="K949" t="s">
        <v>42</v>
      </c>
      <c r="L949">
        <v>92024</v>
      </c>
      <c r="M949" t="s">
        <v>43</v>
      </c>
      <c r="N949" t="s">
        <v>1310</v>
      </c>
      <c r="O949" t="s">
        <v>45</v>
      </c>
      <c r="P949" t="s">
        <v>89</v>
      </c>
      <c r="Q949" t="s">
        <v>1311</v>
      </c>
      <c r="R949">
        <v>92.94</v>
      </c>
      <c r="S949">
        <v>3</v>
      </c>
      <c r="T949">
        <v>0</v>
      </c>
      <c r="U949">
        <v>41.823</v>
      </c>
      <c r="V949" t="str">
        <f t="shared" si="14"/>
        <v>Naresj Patel</v>
      </c>
      <c r="W949">
        <f>Table2[Profit]/Table2[Sales]</f>
        <v>0.45</v>
      </c>
    </row>
    <row r="950" spans="1:23" x14ac:dyDescent="0.25">
      <c r="A950">
        <v>949</v>
      </c>
      <c r="B950" t="s">
        <v>4679</v>
      </c>
      <c r="C950" s="1">
        <v>42803</v>
      </c>
      <c r="D950" s="1">
        <v>42807</v>
      </c>
      <c r="E950" t="s">
        <v>49</v>
      </c>
      <c r="F950" t="s">
        <v>2868</v>
      </c>
      <c r="G950" t="s">
        <v>2869</v>
      </c>
      <c r="H950" t="s">
        <v>40</v>
      </c>
      <c r="I950" t="s">
        <v>26</v>
      </c>
      <c r="J950" t="s">
        <v>126</v>
      </c>
      <c r="K950" t="s">
        <v>42</v>
      </c>
      <c r="L950">
        <v>94110</v>
      </c>
      <c r="M950" t="s">
        <v>43</v>
      </c>
      <c r="N950" t="s">
        <v>1168</v>
      </c>
      <c r="O950" t="s">
        <v>70</v>
      </c>
      <c r="P950" t="s">
        <v>158</v>
      </c>
      <c r="Q950" t="s">
        <v>1169</v>
      </c>
      <c r="R950">
        <v>199.98</v>
      </c>
      <c r="S950">
        <v>2</v>
      </c>
      <c r="T950">
        <v>0</v>
      </c>
      <c r="U950">
        <v>69.992999999999995</v>
      </c>
      <c r="V950" t="str">
        <f t="shared" si="14"/>
        <v>Lindsay Williams</v>
      </c>
      <c r="W950">
        <f>Table2[Profit]/Table2[Sales]</f>
        <v>0.35</v>
      </c>
    </row>
    <row r="951" spans="1:23" x14ac:dyDescent="0.25">
      <c r="A951">
        <v>950</v>
      </c>
      <c r="B951" t="s">
        <v>4680</v>
      </c>
      <c r="C951" s="1">
        <v>42530</v>
      </c>
      <c r="D951" s="1">
        <v>42536</v>
      </c>
      <c r="E951" t="s">
        <v>49</v>
      </c>
      <c r="F951" t="s">
        <v>3398</v>
      </c>
      <c r="G951" t="s">
        <v>3399</v>
      </c>
      <c r="H951" t="s">
        <v>25</v>
      </c>
      <c r="I951" t="s">
        <v>26</v>
      </c>
      <c r="J951" t="s">
        <v>41</v>
      </c>
      <c r="K951" t="s">
        <v>42</v>
      </c>
      <c r="L951">
        <v>90045</v>
      </c>
      <c r="M951" t="s">
        <v>43</v>
      </c>
      <c r="N951" t="s">
        <v>4681</v>
      </c>
      <c r="O951" t="s">
        <v>70</v>
      </c>
      <c r="P951" t="s">
        <v>71</v>
      </c>
      <c r="Q951" t="s">
        <v>4682</v>
      </c>
      <c r="R951">
        <v>177.48</v>
      </c>
      <c r="S951">
        <v>3</v>
      </c>
      <c r="T951">
        <v>0.2</v>
      </c>
      <c r="U951">
        <v>19.9665</v>
      </c>
      <c r="V951" t="str">
        <f t="shared" si="14"/>
        <v>Greg Matthias</v>
      </c>
      <c r="W951">
        <f>Table2[Profit]/Table2[Sales]</f>
        <v>0.1125</v>
      </c>
    </row>
    <row r="952" spans="1:23" x14ac:dyDescent="0.25">
      <c r="A952">
        <v>951</v>
      </c>
      <c r="B952" t="s">
        <v>4683</v>
      </c>
      <c r="C952" s="1">
        <v>43067</v>
      </c>
      <c r="D952" s="1">
        <v>43070</v>
      </c>
      <c r="E952" t="s">
        <v>185</v>
      </c>
      <c r="F952" t="s">
        <v>2464</v>
      </c>
      <c r="G952" t="s">
        <v>2465</v>
      </c>
      <c r="H952" t="s">
        <v>25</v>
      </c>
      <c r="I952" t="s">
        <v>26</v>
      </c>
      <c r="J952" t="s">
        <v>800</v>
      </c>
      <c r="K952" t="s">
        <v>450</v>
      </c>
      <c r="L952">
        <v>80219</v>
      </c>
      <c r="M952" t="s">
        <v>43</v>
      </c>
      <c r="N952" t="s">
        <v>1600</v>
      </c>
      <c r="O952" t="s">
        <v>45</v>
      </c>
      <c r="P952" t="s">
        <v>89</v>
      </c>
      <c r="Q952" t="s">
        <v>1601</v>
      </c>
      <c r="R952">
        <v>88.768000000000001</v>
      </c>
      <c r="S952">
        <v>2</v>
      </c>
      <c r="T952">
        <v>0.2</v>
      </c>
      <c r="U952">
        <v>31.0688</v>
      </c>
      <c r="V952" t="str">
        <f t="shared" si="14"/>
        <v>Rick Hansen</v>
      </c>
      <c r="W952">
        <f>Table2[Profit]/Table2[Sales]</f>
        <v>0.35</v>
      </c>
    </row>
    <row r="953" spans="1:23" x14ac:dyDescent="0.25">
      <c r="A953">
        <v>952</v>
      </c>
      <c r="B953" t="s">
        <v>4684</v>
      </c>
      <c r="C953" s="1">
        <v>42810</v>
      </c>
      <c r="D953" s="1">
        <v>42812</v>
      </c>
      <c r="E953" t="s">
        <v>22</v>
      </c>
      <c r="F953" t="s">
        <v>778</v>
      </c>
      <c r="G953" t="s">
        <v>779</v>
      </c>
      <c r="H953" t="s">
        <v>101</v>
      </c>
      <c r="I953" t="s">
        <v>26</v>
      </c>
      <c r="J953" t="s">
        <v>94</v>
      </c>
      <c r="K953" t="s">
        <v>95</v>
      </c>
      <c r="L953">
        <v>98105</v>
      </c>
      <c r="M953" t="s">
        <v>43</v>
      </c>
      <c r="N953" t="s">
        <v>4685</v>
      </c>
      <c r="O953" t="s">
        <v>45</v>
      </c>
      <c r="P953" t="s">
        <v>89</v>
      </c>
      <c r="Q953" t="s">
        <v>4686</v>
      </c>
      <c r="R953">
        <v>6.48</v>
      </c>
      <c r="S953">
        <v>1</v>
      </c>
      <c r="T953">
        <v>0</v>
      </c>
      <c r="U953">
        <v>3.1103999999999998</v>
      </c>
      <c r="V953" t="str">
        <f t="shared" si="14"/>
        <v>Valerie Mitchum</v>
      </c>
      <c r="W953">
        <f>Table2[Profit]/Table2[Sales]</f>
        <v>0.47999999999999993</v>
      </c>
    </row>
    <row r="954" spans="1:23" x14ac:dyDescent="0.25">
      <c r="A954">
        <v>953</v>
      </c>
      <c r="B954" t="s">
        <v>4687</v>
      </c>
      <c r="C954" s="1">
        <v>42701</v>
      </c>
      <c r="D954" s="1">
        <v>42703</v>
      </c>
      <c r="E954" t="s">
        <v>22</v>
      </c>
      <c r="F954" t="s">
        <v>959</v>
      </c>
      <c r="G954" t="s">
        <v>960</v>
      </c>
      <c r="H954" t="s">
        <v>25</v>
      </c>
      <c r="I954" t="s">
        <v>26</v>
      </c>
      <c r="J954" t="s">
        <v>616</v>
      </c>
      <c r="K954" t="s">
        <v>303</v>
      </c>
      <c r="L954">
        <v>85254</v>
      </c>
      <c r="M954" t="s">
        <v>43</v>
      </c>
      <c r="N954" t="s">
        <v>4688</v>
      </c>
      <c r="O954" t="s">
        <v>70</v>
      </c>
      <c r="P954" t="s">
        <v>71</v>
      </c>
      <c r="Q954" t="s">
        <v>4689</v>
      </c>
      <c r="R954">
        <v>271.99200000000002</v>
      </c>
      <c r="S954">
        <v>1</v>
      </c>
      <c r="T954">
        <v>0.2</v>
      </c>
      <c r="U954">
        <v>23.799299999999999</v>
      </c>
      <c r="V954" t="str">
        <f t="shared" si="14"/>
        <v>Craig Carreira</v>
      </c>
      <c r="W954">
        <f>Table2[Profit]/Table2[Sales]</f>
        <v>8.7499999999999994E-2</v>
      </c>
    </row>
    <row r="955" spans="1:23" x14ac:dyDescent="0.25">
      <c r="A955">
        <v>954</v>
      </c>
      <c r="B955" t="s">
        <v>4690</v>
      </c>
      <c r="C955" s="1">
        <v>42953</v>
      </c>
      <c r="D955" s="1">
        <v>42957</v>
      </c>
      <c r="E955" t="s">
        <v>22</v>
      </c>
      <c r="F955" t="s">
        <v>2272</v>
      </c>
      <c r="G955" t="s">
        <v>2273</v>
      </c>
      <c r="H955" t="s">
        <v>25</v>
      </c>
      <c r="I955" t="s">
        <v>26</v>
      </c>
      <c r="J955" t="s">
        <v>4182</v>
      </c>
      <c r="K955" t="s">
        <v>729</v>
      </c>
      <c r="L955">
        <v>70506</v>
      </c>
      <c r="M955" t="s">
        <v>29</v>
      </c>
      <c r="N955" t="s">
        <v>4691</v>
      </c>
      <c r="O955" t="s">
        <v>31</v>
      </c>
      <c r="P955" t="s">
        <v>32</v>
      </c>
      <c r="Q955" t="s">
        <v>4692</v>
      </c>
      <c r="R955">
        <v>145.74</v>
      </c>
      <c r="S955">
        <v>3</v>
      </c>
      <c r="T955">
        <v>0</v>
      </c>
      <c r="U955">
        <v>23.3184</v>
      </c>
      <c r="V955" t="str">
        <f t="shared" si="14"/>
        <v>Seth Vernon</v>
      </c>
      <c r="W955">
        <f>Table2[Profit]/Table2[Sales]</f>
        <v>0.16</v>
      </c>
    </row>
    <row r="956" spans="1:23" x14ac:dyDescent="0.25">
      <c r="A956">
        <v>955</v>
      </c>
      <c r="B956" t="s">
        <v>4693</v>
      </c>
      <c r="C956" s="1">
        <v>43066</v>
      </c>
      <c r="D956" s="1">
        <v>43072</v>
      </c>
      <c r="E956" t="s">
        <v>49</v>
      </c>
      <c r="F956" t="s">
        <v>2868</v>
      </c>
      <c r="G956" t="s">
        <v>2869</v>
      </c>
      <c r="H956" t="s">
        <v>40</v>
      </c>
      <c r="I956" t="s">
        <v>26</v>
      </c>
      <c r="J956" t="s">
        <v>126</v>
      </c>
      <c r="K956" t="s">
        <v>42</v>
      </c>
      <c r="L956">
        <v>94109</v>
      </c>
      <c r="M956" t="s">
        <v>43</v>
      </c>
      <c r="N956" t="s">
        <v>4543</v>
      </c>
      <c r="O956" t="s">
        <v>45</v>
      </c>
      <c r="P956" t="s">
        <v>89</v>
      </c>
      <c r="Q956" t="s">
        <v>4544</v>
      </c>
      <c r="R956">
        <v>244.55</v>
      </c>
      <c r="S956">
        <v>5</v>
      </c>
      <c r="T956">
        <v>0</v>
      </c>
      <c r="U956">
        <v>114.9385</v>
      </c>
      <c r="V956" t="str">
        <f t="shared" si="14"/>
        <v>Lindsay Williams</v>
      </c>
      <c r="W956">
        <f>Table2[Profit]/Table2[Sales]</f>
        <v>0.47</v>
      </c>
    </row>
    <row r="957" spans="1:23" x14ac:dyDescent="0.25">
      <c r="A957">
        <v>956</v>
      </c>
      <c r="B957" t="s">
        <v>4696</v>
      </c>
      <c r="C957" s="1">
        <v>42149</v>
      </c>
      <c r="D957" s="1">
        <v>42151</v>
      </c>
      <c r="E957" t="s">
        <v>22</v>
      </c>
      <c r="F957" t="s">
        <v>3875</v>
      </c>
      <c r="G957" t="s">
        <v>3876</v>
      </c>
      <c r="H957" t="s">
        <v>101</v>
      </c>
      <c r="I957" t="s">
        <v>26</v>
      </c>
      <c r="J957" t="s">
        <v>126</v>
      </c>
      <c r="K957" t="s">
        <v>42</v>
      </c>
      <c r="L957">
        <v>94109</v>
      </c>
      <c r="M957" t="s">
        <v>43</v>
      </c>
      <c r="N957" t="s">
        <v>3341</v>
      </c>
      <c r="O957" t="s">
        <v>31</v>
      </c>
      <c r="P957" t="s">
        <v>64</v>
      </c>
      <c r="Q957" t="s">
        <v>3342</v>
      </c>
      <c r="R957">
        <v>14.73</v>
      </c>
      <c r="S957">
        <v>3</v>
      </c>
      <c r="T957">
        <v>0</v>
      </c>
      <c r="U957">
        <v>4.8609</v>
      </c>
      <c r="V957" t="str">
        <f t="shared" si="14"/>
        <v>Nora Pelletier</v>
      </c>
      <c r="W957">
        <f>Table2[Profit]/Table2[Sales]</f>
        <v>0.33</v>
      </c>
    </row>
    <row r="958" spans="1:23" x14ac:dyDescent="0.25">
      <c r="A958">
        <v>957</v>
      </c>
      <c r="B958" t="s">
        <v>4697</v>
      </c>
      <c r="C958" s="1">
        <v>42559</v>
      </c>
      <c r="D958" s="1">
        <v>42563</v>
      </c>
      <c r="E958" t="s">
        <v>49</v>
      </c>
      <c r="F958" t="s">
        <v>4698</v>
      </c>
      <c r="G958" t="s">
        <v>4699</v>
      </c>
      <c r="H958" t="s">
        <v>25</v>
      </c>
      <c r="I958" t="s">
        <v>26</v>
      </c>
      <c r="J958" t="s">
        <v>4700</v>
      </c>
      <c r="K958" t="s">
        <v>450</v>
      </c>
      <c r="L958">
        <v>80020</v>
      </c>
      <c r="M958" t="s">
        <v>43</v>
      </c>
      <c r="N958" t="s">
        <v>4701</v>
      </c>
      <c r="O958" t="s">
        <v>45</v>
      </c>
      <c r="P958" t="s">
        <v>74</v>
      </c>
      <c r="Q958" t="s">
        <v>4702</v>
      </c>
      <c r="R958">
        <v>19.968</v>
      </c>
      <c r="S958">
        <v>2</v>
      </c>
      <c r="T958">
        <v>0.7</v>
      </c>
      <c r="U958">
        <v>-13.311999999999999</v>
      </c>
      <c r="V958" t="str">
        <f t="shared" si="14"/>
        <v>Joe Elijah</v>
      </c>
      <c r="W958">
        <f>Table2[Profit]/Table2[Sales]</f>
        <v>-0.66666666666666663</v>
      </c>
    </row>
    <row r="959" spans="1:23" x14ac:dyDescent="0.25">
      <c r="A959">
        <v>958</v>
      </c>
      <c r="B959" t="s">
        <v>4705</v>
      </c>
      <c r="C959" s="1">
        <v>42976</v>
      </c>
      <c r="D959" s="1">
        <v>42979</v>
      </c>
      <c r="E959" t="s">
        <v>185</v>
      </c>
      <c r="F959" t="s">
        <v>3594</v>
      </c>
      <c r="G959" t="s">
        <v>3595</v>
      </c>
      <c r="H959" t="s">
        <v>40</v>
      </c>
      <c r="I959" t="s">
        <v>26</v>
      </c>
      <c r="J959" t="s">
        <v>1309</v>
      </c>
      <c r="K959" t="s">
        <v>208</v>
      </c>
      <c r="L959">
        <v>62301</v>
      </c>
      <c r="M959" t="s">
        <v>104</v>
      </c>
      <c r="N959" t="s">
        <v>843</v>
      </c>
      <c r="O959" t="s">
        <v>45</v>
      </c>
      <c r="P959" t="s">
        <v>46</v>
      </c>
      <c r="Q959" t="s">
        <v>844</v>
      </c>
      <c r="R959">
        <v>47.36</v>
      </c>
      <c r="S959">
        <v>4</v>
      </c>
      <c r="T959">
        <v>0.2</v>
      </c>
      <c r="U959">
        <v>17.760000000000002</v>
      </c>
      <c r="V959" t="str">
        <f t="shared" si="14"/>
        <v>Cathy Prescott</v>
      </c>
      <c r="W959">
        <f>Table2[Profit]/Table2[Sales]</f>
        <v>0.37500000000000006</v>
      </c>
    </row>
    <row r="960" spans="1:23" x14ac:dyDescent="0.25">
      <c r="A960">
        <v>959</v>
      </c>
      <c r="B960" t="s">
        <v>4706</v>
      </c>
      <c r="C960" s="1">
        <v>42541</v>
      </c>
      <c r="D960" s="1">
        <v>42547</v>
      </c>
      <c r="E960" t="s">
        <v>49</v>
      </c>
      <c r="F960" t="s">
        <v>888</v>
      </c>
      <c r="G960" t="s">
        <v>889</v>
      </c>
      <c r="H960" t="s">
        <v>40</v>
      </c>
      <c r="I960" t="s">
        <v>26</v>
      </c>
      <c r="J960" t="s">
        <v>4128</v>
      </c>
      <c r="K960" t="s">
        <v>103</v>
      </c>
      <c r="L960">
        <v>75007</v>
      </c>
      <c r="M960" t="s">
        <v>104</v>
      </c>
      <c r="N960" t="s">
        <v>3911</v>
      </c>
      <c r="O960" t="s">
        <v>70</v>
      </c>
      <c r="P960" t="s">
        <v>158</v>
      </c>
      <c r="Q960" t="s">
        <v>3912</v>
      </c>
      <c r="R960">
        <v>95.968000000000004</v>
      </c>
      <c r="S960">
        <v>4</v>
      </c>
      <c r="T960">
        <v>0.2</v>
      </c>
      <c r="U960">
        <v>26.391200000000001</v>
      </c>
      <c r="V960" t="str">
        <f t="shared" si="14"/>
        <v>Erin Ashbrook</v>
      </c>
      <c r="W960">
        <f>Table2[Profit]/Table2[Sales]</f>
        <v>0.27500000000000002</v>
      </c>
    </row>
    <row r="961" spans="1:23" x14ac:dyDescent="0.25">
      <c r="A961">
        <v>960</v>
      </c>
      <c r="B961" t="s">
        <v>4707</v>
      </c>
      <c r="C961" s="1">
        <v>42980</v>
      </c>
      <c r="D961" s="1">
        <v>42984</v>
      </c>
      <c r="E961" t="s">
        <v>49</v>
      </c>
      <c r="F961" t="s">
        <v>4708</v>
      </c>
      <c r="G961" t="s">
        <v>4709</v>
      </c>
      <c r="H961" t="s">
        <v>40</v>
      </c>
      <c r="I961" t="s">
        <v>26</v>
      </c>
      <c r="J961" t="s">
        <v>263</v>
      </c>
      <c r="K961" t="s">
        <v>264</v>
      </c>
      <c r="L961">
        <v>10009</v>
      </c>
      <c r="M961" t="s">
        <v>145</v>
      </c>
      <c r="N961" t="s">
        <v>1302</v>
      </c>
      <c r="O961" t="s">
        <v>45</v>
      </c>
      <c r="P961" t="s">
        <v>67</v>
      </c>
      <c r="Q961" t="s">
        <v>1303</v>
      </c>
      <c r="R961">
        <v>23.1</v>
      </c>
      <c r="S961">
        <v>2</v>
      </c>
      <c r="T961">
        <v>0</v>
      </c>
      <c r="U961">
        <v>6.468</v>
      </c>
      <c r="V961" t="str">
        <f t="shared" si="14"/>
        <v>Ann Chong</v>
      </c>
      <c r="W961">
        <f>Table2[Profit]/Table2[Sales]</f>
        <v>0.27999999999999997</v>
      </c>
    </row>
    <row r="962" spans="1:23" x14ac:dyDescent="0.25">
      <c r="A962">
        <v>961</v>
      </c>
      <c r="B962" t="s">
        <v>4714</v>
      </c>
      <c r="C962" s="1">
        <v>42988</v>
      </c>
      <c r="D962" s="1">
        <v>42993</v>
      </c>
      <c r="E962" t="s">
        <v>22</v>
      </c>
      <c r="F962" t="s">
        <v>2898</v>
      </c>
      <c r="G962" t="s">
        <v>2899</v>
      </c>
      <c r="H962" t="s">
        <v>25</v>
      </c>
      <c r="I962" t="s">
        <v>26</v>
      </c>
      <c r="J962" t="s">
        <v>311</v>
      </c>
      <c r="K962" t="s">
        <v>590</v>
      </c>
      <c r="L962">
        <v>65807</v>
      </c>
      <c r="M962" t="s">
        <v>104</v>
      </c>
      <c r="N962" t="s">
        <v>3111</v>
      </c>
      <c r="O962" t="s">
        <v>45</v>
      </c>
      <c r="P962" t="s">
        <v>74</v>
      </c>
      <c r="Q962" t="s">
        <v>3112</v>
      </c>
      <c r="R962">
        <v>16.2</v>
      </c>
      <c r="S962">
        <v>3</v>
      </c>
      <c r="T962">
        <v>0</v>
      </c>
      <c r="U962">
        <v>7.7759999999999998</v>
      </c>
      <c r="V962" t="str">
        <f t="shared" si="14"/>
        <v>Robert Waldorf</v>
      </c>
      <c r="W962">
        <f>Table2[Profit]/Table2[Sales]</f>
        <v>0.48</v>
      </c>
    </row>
    <row r="963" spans="1:23" x14ac:dyDescent="0.25">
      <c r="A963">
        <v>962</v>
      </c>
      <c r="B963" t="s">
        <v>4723</v>
      </c>
      <c r="C963" s="1">
        <v>43090</v>
      </c>
      <c r="D963" s="1">
        <v>43097</v>
      </c>
      <c r="E963" t="s">
        <v>49</v>
      </c>
      <c r="F963" t="s">
        <v>1748</v>
      </c>
      <c r="G963" t="s">
        <v>1749</v>
      </c>
      <c r="H963" t="s">
        <v>25</v>
      </c>
      <c r="I963" t="s">
        <v>26</v>
      </c>
      <c r="J963" t="s">
        <v>4724</v>
      </c>
      <c r="K963" t="s">
        <v>781</v>
      </c>
      <c r="L963">
        <v>7501</v>
      </c>
      <c r="M963" t="s">
        <v>145</v>
      </c>
      <c r="N963" t="s">
        <v>2056</v>
      </c>
      <c r="O963" t="s">
        <v>70</v>
      </c>
      <c r="P963" t="s">
        <v>71</v>
      </c>
      <c r="Q963" t="s">
        <v>2057</v>
      </c>
      <c r="R963">
        <v>281.97000000000003</v>
      </c>
      <c r="S963">
        <v>3</v>
      </c>
      <c r="T963">
        <v>0</v>
      </c>
      <c r="U963">
        <v>78.951599999999999</v>
      </c>
      <c r="V963" t="str">
        <f t="shared" ref="V963:V1026" si="15">TRIM(G963)</f>
        <v>Dean Braden</v>
      </c>
      <c r="W963">
        <f>Table2[Profit]/Table2[Sales]</f>
        <v>0.27999999999999997</v>
      </c>
    </row>
    <row r="964" spans="1:23" x14ac:dyDescent="0.25">
      <c r="A964">
        <v>963</v>
      </c>
      <c r="B964" t="s">
        <v>4727</v>
      </c>
      <c r="C964" s="1">
        <v>43001</v>
      </c>
      <c r="D964" s="1">
        <v>43007</v>
      </c>
      <c r="E964" t="s">
        <v>49</v>
      </c>
      <c r="F964" t="s">
        <v>1844</v>
      </c>
      <c r="G964" t="s">
        <v>1845</v>
      </c>
      <c r="H964" t="s">
        <v>25</v>
      </c>
      <c r="I964" t="s">
        <v>26</v>
      </c>
      <c r="J964" t="s">
        <v>4454</v>
      </c>
      <c r="K964" t="s">
        <v>641</v>
      </c>
      <c r="L964">
        <v>74133</v>
      </c>
      <c r="M964" t="s">
        <v>104</v>
      </c>
      <c r="N964" t="s">
        <v>723</v>
      </c>
      <c r="O964" t="s">
        <v>70</v>
      </c>
      <c r="P964" t="s">
        <v>158</v>
      </c>
      <c r="Q964" t="s">
        <v>724</v>
      </c>
      <c r="R964">
        <v>291.95999999999998</v>
      </c>
      <c r="S964">
        <v>4</v>
      </c>
      <c r="T964">
        <v>0</v>
      </c>
      <c r="U964">
        <v>102.18600000000001</v>
      </c>
      <c r="V964" t="str">
        <f t="shared" si="15"/>
        <v>Bill Donatelli</v>
      </c>
      <c r="W964">
        <f>Table2[Profit]/Table2[Sales]</f>
        <v>0.35000000000000003</v>
      </c>
    </row>
    <row r="965" spans="1:23" x14ac:dyDescent="0.25">
      <c r="A965">
        <v>964</v>
      </c>
      <c r="B965" t="s">
        <v>4728</v>
      </c>
      <c r="C965" s="1">
        <v>42861</v>
      </c>
      <c r="D965" s="1">
        <v>42866</v>
      </c>
      <c r="E965" t="s">
        <v>49</v>
      </c>
      <c r="F965" t="s">
        <v>4387</v>
      </c>
      <c r="G965" t="s">
        <v>4388</v>
      </c>
      <c r="H965" t="s">
        <v>101</v>
      </c>
      <c r="I965" t="s">
        <v>26</v>
      </c>
      <c r="J965" t="s">
        <v>296</v>
      </c>
      <c r="K965" t="s">
        <v>208</v>
      </c>
      <c r="L965">
        <v>60623</v>
      </c>
      <c r="M965" t="s">
        <v>104</v>
      </c>
      <c r="N965" t="s">
        <v>4405</v>
      </c>
      <c r="O965" t="s">
        <v>45</v>
      </c>
      <c r="P965" t="s">
        <v>67</v>
      </c>
      <c r="Q965" t="s">
        <v>4406</v>
      </c>
      <c r="R965">
        <v>6.4080000000000004</v>
      </c>
      <c r="S965">
        <v>3</v>
      </c>
      <c r="T965">
        <v>0.2</v>
      </c>
      <c r="U965">
        <v>0.64080000000000004</v>
      </c>
      <c r="V965" t="str">
        <f t="shared" si="15"/>
        <v>Max Ludwig</v>
      </c>
      <c r="W965">
        <f>Table2[Profit]/Table2[Sales]</f>
        <v>0.1</v>
      </c>
    </row>
    <row r="966" spans="1:23" x14ac:dyDescent="0.25">
      <c r="A966">
        <v>965</v>
      </c>
      <c r="B966" t="s">
        <v>4729</v>
      </c>
      <c r="C966" s="1">
        <v>41987</v>
      </c>
      <c r="D966" s="1">
        <v>41992</v>
      </c>
      <c r="E966" t="s">
        <v>49</v>
      </c>
      <c r="F966" t="s">
        <v>4730</v>
      </c>
      <c r="G966" t="s">
        <v>4731</v>
      </c>
      <c r="H966" t="s">
        <v>25</v>
      </c>
      <c r="I966" t="s">
        <v>26</v>
      </c>
      <c r="J966" t="s">
        <v>296</v>
      </c>
      <c r="K966" t="s">
        <v>208</v>
      </c>
      <c r="L966">
        <v>60610</v>
      </c>
      <c r="M966" t="s">
        <v>104</v>
      </c>
      <c r="N966" t="s">
        <v>4732</v>
      </c>
      <c r="O966" t="s">
        <v>45</v>
      </c>
      <c r="P966" t="s">
        <v>74</v>
      </c>
      <c r="Q966" t="s">
        <v>4733</v>
      </c>
      <c r="R966">
        <v>5.1040000000000001</v>
      </c>
      <c r="S966">
        <v>4</v>
      </c>
      <c r="T966">
        <v>0.8</v>
      </c>
      <c r="U966">
        <v>-8.6768000000000001</v>
      </c>
      <c r="V966" t="str">
        <f t="shared" si="15"/>
        <v>Joy Daniels</v>
      </c>
      <c r="W966">
        <f>Table2[Profit]/Table2[Sales]</f>
        <v>-1.7</v>
      </c>
    </row>
    <row r="967" spans="1:23" x14ac:dyDescent="0.25">
      <c r="A967">
        <v>966</v>
      </c>
      <c r="B967" t="s">
        <v>4736</v>
      </c>
      <c r="C967" s="1">
        <v>41930</v>
      </c>
      <c r="D967" s="1">
        <v>41932</v>
      </c>
      <c r="E967" t="s">
        <v>22</v>
      </c>
      <c r="F967" t="s">
        <v>1100</v>
      </c>
      <c r="G967" t="s">
        <v>1101</v>
      </c>
      <c r="H967" t="s">
        <v>40</v>
      </c>
      <c r="I967" t="s">
        <v>26</v>
      </c>
      <c r="J967" t="s">
        <v>1793</v>
      </c>
      <c r="K967" t="s">
        <v>351</v>
      </c>
      <c r="L967">
        <v>36116</v>
      </c>
      <c r="M967" t="s">
        <v>29</v>
      </c>
      <c r="N967" t="s">
        <v>832</v>
      </c>
      <c r="O967" t="s">
        <v>45</v>
      </c>
      <c r="P967" t="s">
        <v>58</v>
      </c>
      <c r="Q967" t="s">
        <v>833</v>
      </c>
      <c r="R967">
        <v>275.97000000000003</v>
      </c>
      <c r="S967">
        <v>3</v>
      </c>
      <c r="T967">
        <v>0</v>
      </c>
      <c r="U967">
        <v>11.0388</v>
      </c>
      <c r="V967" t="str">
        <f t="shared" si="15"/>
        <v>Alan Schoenberger</v>
      </c>
      <c r="W967">
        <f>Table2[Profit]/Table2[Sales]</f>
        <v>3.9999999999999994E-2</v>
      </c>
    </row>
    <row r="968" spans="1:23" x14ac:dyDescent="0.25">
      <c r="A968">
        <v>967</v>
      </c>
      <c r="B968" t="s">
        <v>4739</v>
      </c>
      <c r="C968" s="1">
        <v>42132</v>
      </c>
      <c r="D968" s="1">
        <v>42136</v>
      </c>
      <c r="E968" t="s">
        <v>49</v>
      </c>
      <c r="F968" t="s">
        <v>1797</v>
      </c>
      <c r="G968" t="s">
        <v>1798</v>
      </c>
      <c r="H968" t="s">
        <v>25</v>
      </c>
      <c r="I968" t="s">
        <v>26</v>
      </c>
      <c r="J968" t="s">
        <v>1948</v>
      </c>
      <c r="K968" t="s">
        <v>413</v>
      </c>
      <c r="L968">
        <v>97301</v>
      </c>
      <c r="M968" t="s">
        <v>43</v>
      </c>
      <c r="N968" t="s">
        <v>4740</v>
      </c>
      <c r="O968" t="s">
        <v>45</v>
      </c>
      <c r="P968" t="s">
        <v>67</v>
      </c>
      <c r="Q968" t="s">
        <v>4741</v>
      </c>
      <c r="R968">
        <v>5.2480000000000002</v>
      </c>
      <c r="S968">
        <v>2</v>
      </c>
      <c r="T968">
        <v>0.2</v>
      </c>
      <c r="U968">
        <v>0.59040000000000004</v>
      </c>
      <c r="V968" t="str">
        <f t="shared" si="15"/>
        <v>Allen Armold</v>
      </c>
      <c r="W968">
        <f>Table2[Profit]/Table2[Sales]</f>
        <v>0.1125</v>
      </c>
    </row>
    <row r="969" spans="1:23" x14ac:dyDescent="0.25">
      <c r="A969">
        <v>968</v>
      </c>
      <c r="B969" t="s">
        <v>4742</v>
      </c>
      <c r="C969" s="1">
        <v>42474</v>
      </c>
      <c r="D969" s="1">
        <v>42474</v>
      </c>
      <c r="E969" t="s">
        <v>1278</v>
      </c>
      <c r="F969" t="s">
        <v>3668</v>
      </c>
      <c r="G969" t="s">
        <v>3669</v>
      </c>
      <c r="H969" t="s">
        <v>25</v>
      </c>
      <c r="I969" t="s">
        <v>26</v>
      </c>
      <c r="J969" t="s">
        <v>3860</v>
      </c>
      <c r="K969" t="s">
        <v>303</v>
      </c>
      <c r="L969">
        <v>85301</v>
      </c>
      <c r="M969" t="s">
        <v>43</v>
      </c>
      <c r="N969" t="s">
        <v>1128</v>
      </c>
      <c r="O969" t="s">
        <v>31</v>
      </c>
      <c r="P969" t="s">
        <v>35</v>
      </c>
      <c r="Q969" t="s">
        <v>1129</v>
      </c>
      <c r="R969">
        <v>933.53599999999994</v>
      </c>
      <c r="S969">
        <v>4</v>
      </c>
      <c r="T969">
        <v>0.2</v>
      </c>
      <c r="U969">
        <v>105.0228</v>
      </c>
      <c r="V969" t="str">
        <f t="shared" si="15"/>
        <v>Kean Takahito</v>
      </c>
      <c r="W969">
        <f>Table2[Profit]/Table2[Sales]</f>
        <v>0.11250000000000002</v>
      </c>
    </row>
    <row r="970" spans="1:23" x14ac:dyDescent="0.25">
      <c r="A970">
        <v>969</v>
      </c>
      <c r="B970" t="s">
        <v>4743</v>
      </c>
      <c r="C970" s="1">
        <v>42352</v>
      </c>
      <c r="D970" s="1">
        <v>42354</v>
      </c>
      <c r="E970" t="s">
        <v>22</v>
      </c>
      <c r="F970" t="s">
        <v>1307</v>
      </c>
      <c r="G970" t="s">
        <v>1308</v>
      </c>
      <c r="H970" t="s">
        <v>40</v>
      </c>
      <c r="I970" t="s">
        <v>26</v>
      </c>
      <c r="J970" t="s">
        <v>490</v>
      </c>
      <c r="K970" t="s">
        <v>1260</v>
      </c>
      <c r="L970">
        <v>31907</v>
      </c>
      <c r="M970" t="s">
        <v>29</v>
      </c>
      <c r="N970" t="s">
        <v>2395</v>
      </c>
      <c r="O970" t="s">
        <v>45</v>
      </c>
      <c r="P970" t="s">
        <v>74</v>
      </c>
      <c r="Q970" t="s">
        <v>2396</v>
      </c>
      <c r="R970">
        <v>3.76</v>
      </c>
      <c r="S970">
        <v>2</v>
      </c>
      <c r="T970">
        <v>0</v>
      </c>
      <c r="U970">
        <v>1.8048</v>
      </c>
      <c r="V970" t="str">
        <f t="shared" si="15"/>
        <v>Muhammed MacIntyre</v>
      </c>
      <c r="W970">
        <f>Table2[Profit]/Table2[Sales]</f>
        <v>0.48000000000000004</v>
      </c>
    </row>
    <row r="971" spans="1:23" x14ac:dyDescent="0.25">
      <c r="A971">
        <v>970</v>
      </c>
      <c r="B971" t="s">
        <v>4744</v>
      </c>
      <c r="C971" s="1">
        <v>41976</v>
      </c>
      <c r="D971" s="1">
        <v>41982</v>
      </c>
      <c r="E971" t="s">
        <v>49</v>
      </c>
      <c r="F971" t="s">
        <v>1354</v>
      </c>
      <c r="G971" t="s">
        <v>1355</v>
      </c>
      <c r="H971" t="s">
        <v>25</v>
      </c>
      <c r="I971" t="s">
        <v>26</v>
      </c>
      <c r="J971" t="s">
        <v>4745</v>
      </c>
      <c r="K971" t="s">
        <v>641</v>
      </c>
      <c r="L971">
        <v>73120</v>
      </c>
      <c r="M971" t="s">
        <v>104</v>
      </c>
      <c r="N971" t="s">
        <v>4746</v>
      </c>
      <c r="O971" t="s">
        <v>70</v>
      </c>
      <c r="P971" t="s">
        <v>71</v>
      </c>
      <c r="Q971" t="s">
        <v>4747</v>
      </c>
      <c r="R971">
        <v>479.96</v>
      </c>
      <c r="S971">
        <v>4</v>
      </c>
      <c r="T971">
        <v>0</v>
      </c>
      <c r="U971">
        <v>134.3888</v>
      </c>
      <c r="V971" t="str">
        <f t="shared" si="15"/>
        <v>Nathan Gelder</v>
      </c>
      <c r="W971">
        <f>Table2[Profit]/Table2[Sales]</f>
        <v>0.28000000000000003</v>
      </c>
    </row>
    <row r="972" spans="1:23" x14ac:dyDescent="0.25">
      <c r="A972">
        <v>971</v>
      </c>
      <c r="B972" t="s">
        <v>4748</v>
      </c>
      <c r="C972" s="1">
        <v>41968</v>
      </c>
      <c r="D972" s="1">
        <v>41970</v>
      </c>
      <c r="E972" t="s">
        <v>22</v>
      </c>
      <c r="F972" t="s">
        <v>3569</v>
      </c>
      <c r="G972" t="s">
        <v>3570</v>
      </c>
      <c r="H972" t="s">
        <v>40</v>
      </c>
      <c r="I972" t="s">
        <v>26</v>
      </c>
      <c r="J972" t="s">
        <v>983</v>
      </c>
      <c r="K972" t="s">
        <v>42</v>
      </c>
      <c r="L972">
        <v>94513</v>
      </c>
      <c r="M972" t="s">
        <v>43</v>
      </c>
      <c r="N972" t="s">
        <v>2506</v>
      </c>
      <c r="O972" t="s">
        <v>45</v>
      </c>
      <c r="P972" t="s">
        <v>77</v>
      </c>
      <c r="Q972" t="s">
        <v>2507</v>
      </c>
      <c r="R972">
        <v>320.88</v>
      </c>
      <c r="S972">
        <v>6</v>
      </c>
      <c r="T972">
        <v>0</v>
      </c>
      <c r="U972">
        <v>93.055199999999999</v>
      </c>
      <c r="V972" t="str">
        <f t="shared" si="15"/>
        <v>Laurel Workman</v>
      </c>
      <c r="W972">
        <f>Table2[Profit]/Table2[Sales]</f>
        <v>0.28999999999999998</v>
      </c>
    </row>
    <row r="973" spans="1:23" x14ac:dyDescent="0.25">
      <c r="A973">
        <v>972</v>
      </c>
      <c r="B973" t="s">
        <v>4749</v>
      </c>
      <c r="C973" s="1">
        <v>42576</v>
      </c>
      <c r="D973" s="1">
        <v>42578</v>
      </c>
      <c r="E973" t="s">
        <v>185</v>
      </c>
      <c r="F973" t="s">
        <v>4750</v>
      </c>
      <c r="G973" t="s">
        <v>4751</v>
      </c>
      <c r="H973" t="s">
        <v>25</v>
      </c>
      <c r="I973" t="s">
        <v>26</v>
      </c>
      <c r="J973" t="s">
        <v>490</v>
      </c>
      <c r="K973" t="s">
        <v>491</v>
      </c>
      <c r="L973">
        <v>43229</v>
      </c>
      <c r="M973" t="s">
        <v>145</v>
      </c>
      <c r="N973" t="s">
        <v>1203</v>
      </c>
      <c r="O973" t="s">
        <v>70</v>
      </c>
      <c r="P973" t="s">
        <v>1204</v>
      </c>
      <c r="Q973" t="s">
        <v>1205</v>
      </c>
      <c r="R973">
        <v>1439.9760000000001</v>
      </c>
      <c r="S973">
        <v>4</v>
      </c>
      <c r="T973">
        <v>0.4</v>
      </c>
      <c r="U973">
        <v>191.99680000000001</v>
      </c>
      <c r="V973" t="str">
        <f t="shared" si="15"/>
        <v>Christy Brittain</v>
      </c>
      <c r="W973">
        <f>Table2[Profit]/Table2[Sales]</f>
        <v>0.13333333333333333</v>
      </c>
    </row>
    <row r="974" spans="1:23" x14ac:dyDescent="0.25">
      <c r="A974">
        <v>973</v>
      </c>
      <c r="B974" t="s">
        <v>4752</v>
      </c>
      <c r="C974" s="1">
        <v>42317</v>
      </c>
      <c r="D974" s="1">
        <v>42321</v>
      </c>
      <c r="E974" t="s">
        <v>49</v>
      </c>
      <c r="F974" t="s">
        <v>4610</v>
      </c>
      <c r="G974" t="s">
        <v>4611</v>
      </c>
      <c r="H974" t="s">
        <v>25</v>
      </c>
      <c r="I974" t="s">
        <v>26</v>
      </c>
      <c r="J974" t="s">
        <v>311</v>
      </c>
      <c r="K974" t="s">
        <v>590</v>
      </c>
      <c r="L974">
        <v>65807</v>
      </c>
      <c r="M974" t="s">
        <v>104</v>
      </c>
      <c r="N974" t="s">
        <v>4753</v>
      </c>
      <c r="O974" t="s">
        <v>45</v>
      </c>
      <c r="P974" t="s">
        <v>74</v>
      </c>
      <c r="Q974" t="s">
        <v>4754</v>
      </c>
      <c r="R974">
        <v>17.22</v>
      </c>
      <c r="S974">
        <v>3</v>
      </c>
      <c r="T974">
        <v>0</v>
      </c>
      <c r="U974">
        <v>7.9211999999999998</v>
      </c>
      <c r="V974" t="str">
        <f t="shared" si="15"/>
        <v>Adam Shillingsburg</v>
      </c>
      <c r="W974">
        <f>Table2[Profit]/Table2[Sales]</f>
        <v>0.46</v>
      </c>
    </row>
    <row r="975" spans="1:23" x14ac:dyDescent="0.25">
      <c r="A975">
        <v>974</v>
      </c>
      <c r="B975" t="s">
        <v>4759</v>
      </c>
      <c r="C975" s="1">
        <v>42790</v>
      </c>
      <c r="D975" s="1">
        <v>42794</v>
      </c>
      <c r="E975" t="s">
        <v>49</v>
      </c>
      <c r="F975" t="s">
        <v>4750</v>
      </c>
      <c r="G975" t="s">
        <v>4751</v>
      </c>
      <c r="H975" t="s">
        <v>25</v>
      </c>
      <c r="I975" t="s">
        <v>26</v>
      </c>
      <c r="J975" t="s">
        <v>143</v>
      </c>
      <c r="K975" t="s">
        <v>144</v>
      </c>
      <c r="L975">
        <v>19134</v>
      </c>
      <c r="M975" t="s">
        <v>145</v>
      </c>
      <c r="N975" t="s">
        <v>3518</v>
      </c>
      <c r="O975" t="s">
        <v>45</v>
      </c>
      <c r="P975" t="s">
        <v>74</v>
      </c>
      <c r="Q975" t="s">
        <v>3519</v>
      </c>
      <c r="R975">
        <v>4.9560000000000004</v>
      </c>
      <c r="S975">
        <v>4</v>
      </c>
      <c r="T975">
        <v>0.7</v>
      </c>
      <c r="U975">
        <v>-3.7995999999999999</v>
      </c>
      <c r="V975" t="str">
        <f t="shared" si="15"/>
        <v>Christy Brittain</v>
      </c>
      <c r="W975">
        <f>Table2[Profit]/Table2[Sales]</f>
        <v>-0.76666666666666661</v>
      </c>
    </row>
    <row r="976" spans="1:23" x14ac:dyDescent="0.25">
      <c r="A976">
        <v>975</v>
      </c>
      <c r="B976" t="s">
        <v>4760</v>
      </c>
      <c r="C976" s="1">
        <v>42911</v>
      </c>
      <c r="D976" s="1">
        <v>42918</v>
      </c>
      <c r="E976" t="s">
        <v>49</v>
      </c>
      <c r="F976" t="s">
        <v>4387</v>
      </c>
      <c r="G976" t="s">
        <v>4388</v>
      </c>
      <c r="H976" t="s">
        <v>101</v>
      </c>
      <c r="I976" t="s">
        <v>26</v>
      </c>
      <c r="J976" t="s">
        <v>311</v>
      </c>
      <c r="K976" t="s">
        <v>413</v>
      </c>
      <c r="L976">
        <v>97477</v>
      </c>
      <c r="M976" t="s">
        <v>43</v>
      </c>
      <c r="N976" t="s">
        <v>1643</v>
      </c>
      <c r="O976" t="s">
        <v>45</v>
      </c>
      <c r="P976" t="s">
        <v>46</v>
      </c>
      <c r="Q976" t="s">
        <v>1644</v>
      </c>
      <c r="R976">
        <v>71.040000000000006</v>
      </c>
      <c r="S976">
        <v>6</v>
      </c>
      <c r="T976">
        <v>0.2</v>
      </c>
      <c r="U976">
        <v>26.64</v>
      </c>
      <c r="V976" t="str">
        <f t="shared" si="15"/>
        <v>Max Ludwig</v>
      </c>
      <c r="W976">
        <f>Table2[Profit]/Table2[Sales]</f>
        <v>0.375</v>
      </c>
    </row>
    <row r="977" spans="1:23" x14ac:dyDescent="0.25">
      <c r="A977">
        <v>976</v>
      </c>
      <c r="B977" t="s">
        <v>4765</v>
      </c>
      <c r="C977" s="1">
        <v>43071</v>
      </c>
      <c r="D977" s="1">
        <v>43073</v>
      </c>
      <c r="E977" t="s">
        <v>22</v>
      </c>
      <c r="F977" t="s">
        <v>4766</v>
      </c>
      <c r="G977" t="s">
        <v>4767</v>
      </c>
      <c r="H977" t="s">
        <v>25</v>
      </c>
      <c r="I977" t="s">
        <v>26</v>
      </c>
      <c r="J977" t="s">
        <v>181</v>
      </c>
      <c r="K977" t="s">
        <v>103</v>
      </c>
      <c r="L977">
        <v>77036</v>
      </c>
      <c r="M977" t="s">
        <v>104</v>
      </c>
      <c r="N977" t="s">
        <v>4768</v>
      </c>
      <c r="O977" t="s">
        <v>45</v>
      </c>
      <c r="P977" t="s">
        <v>77</v>
      </c>
      <c r="Q977" t="s">
        <v>4769</v>
      </c>
      <c r="R977">
        <v>294.62</v>
      </c>
      <c r="S977">
        <v>5</v>
      </c>
      <c r="T977">
        <v>0.8</v>
      </c>
      <c r="U977">
        <v>-766.01199999999994</v>
      </c>
      <c r="V977" t="str">
        <f t="shared" si="15"/>
        <v>Joy Smith</v>
      </c>
      <c r="W977">
        <f>Table2[Profit]/Table2[Sales]</f>
        <v>-2.5999999999999996</v>
      </c>
    </row>
    <row r="978" spans="1:23" x14ac:dyDescent="0.25">
      <c r="A978">
        <v>977</v>
      </c>
      <c r="B978" t="s">
        <v>4770</v>
      </c>
      <c r="C978" s="1">
        <v>41676</v>
      </c>
      <c r="D978" s="1">
        <v>41679</v>
      </c>
      <c r="E978" t="s">
        <v>185</v>
      </c>
      <c r="F978" t="s">
        <v>4498</v>
      </c>
      <c r="G978" t="s">
        <v>4499</v>
      </c>
      <c r="H978" t="s">
        <v>40</v>
      </c>
      <c r="I978" t="s">
        <v>26</v>
      </c>
      <c r="J978" t="s">
        <v>4771</v>
      </c>
      <c r="K978" t="s">
        <v>312</v>
      </c>
      <c r="L978">
        <v>23320</v>
      </c>
      <c r="M978" t="s">
        <v>29</v>
      </c>
      <c r="N978" t="s">
        <v>2089</v>
      </c>
      <c r="O978" t="s">
        <v>45</v>
      </c>
      <c r="P978" t="s">
        <v>46</v>
      </c>
      <c r="Q978" t="s">
        <v>2090</v>
      </c>
      <c r="R978">
        <v>15</v>
      </c>
      <c r="S978">
        <v>4</v>
      </c>
      <c r="T978">
        <v>0</v>
      </c>
      <c r="U978">
        <v>7.2</v>
      </c>
      <c r="V978" t="str">
        <f t="shared" si="15"/>
        <v>Neil Ducich</v>
      </c>
      <c r="W978">
        <f>Table2[Profit]/Table2[Sales]</f>
        <v>0.48000000000000004</v>
      </c>
    </row>
    <row r="979" spans="1:23" x14ac:dyDescent="0.25">
      <c r="A979">
        <v>978</v>
      </c>
      <c r="B979" t="s">
        <v>4772</v>
      </c>
      <c r="C979" s="1">
        <v>42836</v>
      </c>
      <c r="D979" s="1">
        <v>42843</v>
      </c>
      <c r="E979" t="s">
        <v>49</v>
      </c>
      <c r="F979" t="s">
        <v>4773</v>
      </c>
      <c r="G979" t="s">
        <v>4774</v>
      </c>
      <c r="H979" t="s">
        <v>25</v>
      </c>
      <c r="I979" t="s">
        <v>26</v>
      </c>
      <c r="J979" t="s">
        <v>596</v>
      </c>
      <c r="K979" t="s">
        <v>42</v>
      </c>
      <c r="L979">
        <v>91104</v>
      </c>
      <c r="M979" t="s">
        <v>43</v>
      </c>
      <c r="N979" t="s">
        <v>437</v>
      </c>
      <c r="O979" t="s">
        <v>70</v>
      </c>
      <c r="P979" t="s">
        <v>158</v>
      </c>
      <c r="Q979" t="s">
        <v>438</v>
      </c>
      <c r="R979">
        <v>199.95</v>
      </c>
      <c r="S979">
        <v>5</v>
      </c>
      <c r="T979">
        <v>0</v>
      </c>
      <c r="U979">
        <v>21.994499999999999</v>
      </c>
      <c r="V979" t="str">
        <f t="shared" si="15"/>
        <v>Luke Weiss</v>
      </c>
      <c r="W979">
        <f>Table2[Profit]/Table2[Sales]</f>
        <v>0.11</v>
      </c>
    </row>
    <row r="980" spans="1:23" x14ac:dyDescent="0.25">
      <c r="A980">
        <v>979</v>
      </c>
      <c r="B980" t="s">
        <v>4775</v>
      </c>
      <c r="C980" s="1">
        <v>43094</v>
      </c>
      <c r="D980" s="1">
        <v>43097</v>
      </c>
      <c r="E980" t="s">
        <v>22</v>
      </c>
      <c r="F980" t="s">
        <v>4368</v>
      </c>
      <c r="G980" t="s">
        <v>4369</v>
      </c>
      <c r="H980" t="s">
        <v>25</v>
      </c>
      <c r="I980" t="s">
        <v>26</v>
      </c>
      <c r="J980" t="s">
        <v>1459</v>
      </c>
      <c r="K980" t="s">
        <v>28</v>
      </c>
      <c r="L980">
        <v>40214</v>
      </c>
      <c r="M980" t="s">
        <v>29</v>
      </c>
      <c r="N980" t="s">
        <v>3471</v>
      </c>
      <c r="O980" t="s">
        <v>45</v>
      </c>
      <c r="P980" t="s">
        <v>58</v>
      </c>
      <c r="Q980" t="s">
        <v>3472</v>
      </c>
      <c r="R980">
        <v>95.94</v>
      </c>
      <c r="S980">
        <v>3</v>
      </c>
      <c r="T980">
        <v>0</v>
      </c>
      <c r="U980">
        <v>9.5939999999999994</v>
      </c>
      <c r="V980" t="str">
        <f t="shared" si="15"/>
        <v>Joni Wasserman</v>
      </c>
      <c r="W980">
        <f>Table2[Profit]/Table2[Sales]</f>
        <v>9.9999999999999992E-2</v>
      </c>
    </row>
    <row r="981" spans="1:23" x14ac:dyDescent="0.25">
      <c r="A981">
        <v>980</v>
      </c>
      <c r="B981" t="s">
        <v>4776</v>
      </c>
      <c r="C981" s="1">
        <v>42836</v>
      </c>
      <c r="D981" s="1">
        <v>42843</v>
      </c>
      <c r="E981" t="s">
        <v>49</v>
      </c>
      <c r="F981" t="s">
        <v>2760</v>
      </c>
      <c r="G981" t="s">
        <v>2761</v>
      </c>
      <c r="H981" t="s">
        <v>101</v>
      </c>
      <c r="I981" t="s">
        <v>26</v>
      </c>
      <c r="J981" t="s">
        <v>4777</v>
      </c>
      <c r="K981" t="s">
        <v>103</v>
      </c>
      <c r="L981">
        <v>79424</v>
      </c>
      <c r="M981" t="s">
        <v>104</v>
      </c>
      <c r="N981" t="s">
        <v>414</v>
      </c>
      <c r="O981" t="s">
        <v>45</v>
      </c>
      <c r="P981" t="s">
        <v>74</v>
      </c>
      <c r="Q981" t="s">
        <v>415</v>
      </c>
      <c r="R981">
        <v>11.364000000000001</v>
      </c>
      <c r="S981">
        <v>3</v>
      </c>
      <c r="T981">
        <v>0.8</v>
      </c>
      <c r="U981">
        <v>-17.045999999999999</v>
      </c>
      <c r="V981" t="str">
        <f t="shared" si="15"/>
        <v>Sample Company A</v>
      </c>
      <c r="W981">
        <f>Table2[Profit]/Table2[Sales]</f>
        <v>-1.4999999999999998</v>
      </c>
    </row>
    <row r="982" spans="1:23" x14ac:dyDescent="0.25">
      <c r="A982">
        <v>981</v>
      </c>
      <c r="B982" t="s">
        <v>4778</v>
      </c>
      <c r="C982" s="1">
        <v>42004</v>
      </c>
      <c r="D982" s="1">
        <v>42008</v>
      </c>
      <c r="E982" t="s">
        <v>49</v>
      </c>
      <c r="F982" t="s">
        <v>2768</v>
      </c>
      <c r="G982" t="s">
        <v>2769</v>
      </c>
      <c r="H982" t="s">
        <v>40</v>
      </c>
      <c r="I982" t="s">
        <v>26</v>
      </c>
      <c r="J982" t="s">
        <v>375</v>
      </c>
      <c r="K982" t="s">
        <v>590</v>
      </c>
      <c r="L982">
        <v>65203</v>
      </c>
      <c r="M982" t="s">
        <v>104</v>
      </c>
      <c r="N982" t="s">
        <v>2907</v>
      </c>
      <c r="O982" t="s">
        <v>45</v>
      </c>
      <c r="P982" t="s">
        <v>67</v>
      </c>
      <c r="Q982" t="s">
        <v>2908</v>
      </c>
      <c r="R982">
        <v>29.68</v>
      </c>
      <c r="S982">
        <v>7</v>
      </c>
      <c r="T982">
        <v>0</v>
      </c>
      <c r="U982">
        <v>11.575200000000001</v>
      </c>
      <c r="V982" t="str">
        <f t="shared" si="15"/>
        <v>Rob Williams</v>
      </c>
      <c r="W982">
        <f>Table2[Profit]/Table2[Sales]</f>
        <v>0.39</v>
      </c>
    </row>
    <row r="983" spans="1:23" x14ac:dyDescent="0.25">
      <c r="A983">
        <v>982</v>
      </c>
      <c r="B983" t="s">
        <v>4779</v>
      </c>
      <c r="C983" s="1">
        <v>42950</v>
      </c>
      <c r="D983" s="1">
        <v>42951</v>
      </c>
      <c r="E983" t="s">
        <v>185</v>
      </c>
      <c r="F983" t="s">
        <v>4060</v>
      </c>
      <c r="G983" t="s">
        <v>4061</v>
      </c>
      <c r="H983" t="s">
        <v>25</v>
      </c>
      <c r="I983" t="s">
        <v>26</v>
      </c>
      <c r="J983" t="s">
        <v>296</v>
      </c>
      <c r="K983" t="s">
        <v>208</v>
      </c>
      <c r="L983">
        <v>60623</v>
      </c>
      <c r="M983" t="s">
        <v>104</v>
      </c>
      <c r="N983" t="s">
        <v>4780</v>
      </c>
      <c r="O983" t="s">
        <v>31</v>
      </c>
      <c r="P983" t="s">
        <v>32</v>
      </c>
      <c r="Q983" t="s">
        <v>4781</v>
      </c>
      <c r="R983">
        <v>183.37200000000001</v>
      </c>
      <c r="S983">
        <v>2</v>
      </c>
      <c r="T983">
        <v>0.3</v>
      </c>
      <c r="U983">
        <v>-36.674399999999999</v>
      </c>
      <c r="V983" t="str">
        <f t="shared" si="15"/>
        <v>Charlotte Melton</v>
      </c>
      <c r="W983">
        <f>Table2[Profit]/Table2[Sales]</f>
        <v>-0.19999999999999998</v>
      </c>
    </row>
    <row r="984" spans="1:23" x14ac:dyDescent="0.25">
      <c r="A984">
        <v>983</v>
      </c>
      <c r="B984" t="s">
        <v>4782</v>
      </c>
      <c r="C984" s="1">
        <v>41958</v>
      </c>
      <c r="D984" s="1">
        <v>41964</v>
      </c>
      <c r="E984" t="s">
        <v>49</v>
      </c>
      <c r="F984" t="s">
        <v>3620</v>
      </c>
      <c r="G984" t="s">
        <v>3621</v>
      </c>
      <c r="H984" t="s">
        <v>25</v>
      </c>
      <c r="I984" t="s">
        <v>26</v>
      </c>
      <c r="J984" t="s">
        <v>4783</v>
      </c>
      <c r="K984" t="s">
        <v>328</v>
      </c>
      <c r="L984">
        <v>37604</v>
      </c>
      <c r="M984" t="s">
        <v>29</v>
      </c>
      <c r="N984" t="s">
        <v>4037</v>
      </c>
      <c r="O984" t="s">
        <v>45</v>
      </c>
      <c r="P984" t="s">
        <v>67</v>
      </c>
      <c r="Q984" t="s">
        <v>4038</v>
      </c>
      <c r="R984">
        <v>4.2240000000000002</v>
      </c>
      <c r="S984">
        <v>3</v>
      </c>
      <c r="T984">
        <v>0.2</v>
      </c>
      <c r="U984">
        <v>0.47520000000000001</v>
      </c>
      <c r="V984" t="str">
        <f t="shared" si="15"/>
        <v>Jamie Frazer</v>
      </c>
      <c r="W984">
        <f>Table2[Profit]/Table2[Sales]</f>
        <v>0.1125</v>
      </c>
    </row>
    <row r="985" spans="1:23" x14ac:dyDescent="0.25">
      <c r="A985">
        <v>984</v>
      </c>
      <c r="B985" t="s">
        <v>4784</v>
      </c>
      <c r="C985" s="1">
        <v>42349</v>
      </c>
      <c r="D985" s="1">
        <v>42349</v>
      </c>
      <c r="E985" t="s">
        <v>1278</v>
      </c>
      <c r="F985" t="s">
        <v>4785</v>
      </c>
      <c r="G985" t="s">
        <v>4786</v>
      </c>
      <c r="H985" t="s">
        <v>25</v>
      </c>
      <c r="I985" t="s">
        <v>26</v>
      </c>
      <c r="J985" t="s">
        <v>181</v>
      </c>
      <c r="K985" t="s">
        <v>103</v>
      </c>
      <c r="L985">
        <v>77041</v>
      </c>
      <c r="M985" t="s">
        <v>104</v>
      </c>
      <c r="N985" t="s">
        <v>2266</v>
      </c>
      <c r="O985" t="s">
        <v>70</v>
      </c>
      <c r="P985" t="s">
        <v>158</v>
      </c>
      <c r="Q985" t="s">
        <v>2267</v>
      </c>
      <c r="R985">
        <v>159.98400000000001</v>
      </c>
      <c r="S985">
        <v>2</v>
      </c>
      <c r="T985">
        <v>0.2</v>
      </c>
      <c r="U985">
        <v>35.996400000000001</v>
      </c>
      <c r="V985" t="str">
        <f t="shared" si="15"/>
        <v>Stuart Calhoun</v>
      </c>
      <c r="W985">
        <f>Table2[Profit]/Table2[Sales]</f>
        <v>0.22500000000000001</v>
      </c>
    </row>
    <row r="986" spans="1:23" x14ac:dyDescent="0.25">
      <c r="A986">
        <v>985</v>
      </c>
      <c r="B986" t="s">
        <v>4789</v>
      </c>
      <c r="C986" s="1">
        <v>42631</v>
      </c>
      <c r="D986" s="1">
        <v>42636</v>
      </c>
      <c r="E986" t="s">
        <v>49</v>
      </c>
      <c r="F986" t="s">
        <v>4790</v>
      </c>
      <c r="G986" t="s">
        <v>4791</v>
      </c>
      <c r="H986" t="s">
        <v>25</v>
      </c>
      <c r="I986" t="s">
        <v>26</v>
      </c>
      <c r="J986" t="s">
        <v>1540</v>
      </c>
      <c r="K986" t="s">
        <v>351</v>
      </c>
      <c r="L986">
        <v>36830</v>
      </c>
      <c r="M986" t="s">
        <v>29</v>
      </c>
      <c r="N986" t="s">
        <v>4427</v>
      </c>
      <c r="O986" t="s">
        <v>31</v>
      </c>
      <c r="P986" t="s">
        <v>35</v>
      </c>
      <c r="Q986" t="s">
        <v>4428</v>
      </c>
      <c r="R986">
        <v>350.98</v>
      </c>
      <c r="S986">
        <v>1</v>
      </c>
      <c r="T986">
        <v>0</v>
      </c>
      <c r="U986">
        <v>84.235200000000006</v>
      </c>
      <c r="V986" t="str">
        <f t="shared" si="15"/>
        <v>Anne McFarland</v>
      </c>
      <c r="W986">
        <f>Table2[Profit]/Table2[Sales]</f>
        <v>0.24</v>
      </c>
    </row>
    <row r="987" spans="1:23" x14ac:dyDescent="0.25">
      <c r="A987">
        <v>986</v>
      </c>
      <c r="B987" t="s">
        <v>4794</v>
      </c>
      <c r="C987" s="1">
        <v>42082</v>
      </c>
      <c r="D987" s="1">
        <v>42086</v>
      </c>
      <c r="E987" t="s">
        <v>49</v>
      </c>
      <c r="F987" t="s">
        <v>2611</v>
      </c>
      <c r="G987" t="s">
        <v>2612</v>
      </c>
      <c r="H987" t="s">
        <v>25</v>
      </c>
      <c r="I987" t="s">
        <v>26</v>
      </c>
      <c r="J987" t="s">
        <v>4795</v>
      </c>
      <c r="K987" t="s">
        <v>42</v>
      </c>
      <c r="L987">
        <v>92404</v>
      </c>
      <c r="M987" t="s">
        <v>43</v>
      </c>
      <c r="N987" t="s">
        <v>4072</v>
      </c>
      <c r="O987" t="s">
        <v>45</v>
      </c>
      <c r="P987" t="s">
        <v>74</v>
      </c>
      <c r="Q987" t="s">
        <v>4073</v>
      </c>
      <c r="R987">
        <v>17.568000000000001</v>
      </c>
      <c r="S987">
        <v>2</v>
      </c>
      <c r="T987">
        <v>0.2</v>
      </c>
      <c r="U987">
        <v>6.3684000000000003</v>
      </c>
      <c r="V987" t="str">
        <f t="shared" si="15"/>
        <v>Berenike Kampe</v>
      </c>
      <c r="W987">
        <f>Table2[Profit]/Table2[Sales]</f>
        <v>0.36249999999999999</v>
      </c>
    </row>
    <row r="988" spans="1:23" x14ac:dyDescent="0.25">
      <c r="A988">
        <v>987</v>
      </c>
      <c r="B988" t="s">
        <v>4796</v>
      </c>
      <c r="C988" s="1">
        <v>42632</v>
      </c>
      <c r="D988" s="1">
        <v>42634</v>
      </c>
      <c r="E988" t="s">
        <v>185</v>
      </c>
      <c r="F988" t="s">
        <v>4797</v>
      </c>
      <c r="G988" t="s">
        <v>4798</v>
      </c>
      <c r="H988" t="s">
        <v>101</v>
      </c>
      <c r="I988" t="s">
        <v>26</v>
      </c>
      <c r="J988" t="s">
        <v>3508</v>
      </c>
      <c r="K988" t="s">
        <v>1388</v>
      </c>
      <c r="L988">
        <v>2908</v>
      </c>
      <c r="M988" t="s">
        <v>145</v>
      </c>
      <c r="N988" t="s">
        <v>1981</v>
      </c>
      <c r="O988" t="s">
        <v>45</v>
      </c>
      <c r="P988" t="s">
        <v>58</v>
      </c>
      <c r="Q988" t="s">
        <v>1982</v>
      </c>
      <c r="R988">
        <v>1606.23</v>
      </c>
      <c r="S988">
        <v>9</v>
      </c>
      <c r="T988">
        <v>0</v>
      </c>
      <c r="U988">
        <v>481.86900000000003</v>
      </c>
      <c r="V988" t="str">
        <f t="shared" si="15"/>
        <v>Rick Huthwaite</v>
      </c>
      <c r="W988">
        <f>Table2[Profit]/Table2[Sales]</f>
        <v>0.3</v>
      </c>
    </row>
    <row r="989" spans="1:23" x14ac:dyDescent="0.25">
      <c r="A989">
        <v>988</v>
      </c>
      <c r="B989" t="s">
        <v>4799</v>
      </c>
      <c r="C989" s="1">
        <v>42967</v>
      </c>
      <c r="D989" s="1">
        <v>42969</v>
      </c>
      <c r="E989" t="s">
        <v>22</v>
      </c>
      <c r="F989" t="s">
        <v>3506</v>
      </c>
      <c r="G989" t="s">
        <v>3507</v>
      </c>
      <c r="H989" t="s">
        <v>25</v>
      </c>
      <c r="I989" t="s">
        <v>26</v>
      </c>
      <c r="J989" t="s">
        <v>3419</v>
      </c>
      <c r="K989" t="s">
        <v>42</v>
      </c>
      <c r="L989">
        <v>93727</v>
      </c>
      <c r="M989" t="s">
        <v>43</v>
      </c>
      <c r="N989" t="s">
        <v>3758</v>
      </c>
      <c r="O989" t="s">
        <v>45</v>
      </c>
      <c r="P989" t="s">
        <v>74</v>
      </c>
      <c r="Q989" t="s">
        <v>3759</v>
      </c>
      <c r="R989">
        <v>239.12</v>
      </c>
      <c r="S989">
        <v>5</v>
      </c>
      <c r="T989">
        <v>0.2</v>
      </c>
      <c r="U989">
        <v>77.713999999999999</v>
      </c>
      <c r="V989" t="str">
        <f t="shared" si="15"/>
        <v>Gene McClure</v>
      </c>
      <c r="W989">
        <f>Table2[Profit]/Table2[Sales]</f>
        <v>0.32500000000000001</v>
      </c>
    </row>
    <row r="990" spans="1:23" x14ac:dyDescent="0.25">
      <c r="A990">
        <v>989</v>
      </c>
      <c r="B990" t="s">
        <v>4800</v>
      </c>
      <c r="C990" s="1">
        <v>42076</v>
      </c>
      <c r="D990" s="1">
        <v>42078</v>
      </c>
      <c r="E990" t="s">
        <v>185</v>
      </c>
      <c r="F990" t="s">
        <v>4180</v>
      </c>
      <c r="G990" t="s">
        <v>4181</v>
      </c>
      <c r="H990" t="s">
        <v>25</v>
      </c>
      <c r="I990" t="s">
        <v>26</v>
      </c>
      <c r="J990" t="s">
        <v>94</v>
      </c>
      <c r="K990" t="s">
        <v>95</v>
      </c>
      <c r="L990">
        <v>98103</v>
      </c>
      <c r="M990" t="s">
        <v>43</v>
      </c>
      <c r="N990" t="s">
        <v>2431</v>
      </c>
      <c r="O990" t="s">
        <v>31</v>
      </c>
      <c r="P990" t="s">
        <v>32</v>
      </c>
      <c r="Q990" t="s">
        <v>2432</v>
      </c>
      <c r="R990">
        <v>141.96</v>
      </c>
      <c r="S990">
        <v>2</v>
      </c>
      <c r="T990">
        <v>0</v>
      </c>
      <c r="U990">
        <v>39.748800000000003</v>
      </c>
      <c r="V990" t="str">
        <f t="shared" si="15"/>
        <v>Marc Crier</v>
      </c>
      <c r="W990">
        <f>Table2[Profit]/Table2[Sales]</f>
        <v>0.28000000000000003</v>
      </c>
    </row>
    <row r="991" spans="1:23" x14ac:dyDescent="0.25">
      <c r="A991">
        <v>990</v>
      </c>
      <c r="B991" t="s">
        <v>4801</v>
      </c>
      <c r="C991" s="1">
        <v>42621</v>
      </c>
      <c r="D991" s="1">
        <v>42623</v>
      </c>
      <c r="E991" t="s">
        <v>22</v>
      </c>
      <c r="F991" t="s">
        <v>778</v>
      </c>
      <c r="G991" t="s">
        <v>779</v>
      </c>
      <c r="H991" t="s">
        <v>101</v>
      </c>
      <c r="I991" t="s">
        <v>26</v>
      </c>
      <c r="J991" t="s">
        <v>2439</v>
      </c>
      <c r="K991" t="s">
        <v>42</v>
      </c>
      <c r="L991">
        <v>93534</v>
      </c>
      <c r="M991" t="s">
        <v>43</v>
      </c>
      <c r="N991" t="s">
        <v>1331</v>
      </c>
      <c r="O991" t="s">
        <v>45</v>
      </c>
      <c r="P991" t="s">
        <v>74</v>
      </c>
      <c r="Q991" t="s">
        <v>1332</v>
      </c>
      <c r="R991">
        <v>33.024000000000001</v>
      </c>
      <c r="S991">
        <v>2</v>
      </c>
      <c r="T991">
        <v>0.2</v>
      </c>
      <c r="U991">
        <v>11.558400000000001</v>
      </c>
      <c r="V991" t="str">
        <f t="shared" si="15"/>
        <v>Valerie Mitchum</v>
      </c>
      <c r="W991">
        <f>Table2[Profit]/Table2[Sales]</f>
        <v>0.35000000000000003</v>
      </c>
    </row>
    <row r="992" spans="1:23" x14ac:dyDescent="0.25">
      <c r="A992">
        <v>991</v>
      </c>
      <c r="B992" t="s">
        <v>4802</v>
      </c>
      <c r="C992" s="1">
        <v>42334</v>
      </c>
      <c r="D992" s="1">
        <v>42338</v>
      </c>
      <c r="E992" t="s">
        <v>49</v>
      </c>
      <c r="F992" t="s">
        <v>2648</v>
      </c>
      <c r="G992" t="s">
        <v>2649</v>
      </c>
      <c r="H992" t="s">
        <v>40</v>
      </c>
      <c r="I992" t="s">
        <v>26</v>
      </c>
      <c r="J992" t="s">
        <v>4803</v>
      </c>
      <c r="K992" t="s">
        <v>1233</v>
      </c>
      <c r="L992">
        <v>1453</v>
      </c>
      <c r="M992" t="s">
        <v>145</v>
      </c>
      <c r="N992" t="s">
        <v>787</v>
      </c>
      <c r="O992" t="s">
        <v>45</v>
      </c>
      <c r="P992" t="s">
        <v>74</v>
      </c>
      <c r="Q992" t="s">
        <v>788</v>
      </c>
      <c r="R992">
        <v>14.73</v>
      </c>
      <c r="S992">
        <v>3</v>
      </c>
      <c r="T992">
        <v>0</v>
      </c>
      <c r="U992">
        <v>6.9230999999999998</v>
      </c>
      <c r="V992" t="str">
        <f t="shared" si="15"/>
        <v>Guy Phonely</v>
      </c>
      <c r="W992">
        <f>Table2[Profit]/Table2[Sales]</f>
        <v>0.47</v>
      </c>
    </row>
    <row r="993" spans="1:23" x14ac:dyDescent="0.25">
      <c r="A993">
        <v>992</v>
      </c>
      <c r="B993" t="s">
        <v>4806</v>
      </c>
      <c r="C993" s="1">
        <v>42713</v>
      </c>
      <c r="D993" s="1">
        <v>42717</v>
      </c>
      <c r="E993" t="s">
        <v>49</v>
      </c>
      <c r="F993" t="s">
        <v>2724</v>
      </c>
      <c r="G993" t="s">
        <v>2725</v>
      </c>
      <c r="H993" t="s">
        <v>40</v>
      </c>
      <c r="I993" t="s">
        <v>26</v>
      </c>
      <c r="J993" t="s">
        <v>102</v>
      </c>
      <c r="K993" t="s">
        <v>103</v>
      </c>
      <c r="L993">
        <v>76106</v>
      </c>
      <c r="M993" t="s">
        <v>104</v>
      </c>
      <c r="N993" t="s">
        <v>2726</v>
      </c>
      <c r="O993" t="s">
        <v>45</v>
      </c>
      <c r="P993" t="s">
        <v>89</v>
      </c>
      <c r="Q993" t="s">
        <v>2727</v>
      </c>
      <c r="R993">
        <v>9.3919999999999995</v>
      </c>
      <c r="S993">
        <v>2</v>
      </c>
      <c r="T993">
        <v>0.2</v>
      </c>
      <c r="U993">
        <v>3.2871999999999999</v>
      </c>
      <c r="V993" t="str">
        <f t="shared" si="15"/>
        <v>George Bell</v>
      </c>
      <c r="W993">
        <f>Table2[Profit]/Table2[Sales]</f>
        <v>0.35000000000000003</v>
      </c>
    </row>
    <row r="994" spans="1:23" x14ac:dyDescent="0.25">
      <c r="A994">
        <v>993</v>
      </c>
      <c r="B994" t="s">
        <v>4807</v>
      </c>
      <c r="C994" s="1">
        <v>43003</v>
      </c>
      <c r="D994" s="1">
        <v>43007</v>
      </c>
      <c r="E994" t="s">
        <v>49</v>
      </c>
      <c r="F994" t="s">
        <v>4808</v>
      </c>
      <c r="G994" t="s">
        <v>4809</v>
      </c>
      <c r="H994" t="s">
        <v>25</v>
      </c>
      <c r="I994" t="s">
        <v>26</v>
      </c>
      <c r="J994" t="s">
        <v>382</v>
      </c>
      <c r="K994" t="s">
        <v>226</v>
      </c>
      <c r="L994">
        <v>55901</v>
      </c>
      <c r="M994" t="s">
        <v>104</v>
      </c>
      <c r="N994" t="s">
        <v>3298</v>
      </c>
      <c r="O994" t="s">
        <v>45</v>
      </c>
      <c r="P994" t="s">
        <v>74</v>
      </c>
      <c r="Q994" t="s">
        <v>3299</v>
      </c>
      <c r="R994">
        <v>8.26</v>
      </c>
      <c r="S994">
        <v>2</v>
      </c>
      <c r="T994">
        <v>0</v>
      </c>
      <c r="U994">
        <v>3.8822000000000001</v>
      </c>
      <c r="V994" t="str">
        <f t="shared" si="15"/>
        <v>Carol Triggs</v>
      </c>
      <c r="W994">
        <f>Table2[Profit]/Table2[Sales]</f>
        <v>0.47000000000000003</v>
      </c>
    </row>
    <row r="995" spans="1:23" x14ac:dyDescent="0.25">
      <c r="A995">
        <v>994</v>
      </c>
      <c r="B995" t="s">
        <v>4810</v>
      </c>
      <c r="C995" s="1">
        <v>42027</v>
      </c>
      <c r="D995" s="1">
        <v>42031</v>
      </c>
      <c r="E995" t="s">
        <v>49</v>
      </c>
      <c r="F995" t="s">
        <v>1655</v>
      </c>
      <c r="G995" t="s">
        <v>1656</v>
      </c>
      <c r="H995" t="s">
        <v>101</v>
      </c>
      <c r="I995" t="s">
        <v>26</v>
      </c>
      <c r="J995" t="s">
        <v>4811</v>
      </c>
      <c r="K995" t="s">
        <v>1738</v>
      </c>
      <c r="L995">
        <v>59715</v>
      </c>
      <c r="M995" t="s">
        <v>43</v>
      </c>
      <c r="N995" t="s">
        <v>1424</v>
      </c>
      <c r="O995" t="s">
        <v>45</v>
      </c>
      <c r="P995" t="s">
        <v>89</v>
      </c>
      <c r="Q995" t="s">
        <v>1425</v>
      </c>
      <c r="R995">
        <v>29.04</v>
      </c>
      <c r="S995">
        <v>3</v>
      </c>
      <c r="T995">
        <v>0</v>
      </c>
      <c r="U995">
        <v>13.9392</v>
      </c>
      <c r="V995" t="str">
        <f t="shared" si="15"/>
        <v>Carl Weiss</v>
      </c>
      <c r="W995">
        <f>Table2[Profit]/Table2[Sales]</f>
        <v>0.48</v>
      </c>
    </row>
    <row r="996" spans="1:23" x14ac:dyDescent="0.25">
      <c r="A996">
        <v>995</v>
      </c>
      <c r="B996" t="s">
        <v>4812</v>
      </c>
      <c r="C996" s="1">
        <v>42173</v>
      </c>
      <c r="D996" s="1">
        <v>42178</v>
      </c>
      <c r="E996" t="s">
        <v>49</v>
      </c>
      <c r="F996" t="s">
        <v>3103</v>
      </c>
      <c r="G996" t="s">
        <v>3104</v>
      </c>
      <c r="H996" t="s">
        <v>101</v>
      </c>
      <c r="I996" t="s">
        <v>26</v>
      </c>
      <c r="J996" t="s">
        <v>1374</v>
      </c>
      <c r="K996" t="s">
        <v>303</v>
      </c>
      <c r="L996">
        <v>85345</v>
      </c>
      <c r="M996" t="s">
        <v>43</v>
      </c>
      <c r="N996" t="s">
        <v>4813</v>
      </c>
      <c r="O996" t="s">
        <v>45</v>
      </c>
      <c r="P996" t="s">
        <v>89</v>
      </c>
      <c r="Q996" t="s">
        <v>4814</v>
      </c>
      <c r="R996">
        <v>11.952</v>
      </c>
      <c r="S996">
        <v>3</v>
      </c>
      <c r="T996">
        <v>0.2</v>
      </c>
      <c r="U996">
        <v>4.3326000000000002</v>
      </c>
      <c r="V996" t="str">
        <f t="shared" si="15"/>
        <v>Skye Norling</v>
      </c>
      <c r="W996">
        <f>Table2[Profit]/Table2[Sales]</f>
        <v>0.36250000000000004</v>
      </c>
    </row>
    <row r="997" spans="1:23" x14ac:dyDescent="0.25">
      <c r="A997">
        <v>996</v>
      </c>
      <c r="B997" t="s">
        <v>4815</v>
      </c>
      <c r="C997" s="1">
        <v>42279</v>
      </c>
      <c r="D997" s="1">
        <v>42285</v>
      </c>
      <c r="E997" t="s">
        <v>49</v>
      </c>
      <c r="F997" t="s">
        <v>1552</v>
      </c>
      <c r="G997" t="s">
        <v>1553</v>
      </c>
      <c r="H997" t="s">
        <v>40</v>
      </c>
      <c r="I997" t="s">
        <v>26</v>
      </c>
      <c r="J997" t="s">
        <v>941</v>
      </c>
      <c r="K997" t="s">
        <v>42</v>
      </c>
      <c r="L997">
        <v>92105</v>
      </c>
      <c r="M997" t="s">
        <v>43</v>
      </c>
      <c r="N997" t="s">
        <v>4816</v>
      </c>
      <c r="O997" t="s">
        <v>45</v>
      </c>
      <c r="P997" t="s">
        <v>74</v>
      </c>
      <c r="Q997" t="s">
        <v>4817</v>
      </c>
      <c r="R997">
        <v>57.503999999999998</v>
      </c>
      <c r="S997">
        <v>6</v>
      </c>
      <c r="T997">
        <v>0.2</v>
      </c>
      <c r="U997">
        <v>20.1264</v>
      </c>
      <c r="V997" t="str">
        <f t="shared" si="15"/>
        <v>Ed Braxton</v>
      </c>
      <c r="W997">
        <f>Table2[Profit]/Table2[Sales]</f>
        <v>0.35000000000000003</v>
      </c>
    </row>
    <row r="998" spans="1:23" x14ac:dyDescent="0.25">
      <c r="A998">
        <v>997</v>
      </c>
      <c r="B998" t="s">
        <v>4818</v>
      </c>
      <c r="C998" s="1">
        <v>43057</v>
      </c>
      <c r="D998" s="1">
        <v>43062</v>
      </c>
      <c r="E998" t="s">
        <v>49</v>
      </c>
      <c r="F998" t="s">
        <v>3923</v>
      </c>
      <c r="G998" t="s">
        <v>3924</v>
      </c>
      <c r="H998" t="s">
        <v>40</v>
      </c>
      <c r="I998" t="s">
        <v>26</v>
      </c>
      <c r="J998" t="s">
        <v>1111</v>
      </c>
      <c r="K998" t="s">
        <v>491</v>
      </c>
      <c r="L998">
        <v>44107</v>
      </c>
      <c r="M998" t="s">
        <v>145</v>
      </c>
      <c r="N998" t="s">
        <v>3515</v>
      </c>
      <c r="O998" t="s">
        <v>45</v>
      </c>
      <c r="P998" t="s">
        <v>67</v>
      </c>
      <c r="Q998" t="s">
        <v>3516</v>
      </c>
      <c r="R998">
        <v>38.863999999999997</v>
      </c>
      <c r="S998">
        <v>7</v>
      </c>
      <c r="T998">
        <v>0.2</v>
      </c>
      <c r="U998">
        <v>7.7728000000000002</v>
      </c>
      <c r="V998" t="str">
        <f t="shared" si="15"/>
        <v>Jane Waco</v>
      </c>
      <c r="W998">
        <f>Table2[Profit]/Table2[Sales]</f>
        <v>0.2</v>
      </c>
    </row>
    <row r="999" spans="1:23" x14ac:dyDescent="0.25">
      <c r="A999">
        <v>998</v>
      </c>
      <c r="B999" t="s">
        <v>4819</v>
      </c>
      <c r="C999" s="1">
        <v>41868</v>
      </c>
      <c r="D999" s="1">
        <v>41874</v>
      </c>
      <c r="E999" t="s">
        <v>49</v>
      </c>
      <c r="F999" t="s">
        <v>132</v>
      </c>
      <c r="G999" t="s">
        <v>133</v>
      </c>
      <c r="H999" t="s">
        <v>40</v>
      </c>
      <c r="I999" t="s">
        <v>26</v>
      </c>
      <c r="J999" t="s">
        <v>181</v>
      </c>
      <c r="K999" t="s">
        <v>103</v>
      </c>
      <c r="L999">
        <v>77095</v>
      </c>
      <c r="M999" t="s">
        <v>104</v>
      </c>
      <c r="N999" t="s">
        <v>3793</v>
      </c>
      <c r="O999" t="s">
        <v>45</v>
      </c>
      <c r="P999" t="s">
        <v>89</v>
      </c>
      <c r="Q999" t="s">
        <v>3794</v>
      </c>
      <c r="R999">
        <v>15.552</v>
      </c>
      <c r="S999">
        <v>3</v>
      </c>
      <c r="T999">
        <v>0.2</v>
      </c>
      <c r="U999">
        <v>5.4432</v>
      </c>
      <c r="V999" t="str">
        <f t="shared" si="15"/>
        <v>Ken Black</v>
      </c>
      <c r="W999">
        <f>Table2[Profit]/Table2[Sales]</f>
        <v>0.35000000000000003</v>
      </c>
    </row>
    <row r="1000" spans="1:23" x14ac:dyDescent="0.25">
      <c r="A1000">
        <v>999</v>
      </c>
      <c r="B1000" t="s">
        <v>4820</v>
      </c>
      <c r="C1000" s="1">
        <v>42568</v>
      </c>
      <c r="D1000" s="1">
        <v>42572</v>
      </c>
      <c r="E1000" t="s">
        <v>49</v>
      </c>
      <c r="F1000" t="s">
        <v>4821</v>
      </c>
      <c r="G1000" t="s">
        <v>4822</v>
      </c>
      <c r="H1000" t="s">
        <v>40</v>
      </c>
      <c r="I1000" t="s">
        <v>26</v>
      </c>
      <c r="J1000" t="s">
        <v>4823</v>
      </c>
      <c r="K1000" t="s">
        <v>781</v>
      </c>
      <c r="L1000">
        <v>8861</v>
      </c>
      <c r="M1000" t="s">
        <v>145</v>
      </c>
      <c r="N1000" t="s">
        <v>2781</v>
      </c>
      <c r="O1000" t="s">
        <v>45</v>
      </c>
      <c r="P1000" t="s">
        <v>77</v>
      </c>
      <c r="Q1000" t="s">
        <v>2782</v>
      </c>
      <c r="R1000">
        <v>162.63999999999999</v>
      </c>
      <c r="S1000">
        <v>2</v>
      </c>
      <c r="T1000">
        <v>0</v>
      </c>
      <c r="U1000">
        <v>45.539200000000001</v>
      </c>
      <c r="V1000" t="str">
        <f t="shared" si="15"/>
        <v>Matt Collister</v>
      </c>
      <c r="W1000">
        <f>Table2[Profit]/Table2[Sales]</f>
        <v>0.28000000000000003</v>
      </c>
    </row>
    <row r="1001" spans="1:23" x14ac:dyDescent="0.25">
      <c r="A1001">
        <v>1000</v>
      </c>
      <c r="B1001" t="s">
        <v>4824</v>
      </c>
      <c r="C1001" s="1">
        <v>42196</v>
      </c>
      <c r="D1001" s="1">
        <v>42198</v>
      </c>
      <c r="E1001" t="s">
        <v>185</v>
      </c>
      <c r="F1001" t="s">
        <v>2005</v>
      </c>
      <c r="G1001" t="s">
        <v>2006</v>
      </c>
      <c r="H1001" t="s">
        <v>25</v>
      </c>
      <c r="I1001" t="s">
        <v>26</v>
      </c>
      <c r="J1001" t="s">
        <v>143</v>
      </c>
      <c r="K1001" t="s">
        <v>144</v>
      </c>
      <c r="L1001">
        <v>19134</v>
      </c>
      <c r="M1001" t="s">
        <v>145</v>
      </c>
      <c r="N1001" t="s">
        <v>167</v>
      </c>
      <c r="O1001" t="s">
        <v>31</v>
      </c>
      <c r="P1001" t="s">
        <v>64</v>
      </c>
      <c r="Q1001" t="s">
        <v>168</v>
      </c>
      <c r="R1001">
        <v>289.8</v>
      </c>
      <c r="S1001">
        <v>7</v>
      </c>
      <c r="T1001">
        <v>0.2</v>
      </c>
      <c r="U1001">
        <v>36.225000000000001</v>
      </c>
      <c r="V1001" t="str">
        <f t="shared" si="15"/>
        <v>Clytie Kelty</v>
      </c>
      <c r="W1001">
        <f>Table2[Profit]/Table2[Sales]</f>
        <v>0.125</v>
      </c>
    </row>
    <row r="1002" spans="1:23" x14ac:dyDescent="0.25">
      <c r="A1002">
        <v>1001</v>
      </c>
      <c r="B1002" t="s">
        <v>4829</v>
      </c>
      <c r="C1002" s="1">
        <v>42705</v>
      </c>
      <c r="D1002" s="1">
        <v>42711</v>
      </c>
      <c r="E1002" t="s">
        <v>49</v>
      </c>
      <c r="F1002" t="s">
        <v>4113</v>
      </c>
      <c r="G1002" t="s">
        <v>4114</v>
      </c>
      <c r="H1002" t="s">
        <v>25</v>
      </c>
      <c r="I1002" t="s">
        <v>26</v>
      </c>
      <c r="J1002" t="s">
        <v>1450</v>
      </c>
      <c r="K1002" t="s">
        <v>251</v>
      </c>
      <c r="L1002">
        <v>47374</v>
      </c>
      <c r="M1002" t="s">
        <v>104</v>
      </c>
      <c r="N1002" t="s">
        <v>4458</v>
      </c>
      <c r="O1002" t="s">
        <v>31</v>
      </c>
      <c r="P1002" t="s">
        <v>64</v>
      </c>
      <c r="Q1002" t="s">
        <v>4459</v>
      </c>
      <c r="R1002">
        <v>17.309999999999999</v>
      </c>
      <c r="S1002">
        <v>3</v>
      </c>
      <c r="T1002">
        <v>0</v>
      </c>
      <c r="U1002">
        <v>5.1929999999999996</v>
      </c>
      <c r="V1002" t="str">
        <f t="shared" si="15"/>
        <v>Rick Duston</v>
      </c>
      <c r="W1002">
        <f>Table2[Profit]/Table2[Sales]</f>
        <v>0.3</v>
      </c>
    </row>
    <row r="1003" spans="1:23" x14ac:dyDescent="0.25">
      <c r="A1003">
        <v>1002</v>
      </c>
      <c r="B1003" t="s">
        <v>4830</v>
      </c>
      <c r="C1003" s="1">
        <v>43091</v>
      </c>
      <c r="D1003" s="1">
        <v>43094</v>
      </c>
      <c r="E1003" t="s">
        <v>185</v>
      </c>
      <c r="F1003" t="s">
        <v>1969</v>
      </c>
      <c r="G1003" t="s">
        <v>1970</v>
      </c>
      <c r="H1003" t="s">
        <v>25</v>
      </c>
      <c r="I1003" t="s">
        <v>26</v>
      </c>
      <c r="J1003" t="s">
        <v>873</v>
      </c>
      <c r="K1003" t="s">
        <v>235</v>
      </c>
      <c r="L1003">
        <v>48227</v>
      </c>
      <c r="M1003" t="s">
        <v>104</v>
      </c>
      <c r="N1003" t="s">
        <v>4831</v>
      </c>
      <c r="O1003" t="s">
        <v>70</v>
      </c>
      <c r="P1003" t="s">
        <v>158</v>
      </c>
      <c r="Q1003" t="s">
        <v>4832</v>
      </c>
      <c r="R1003">
        <v>199.95</v>
      </c>
      <c r="S1003">
        <v>5</v>
      </c>
      <c r="T1003">
        <v>0</v>
      </c>
      <c r="U1003">
        <v>63.984000000000002</v>
      </c>
      <c r="V1003" t="str">
        <f t="shared" si="15"/>
        <v>Theone Pippenger</v>
      </c>
      <c r="W1003">
        <f>Table2[Profit]/Table2[Sales]</f>
        <v>0.32</v>
      </c>
    </row>
    <row r="1004" spans="1:23" x14ac:dyDescent="0.25">
      <c r="A1004">
        <v>1003</v>
      </c>
      <c r="B1004" t="s">
        <v>4833</v>
      </c>
      <c r="C1004" s="1">
        <v>41943</v>
      </c>
      <c r="D1004" s="1">
        <v>41947</v>
      </c>
      <c r="E1004" t="s">
        <v>49</v>
      </c>
      <c r="F1004" t="s">
        <v>506</v>
      </c>
      <c r="G1004" t="s">
        <v>507</v>
      </c>
      <c r="H1004" t="s">
        <v>40</v>
      </c>
      <c r="I1004" t="s">
        <v>26</v>
      </c>
      <c r="J1004" t="s">
        <v>41</v>
      </c>
      <c r="K1004" t="s">
        <v>42</v>
      </c>
      <c r="L1004">
        <v>90049</v>
      </c>
      <c r="M1004" t="s">
        <v>43</v>
      </c>
      <c r="N1004" t="s">
        <v>4834</v>
      </c>
      <c r="O1004" t="s">
        <v>45</v>
      </c>
      <c r="P1004" t="s">
        <v>266</v>
      </c>
      <c r="Q1004" t="s">
        <v>556</v>
      </c>
      <c r="R1004">
        <v>11.34</v>
      </c>
      <c r="S1004">
        <v>3</v>
      </c>
      <c r="T1004">
        <v>0</v>
      </c>
      <c r="U1004">
        <v>5.2164000000000001</v>
      </c>
      <c r="V1004" t="str">
        <f t="shared" si="15"/>
        <v>Greg Guthrie</v>
      </c>
      <c r="W1004">
        <f>Table2[Profit]/Table2[Sales]</f>
        <v>0.46</v>
      </c>
    </row>
    <row r="1005" spans="1:23" x14ac:dyDescent="0.25">
      <c r="A1005">
        <v>1004</v>
      </c>
      <c r="B1005" t="s">
        <v>4843</v>
      </c>
      <c r="C1005" s="1">
        <v>42107</v>
      </c>
      <c r="D1005" s="1">
        <v>42113</v>
      </c>
      <c r="E1005" t="s">
        <v>49</v>
      </c>
      <c r="F1005" t="s">
        <v>1946</v>
      </c>
      <c r="G1005" t="s">
        <v>1947</v>
      </c>
      <c r="H1005" t="s">
        <v>25</v>
      </c>
      <c r="I1005" t="s">
        <v>26</v>
      </c>
      <c r="J1005" t="s">
        <v>3955</v>
      </c>
      <c r="K1005" t="s">
        <v>42</v>
      </c>
      <c r="L1005">
        <v>91767</v>
      </c>
      <c r="M1005" t="s">
        <v>43</v>
      </c>
      <c r="N1005" t="s">
        <v>4844</v>
      </c>
      <c r="O1005" t="s">
        <v>70</v>
      </c>
      <c r="P1005" t="s">
        <v>158</v>
      </c>
      <c r="Q1005" t="s">
        <v>4845</v>
      </c>
      <c r="R1005">
        <v>199.96</v>
      </c>
      <c r="S1005">
        <v>4</v>
      </c>
      <c r="T1005">
        <v>0</v>
      </c>
      <c r="U1005">
        <v>69.986000000000004</v>
      </c>
      <c r="V1005" t="str">
        <f t="shared" si="15"/>
        <v>Zuschuss Carroll</v>
      </c>
      <c r="W1005">
        <f>Table2[Profit]/Table2[Sales]</f>
        <v>0.35000000000000003</v>
      </c>
    </row>
    <row r="1006" spans="1:23" x14ac:dyDescent="0.25">
      <c r="A1006">
        <v>1005</v>
      </c>
      <c r="B1006" t="s">
        <v>4848</v>
      </c>
      <c r="C1006" s="1">
        <v>42572</v>
      </c>
      <c r="D1006" s="1">
        <v>42574</v>
      </c>
      <c r="E1006" t="s">
        <v>22</v>
      </c>
      <c r="F1006" t="s">
        <v>4849</v>
      </c>
      <c r="G1006" t="s">
        <v>4850</v>
      </c>
      <c r="H1006" t="s">
        <v>40</v>
      </c>
      <c r="I1006" t="s">
        <v>26</v>
      </c>
      <c r="J1006" t="s">
        <v>143</v>
      </c>
      <c r="K1006" t="s">
        <v>144</v>
      </c>
      <c r="L1006">
        <v>19134</v>
      </c>
      <c r="M1006" t="s">
        <v>145</v>
      </c>
      <c r="N1006" t="s">
        <v>2412</v>
      </c>
      <c r="O1006" t="s">
        <v>45</v>
      </c>
      <c r="P1006" t="s">
        <v>74</v>
      </c>
      <c r="Q1006" t="s">
        <v>2413</v>
      </c>
      <c r="R1006">
        <v>1.9410000000000001</v>
      </c>
      <c r="S1006">
        <v>1</v>
      </c>
      <c r="T1006">
        <v>0.7</v>
      </c>
      <c r="U1006">
        <v>-1.294</v>
      </c>
      <c r="V1006" t="str">
        <f t="shared" si="15"/>
        <v>Corey Catlett</v>
      </c>
      <c r="W1006">
        <f>Table2[Profit]/Table2[Sales]</f>
        <v>-0.66666666666666663</v>
      </c>
    </row>
    <row r="1007" spans="1:23" x14ac:dyDescent="0.25">
      <c r="A1007">
        <v>1006</v>
      </c>
      <c r="B1007" t="s">
        <v>4851</v>
      </c>
      <c r="C1007" s="1">
        <v>43059</v>
      </c>
      <c r="D1007" s="1">
        <v>43064</v>
      </c>
      <c r="E1007" t="s">
        <v>49</v>
      </c>
      <c r="F1007" t="s">
        <v>4852</v>
      </c>
      <c r="G1007" t="s">
        <v>4853</v>
      </c>
      <c r="H1007" t="s">
        <v>25</v>
      </c>
      <c r="I1007" t="s">
        <v>26</v>
      </c>
      <c r="J1007" t="s">
        <v>4854</v>
      </c>
      <c r="K1007" t="s">
        <v>42</v>
      </c>
      <c r="L1007">
        <v>91761</v>
      </c>
      <c r="M1007" t="s">
        <v>43</v>
      </c>
      <c r="N1007" t="s">
        <v>1431</v>
      </c>
      <c r="O1007" t="s">
        <v>31</v>
      </c>
      <c r="P1007" t="s">
        <v>35</v>
      </c>
      <c r="Q1007" t="s">
        <v>1432</v>
      </c>
      <c r="R1007">
        <v>283.92</v>
      </c>
      <c r="S1007">
        <v>5</v>
      </c>
      <c r="T1007">
        <v>0.2</v>
      </c>
      <c r="U1007">
        <v>-46.137</v>
      </c>
      <c r="V1007" t="str">
        <f t="shared" si="15"/>
        <v>Kelly Andreada</v>
      </c>
      <c r="W1007">
        <f>Table2[Profit]/Table2[Sales]</f>
        <v>-0.16250000000000001</v>
      </c>
    </row>
    <row r="1008" spans="1:23" x14ac:dyDescent="0.25">
      <c r="A1008">
        <v>1007</v>
      </c>
      <c r="B1008" t="s">
        <v>4855</v>
      </c>
      <c r="C1008" s="1">
        <v>42700</v>
      </c>
      <c r="D1008" s="1">
        <v>42706</v>
      </c>
      <c r="E1008" t="s">
        <v>49</v>
      </c>
      <c r="F1008" t="s">
        <v>4856</v>
      </c>
      <c r="G1008" t="s">
        <v>4857</v>
      </c>
      <c r="H1008" t="s">
        <v>40</v>
      </c>
      <c r="I1008" t="s">
        <v>26</v>
      </c>
      <c r="J1008" t="s">
        <v>94</v>
      </c>
      <c r="K1008" t="s">
        <v>95</v>
      </c>
      <c r="L1008">
        <v>98105</v>
      </c>
      <c r="M1008" t="s">
        <v>43</v>
      </c>
      <c r="N1008" t="s">
        <v>4719</v>
      </c>
      <c r="O1008" t="s">
        <v>45</v>
      </c>
      <c r="P1008" t="s">
        <v>74</v>
      </c>
      <c r="Q1008" t="s">
        <v>4720</v>
      </c>
      <c r="R1008">
        <v>7.3120000000000003</v>
      </c>
      <c r="S1008">
        <v>2</v>
      </c>
      <c r="T1008">
        <v>0.2</v>
      </c>
      <c r="U1008">
        <v>2.5592000000000001</v>
      </c>
      <c r="V1008" t="str">
        <f t="shared" si="15"/>
        <v>Tamara Chand</v>
      </c>
      <c r="W1008">
        <f>Table2[Profit]/Table2[Sales]</f>
        <v>0.35000000000000003</v>
      </c>
    </row>
    <row r="1009" spans="1:23" x14ac:dyDescent="0.25">
      <c r="A1009">
        <v>1008</v>
      </c>
      <c r="B1009" t="s">
        <v>4858</v>
      </c>
      <c r="C1009" s="1">
        <v>43046</v>
      </c>
      <c r="D1009" s="1">
        <v>43051</v>
      </c>
      <c r="E1009" t="s">
        <v>22</v>
      </c>
      <c r="F1009" t="s">
        <v>4014</v>
      </c>
      <c r="G1009" t="s">
        <v>4015</v>
      </c>
      <c r="H1009" t="s">
        <v>101</v>
      </c>
      <c r="I1009" t="s">
        <v>26</v>
      </c>
      <c r="J1009" t="s">
        <v>983</v>
      </c>
      <c r="K1009" t="s">
        <v>42</v>
      </c>
      <c r="L1009">
        <v>94513</v>
      </c>
      <c r="M1009" t="s">
        <v>43</v>
      </c>
      <c r="N1009" t="s">
        <v>4859</v>
      </c>
      <c r="O1009" t="s">
        <v>70</v>
      </c>
      <c r="P1009" t="s">
        <v>158</v>
      </c>
      <c r="Q1009" t="s">
        <v>4860</v>
      </c>
      <c r="R1009">
        <v>59.97</v>
      </c>
      <c r="S1009">
        <v>3</v>
      </c>
      <c r="T1009">
        <v>0</v>
      </c>
      <c r="U1009">
        <v>13.793100000000001</v>
      </c>
      <c r="V1009" t="str">
        <f t="shared" si="15"/>
        <v>Deborah Brumfield</v>
      </c>
      <c r="W1009">
        <f>Table2[Profit]/Table2[Sales]</f>
        <v>0.23</v>
      </c>
    </row>
    <row r="1010" spans="1:23" x14ac:dyDescent="0.25">
      <c r="A1010">
        <v>1009</v>
      </c>
      <c r="B1010" t="s">
        <v>4863</v>
      </c>
      <c r="C1010" s="1">
        <v>41974</v>
      </c>
      <c r="D1010" s="1">
        <v>41978</v>
      </c>
      <c r="E1010" t="s">
        <v>49</v>
      </c>
      <c r="F1010" t="s">
        <v>2531</v>
      </c>
      <c r="G1010" t="s">
        <v>2532</v>
      </c>
      <c r="H1010" t="s">
        <v>25</v>
      </c>
      <c r="I1010" t="s">
        <v>26</v>
      </c>
      <c r="J1010" t="s">
        <v>126</v>
      </c>
      <c r="K1010" t="s">
        <v>42</v>
      </c>
      <c r="L1010">
        <v>94122</v>
      </c>
      <c r="M1010" t="s">
        <v>43</v>
      </c>
      <c r="N1010" t="s">
        <v>1092</v>
      </c>
      <c r="O1010" t="s">
        <v>31</v>
      </c>
      <c r="P1010" t="s">
        <v>64</v>
      </c>
      <c r="Q1010" t="s">
        <v>1093</v>
      </c>
      <c r="R1010">
        <v>58.2</v>
      </c>
      <c r="S1010">
        <v>3</v>
      </c>
      <c r="T1010">
        <v>0</v>
      </c>
      <c r="U1010">
        <v>28.518000000000001</v>
      </c>
      <c r="V1010" t="str">
        <f t="shared" si="15"/>
        <v>Toby Ritter</v>
      </c>
      <c r="W1010">
        <f>Table2[Profit]/Table2[Sales]</f>
        <v>0.49</v>
      </c>
    </row>
    <row r="1011" spans="1:23" x14ac:dyDescent="0.25">
      <c r="A1011">
        <v>1010</v>
      </c>
      <c r="B1011" t="s">
        <v>4864</v>
      </c>
      <c r="C1011" s="1">
        <v>42990</v>
      </c>
      <c r="D1011" s="1">
        <v>42993</v>
      </c>
      <c r="E1011" t="s">
        <v>185</v>
      </c>
      <c r="F1011" t="s">
        <v>4865</v>
      </c>
      <c r="G1011" t="s">
        <v>4866</v>
      </c>
      <c r="H1011" t="s">
        <v>25</v>
      </c>
      <c r="I1011" t="s">
        <v>26</v>
      </c>
      <c r="J1011" t="s">
        <v>4400</v>
      </c>
      <c r="K1011" t="s">
        <v>2699</v>
      </c>
      <c r="L1011">
        <v>21215</v>
      </c>
      <c r="M1011" t="s">
        <v>145</v>
      </c>
      <c r="N1011" t="s">
        <v>929</v>
      </c>
      <c r="O1011" t="s">
        <v>45</v>
      </c>
      <c r="P1011" t="s">
        <v>89</v>
      </c>
      <c r="Q1011" t="s">
        <v>930</v>
      </c>
      <c r="R1011">
        <v>39.9</v>
      </c>
      <c r="S1011">
        <v>5</v>
      </c>
      <c r="T1011">
        <v>0</v>
      </c>
      <c r="U1011">
        <v>19.95</v>
      </c>
      <c r="V1011" t="str">
        <f t="shared" si="15"/>
        <v>Bart Folk</v>
      </c>
      <c r="W1011">
        <f>Table2[Profit]/Table2[Sales]</f>
        <v>0.5</v>
      </c>
    </row>
    <row r="1012" spans="1:23" x14ac:dyDescent="0.25">
      <c r="A1012">
        <v>1011</v>
      </c>
      <c r="B1012" t="s">
        <v>4867</v>
      </c>
      <c r="C1012" s="1">
        <v>42362</v>
      </c>
      <c r="D1012" s="1">
        <v>42367</v>
      </c>
      <c r="E1012" t="s">
        <v>49</v>
      </c>
      <c r="F1012" t="s">
        <v>2721</v>
      </c>
      <c r="G1012" t="s">
        <v>2722</v>
      </c>
      <c r="H1012" t="s">
        <v>25</v>
      </c>
      <c r="I1012" t="s">
        <v>26</v>
      </c>
      <c r="J1012" t="s">
        <v>537</v>
      </c>
      <c r="K1012" t="s">
        <v>303</v>
      </c>
      <c r="L1012">
        <v>85023</v>
      </c>
      <c r="M1012" t="s">
        <v>43</v>
      </c>
      <c r="N1012" t="s">
        <v>4868</v>
      </c>
      <c r="O1012" t="s">
        <v>45</v>
      </c>
      <c r="P1012" t="s">
        <v>89</v>
      </c>
      <c r="Q1012" t="s">
        <v>4869</v>
      </c>
      <c r="R1012">
        <v>106.232</v>
      </c>
      <c r="S1012">
        <v>7</v>
      </c>
      <c r="T1012">
        <v>0.2</v>
      </c>
      <c r="U1012">
        <v>37.181199999999997</v>
      </c>
      <c r="V1012" t="str">
        <f t="shared" si="15"/>
        <v>Maribeth Schnelling</v>
      </c>
      <c r="W1012">
        <f>Table2[Profit]/Table2[Sales]</f>
        <v>0.35</v>
      </c>
    </row>
    <row r="1013" spans="1:23" x14ac:dyDescent="0.25">
      <c r="A1013">
        <v>1012</v>
      </c>
      <c r="B1013" t="s">
        <v>4870</v>
      </c>
      <c r="C1013" s="1">
        <v>42789</v>
      </c>
      <c r="D1013" s="1">
        <v>42795</v>
      </c>
      <c r="E1013" t="s">
        <v>49</v>
      </c>
      <c r="F1013" t="s">
        <v>2005</v>
      </c>
      <c r="G1013" t="s">
        <v>2006</v>
      </c>
      <c r="H1013" t="s">
        <v>25</v>
      </c>
      <c r="I1013" t="s">
        <v>26</v>
      </c>
      <c r="J1013" t="s">
        <v>41</v>
      </c>
      <c r="K1013" t="s">
        <v>42</v>
      </c>
      <c r="L1013">
        <v>90008</v>
      </c>
      <c r="M1013" t="s">
        <v>43</v>
      </c>
      <c r="N1013" t="s">
        <v>3468</v>
      </c>
      <c r="O1013" t="s">
        <v>45</v>
      </c>
      <c r="P1013" t="s">
        <v>89</v>
      </c>
      <c r="Q1013" t="s">
        <v>3469</v>
      </c>
      <c r="R1013">
        <v>37.44</v>
      </c>
      <c r="S1013">
        <v>6</v>
      </c>
      <c r="T1013">
        <v>0</v>
      </c>
      <c r="U1013">
        <v>16.847999999999999</v>
      </c>
      <c r="V1013" t="str">
        <f t="shared" si="15"/>
        <v>Clytie Kelty</v>
      </c>
      <c r="W1013">
        <f>Table2[Profit]/Table2[Sales]</f>
        <v>0.45</v>
      </c>
    </row>
    <row r="1014" spans="1:23" x14ac:dyDescent="0.25">
      <c r="A1014">
        <v>1013</v>
      </c>
      <c r="B1014" t="s">
        <v>4871</v>
      </c>
      <c r="C1014" s="1">
        <v>41966</v>
      </c>
      <c r="D1014" s="1">
        <v>41972</v>
      </c>
      <c r="E1014" t="s">
        <v>49</v>
      </c>
      <c r="F1014" t="s">
        <v>4353</v>
      </c>
      <c r="G1014" t="s">
        <v>4354</v>
      </c>
      <c r="H1014" t="s">
        <v>101</v>
      </c>
      <c r="I1014" t="s">
        <v>26</v>
      </c>
      <c r="J1014" t="s">
        <v>181</v>
      </c>
      <c r="K1014" t="s">
        <v>103</v>
      </c>
      <c r="L1014">
        <v>77036</v>
      </c>
      <c r="M1014" t="s">
        <v>104</v>
      </c>
      <c r="N1014" t="s">
        <v>1643</v>
      </c>
      <c r="O1014" t="s">
        <v>45</v>
      </c>
      <c r="P1014" t="s">
        <v>46</v>
      </c>
      <c r="Q1014" t="s">
        <v>1644</v>
      </c>
      <c r="R1014">
        <v>23.68</v>
      </c>
      <c r="S1014">
        <v>2</v>
      </c>
      <c r="T1014">
        <v>0.2</v>
      </c>
      <c r="U1014">
        <v>8.8800000000000008</v>
      </c>
      <c r="V1014" t="str">
        <f t="shared" si="15"/>
        <v>Emily Ducich</v>
      </c>
      <c r="W1014">
        <f>Table2[Profit]/Table2[Sales]</f>
        <v>0.37500000000000006</v>
      </c>
    </row>
    <row r="1015" spans="1:23" x14ac:dyDescent="0.25">
      <c r="A1015">
        <v>1014</v>
      </c>
      <c r="B1015" t="s">
        <v>4872</v>
      </c>
      <c r="C1015" s="1">
        <v>42544</v>
      </c>
      <c r="D1015" s="1">
        <v>42549</v>
      </c>
      <c r="E1015" t="s">
        <v>49</v>
      </c>
      <c r="F1015" t="s">
        <v>92</v>
      </c>
      <c r="G1015" t="s">
        <v>93</v>
      </c>
      <c r="H1015" t="s">
        <v>25</v>
      </c>
      <c r="I1015" t="s">
        <v>26</v>
      </c>
      <c r="J1015" t="s">
        <v>263</v>
      </c>
      <c r="K1015" t="s">
        <v>264</v>
      </c>
      <c r="L1015">
        <v>10009</v>
      </c>
      <c r="M1015" t="s">
        <v>145</v>
      </c>
      <c r="N1015" t="s">
        <v>2223</v>
      </c>
      <c r="O1015" t="s">
        <v>45</v>
      </c>
      <c r="P1015" t="s">
        <v>46</v>
      </c>
      <c r="Q1015" t="s">
        <v>2224</v>
      </c>
      <c r="R1015">
        <v>122.12</v>
      </c>
      <c r="S1015">
        <v>4</v>
      </c>
      <c r="T1015">
        <v>0</v>
      </c>
      <c r="U1015">
        <v>56.175199999999997</v>
      </c>
      <c r="V1015" t="str">
        <f t="shared" si="15"/>
        <v>Irene Maddox</v>
      </c>
      <c r="W1015">
        <f>Table2[Profit]/Table2[Sales]</f>
        <v>0.45999999999999996</v>
      </c>
    </row>
    <row r="1016" spans="1:23" x14ac:dyDescent="0.25">
      <c r="A1016">
        <v>1015</v>
      </c>
      <c r="B1016" t="s">
        <v>4877</v>
      </c>
      <c r="C1016" s="1">
        <v>42303</v>
      </c>
      <c r="D1016" s="1">
        <v>42307</v>
      </c>
      <c r="E1016" t="s">
        <v>49</v>
      </c>
      <c r="F1016" t="s">
        <v>1695</v>
      </c>
      <c r="G1016" t="s">
        <v>1696</v>
      </c>
      <c r="H1016" t="s">
        <v>40</v>
      </c>
      <c r="I1016" t="s">
        <v>26</v>
      </c>
      <c r="J1016" t="s">
        <v>4878</v>
      </c>
      <c r="K1016" t="s">
        <v>42</v>
      </c>
      <c r="L1016">
        <v>91730</v>
      </c>
      <c r="M1016" t="s">
        <v>43</v>
      </c>
      <c r="N1016" t="s">
        <v>4879</v>
      </c>
      <c r="O1016" t="s">
        <v>45</v>
      </c>
      <c r="P1016" t="s">
        <v>46</v>
      </c>
      <c r="Q1016" t="s">
        <v>4880</v>
      </c>
      <c r="R1016">
        <v>5.76</v>
      </c>
      <c r="S1016">
        <v>2</v>
      </c>
      <c r="T1016">
        <v>0</v>
      </c>
      <c r="U1016">
        <v>2.6496</v>
      </c>
      <c r="V1016" t="str">
        <f t="shared" si="15"/>
        <v>Maribeth Yedwab</v>
      </c>
      <c r="W1016">
        <f>Table2[Profit]/Table2[Sales]</f>
        <v>0.46</v>
      </c>
    </row>
    <row r="1017" spans="1:23" x14ac:dyDescent="0.25">
      <c r="A1017">
        <v>1016</v>
      </c>
      <c r="B1017" t="s">
        <v>4881</v>
      </c>
      <c r="C1017" s="1">
        <v>42931</v>
      </c>
      <c r="D1017" s="1">
        <v>42935</v>
      </c>
      <c r="E1017" t="s">
        <v>49</v>
      </c>
      <c r="F1017" t="s">
        <v>4882</v>
      </c>
      <c r="G1017" t="s">
        <v>4883</v>
      </c>
      <c r="H1017" t="s">
        <v>25</v>
      </c>
      <c r="I1017" t="s">
        <v>26</v>
      </c>
      <c r="J1017" t="s">
        <v>514</v>
      </c>
      <c r="K1017" t="s">
        <v>242</v>
      </c>
      <c r="L1017">
        <v>19805</v>
      </c>
      <c r="M1017" t="s">
        <v>145</v>
      </c>
      <c r="N1017" t="s">
        <v>2335</v>
      </c>
      <c r="O1017" t="s">
        <v>45</v>
      </c>
      <c r="P1017" t="s">
        <v>74</v>
      </c>
      <c r="Q1017" t="s">
        <v>2336</v>
      </c>
      <c r="R1017">
        <v>26.55</v>
      </c>
      <c r="S1017">
        <v>3</v>
      </c>
      <c r="T1017">
        <v>0</v>
      </c>
      <c r="U1017">
        <v>13.009499999999999</v>
      </c>
      <c r="V1017" t="str">
        <f t="shared" si="15"/>
        <v>Magdelene Morse</v>
      </c>
      <c r="W1017">
        <f>Table2[Profit]/Table2[Sales]</f>
        <v>0.48999999999999994</v>
      </c>
    </row>
    <row r="1018" spans="1:23" x14ac:dyDescent="0.25">
      <c r="A1018">
        <v>1017</v>
      </c>
      <c r="B1018" t="s">
        <v>4884</v>
      </c>
      <c r="C1018" s="1">
        <v>41960</v>
      </c>
      <c r="D1018" s="1">
        <v>41964</v>
      </c>
      <c r="E1018" t="s">
        <v>49</v>
      </c>
      <c r="F1018" t="s">
        <v>755</v>
      </c>
      <c r="G1018" t="s">
        <v>756</v>
      </c>
      <c r="H1018" t="s">
        <v>101</v>
      </c>
      <c r="I1018" t="s">
        <v>26</v>
      </c>
      <c r="J1018" t="s">
        <v>4885</v>
      </c>
      <c r="K1018" t="s">
        <v>226</v>
      </c>
      <c r="L1018">
        <v>56560</v>
      </c>
      <c r="M1018" t="s">
        <v>104</v>
      </c>
      <c r="N1018" t="s">
        <v>3811</v>
      </c>
      <c r="O1018" t="s">
        <v>31</v>
      </c>
      <c r="P1018" t="s">
        <v>35</v>
      </c>
      <c r="Q1018" t="s">
        <v>3812</v>
      </c>
      <c r="R1018">
        <v>479.9</v>
      </c>
      <c r="S1018">
        <v>5</v>
      </c>
      <c r="T1018">
        <v>0</v>
      </c>
      <c r="U1018">
        <v>81.582999999999998</v>
      </c>
      <c r="V1018" t="str">
        <f t="shared" si="15"/>
        <v>Mark Packer</v>
      </c>
      <c r="W1018">
        <f>Table2[Profit]/Table2[Sales]</f>
        <v>0.17</v>
      </c>
    </row>
    <row r="1019" spans="1:23" x14ac:dyDescent="0.25">
      <c r="A1019">
        <v>1018</v>
      </c>
      <c r="B1019" t="s">
        <v>4886</v>
      </c>
      <c r="C1019" s="1">
        <v>42107</v>
      </c>
      <c r="D1019" s="1">
        <v>42109</v>
      </c>
      <c r="E1019" t="s">
        <v>22</v>
      </c>
      <c r="F1019" t="s">
        <v>4067</v>
      </c>
      <c r="G1019" t="s">
        <v>4068</v>
      </c>
      <c r="H1019" t="s">
        <v>25</v>
      </c>
      <c r="I1019" t="s">
        <v>26</v>
      </c>
      <c r="J1019" t="s">
        <v>2813</v>
      </c>
      <c r="K1019" t="s">
        <v>660</v>
      </c>
      <c r="L1019">
        <v>87401</v>
      </c>
      <c r="M1019" t="s">
        <v>43</v>
      </c>
      <c r="N1019" t="s">
        <v>1931</v>
      </c>
      <c r="O1019" t="s">
        <v>45</v>
      </c>
      <c r="P1019" t="s">
        <v>572</v>
      </c>
      <c r="Q1019" t="s">
        <v>1932</v>
      </c>
      <c r="R1019">
        <v>12.88</v>
      </c>
      <c r="S1019">
        <v>1</v>
      </c>
      <c r="T1019">
        <v>0</v>
      </c>
      <c r="U1019">
        <v>0.38640000000000002</v>
      </c>
      <c r="V1019" t="str">
        <f t="shared" si="15"/>
        <v>Anthony Witt</v>
      </c>
      <c r="W1019">
        <f>Table2[Profit]/Table2[Sales]</f>
        <v>0.03</v>
      </c>
    </row>
    <row r="1020" spans="1:23" x14ac:dyDescent="0.25">
      <c r="A1020">
        <v>1019</v>
      </c>
      <c r="B1020" t="s">
        <v>4887</v>
      </c>
      <c r="C1020" s="1">
        <v>42333</v>
      </c>
      <c r="D1020" s="1">
        <v>42337</v>
      </c>
      <c r="E1020" t="s">
        <v>49</v>
      </c>
      <c r="F1020" t="s">
        <v>141</v>
      </c>
      <c r="G1020" t="s">
        <v>142</v>
      </c>
      <c r="H1020" t="s">
        <v>25</v>
      </c>
      <c r="I1020" t="s">
        <v>26</v>
      </c>
      <c r="J1020" t="s">
        <v>514</v>
      </c>
      <c r="K1020" t="s">
        <v>87</v>
      </c>
      <c r="L1020">
        <v>28403</v>
      </c>
      <c r="M1020" t="s">
        <v>29</v>
      </c>
      <c r="N1020" t="s">
        <v>4888</v>
      </c>
      <c r="O1020" t="s">
        <v>45</v>
      </c>
      <c r="P1020" t="s">
        <v>67</v>
      </c>
      <c r="Q1020" t="s">
        <v>4889</v>
      </c>
      <c r="R1020">
        <v>13.12</v>
      </c>
      <c r="S1020">
        <v>5</v>
      </c>
      <c r="T1020">
        <v>0.2</v>
      </c>
      <c r="U1020">
        <v>1.476</v>
      </c>
      <c r="V1020" t="str">
        <f t="shared" si="15"/>
        <v>Sandra Flanagan</v>
      </c>
      <c r="W1020">
        <f>Table2[Profit]/Table2[Sales]</f>
        <v>0.1125</v>
      </c>
    </row>
    <row r="1021" spans="1:23" x14ac:dyDescent="0.25">
      <c r="A1021">
        <v>1020</v>
      </c>
      <c r="B1021" t="s">
        <v>4890</v>
      </c>
      <c r="C1021" s="1">
        <v>42505</v>
      </c>
      <c r="D1021" s="1">
        <v>42510</v>
      </c>
      <c r="E1021" t="s">
        <v>49</v>
      </c>
      <c r="F1021" t="s">
        <v>194</v>
      </c>
      <c r="G1021" t="s">
        <v>195</v>
      </c>
      <c r="H1021" t="s">
        <v>101</v>
      </c>
      <c r="I1021" t="s">
        <v>26</v>
      </c>
      <c r="J1021" t="s">
        <v>321</v>
      </c>
      <c r="K1021" t="s">
        <v>1473</v>
      </c>
      <c r="L1021">
        <v>39212</v>
      </c>
      <c r="M1021" t="s">
        <v>29</v>
      </c>
      <c r="N1021" t="s">
        <v>4891</v>
      </c>
      <c r="O1021" t="s">
        <v>45</v>
      </c>
      <c r="P1021" t="s">
        <v>74</v>
      </c>
      <c r="Q1021" t="s">
        <v>4892</v>
      </c>
      <c r="R1021">
        <v>511.84</v>
      </c>
      <c r="S1021">
        <v>8</v>
      </c>
      <c r="T1021">
        <v>0</v>
      </c>
      <c r="U1021">
        <v>240.56479999999999</v>
      </c>
      <c r="V1021" t="str">
        <f t="shared" si="15"/>
        <v>Steve Nguyen</v>
      </c>
      <c r="W1021">
        <f>Table2[Profit]/Table2[Sales]</f>
        <v>0.47000000000000003</v>
      </c>
    </row>
    <row r="1022" spans="1:23" x14ac:dyDescent="0.25">
      <c r="A1022">
        <v>1021</v>
      </c>
      <c r="B1022" t="s">
        <v>4895</v>
      </c>
      <c r="C1022" s="1">
        <v>42985</v>
      </c>
      <c r="D1022" s="1">
        <v>42990</v>
      </c>
      <c r="E1022" t="s">
        <v>49</v>
      </c>
      <c r="F1022" t="s">
        <v>657</v>
      </c>
      <c r="G1022" t="s">
        <v>658</v>
      </c>
      <c r="H1022" t="s">
        <v>25</v>
      </c>
      <c r="I1022" t="s">
        <v>26</v>
      </c>
      <c r="J1022" t="s">
        <v>412</v>
      </c>
      <c r="K1022" t="s">
        <v>413</v>
      </c>
      <c r="L1022">
        <v>97206</v>
      </c>
      <c r="M1022" t="s">
        <v>43</v>
      </c>
      <c r="N1022" t="s">
        <v>3655</v>
      </c>
      <c r="O1022" t="s">
        <v>45</v>
      </c>
      <c r="P1022" t="s">
        <v>58</v>
      </c>
      <c r="Q1022" t="s">
        <v>3656</v>
      </c>
      <c r="R1022">
        <v>37.68</v>
      </c>
      <c r="S1022">
        <v>3</v>
      </c>
      <c r="T1022">
        <v>0.2</v>
      </c>
      <c r="U1022">
        <v>2.355</v>
      </c>
      <c r="V1022" t="str">
        <f t="shared" si="15"/>
        <v>Ruben Dartt</v>
      </c>
      <c r="W1022">
        <f>Table2[Profit]/Table2[Sales]</f>
        <v>6.25E-2</v>
      </c>
    </row>
    <row r="1023" spans="1:23" x14ac:dyDescent="0.25">
      <c r="A1023">
        <v>1022</v>
      </c>
      <c r="B1023" t="s">
        <v>4896</v>
      </c>
      <c r="C1023" s="1">
        <v>41708</v>
      </c>
      <c r="D1023" s="1">
        <v>41715</v>
      </c>
      <c r="E1023" t="s">
        <v>49</v>
      </c>
      <c r="F1023" t="s">
        <v>3381</v>
      </c>
      <c r="G1023" t="s">
        <v>3382</v>
      </c>
      <c r="H1023" t="s">
        <v>25</v>
      </c>
      <c r="I1023" t="s">
        <v>26</v>
      </c>
      <c r="J1023" t="s">
        <v>800</v>
      </c>
      <c r="K1023" t="s">
        <v>450</v>
      </c>
      <c r="L1023">
        <v>80219</v>
      </c>
      <c r="M1023" t="s">
        <v>43</v>
      </c>
      <c r="N1023" t="s">
        <v>4897</v>
      </c>
      <c r="O1023" t="s">
        <v>45</v>
      </c>
      <c r="P1023" t="s">
        <v>58</v>
      </c>
      <c r="Q1023" t="s">
        <v>4898</v>
      </c>
      <c r="R1023">
        <v>636.40800000000002</v>
      </c>
      <c r="S1023">
        <v>3</v>
      </c>
      <c r="T1023">
        <v>0.2</v>
      </c>
      <c r="U1023">
        <v>-15.9102</v>
      </c>
      <c r="V1023" t="str">
        <f t="shared" si="15"/>
        <v>Kean Thornton</v>
      </c>
      <c r="W1023">
        <f>Table2[Profit]/Table2[Sales]</f>
        <v>-2.4999999999999998E-2</v>
      </c>
    </row>
    <row r="1024" spans="1:23" x14ac:dyDescent="0.25">
      <c r="A1024">
        <v>1023</v>
      </c>
      <c r="B1024" t="s">
        <v>4899</v>
      </c>
      <c r="C1024" s="1">
        <v>41838</v>
      </c>
      <c r="D1024" s="1">
        <v>41838</v>
      </c>
      <c r="E1024" t="s">
        <v>1278</v>
      </c>
      <c r="F1024" t="s">
        <v>4900</v>
      </c>
      <c r="G1024" t="s">
        <v>4901</v>
      </c>
      <c r="H1024" t="s">
        <v>101</v>
      </c>
      <c r="I1024" t="s">
        <v>26</v>
      </c>
      <c r="J1024" t="s">
        <v>1299</v>
      </c>
      <c r="K1024" t="s">
        <v>303</v>
      </c>
      <c r="L1024">
        <v>85705</v>
      </c>
      <c r="M1024" t="s">
        <v>43</v>
      </c>
      <c r="N1024" t="s">
        <v>1530</v>
      </c>
      <c r="O1024" t="s">
        <v>31</v>
      </c>
      <c r="P1024" t="s">
        <v>35</v>
      </c>
      <c r="Q1024" t="s">
        <v>1531</v>
      </c>
      <c r="R1024">
        <v>259.13600000000002</v>
      </c>
      <c r="S1024">
        <v>4</v>
      </c>
      <c r="T1024">
        <v>0.2</v>
      </c>
      <c r="U1024">
        <v>-25.913599999999999</v>
      </c>
      <c r="V1024" t="str">
        <f t="shared" si="15"/>
        <v>Adrian Hane</v>
      </c>
      <c r="W1024">
        <f>Table2[Profit]/Table2[Sales]</f>
        <v>-9.9999999999999992E-2</v>
      </c>
    </row>
    <row r="1025" spans="1:23" x14ac:dyDescent="0.25">
      <c r="A1025">
        <v>1024</v>
      </c>
      <c r="B1025" t="s">
        <v>4902</v>
      </c>
      <c r="C1025" s="1">
        <v>42818</v>
      </c>
      <c r="D1025" s="1">
        <v>42822</v>
      </c>
      <c r="E1025" t="s">
        <v>22</v>
      </c>
      <c r="F1025" t="s">
        <v>2570</v>
      </c>
      <c r="G1025" t="s">
        <v>2571</v>
      </c>
      <c r="H1025" t="s">
        <v>40</v>
      </c>
      <c r="I1025" t="s">
        <v>26</v>
      </c>
      <c r="J1025" t="s">
        <v>263</v>
      </c>
      <c r="K1025" t="s">
        <v>264</v>
      </c>
      <c r="L1025">
        <v>10009</v>
      </c>
      <c r="M1025" t="s">
        <v>145</v>
      </c>
      <c r="N1025" t="s">
        <v>1706</v>
      </c>
      <c r="O1025" t="s">
        <v>45</v>
      </c>
      <c r="P1025" t="s">
        <v>89</v>
      </c>
      <c r="Q1025" t="s">
        <v>4903</v>
      </c>
      <c r="R1025">
        <v>221.92</v>
      </c>
      <c r="S1025">
        <v>4</v>
      </c>
      <c r="T1025">
        <v>0</v>
      </c>
      <c r="U1025">
        <v>106.52160000000001</v>
      </c>
      <c r="V1025" t="str">
        <f t="shared" si="15"/>
        <v>Brian Moss</v>
      </c>
      <c r="W1025">
        <f>Table2[Profit]/Table2[Sales]</f>
        <v>0.48000000000000004</v>
      </c>
    </row>
    <row r="1026" spans="1:23" x14ac:dyDescent="0.25">
      <c r="A1026">
        <v>1025</v>
      </c>
      <c r="B1026" t="s">
        <v>4904</v>
      </c>
      <c r="C1026" s="1">
        <v>41912</v>
      </c>
      <c r="D1026" s="1">
        <v>41917</v>
      </c>
      <c r="E1026" t="s">
        <v>49</v>
      </c>
      <c r="F1026" t="s">
        <v>4905</v>
      </c>
      <c r="G1026" t="s">
        <v>4906</v>
      </c>
      <c r="H1026" t="s">
        <v>25</v>
      </c>
      <c r="I1026" t="s">
        <v>26</v>
      </c>
      <c r="J1026" t="s">
        <v>3392</v>
      </c>
      <c r="K1026" t="s">
        <v>53</v>
      </c>
      <c r="L1026">
        <v>33437</v>
      </c>
      <c r="M1026" t="s">
        <v>29</v>
      </c>
      <c r="N1026" t="s">
        <v>3735</v>
      </c>
      <c r="O1026" t="s">
        <v>45</v>
      </c>
      <c r="P1026" t="s">
        <v>89</v>
      </c>
      <c r="Q1026" t="s">
        <v>3736</v>
      </c>
      <c r="R1026">
        <v>15.552</v>
      </c>
      <c r="S1026">
        <v>3</v>
      </c>
      <c r="T1026">
        <v>0.2</v>
      </c>
      <c r="U1026">
        <v>5.4432</v>
      </c>
      <c r="V1026" t="str">
        <f t="shared" si="15"/>
        <v>Ben Wallace</v>
      </c>
      <c r="W1026">
        <f>Table2[Profit]/Table2[Sales]</f>
        <v>0.35000000000000003</v>
      </c>
    </row>
    <row r="1027" spans="1:23" x14ac:dyDescent="0.25">
      <c r="A1027">
        <v>1026</v>
      </c>
      <c r="B1027" t="s">
        <v>4907</v>
      </c>
      <c r="C1027" s="1">
        <v>41908</v>
      </c>
      <c r="D1027" s="1">
        <v>41908</v>
      </c>
      <c r="E1027" t="s">
        <v>1278</v>
      </c>
      <c r="F1027" t="s">
        <v>3559</v>
      </c>
      <c r="G1027" t="s">
        <v>3560</v>
      </c>
      <c r="H1027" t="s">
        <v>40</v>
      </c>
      <c r="I1027" t="s">
        <v>26</v>
      </c>
      <c r="J1027" t="s">
        <v>4908</v>
      </c>
      <c r="K1027" t="s">
        <v>103</v>
      </c>
      <c r="L1027">
        <v>75150</v>
      </c>
      <c r="M1027" t="s">
        <v>104</v>
      </c>
      <c r="N1027" t="s">
        <v>965</v>
      </c>
      <c r="O1027" t="s">
        <v>45</v>
      </c>
      <c r="P1027" t="s">
        <v>74</v>
      </c>
      <c r="Q1027" t="s">
        <v>966</v>
      </c>
      <c r="R1027">
        <v>0.876</v>
      </c>
      <c r="S1027">
        <v>1</v>
      </c>
      <c r="T1027">
        <v>0.8</v>
      </c>
      <c r="U1027">
        <v>-1.4016</v>
      </c>
      <c r="V1027" t="str">
        <f t="shared" ref="V1027:V1090" si="16">TRIM(G1027)</f>
        <v>Henry Goldwyn</v>
      </c>
      <c r="W1027">
        <f>Table2[Profit]/Table2[Sales]</f>
        <v>-1.5999999999999999</v>
      </c>
    </row>
    <row r="1028" spans="1:23" x14ac:dyDescent="0.25">
      <c r="A1028">
        <v>1027</v>
      </c>
      <c r="B1028" t="s">
        <v>4909</v>
      </c>
      <c r="C1028" s="1">
        <v>42308</v>
      </c>
      <c r="D1028" s="1">
        <v>42308</v>
      </c>
      <c r="E1028" t="s">
        <v>1278</v>
      </c>
      <c r="F1028" t="s">
        <v>587</v>
      </c>
      <c r="G1028" t="s">
        <v>588</v>
      </c>
      <c r="H1028" t="s">
        <v>25</v>
      </c>
      <c r="I1028" t="s">
        <v>26</v>
      </c>
      <c r="J1028" t="s">
        <v>768</v>
      </c>
      <c r="K1028" t="s">
        <v>42</v>
      </c>
      <c r="L1028">
        <v>92374</v>
      </c>
      <c r="M1028" t="s">
        <v>43</v>
      </c>
      <c r="N1028" t="s">
        <v>1436</v>
      </c>
      <c r="O1028" t="s">
        <v>45</v>
      </c>
      <c r="P1028" t="s">
        <v>89</v>
      </c>
      <c r="Q1028" t="s">
        <v>1437</v>
      </c>
      <c r="R1028">
        <v>19.98</v>
      </c>
      <c r="S1028">
        <v>1</v>
      </c>
      <c r="T1028">
        <v>0</v>
      </c>
      <c r="U1028">
        <v>9.3905999999999992</v>
      </c>
      <c r="V1028" t="str">
        <f t="shared" si="16"/>
        <v>Sandra Glassco</v>
      </c>
      <c r="W1028">
        <f>Table2[Profit]/Table2[Sales]</f>
        <v>0.47</v>
      </c>
    </row>
    <row r="1029" spans="1:23" x14ac:dyDescent="0.25">
      <c r="A1029">
        <v>1028</v>
      </c>
      <c r="B1029" t="s">
        <v>4918</v>
      </c>
      <c r="C1029" s="1">
        <v>42289</v>
      </c>
      <c r="D1029" s="1">
        <v>42294</v>
      </c>
      <c r="E1029" t="s">
        <v>22</v>
      </c>
      <c r="F1029" t="s">
        <v>2801</v>
      </c>
      <c r="G1029" t="s">
        <v>2802</v>
      </c>
      <c r="H1029" t="s">
        <v>25</v>
      </c>
      <c r="I1029" t="s">
        <v>26</v>
      </c>
      <c r="J1029" t="s">
        <v>382</v>
      </c>
      <c r="K1029" t="s">
        <v>264</v>
      </c>
      <c r="L1029">
        <v>14609</v>
      </c>
      <c r="M1029" t="s">
        <v>145</v>
      </c>
      <c r="N1029" t="s">
        <v>4339</v>
      </c>
      <c r="O1029" t="s">
        <v>31</v>
      </c>
      <c r="P1029" t="s">
        <v>55</v>
      </c>
      <c r="Q1029" t="s">
        <v>4340</v>
      </c>
      <c r="R1029">
        <v>209.67</v>
      </c>
      <c r="S1029">
        <v>1</v>
      </c>
      <c r="T1029">
        <v>0.4</v>
      </c>
      <c r="U1029">
        <v>-13.978</v>
      </c>
      <c r="V1029" t="str">
        <f t="shared" si="16"/>
        <v>Ralph Kennedy</v>
      </c>
      <c r="W1029">
        <f>Table2[Profit]/Table2[Sales]</f>
        <v>-6.6666666666666666E-2</v>
      </c>
    </row>
    <row r="1030" spans="1:23" x14ac:dyDescent="0.25">
      <c r="A1030">
        <v>1029</v>
      </c>
      <c r="B1030" t="s">
        <v>4919</v>
      </c>
      <c r="C1030" s="1">
        <v>42632</v>
      </c>
      <c r="D1030" s="1">
        <v>42636</v>
      </c>
      <c r="E1030" t="s">
        <v>49</v>
      </c>
      <c r="F1030" t="s">
        <v>4920</v>
      </c>
      <c r="G1030" t="s">
        <v>4921</v>
      </c>
      <c r="H1030" t="s">
        <v>25</v>
      </c>
      <c r="I1030" t="s">
        <v>26</v>
      </c>
      <c r="J1030" t="s">
        <v>4922</v>
      </c>
      <c r="K1030" t="s">
        <v>42</v>
      </c>
      <c r="L1030">
        <v>95207</v>
      </c>
      <c r="M1030" t="s">
        <v>43</v>
      </c>
      <c r="N1030" t="s">
        <v>1528</v>
      </c>
      <c r="O1030" t="s">
        <v>45</v>
      </c>
      <c r="P1030" t="s">
        <v>89</v>
      </c>
      <c r="Q1030" t="s">
        <v>1529</v>
      </c>
      <c r="R1030">
        <v>159.88</v>
      </c>
      <c r="S1030">
        <v>7</v>
      </c>
      <c r="T1030">
        <v>0</v>
      </c>
      <c r="U1030">
        <v>73.544799999999995</v>
      </c>
      <c r="V1030" t="str">
        <f t="shared" si="16"/>
        <v>Scot Wooten</v>
      </c>
      <c r="W1030">
        <f>Table2[Profit]/Table2[Sales]</f>
        <v>0.45999999999999996</v>
      </c>
    </row>
    <row r="1031" spans="1:23" x14ac:dyDescent="0.25">
      <c r="A1031">
        <v>1030</v>
      </c>
      <c r="B1031" t="s">
        <v>4923</v>
      </c>
      <c r="C1031" s="1">
        <v>42838</v>
      </c>
      <c r="D1031" s="1">
        <v>42840</v>
      </c>
      <c r="E1031" t="s">
        <v>185</v>
      </c>
      <c r="F1031" t="s">
        <v>2768</v>
      </c>
      <c r="G1031" t="s">
        <v>2769</v>
      </c>
      <c r="H1031" t="s">
        <v>40</v>
      </c>
      <c r="I1031" t="s">
        <v>26</v>
      </c>
      <c r="J1031" t="s">
        <v>94</v>
      </c>
      <c r="K1031" t="s">
        <v>95</v>
      </c>
      <c r="L1031">
        <v>98105</v>
      </c>
      <c r="M1031" t="s">
        <v>43</v>
      </c>
      <c r="N1031" t="s">
        <v>906</v>
      </c>
      <c r="O1031" t="s">
        <v>45</v>
      </c>
      <c r="P1031" t="s">
        <v>89</v>
      </c>
      <c r="Q1031" t="s">
        <v>907</v>
      </c>
      <c r="R1031">
        <v>5.28</v>
      </c>
      <c r="S1031">
        <v>1</v>
      </c>
      <c r="T1031">
        <v>0</v>
      </c>
      <c r="U1031">
        <v>2.3759999999999999</v>
      </c>
      <c r="V1031" t="str">
        <f t="shared" si="16"/>
        <v>Rob Williams</v>
      </c>
      <c r="W1031">
        <f>Table2[Profit]/Table2[Sales]</f>
        <v>0.44999999999999996</v>
      </c>
    </row>
    <row r="1032" spans="1:23" x14ac:dyDescent="0.25">
      <c r="A1032">
        <v>1031</v>
      </c>
      <c r="B1032" t="s">
        <v>4924</v>
      </c>
      <c r="C1032" s="1">
        <v>42742</v>
      </c>
      <c r="D1032" s="1">
        <v>42748</v>
      </c>
      <c r="E1032" t="s">
        <v>49</v>
      </c>
      <c r="F1032" t="s">
        <v>3822</v>
      </c>
      <c r="G1032" t="s">
        <v>3823</v>
      </c>
      <c r="H1032" t="s">
        <v>25</v>
      </c>
      <c r="I1032" t="s">
        <v>26</v>
      </c>
      <c r="J1032" t="s">
        <v>4925</v>
      </c>
      <c r="K1032" t="s">
        <v>53</v>
      </c>
      <c r="L1032">
        <v>32174</v>
      </c>
      <c r="M1032" t="s">
        <v>29</v>
      </c>
      <c r="N1032" t="s">
        <v>2873</v>
      </c>
      <c r="O1032" t="s">
        <v>45</v>
      </c>
      <c r="P1032" t="s">
        <v>74</v>
      </c>
      <c r="Q1032" t="s">
        <v>2874</v>
      </c>
      <c r="R1032">
        <v>2.8079999999999998</v>
      </c>
      <c r="S1032">
        <v>3</v>
      </c>
      <c r="T1032">
        <v>0.7</v>
      </c>
      <c r="U1032">
        <v>-1.9656</v>
      </c>
      <c r="V1032" t="str">
        <f t="shared" si="16"/>
        <v>Thais Sissman</v>
      </c>
      <c r="W1032">
        <f>Table2[Profit]/Table2[Sales]</f>
        <v>-0.70000000000000007</v>
      </c>
    </row>
    <row r="1033" spans="1:23" x14ac:dyDescent="0.25">
      <c r="A1033">
        <v>1032</v>
      </c>
      <c r="B1033" t="s">
        <v>4926</v>
      </c>
      <c r="C1033" s="1">
        <v>43048</v>
      </c>
      <c r="D1033" s="1">
        <v>43050</v>
      </c>
      <c r="E1033" t="s">
        <v>185</v>
      </c>
      <c r="F1033" t="s">
        <v>697</v>
      </c>
      <c r="G1033" t="s">
        <v>698</v>
      </c>
      <c r="H1033" t="s">
        <v>40</v>
      </c>
      <c r="I1033" t="s">
        <v>26</v>
      </c>
      <c r="J1033" t="s">
        <v>4927</v>
      </c>
      <c r="K1033" t="s">
        <v>42</v>
      </c>
      <c r="L1033">
        <v>94086</v>
      </c>
      <c r="M1033" t="s">
        <v>43</v>
      </c>
      <c r="N1033" t="s">
        <v>258</v>
      </c>
      <c r="O1033" t="s">
        <v>31</v>
      </c>
      <c r="P1033" t="s">
        <v>35</v>
      </c>
      <c r="Q1033" t="s">
        <v>259</v>
      </c>
      <c r="R1033">
        <v>215.976</v>
      </c>
      <c r="S1033">
        <v>3</v>
      </c>
      <c r="T1033">
        <v>0.2</v>
      </c>
      <c r="U1033">
        <v>-2.6997</v>
      </c>
      <c r="V1033" t="str">
        <f t="shared" si="16"/>
        <v>Jennifer Braxton</v>
      </c>
      <c r="W1033">
        <f>Table2[Profit]/Table2[Sales]</f>
        <v>-1.2500000000000001E-2</v>
      </c>
    </row>
    <row r="1034" spans="1:23" x14ac:dyDescent="0.25">
      <c r="A1034">
        <v>1033</v>
      </c>
      <c r="B1034" t="s">
        <v>4928</v>
      </c>
      <c r="C1034" s="1">
        <v>43000</v>
      </c>
      <c r="D1034" s="1">
        <v>43002</v>
      </c>
      <c r="E1034" t="s">
        <v>22</v>
      </c>
      <c r="F1034" t="s">
        <v>3106</v>
      </c>
      <c r="G1034" t="s">
        <v>3107</v>
      </c>
      <c r="H1034" t="s">
        <v>101</v>
      </c>
      <c r="I1034" t="s">
        <v>26</v>
      </c>
      <c r="J1034" t="s">
        <v>3242</v>
      </c>
      <c r="K1034" t="s">
        <v>235</v>
      </c>
      <c r="L1034">
        <v>48911</v>
      </c>
      <c r="M1034" t="s">
        <v>104</v>
      </c>
      <c r="N1034" t="s">
        <v>1429</v>
      </c>
      <c r="O1034" t="s">
        <v>31</v>
      </c>
      <c r="P1034" t="s">
        <v>32</v>
      </c>
      <c r="Q1034" t="s">
        <v>1430</v>
      </c>
      <c r="R1034">
        <v>241.96</v>
      </c>
      <c r="S1034">
        <v>2</v>
      </c>
      <c r="T1034">
        <v>0</v>
      </c>
      <c r="U1034">
        <v>41.133200000000002</v>
      </c>
      <c r="V1034" t="str">
        <f t="shared" si="16"/>
        <v>Erica Hernandez</v>
      </c>
      <c r="W1034">
        <f>Table2[Profit]/Table2[Sales]</f>
        <v>0.17</v>
      </c>
    </row>
    <row r="1035" spans="1:23" x14ac:dyDescent="0.25">
      <c r="A1035">
        <v>1034</v>
      </c>
      <c r="B1035" t="s">
        <v>4929</v>
      </c>
      <c r="C1035" s="1">
        <v>43070</v>
      </c>
      <c r="D1035" s="1">
        <v>43074</v>
      </c>
      <c r="E1035" t="s">
        <v>49</v>
      </c>
      <c r="F1035" t="s">
        <v>3106</v>
      </c>
      <c r="G1035" t="s">
        <v>3107</v>
      </c>
      <c r="H1035" t="s">
        <v>101</v>
      </c>
      <c r="I1035" t="s">
        <v>26</v>
      </c>
      <c r="J1035" t="s">
        <v>143</v>
      </c>
      <c r="K1035" t="s">
        <v>144</v>
      </c>
      <c r="L1035">
        <v>19143</v>
      </c>
      <c r="M1035" t="s">
        <v>145</v>
      </c>
      <c r="N1035" t="s">
        <v>4930</v>
      </c>
      <c r="O1035" t="s">
        <v>45</v>
      </c>
      <c r="P1035" t="s">
        <v>170</v>
      </c>
      <c r="Q1035" t="s">
        <v>4931</v>
      </c>
      <c r="R1035">
        <v>104.68</v>
      </c>
      <c r="S1035">
        <v>5</v>
      </c>
      <c r="T1035">
        <v>0.2</v>
      </c>
      <c r="U1035">
        <v>35.329500000000003</v>
      </c>
      <c r="V1035" t="str">
        <f t="shared" si="16"/>
        <v>Erica Hernandez</v>
      </c>
      <c r="W1035">
        <f>Table2[Profit]/Table2[Sales]</f>
        <v>0.33750000000000002</v>
      </c>
    </row>
    <row r="1036" spans="1:23" x14ac:dyDescent="0.25">
      <c r="A1036">
        <v>1035</v>
      </c>
      <c r="B1036" t="s">
        <v>4934</v>
      </c>
      <c r="C1036" s="1">
        <v>41813</v>
      </c>
      <c r="D1036" s="1">
        <v>41818</v>
      </c>
      <c r="E1036" t="s">
        <v>49</v>
      </c>
      <c r="F1036" t="s">
        <v>4935</v>
      </c>
      <c r="G1036" t="s">
        <v>4936</v>
      </c>
      <c r="H1036" t="s">
        <v>25</v>
      </c>
      <c r="I1036" t="s">
        <v>26</v>
      </c>
      <c r="J1036" t="s">
        <v>143</v>
      </c>
      <c r="K1036" t="s">
        <v>144</v>
      </c>
      <c r="L1036">
        <v>19143</v>
      </c>
      <c r="M1036" t="s">
        <v>145</v>
      </c>
      <c r="N1036" t="s">
        <v>1401</v>
      </c>
      <c r="O1036" t="s">
        <v>70</v>
      </c>
      <c r="P1036" t="s">
        <v>158</v>
      </c>
      <c r="Q1036" t="s">
        <v>1402</v>
      </c>
      <c r="R1036">
        <v>86.376000000000005</v>
      </c>
      <c r="S1036">
        <v>3</v>
      </c>
      <c r="T1036">
        <v>0.2</v>
      </c>
      <c r="U1036">
        <v>1.0797000000000001</v>
      </c>
      <c r="V1036" t="str">
        <f t="shared" si="16"/>
        <v>Brian Stugart</v>
      </c>
      <c r="W1036">
        <f>Table2[Profit]/Table2[Sales]</f>
        <v>1.2500000000000001E-2</v>
      </c>
    </row>
    <row r="1037" spans="1:23" x14ac:dyDescent="0.25">
      <c r="A1037">
        <v>1036</v>
      </c>
      <c r="B1037" t="s">
        <v>4937</v>
      </c>
      <c r="C1037" s="1">
        <v>42281</v>
      </c>
      <c r="D1037" s="1">
        <v>42286</v>
      </c>
      <c r="E1037" t="s">
        <v>49</v>
      </c>
      <c r="F1037" t="s">
        <v>3711</v>
      </c>
      <c r="G1037" t="s">
        <v>3712</v>
      </c>
      <c r="H1037" t="s">
        <v>101</v>
      </c>
      <c r="I1037" t="s">
        <v>26</v>
      </c>
      <c r="J1037" t="s">
        <v>143</v>
      </c>
      <c r="K1037" t="s">
        <v>144</v>
      </c>
      <c r="L1037">
        <v>19134</v>
      </c>
      <c r="M1037" t="s">
        <v>145</v>
      </c>
      <c r="N1037" t="s">
        <v>4938</v>
      </c>
      <c r="O1037" t="s">
        <v>31</v>
      </c>
      <c r="P1037" t="s">
        <v>64</v>
      </c>
      <c r="Q1037" t="s">
        <v>4939</v>
      </c>
      <c r="R1037">
        <v>64.944000000000003</v>
      </c>
      <c r="S1037">
        <v>3</v>
      </c>
      <c r="T1037">
        <v>0.2</v>
      </c>
      <c r="U1037">
        <v>6.4943999999999997</v>
      </c>
      <c r="V1037" t="str">
        <f t="shared" si="16"/>
        <v>Julie Kriz</v>
      </c>
      <c r="W1037">
        <f>Table2[Profit]/Table2[Sales]</f>
        <v>9.9999999999999992E-2</v>
      </c>
    </row>
    <row r="1038" spans="1:23" x14ac:dyDescent="0.25">
      <c r="A1038">
        <v>1037</v>
      </c>
      <c r="B1038" t="s">
        <v>4940</v>
      </c>
      <c r="C1038" s="1">
        <v>41779</v>
      </c>
      <c r="D1038" s="1">
        <v>41781</v>
      </c>
      <c r="E1038" t="s">
        <v>22</v>
      </c>
      <c r="F1038" t="s">
        <v>4941</v>
      </c>
      <c r="G1038" t="s">
        <v>4942</v>
      </c>
      <c r="H1038" t="s">
        <v>40</v>
      </c>
      <c r="I1038" t="s">
        <v>26</v>
      </c>
      <c r="J1038" t="s">
        <v>241</v>
      </c>
      <c r="K1038" t="s">
        <v>2658</v>
      </c>
      <c r="L1038">
        <v>3820</v>
      </c>
      <c r="M1038" t="s">
        <v>145</v>
      </c>
      <c r="N1038" t="s">
        <v>4943</v>
      </c>
      <c r="O1038" t="s">
        <v>45</v>
      </c>
      <c r="P1038" t="s">
        <v>77</v>
      </c>
      <c r="Q1038" t="s">
        <v>4944</v>
      </c>
      <c r="R1038">
        <v>33.28</v>
      </c>
      <c r="S1038">
        <v>4</v>
      </c>
      <c r="T1038">
        <v>0</v>
      </c>
      <c r="U1038">
        <v>9.3184000000000005</v>
      </c>
      <c r="V1038" t="str">
        <f t="shared" si="16"/>
        <v>Randy Ferguson</v>
      </c>
      <c r="W1038">
        <f>Table2[Profit]/Table2[Sales]</f>
        <v>0.28000000000000003</v>
      </c>
    </row>
    <row r="1039" spans="1:23" x14ac:dyDescent="0.25">
      <c r="A1039">
        <v>1038</v>
      </c>
      <c r="B1039" t="s">
        <v>4947</v>
      </c>
      <c r="C1039" s="1">
        <v>42328</v>
      </c>
      <c r="D1039" s="1">
        <v>42334</v>
      </c>
      <c r="E1039" t="s">
        <v>49</v>
      </c>
      <c r="F1039" t="s">
        <v>2419</v>
      </c>
      <c r="G1039" t="s">
        <v>2420</v>
      </c>
      <c r="H1039" t="s">
        <v>25</v>
      </c>
      <c r="I1039" t="s">
        <v>26</v>
      </c>
      <c r="J1039" t="s">
        <v>263</v>
      </c>
      <c r="K1039" t="s">
        <v>264</v>
      </c>
      <c r="L1039">
        <v>10011</v>
      </c>
      <c r="M1039" t="s">
        <v>145</v>
      </c>
      <c r="N1039" t="s">
        <v>4948</v>
      </c>
      <c r="O1039" t="s">
        <v>45</v>
      </c>
      <c r="P1039" t="s">
        <v>89</v>
      </c>
      <c r="Q1039" t="s">
        <v>4949</v>
      </c>
      <c r="R1039">
        <v>19.649999999999999</v>
      </c>
      <c r="S1039">
        <v>3</v>
      </c>
      <c r="T1039">
        <v>0</v>
      </c>
      <c r="U1039">
        <v>9.0389999999999997</v>
      </c>
      <c r="V1039" t="str">
        <f t="shared" si="16"/>
        <v>Dan Lawera</v>
      </c>
      <c r="W1039">
        <f>Table2[Profit]/Table2[Sales]</f>
        <v>0.46</v>
      </c>
    </row>
    <row r="1040" spans="1:23" x14ac:dyDescent="0.25">
      <c r="A1040">
        <v>1039</v>
      </c>
      <c r="B1040" t="s">
        <v>4950</v>
      </c>
      <c r="C1040" s="1">
        <v>42338</v>
      </c>
      <c r="D1040" s="1">
        <v>42342</v>
      </c>
      <c r="E1040" t="s">
        <v>49</v>
      </c>
      <c r="F1040" t="s">
        <v>4951</v>
      </c>
      <c r="G1040" t="s">
        <v>4952</v>
      </c>
      <c r="H1040" t="s">
        <v>25</v>
      </c>
      <c r="I1040" t="s">
        <v>26</v>
      </c>
      <c r="J1040" t="s">
        <v>143</v>
      </c>
      <c r="K1040" t="s">
        <v>144</v>
      </c>
      <c r="L1040">
        <v>19134</v>
      </c>
      <c r="M1040" t="s">
        <v>145</v>
      </c>
      <c r="N1040" t="s">
        <v>96</v>
      </c>
      <c r="O1040" t="s">
        <v>45</v>
      </c>
      <c r="P1040" t="s">
        <v>74</v>
      </c>
      <c r="Q1040" t="s">
        <v>97</v>
      </c>
      <c r="R1040">
        <v>152.99100000000001</v>
      </c>
      <c r="S1040">
        <v>3</v>
      </c>
      <c r="T1040">
        <v>0.7</v>
      </c>
      <c r="U1040">
        <v>-122.39279999999999</v>
      </c>
      <c r="V1040" t="str">
        <f t="shared" si="16"/>
        <v>William Brown</v>
      </c>
      <c r="W1040">
        <f>Table2[Profit]/Table2[Sales]</f>
        <v>-0.79999999999999993</v>
      </c>
    </row>
    <row r="1041" spans="1:23" x14ac:dyDescent="0.25">
      <c r="A1041">
        <v>1040</v>
      </c>
      <c r="B1041" t="s">
        <v>4955</v>
      </c>
      <c r="C1041" s="1">
        <v>42369</v>
      </c>
      <c r="D1041" s="1">
        <v>42374</v>
      </c>
      <c r="E1041" t="s">
        <v>49</v>
      </c>
      <c r="F1041" t="s">
        <v>4956</v>
      </c>
      <c r="G1041" t="s">
        <v>4957</v>
      </c>
      <c r="H1041" t="s">
        <v>25</v>
      </c>
      <c r="I1041" t="s">
        <v>26</v>
      </c>
      <c r="J1041" t="s">
        <v>751</v>
      </c>
      <c r="K1041" t="s">
        <v>103</v>
      </c>
      <c r="L1041">
        <v>75051</v>
      </c>
      <c r="M1041" t="s">
        <v>104</v>
      </c>
      <c r="N1041" t="s">
        <v>4958</v>
      </c>
      <c r="O1041" t="s">
        <v>31</v>
      </c>
      <c r="P1041" t="s">
        <v>64</v>
      </c>
      <c r="Q1041" t="s">
        <v>4959</v>
      </c>
      <c r="R1041">
        <v>14.76</v>
      </c>
      <c r="S1041">
        <v>5</v>
      </c>
      <c r="T1041">
        <v>0.6</v>
      </c>
      <c r="U1041">
        <v>-11.439</v>
      </c>
      <c r="V1041" t="str">
        <f t="shared" si="16"/>
        <v>Trudy Brown</v>
      </c>
      <c r="W1041">
        <f>Table2[Profit]/Table2[Sales]</f>
        <v>-0.77500000000000002</v>
      </c>
    </row>
    <row r="1042" spans="1:23" x14ac:dyDescent="0.25">
      <c r="A1042">
        <v>1041</v>
      </c>
      <c r="B1042" t="s">
        <v>4960</v>
      </c>
      <c r="C1042" s="1">
        <v>43055</v>
      </c>
      <c r="D1042" s="1">
        <v>43055</v>
      </c>
      <c r="E1042" t="s">
        <v>1278</v>
      </c>
      <c r="F1042" t="s">
        <v>4750</v>
      </c>
      <c r="G1042" t="s">
        <v>4751</v>
      </c>
      <c r="H1042" t="s">
        <v>25</v>
      </c>
      <c r="I1042" t="s">
        <v>26</v>
      </c>
      <c r="J1042" t="s">
        <v>263</v>
      </c>
      <c r="K1042" t="s">
        <v>264</v>
      </c>
      <c r="L1042">
        <v>10009</v>
      </c>
      <c r="M1042" t="s">
        <v>145</v>
      </c>
      <c r="N1042" t="s">
        <v>2283</v>
      </c>
      <c r="O1042" t="s">
        <v>45</v>
      </c>
      <c r="P1042" t="s">
        <v>89</v>
      </c>
      <c r="Q1042" t="s">
        <v>2284</v>
      </c>
      <c r="R1042">
        <v>146.82</v>
      </c>
      <c r="S1042">
        <v>3</v>
      </c>
      <c r="T1042">
        <v>0</v>
      </c>
      <c r="U1042">
        <v>73.41</v>
      </c>
      <c r="V1042" t="str">
        <f t="shared" si="16"/>
        <v>Christy Brittain</v>
      </c>
      <c r="W1042">
        <f>Table2[Profit]/Table2[Sales]</f>
        <v>0.5</v>
      </c>
    </row>
    <row r="1043" spans="1:23" x14ac:dyDescent="0.25">
      <c r="A1043">
        <v>1042</v>
      </c>
      <c r="B1043" t="s">
        <v>4961</v>
      </c>
      <c r="C1043" s="1">
        <v>41796</v>
      </c>
      <c r="D1043" s="1">
        <v>41801</v>
      </c>
      <c r="E1043" t="s">
        <v>49</v>
      </c>
      <c r="F1043" t="s">
        <v>2187</v>
      </c>
      <c r="G1043" t="s">
        <v>2188</v>
      </c>
      <c r="H1043" t="s">
        <v>40</v>
      </c>
      <c r="I1043" t="s">
        <v>26</v>
      </c>
      <c r="J1043" t="s">
        <v>1161</v>
      </c>
      <c r="K1043" t="s">
        <v>264</v>
      </c>
      <c r="L1043">
        <v>11561</v>
      </c>
      <c r="M1043" t="s">
        <v>145</v>
      </c>
      <c r="N1043" t="s">
        <v>1375</v>
      </c>
      <c r="O1043" t="s">
        <v>45</v>
      </c>
      <c r="P1043" t="s">
        <v>74</v>
      </c>
      <c r="Q1043" t="s">
        <v>1376</v>
      </c>
      <c r="R1043">
        <v>149.54400000000001</v>
      </c>
      <c r="S1043">
        <v>9</v>
      </c>
      <c r="T1043">
        <v>0.2</v>
      </c>
      <c r="U1043">
        <v>50.4711</v>
      </c>
      <c r="V1043" t="str">
        <f t="shared" si="16"/>
        <v>Grant Thornton</v>
      </c>
      <c r="W1043">
        <f>Table2[Profit]/Table2[Sales]</f>
        <v>0.33749999999999997</v>
      </c>
    </row>
    <row r="1044" spans="1:23" x14ac:dyDescent="0.25">
      <c r="A1044">
        <v>1043</v>
      </c>
      <c r="B1044" t="s">
        <v>4966</v>
      </c>
      <c r="C1044" s="1">
        <v>42614</v>
      </c>
      <c r="D1044" s="1">
        <v>42618</v>
      </c>
      <c r="E1044" t="s">
        <v>49</v>
      </c>
      <c r="F1044" t="s">
        <v>1347</v>
      </c>
      <c r="G1044" t="s">
        <v>1348</v>
      </c>
      <c r="H1044" t="s">
        <v>40</v>
      </c>
      <c r="I1044" t="s">
        <v>26</v>
      </c>
      <c r="J1044" t="s">
        <v>143</v>
      </c>
      <c r="K1044" t="s">
        <v>144</v>
      </c>
      <c r="L1044">
        <v>19140</v>
      </c>
      <c r="M1044" t="s">
        <v>145</v>
      </c>
      <c r="N1044" t="s">
        <v>322</v>
      </c>
      <c r="O1044" t="s">
        <v>45</v>
      </c>
      <c r="P1044" t="s">
        <v>89</v>
      </c>
      <c r="Q1044" t="s">
        <v>323</v>
      </c>
      <c r="R1044">
        <v>30.48</v>
      </c>
      <c r="S1044">
        <v>6</v>
      </c>
      <c r="T1044">
        <v>0.2</v>
      </c>
      <c r="U1044">
        <v>9.9060000000000006</v>
      </c>
      <c r="V1044" t="str">
        <f t="shared" si="16"/>
        <v>Dean Katz</v>
      </c>
      <c r="W1044">
        <f>Table2[Profit]/Table2[Sales]</f>
        <v>0.32500000000000001</v>
      </c>
    </row>
    <row r="1045" spans="1:23" x14ac:dyDescent="0.25">
      <c r="A1045">
        <v>1044</v>
      </c>
      <c r="B1045" t="s">
        <v>4967</v>
      </c>
      <c r="C1045" s="1">
        <v>42546</v>
      </c>
      <c r="D1045" s="1">
        <v>42550</v>
      </c>
      <c r="E1045" t="s">
        <v>49</v>
      </c>
      <c r="F1045" t="s">
        <v>3084</v>
      </c>
      <c r="G1045" t="s">
        <v>3085</v>
      </c>
      <c r="H1045" t="s">
        <v>40</v>
      </c>
      <c r="I1045" t="s">
        <v>26</v>
      </c>
      <c r="J1045" t="s">
        <v>4968</v>
      </c>
      <c r="K1045" t="s">
        <v>144</v>
      </c>
      <c r="L1045">
        <v>17403</v>
      </c>
      <c r="M1045" t="s">
        <v>145</v>
      </c>
      <c r="N1045" t="s">
        <v>936</v>
      </c>
      <c r="O1045" t="s">
        <v>31</v>
      </c>
      <c r="P1045" t="s">
        <v>35</v>
      </c>
      <c r="Q1045" t="s">
        <v>937</v>
      </c>
      <c r="R1045">
        <v>422.05799999999999</v>
      </c>
      <c r="S1045">
        <v>3</v>
      </c>
      <c r="T1045">
        <v>0.3</v>
      </c>
      <c r="U1045">
        <v>-18.088200000000001</v>
      </c>
      <c r="V1045" t="str">
        <f t="shared" si="16"/>
        <v>Theresa Swint</v>
      </c>
      <c r="W1045">
        <f>Table2[Profit]/Table2[Sales]</f>
        <v>-4.2857142857142858E-2</v>
      </c>
    </row>
    <row r="1046" spans="1:23" x14ac:dyDescent="0.25">
      <c r="A1046">
        <v>1045</v>
      </c>
      <c r="B1046" t="s">
        <v>4969</v>
      </c>
      <c r="C1046" s="1">
        <v>41985</v>
      </c>
      <c r="D1046" s="1">
        <v>41990</v>
      </c>
      <c r="E1046" t="s">
        <v>49</v>
      </c>
      <c r="F1046" t="s">
        <v>4951</v>
      </c>
      <c r="G1046" t="s">
        <v>4952</v>
      </c>
      <c r="H1046" t="s">
        <v>25</v>
      </c>
      <c r="I1046" t="s">
        <v>26</v>
      </c>
      <c r="J1046" t="s">
        <v>86</v>
      </c>
      <c r="K1046" t="s">
        <v>42</v>
      </c>
      <c r="L1046">
        <v>94521</v>
      </c>
      <c r="M1046" t="s">
        <v>43</v>
      </c>
      <c r="N1046" t="s">
        <v>3020</v>
      </c>
      <c r="O1046" t="s">
        <v>31</v>
      </c>
      <c r="P1046" t="s">
        <v>64</v>
      </c>
      <c r="Q1046" t="s">
        <v>3021</v>
      </c>
      <c r="R1046">
        <v>43.31</v>
      </c>
      <c r="S1046">
        <v>1</v>
      </c>
      <c r="T1046">
        <v>0</v>
      </c>
      <c r="U1046">
        <v>4.3310000000000004</v>
      </c>
      <c r="V1046" t="str">
        <f t="shared" si="16"/>
        <v>William Brown</v>
      </c>
      <c r="W1046">
        <f>Table2[Profit]/Table2[Sales]</f>
        <v>0.1</v>
      </c>
    </row>
    <row r="1047" spans="1:23" x14ac:dyDescent="0.25">
      <c r="A1047">
        <v>1046</v>
      </c>
      <c r="B1047" t="s">
        <v>4970</v>
      </c>
      <c r="C1047" s="1">
        <v>42825</v>
      </c>
      <c r="D1047" s="1">
        <v>42830</v>
      </c>
      <c r="E1047" t="s">
        <v>49</v>
      </c>
      <c r="F1047" t="s">
        <v>1339</v>
      </c>
      <c r="G1047" t="s">
        <v>1340</v>
      </c>
      <c r="H1047" t="s">
        <v>25</v>
      </c>
      <c r="I1047" t="s">
        <v>26</v>
      </c>
      <c r="J1047" t="s">
        <v>263</v>
      </c>
      <c r="K1047" t="s">
        <v>264</v>
      </c>
      <c r="L1047">
        <v>10035</v>
      </c>
      <c r="M1047" t="s">
        <v>145</v>
      </c>
      <c r="N1047" t="s">
        <v>4971</v>
      </c>
      <c r="O1047" t="s">
        <v>70</v>
      </c>
      <c r="P1047" t="s">
        <v>71</v>
      </c>
      <c r="Q1047" t="s">
        <v>4972</v>
      </c>
      <c r="R1047">
        <v>84.95</v>
      </c>
      <c r="S1047">
        <v>5</v>
      </c>
      <c r="T1047">
        <v>0</v>
      </c>
      <c r="U1047">
        <v>22.087</v>
      </c>
      <c r="V1047" t="str">
        <f t="shared" si="16"/>
        <v>Denny Ordway</v>
      </c>
      <c r="W1047">
        <f>Table2[Profit]/Table2[Sales]</f>
        <v>0.26</v>
      </c>
    </row>
    <row r="1048" spans="1:23" x14ac:dyDescent="0.25">
      <c r="A1048">
        <v>1047</v>
      </c>
      <c r="B1048" t="s">
        <v>4973</v>
      </c>
      <c r="C1048" s="1">
        <v>43058</v>
      </c>
      <c r="D1048" s="1">
        <v>43065</v>
      </c>
      <c r="E1048" t="s">
        <v>49</v>
      </c>
      <c r="F1048" t="s">
        <v>4974</v>
      </c>
      <c r="G1048" t="s">
        <v>4975</v>
      </c>
      <c r="H1048" t="s">
        <v>25</v>
      </c>
      <c r="I1048" t="s">
        <v>26</v>
      </c>
      <c r="J1048" t="s">
        <v>4976</v>
      </c>
      <c r="K1048" t="s">
        <v>103</v>
      </c>
      <c r="L1048">
        <v>77840</v>
      </c>
      <c r="M1048" t="s">
        <v>104</v>
      </c>
      <c r="N1048" t="s">
        <v>3476</v>
      </c>
      <c r="O1048" t="s">
        <v>31</v>
      </c>
      <c r="P1048" t="s">
        <v>35</v>
      </c>
      <c r="Q1048" t="s">
        <v>3477</v>
      </c>
      <c r="R1048">
        <v>233.05799999999999</v>
      </c>
      <c r="S1048">
        <v>3</v>
      </c>
      <c r="T1048">
        <v>0.3</v>
      </c>
      <c r="U1048">
        <v>-53.270400000000002</v>
      </c>
      <c r="V1048" t="str">
        <f t="shared" si="16"/>
        <v>Art Ferguson</v>
      </c>
      <c r="W1048">
        <f>Table2[Profit]/Table2[Sales]</f>
        <v>-0.22857142857142859</v>
      </c>
    </row>
    <row r="1049" spans="1:23" x14ac:dyDescent="0.25">
      <c r="A1049">
        <v>1048</v>
      </c>
      <c r="B1049" t="s">
        <v>4977</v>
      </c>
      <c r="C1049" s="1">
        <v>41967</v>
      </c>
      <c r="D1049" s="1">
        <v>41972</v>
      </c>
      <c r="E1049" t="s">
        <v>22</v>
      </c>
      <c r="F1049" t="s">
        <v>4978</v>
      </c>
      <c r="G1049" t="s">
        <v>4979</v>
      </c>
      <c r="H1049" t="s">
        <v>25</v>
      </c>
      <c r="I1049" t="s">
        <v>26</v>
      </c>
      <c r="J1049" t="s">
        <v>4980</v>
      </c>
      <c r="K1049" t="s">
        <v>590</v>
      </c>
      <c r="L1049">
        <v>63116</v>
      </c>
      <c r="M1049" t="s">
        <v>104</v>
      </c>
      <c r="N1049" t="s">
        <v>1558</v>
      </c>
      <c r="O1049" t="s">
        <v>70</v>
      </c>
      <c r="P1049" t="s">
        <v>158</v>
      </c>
      <c r="Q1049" t="s">
        <v>1559</v>
      </c>
      <c r="R1049">
        <v>111.79</v>
      </c>
      <c r="S1049">
        <v>7</v>
      </c>
      <c r="T1049">
        <v>0</v>
      </c>
      <c r="U1049">
        <v>43.598100000000002</v>
      </c>
      <c r="V1049" t="str">
        <f t="shared" si="16"/>
        <v>Richard Bierner</v>
      </c>
      <c r="W1049">
        <f>Table2[Profit]/Table2[Sales]</f>
        <v>0.39</v>
      </c>
    </row>
    <row r="1050" spans="1:23" x14ac:dyDescent="0.25">
      <c r="A1050">
        <v>1049</v>
      </c>
      <c r="B1050" t="s">
        <v>4981</v>
      </c>
      <c r="C1050" s="1">
        <v>42330</v>
      </c>
      <c r="D1050" s="1">
        <v>42334</v>
      </c>
      <c r="E1050" t="s">
        <v>49</v>
      </c>
      <c r="F1050" t="s">
        <v>3945</v>
      </c>
      <c r="G1050" t="s">
        <v>3946</v>
      </c>
      <c r="H1050" t="s">
        <v>25</v>
      </c>
      <c r="I1050" t="s">
        <v>26</v>
      </c>
      <c r="J1050" t="s">
        <v>1309</v>
      </c>
      <c r="K1050" t="s">
        <v>1233</v>
      </c>
      <c r="L1050">
        <v>2169</v>
      </c>
      <c r="M1050" t="s">
        <v>145</v>
      </c>
      <c r="N1050" t="s">
        <v>3974</v>
      </c>
      <c r="O1050" t="s">
        <v>45</v>
      </c>
      <c r="P1050" t="s">
        <v>89</v>
      </c>
      <c r="Q1050" t="s">
        <v>3975</v>
      </c>
      <c r="R1050">
        <v>14.94</v>
      </c>
      <c r="S1050">
        <v>3</v>
      </c>
      <c r="T1050">
        <v>0</v>
      </c>
      <c r="U1050">
        <v>7.0217999999999998</v>
      </c>
      <c r="V1050" t="str">
        <f t="shared" si="16"/>
        <v>Andy Reiter</v>
      </c>
      <c r="W1050">
        <f>Table2[Profit]/Table2[Sales]</f>
        <v>0.47000000000000003</v>
      </c>
    </row>
    <row r="1051" spans="1:23" x14ac:dyDescent="0.25">
      <c r="A1051">
        <v>1050</v>
      </c>
      <c r="B1051" t="s">
        <v>4982</v>
      </c>
      <c r="C1051" s="1">
        <v>42565</v>
      </c>
      <c r="D1051" s="1">
        <v>42569</v>
      </c>
      <c r="E1051" t="s">
        <v>49</v>
      </c>
      <c r="F1051" t="s">
        <v>952</v>
      </c>
      <c r="G1051" t="s">
        <v>953</v>
      </c>
      <c r="H1051" t="s">
        <v>40</v>
      </c>
      <c r="I1051" t="s">
        <v>26</v>
      </c>
      <c r="J1051" t="s">
        <v>263</v>
      </c>
      <c r="K1051" t="s">
        <v>264</v>
      </c>
      <c r="L1051">
        <v>10009</v>
      </c>
      <c r="M1051" t="s">
        <v>145</v>
      </c>
      <c r="N1051" t="s">
        <v>2335</v>
      </c>
      <c r="O1051" t="s">
        <v>45</v>
      </c>
      <c r="P1051" t="s">
        <v>74</v>
      </c>
      <c r="Q1051" t="s">
        <v>2336</v>
      </c>
      <c r="R1051">
        <v>14.16</v>
      </c>
      <c r="S1051">
        <v>2</v>
      </c>
      <c r="T1051">
        <v>0.2</v>
      </c>
      <c r="U1051">
        <v>5.133</v>
      </c>
      <c r="V1051" t="str">
        <f t="shared" si="16"/>
        <v>Dan Reichenbach</v>
      </c>
      <c r="W1051">
        <f>Table2[Profit]/Table2[Sales]</f>
        <v>0.36249999999999999</v>
      </c>
    </row>
    <row r="1052" spans="1:23" x14ac:dyDescent="0.25">
      <c r="A1052">
        <v>1051</v>
      </c>
      <c r="B1052" t="s">
        <v>4983</v>
      </c>
      <c r="C1052" s="1">
        <v>42490</v>
      </c>
      <c r="D1052" s="1">
        <v>42495</v>
      </c>
      <c r="E1052" t="s">
        <v>49</v>
      </c>
      <c r="F1052" t="s">
        <v>3369</v>
      </c>
      <c r="G1052" t="s">
        <v>3370</v>
      </c>
      <c r="H1052" t="s">
        <v>101</v>
      </c>
      <c r="I1052" t="s">
        <v>26</v>
      </c>
      <c r="J1052" t="s">
        <v>808</v>
      </c>
      <c r="K1052" t="s">
        <v>103</v>
      </c>
      <c r="L1052">
        <v>75081</v>
      </c>
      <c r="M1052" t="s">
        <v>104</v>
      </c>
      <c r="N1052" t="s">
        <v>4534</v>
      </c>
      <c r="O1052" t="s">
        <v>31</v>
      </c>
      <c r="P1052" t="s">
        <v>64</v>
      </c>
      <c r="Q1052" t="s">
        <v>4535</v>
      </c>
      <c r="R1052">
        <v>22.608000000000001</v>
      </c>
      <c r="S1052">
        <v>3</v>
      </c>
      <c r="T1052">
        <v>0.6</v>
      </c>
      <c r="U1052">
        <v>-10.1736</v>
      </c>
      <c r="V1052" t="str">
        <f t="shared" si="16"/>
        <v>Ben Ferrer</v>
      </c>
      <c r="W1052">
        <f>Table2[Profit]/Table2[Sales]</f>
        <v>-0.45</v>
      </c>
    </row>
    <row r="1053" spans="1:23" x14ac:dyDescent="0.25">
      <c r="A1053">
        <v>1052</v>
      </c>
      <c r="B1053" t="s">
        <v>4984</v>
      </c>
      <c r="C1053" s="1">
        <v>42576</v>
      </c>
      <c r="D1053" s="1">
        <v>42578</v>
      </c>
      <c r="E1053" t="s">
        <v>22</v>
      </c>
      <c r="F1053" t="s">
        <v>3665</v>
      </c>
      <c r="G1053" t="s">
        <v>3666</v>
      </c>
      <c r="H1053" t="s">
        <v>25</v>
      </c>
      <c r="I1053" t="s">
        <v>26</v>
      </c>
      <c r="J1053" t="s">
        <v>41</v>
      </c>
      <c r="K1053" t="s">
        <v>42</v>
      </c>
      <c r="L1053">
        <v>90032</v>
      </c>
      <c r="M1053" t="s">
        <v>43</v>
      </c>
      <c r="N1053" t="s">
        <v>1162</v>
      </c>
      <c r="O1053" t="s">
        <v>45</v>
      </c>
      <c r="P1053" t="s">
        <v>266</v>
      </c>
      <c r="Q1053" t="s">
        <v>1163</v>
      </c>
      <c r="R1053">
        <v>21.48</v>
      </c>
      <c r="S1053">
        <v>6</v>
      </c>
      <c r="T1053">
        <v>0</v>
      </c>
      <c r="U1053">
        <v>10.74</v>
      </c>
      <c r="V1053" t="str">
        <f t="shared" si="16"/>
        <v>Larry Blacks</v>
      </c>
      <c r="W1053">
        <f>Table2[Profit]/Table2[Sales]</f>
        <v>0.5</v>
      </c>
    </row>
    <row r="1054" spans="1:23" x14ac:dyDescent="0.25">
      <c r="A1054">
        <v>1053</v>
      </c>
      <c r="B1054" t="s">
        <v>4985</v>
      </c>
      <c r="C1054" s="1">
        <v>41812</v>
      </c>
      <c r="D1054" s="1">
        <v>41814</v>
      </c>
      <c r="E1054" t="s">
        <v>185</v>
      </c>
      <c r="F1054" t="s">
        <v>1934</v>
      </c>
      <c r="G1054" t="s">
        <v>1935</v>
      </c>
      <c r="H1054" t="s">
        <v>25</v>
      </c>
      <c r="I1054" t="s">
        <v>26</v>
      </c>
      <c r="J1054" t="s">
        <v>402</v>
      </c>
      <c r="K1054" t="s">
        <v>226</v>
      </c>
      <c r="L1054">
        <v>55407</v>
      </c>
      <c r="M1054" t="s">
        <v>104</v>
      </c>
      <c r="N1054" t="s">
        <v>2887</v>
      </c>
      <c r="O1054" t="s">
        <v>45</v>
      </c>
      <c r="P1054" t="s">
        <v>58</v>
      </c>
      <c r="Q1054" t="s">
        <v>2888</v>
      </c>
      <c r="R1054">
        <v>501.81</v>
      </c>
      <c r="S1054">
        <v>3</v>
      </c>
      <c r="T1054">
        <v>0</v>
      </c>
      <c r="U1054">
        <v>0</v>
      </c>
      <c r="V1054" t="str">
        <f t="shared" si="16"/>
        <v>Dianna Vittorini</v>
      </c>
      <c r="W1054">
        <f>Table2[Profit]/Table2[Sales]</f>
        <v>0</v>
      </c>
    </row>
    <row r="1055" spans="1:23" x14ac:dyDescent="0.25">
      <c r="A1055">
        <v>1054</v>
      </c>
      <c r="B1055" t="s">
        <v>4986</v>
      </c>
      <c r="C1055" s="1">
        <v>43029</v>
      </c>
      <c r="D1055" s="1">
        <v>43034</v>
      </c>
      <c r="E1055" t="s">
        <v>49</v>
      </c>
      <c r="F1055" t="s">
        <v>630</v>
      </c>
      <c r="G1055" t="s">
        <v>631</v>
      </c>
      <c r="H1055" t="s">
        <v>101</v>
      </c>
      <c r="I1055" t="s">
        <v>26</v>
      </c>
      <c r="J1055" t="s">
        <v>3571</v>
      </c>
      <c r="K1055" t="s">
        <v>53</v>
      </c>
      <c r="L1055">
        <v>32725</v>
      </c>
      <c r="M1055" t="s">
        <v>29</v>
      </c>
      <c r="N1055" t="s">
        <v>4987</v>
      </c>
      <c r="O1055" t="s">
        <v>45</v>
      </c>
      <c r="P1055" t="s">
        <v>67</v>
      </c>
      <c r="Q1055" t="s">
        <v>4988</v>
      </c>
      <c r="R1055">
        <v>17.856000000000002</v>
      </c>
      <c r="S1055">
        <v>4</v>
      </c>
      <c r="T1055">
        <v>0.2</v>
      </c>
      <c r="U1055">
        <v>2.0087999999999999</v>
      </c>
      <c r="V1055" t="str">
        <f t="shared" si="16"/>
        <v>Neil Knudson</v>
      </c>
      <c r="W1055">
        <f>Table2[Profit]/Table2[Sales]</f>
        <v>0.11249999999999999</v>
      </c>
    </row>
    <row r="1056" spans="1:23" x14ac:dyDescent="0.25">
      <c r="A1056">
        <v>1055</v>
      </c>
      <c r="B1056" t="s">
        <v>4989</v>
      </c>
      <c r="C1056" s="1">
        <v>42616</v>
      </c>
      <c r="D1056" s="1">
        <v>42622</v>
      </c>
      <c r="E1056" t="s">
        <v>49</v>
      </c>
      <c r="F1056" t="s">
        <v>1924</v>
      </c>
      <c r="G1056" t="s">
        <v>1925</v>
      </c>
      <c r="H1056" t="s">
        <v>25</v>
      </c>
      <c r="I1056" t="s">
        <v>26</v>
      </c>
      <c r="J1056" t="s">
        <v>296</v>
      </c>
      <c r="K1056" t="s">
        <v>208</v>
      </c>
      <c r="L1056">
        <v>60610</v>
      </c>
      <c r="M1056" t="s">
        <v>104</v>
      </c>
      <c r="N1056" t="s">
        <v>3452</v>
      </c>
      <c r="O1056" t="s">
        <v>45</v>
      </c>
      <c r="P1056" t="s">
        <v>74</v>
      </c>
      <c r="Q1056" t="s">
        <v>3453</v>
      </c>
      <c r="R1056">
        <v>8.8079999999999998</v>
      </c>
      <c r="S1056">
        <v>3</v>
      </c>
      <c r="T1056">
        <v>0.8</v>
      </c>
      <c r="U1056">
        <v>-14.973599999999999</v>
      </c>
      <c r="V1056" t="str">
        <f t="shared" si="16"/>
        <v>Carlos Soltero</v>
      </c>
      <c r="W1056">
        <f>Table2[Profit]/Table2[Sales]</f>
        <v>-1.7</v>
      </c>
    </row>
    <row r="1057" spans="1:23" x14ac:dyDescent="0.25">
      <c r="A1057">
        <v>1056</v>
      </c>
      <c r="B1057" t="s">
        <v>4990</v>
      </c>
      <c r="C1057" s="1">
        <v>42504</v>
      </c>
      <c r="D1057" s="1">
        <v>42504</v>
      </c>
      <c r="E1057" t="s">
        <v>1278</v>
      </c>
      <c r="F1057" t="s">
        <v>934</v>
      </c>
      <c r="G1057" t="s">
        <v>935</v>
      </c>
      <c r="H1057" t="s">
        <v>25</v>
      </c>
      <c r="I1057" t="s">
        <v>26</v>
      </c>
      <c r="J1057" t="s">
        <v>999</v>
      </c>
      <c r="K1057" t="s">
        <v>491</v>
      </c>
      <c r="L1057">
        <v>45231</v>
      </c>
      <c r="M1057" t="s">
        <v>145</v>
      </c>
      <c r="N1057" t="s">
        <v>4170</v>
      </c>
      <c r="O1057" t="s">
        <v>31</v>
      </c>
      <c r="P1057" t="s">
        <v>64</v>
      </c>
      <c r="Q1057" t="s">
        <v>4171</v>
      </c>
      <c r="R1057">
        <v>79.384</v>
      </c>
      <c r="S1057">
        <v>1</v>
      </c>
      <c r="T1057">
        <v>0.2</v>
      </c>
      <c r="U1057">
        <v>29.768999999999998</v>
      </c>
      <c r="V1057" t="str">
        <f t="shared" si="16"/>
        <v>Logan Haushalter</v>
      </c>
      <c r="W1057">
        <f>Table2[Profit]/Table2[Sales]</f>
        <v>0.375</v>
      </c>
    </row>
    <row r="1058" spans="1:23" x14ac:dyDescent="0.25">
      <c r="A1058">
        <v>1057</v>
      </c>
      <c r="B1058" t="s">
        <v>4991</v>
      </c>
      <c r="C1058" s="1">
        <v>42376</v>
      </c>
      <c r="D1058" s="1">
        <v>42381</v>
      </c>
      <c r="E1058" t="s">
        <v>49</v>
      </c>
      <c r="F1058" t="s">
        <v>924</v>
      </c>
      <c r="G1058" t="s">
        <v>925</v>
      </c>
      <c r="H1058" t="s">
        <v>101</v>
      </c>
      <c r="I1058" t="s">
        <v>26</v>
      </c>
      <c r="J1058" t="s">
        <v>3145</v>
      </c>
      <c r="K1058" t="s">
        <v>42</v>
      </c>
      <c r="L1058">
        <v>94601</v>
      </c>
      <c r="M1058" t="s">
        <v>43</v>
      </c>
      <c r="N1058" t="s">
        <v>4992</v>
      </c>
      <c r="O1058" t="s">
        <v>45</v>
      </c>
      <c r="P1058" t="s">
        <v>67</v>
      </c>
      <c r="Q1058" t="s">
        <v>4993</v>
      </c>
      <c r="R1058">
        <v>34.58</v>
      </c>
      <c r="S1058">
        <v>1</v>
      </c>
      <c r="T1058">
        <v>0</v>
      </c>
      <c r="U1058">
        <v>10.0282</v>
      </c>
      <c r="V1058" t="str">
        <f t="shared" si="16"/>
        <v>Dianna Wilson</v>
      </c>
      <c r="W1058">
        <f>Table2[Profit]/Table2[Sales]</f>
        <v>0.29000000000000004</v>
      </c>
    </row>
    <row r="1059" spans="1:23" x14ac:dyDescent="0.25">
      <c r="A1059">
        <v>1058</v>
      </c>
      <c r="B1059" t="s">
        <v>4994</v>
      </c>
      <c r="C1059" s="1">
        <v>42807</v>
      </c>
      <c r="D1059" s="1">
        <v>42813</v>
      </c>
      <c r="E1059" t="s">
        <v>49</v>
      </c>
      <c r="F1059" t="s">
        <v>4995</v>
      </c>
      <c r="G1059" t="s">
        <v>4996</v>
      </c>
      <c r="H1059" t="s">
        <v>101</v>
      </c>
      <c r="I1059" t="s">
        <v>26</v>
      </c>
      <c r="J1059" t="s">
        <v>4997</v>
      </c>
      <c r="K1059" t="s">
        <v>42</v>
      </c>
      <c r="L1059">
        <v>95336</v>
      </c>
      <c r="M1059" t="s">
        <v>43</v>
      </c>
      <c r="N1059" t="s">
        <v>4207</v>
      </c>
      <c r="O1059" t="s">
        <v>45</v>
      </c>
      <c r="P1059" t="s">
        <v>89</v>
      </c>
      <c r="Q1059" t="s">
        <v>4208</v>
      </c>
      <c r="R1059">
        <v>314.55</v>
      </c>
      <c r="S1059">
        <v>3</v>
      </c>
      <c r="T1059">
        <v>0</v>
      </c>
      <c r="U1059">
        <v>150.98400000000001</v>
      </c>
      <c r="V1059" t="str">
        <f t="shared" si="16"/>
        <v>Karen Ferguson</v>
      </c>
      <c r="W1059">
        <f>Table2[Profit]/Table2[Sales]</f>
        <v>0.48000000000000004</v>
      </c>
    </row>
    <row r="1060" spans="1:23" x14ac:dyDescent="0.25">
      <c r="A1060">
        <v>1059</v>
      </c>
      <c r="B1060" t="s">
        <v>4998</v>
      </c>
      <c r="C1060" s="1">
        <v>42656</v>
      </c>
      <c r="D1060" s="1">
        <v>42662</v>
      </c>
      <c r="E1060" t="s">
        <v>49</v>
      </c>
      <c r="F1060" t="s">
        <v>594</v>
      </c>
      <c r="G1060" t="s">
        <v>595</v>
      </c>
      <c r="H1060" t="s">
        <v>25</v>
      </c>
      <c r="I1060" t="s">
        <v>26</v>
      </c>
      <c r="J1060" t="s">
        <v>1958</v>
      </c>
      <c r="K1060" t="s">
        <v>103</v>
      </c>
      <c r="L1060">
        <v>78041</v>
      </c>
      <c r="M1060" t="s">
        <v>104</v>
      </c>
      <c r="N1060" t="s">
        <v>2533</v>
      </c>
      <c r="O1060" t="s">
        <v>70</v>
      </c>
      <c r="P1060" t="s">
        <v>158</v>
      </c>
      <c r="Q1060" t="s">
        <v>2534</v>
      </c>
      <c r="R1060">
        <v>191.976</v>
      </c>
      <c r="S1060">
        <v>3</v>
      </c>
      <c r="T1060">
        <v>0.2</v>
      </c>
      <c r="U1060">
        <v>23.997</v>
      </c>
      <c r="V1060" t="str">
        <f t="shared" si="16"/>
        <v>Helen Andreada</v>
      </c>
      <c r="W1060">
        <f>Table2[Profit]/Table2[Sales]</f>
        <v>0.125</v>
      </c>
    </row>
    <row r="1061" spans="1:23" x14ac:dyDescent="0.25">
      <c r="A1061">
        <v>1060</v>
      </c>
      <c r="B1061" t="s">
        <v>5001</v>
      </c>
      <c r="C1061" s="1">
        <v>42762</v>
      </c>
      <c r="D1061" s="1">
        <v>42765</v>
      </c>
      <c r="E1061" t="s">
        <v>22</v>
      </c>
      <c r="F1061" t="s">
        <v>5002</v>
      </c>
      <c r="G1061" t="s">
        <v>5003</v>
      </c>
      <c r="H1061" t="s">
        <v>25</v>
      </c>
      <c r="I1061" t="s">
        <v>26</v>
      </c>
      <c r="J1061" t="s">
        <v>4169</v>
      </c>
      <c r="K1061" t="s">
        <v>491</v>
      </c>
      <c r="L1061">
        <v>44240</v>
      </c>
      <c r="M1061" t="s">
        <v>145</v>
      </c>
      <c r="N1061" t="s">
        <v>1959</v>
      </c>
      <c r="O1061" t="s">
        <v>45</v>
      </c>
      <c r="P1061" t="s">
        <v>67</v>
      </c>
      <c r="Q1061" t="s">
        <v>1960</v>
      </c>
      <c r="R1061">
        <v>14.016</v>
      </c>
      <c r="S1061">
        <v>3</v>
      </c>
      <c r="T1061">
        <v>0.2</v>
      </c>
      <c r="U1061">
        <v>1.752</v>
      </c>
      <c r="V1061" t="str">
        <f t="shared" si="16"/>
        <v>John Huston</v>
      </c>
      <c r="W1061">
        <f>Table2[Profit]/Table2[Sales]</f>
        <v>0.125</v>
      </c>
    </row>
    <row r="1062" spans="1:23" x14ac:dyDescent="0.25">
      <c r="A1062">
        <v>1061</v>
      </c>
      <c r="B1062" t="s">
        <v>5004</v>
      </c>
      <c r="C1062" s="1">
        <v>43058</v>
      </c>
      <c r="D1062" s="1">
        <v>43064</v>
      </c>
      <c r="E1062" t="s">
        <v>49</v>
      </c>
      <c r="F1062" t="s">
        <v>205</v>
      </c>
      <c r="G1062" t="s">
        <v>206</v>
      </c>
      <c r="H1062" t="s">
        <v>40</v>
      </c>
      <c r="I1062" t="s">
        <v>26</v>
      </c>
      <c r="J1062" t="s">
        <v>5005</v>
      </c>
      <c r="K1062" t="s">
        <v>103</v>
      </c>
      <c r="L1062">
        <v>76903</v>
      </c>
      <c r="M1062" t="s">
        <v>104</v>
      </c>
      <c r="N1062" t="s">
        <v>2445</v>
      </c>
      <c r="O1062" t="s">
        <v>31</v>
      </c>
      <c r="P1062" t="s">
        <v>35</v>
      </c>
      <c r="Q1062" t="s">
        <v>2446</v>
      </c>
      <c r="R1062">
        <v>305.31200000000001</v>
      </c>
      <c r="S1062">
        <v>2</v>
      </c>
      <c r="T1062">
        <v>0.3</v>
      </c>
      <c r="U1062">
        <v>-8.7232000000000003</v>
      </c>
      <c r="V1062" t="str">
        <f t="shared" si="16"/>
        <v>Linda Cazamias</v>
      </c>
      <c r="W1062">
        <f>Table2[Profit]/Table2[Sales]</f>
        <v>-2.8571428571428571E-2</v>
      </c>
    </row>
    <row r="1063" spans="1:23" x14ac:dyDescent="0.25">
      <c r="A1063">
        <v>1062</v>
      </c>
      <c r="B1063" t="s">
        <v>5006</v>
      </c>
      <c r="C1063" s="1">
        <v>41852</v>
      </c>
      <c r="D1063" s="1">
        <v>41854</v>
      </c>
      <c r="E1063" t="s">
        <v>185</v>
      </c>
      <c r="F1063" t="s">
        <v>5007</v>
      </c>
      <c r="G1063" t="s">
        <v>5008</v>
      </c>
      <c r="H1063" t="s">
        <v>25</v>
      </c>
      <c r="I1063" t="s">
        <v>26</v>
      </c>
      <c r="J1063" t="s">
        <v>126</v>
      </c>
      <c r="K1063" t="s">
        <v>42</v>
      </c>
      <c r="L1063">
        <v>94122</v>
      </c>
      <c r="M1063" t="s">
        <v>43</v>
      </c>
      <c r="N1063" t="s">
        <v>5009</v>
      </c>
      <c r="O1063" t="s">
        <v>45</v>
      </c>
      <c r="P1063" t="s">
        <v>74</v>
      </c>
      <c r="Q1063" t="s">
        <v>5010</v>
      </c>
      <c r="R1063">
        <v>19.751999999999999</v>
      </c>
      <c r="S1063">
        <v>3</v>
      </c>
      <c r="T1063">
        <v>0.2</v>
      </c>
      <c r="U1063">
        <v>6.9131999999999998</v>
      </c>
      <c r="V1063" t="str">
        <f t="shared" si="16"/>
        <v>Ivan Liston</v>
      </c>
      <c r="W1063">
        <f>Table2[Profit]/Table2[Sales]</f>
        <v>0.35000000000000003</v>
      </c>
    </row>
    <row r="1064" spans="1:23" x14ac:dyDescent="0.25">
      <c r="A1064">
        <v>1063</v>
      </c>
      <c r="B1064" t="s">
        <v>5011</v>
      </c>
      <c r="C1064" s="1">
        <v>42581</v>
      </c>
      <c r="D1064" s="1">
        <v>42586</v>
      </c>
      <c r="E1064" t="s">
        <v>49</v>
      </c>
      <c r="F1064" t="s">
        <v>543</v>
      </c>
      <c r="G1064" t="s">
        <v>544</v>
      </c>
      <c r="H1064" t="s">
        <v>101</v>
      </c>
      <c r="I1064" t="s">
        <v>26</v>
      </c>
      <c r="J1064" t="s">
        <v>181</v>
      </c>
      <c r="K1064" t="s">
        <v>103</v>
      </c>
      <c r="L1064">
        <v>77070</v>
      </c>
      <c r="M1064" t="s">
        <v>104</v>
      </c>
      <c r="N1064" t="s">
        <v>4241</v>
      </c>
      <c r="O1064" t="s">
        <v>45</v>
      </c>
      <c r="P1064" t="s">
        <v>74</v>
      </c>
      <c r="Q1064" t="s">
        <v>4242</v>
      </c>
      <c r="R1064">
        <v>9.2639999999999993</v>
      </c>
      <c r="S1064">
        <v>3</v>
      </c>
      <c r="T1064">
        <v>0.8</v>
      </c>
      <c r="U1064">
        <v>-13.896000000000001</v>
      </c>
      <c r="V1064" t="str">
        <f t="shared" si="16"/>
        <v>Lindsay Shagiari</v>
      </c>
      <c r="W1064">
        <f>Table2[Profit]/Table2[Sales]</f>
        <v>-1.5000000000000002</v>
      </c>
    </row>
    <row r="1065" spans="1:23" x14ac:dyDescent="0.25">
      <c r="A1065">
        <v>1064</v>
      </c>
      <c r="B1065" t="s">
        <v>5012</v>
      </c>
      <c r="C1065" s="1">
        <v>42215</v>
      </c>
      <c r="D1065" s="1">
        <v>42219</v>
      </c>
      <c r="E1065" t="s">
        <v>22</v>
      </c>
      <c r="F1065" t="s">
        <v>4849</v>
      </c>
      <c r="G1065" t="s">
        <v>4850</v>
      </c>
      <c r="H1065" t="s">
        <v>40</v>
      </c>
      <c r="I1065" t="s">
        <v>26</v>
      </c>
      <c r="J1065" t="s">
        <v>181</v>
      </c>
      <c r="K1065" t="s">
        <v>103</v>
      </c>
      <c r="L1065">
        <v>77041</v>
      </c>
      <c r="M1065" t="s">
        <v>104</v>
      </c>
      <c r="N1065" t="s">
        <v>4787</v>
      </c>
      <c r="O1065" t="s">
        <v>45</v>
      </c>
      <c r="P1065" t="s">
        <v>58</v>
      </c>
      <c r="Q1065" t="s">
        <v>4788</v>
      </c>
      <c r="R1065">
        <v>61.792000000000002</v>
      </c>
      <c r="S1065">
        <v>4</v>
      </c>
      <c r="T1065">
        <v>0.2</v>
      </c>
      <c r="U1065">
        <v>6.1791999999999998</v>
      </c>
      <c r="V1065" t="str">
        <f t="shared" si="16"/>
        <v>Corey Catlett</v>
      </c>
      <c r="W1065">
        <f>Table2[Profit]/Table2[Sales]</f>
        <v>9.9999999999999992E-2</v>
      </c>
    </row>
    <row r="1066" spans="1:23" x14ac:dyDescent="0.25">
      <c r="A1066">
        <v>1065</v>
      </c>
      <c r="B1066" t="s">
        <v>5013</v>
      </c>
      <c r="C1066" s="1">
        <v>42658</v>
      </c>
      <c r="D1066" s="1">
        <v>42664</v>
      </c>
      <c r="E1066" t="s">
        <v>49</v>
      </c>
      <c r="F1066" t="s">
        <v>5014</v>
      </c>
      <c r="G1066" t="s">
        <v>5015</v>
      </c>
      <c r="H1066" t="s">
        <v>101</v>
      </c>
      <c r="I1066" t="s">
        <v>26</v>
      </c>
      <c r="J1066" t="s">
        <v>5016</v>
      </c>
      <c r="K1066" t="s">
        <v>120</v>
      </c>
      <c r="L1066">
        <v>84106</v>
      </c>
      <c r="M1066" t="s">
        <v>43</v>
      </c>
      <c r="N1066" t="s">
        <v>5017</v>
      </c>
      <c r="O1066" t="s">
        <v>45</v>
      </c>
      <c r="P1066" t="s">
        <v>89</v>
      </c>
      <c r="Q1066" t="s">
        <v>5018</v>
      </c>
      <c r="R1066">
        <v>45.68</v>
      </c>
      <c r="S1066">
        <v>2</v>
      </c>
      <c r="T1066">
        <v>0</v>
      </c>
      <c r="U1066">
        <v>21.012799999999999</v>
      </c>
      <c r="V1066" t="str">
        <f t="shared" si="16"/>
        <v>Patrick Bzostek</v>
      </c>
      <c r="W1066">
        <f>Table2[Profit]/Table2[Sales]</f>
        <v>0.45999999999999996</v>
      </c>
    </row>
    <row r="1067" spans="1:23" x14ac:dyDescent="0.25">
      <c r="A1067">
        <v>1066</v>
      </c>
      <c r="B1067" t="s">
        <v>5019</v>
      </c>
      <c r="C1067" s="1">
        <v>42497</v>
      </c>
      <c r="D1067" s="1">
        <v>42501</v>
      </c>
      <c r="E1067" t="s">
        <v>49</v>
      </c>
      <c r="F1067" t="s">
        <v>1439</v>
      </c>
      <c r="G1067" t="s">
        <v>1440</v>
      </c>
      <c r="H1067" t="s">
        <v>25</v>
      </c>
      <c r="I1067" t="s">
        <v>26</v>
      </c>
      <c r="J1067" t="s">
        <v>263</v>
      </c>
      <c r="K1067" t="s">
        <v>264</v>
      </c>
      <c r="L1067">
        <v>10009</v>
      </c>
      <c r="M1067" t="s">
        <v>145</v>
      </c>
      <c r="N1067" t="s">
        <v>1324</v>
      </c>
      <c r="O1067" t="s">
        <v>45</v>
      </c>
      <c r="P1067" t="s">
        <v>74</v>
      </c>
      <c r="Q1067" t="s">
        <v>1325</v>
      </c>
      <c r="R1067">
        <v>85.231999999999999</v>
      </c>
      <c r="S1067">
        <v>7</v>
      </c>
      <c r="T1067">
        <v>0.2</v>
      </c>
      <c r="U1067">
        <v>30.896599999999999</v>
      </c>
      <c r="V1067" t="str">
        <f t="shared" si="16"/>
        <v>Caroline Jumper</v>
      </c>
      <c r="W1067">
        <f>Table2[Profit]/Table2[Sales]</f>
        <v>0.36249999999999999</v>
      </c>
    </row>
    <row r="1068" spans="1:23" x14ac:dyDescent="0.25">
      <c r="A1068">
        <v>1067</v>
      </c>
      <c r="B1068" t="s">
        <v>5020</v>
      </c>
      <c r="C1068" s="1">
        <v>42948</v>
      </c>
      <c r="D1068" s="1">
        <v>42951</v>
      </c>
      <c r="E1068" t="s">
        <v>22</v>
      </c>
      <c r="F1068" t="s">
        <v>812</v>
      </c>
      <c r="G1068" t="s">
        <v>813</v>
      </c>
      <c r="H1068" t="s">
        <v>40</v>
      </c>
      <c r="I1068" t="s">
        <v>26</v>
      </c>
      <c r="J1068" t="s">
        <v>2603</v>
      </c>
      <c r="K1068" t="s">
        <v>42</v>
      </c>
      <c r="L1068">
        <v>93905</v>
      </c>
      <c r="M1068" t="s">
        <v>43</v>
      </c>
      <c r="N1068" t="s">
        <v>611</v>
      </c>
      <c r="O1068" t="s">
        <v>45</v>
      </c>
      <c r="P1068" t="s">
        <v>74</v>
      </c>
      <c r="Q1068" t="s">
        <v>612</v>
      </c>
      <c r="R1068">
        <v>54.896000000000001</v>
      </c>
      <c r="S1068">
        <v>2</v>
      </c>
      <c r="T1068">
        <v>0.2</v>
      </c>
      <c r="U1068">
        <v>18.5274</v>
      </c>
      <c r="V1068" t="str">
        <f t="shared" si="16"/>
        <v>Heather Kirkland</v>
      </c>
      <c r="W1068">
        <f>Table2[Profit]/Table2[Sales]</f>
        <v>0.33750000000000002</v>
      </c>
    </row>
    <row r="1069" spans="1:23" x14ac:dyDescent="0.25">
      <c r="A1069">
        <v>1068</v>
      </c>
      <c r="B1069" t="s">
        <v>5021</v>
      </c>
      <c r="C1069" s="1">
        <v>42565</v>
      </c>
      <c r="D1069" s="1">
        <v>42565</v>
      </c>
      <c r="E1069" t="s">
        <v>1278</v>
      </c>
      <c r="F1069" t="s">
        <v>5022</v>
      </c>
      <c r="G1069" t="s">
        <v>5023</v>
      </c>
      <c r="H1069" t="s">
        <v>25</v>
      </c>
      <c r="I1069" t="s">
        <v>26</v>
      </c>
      <c r="J1069" t="s">
        <v>1657</v>
      </c>
      <c r="K1069" t="s">
        <v>351</v>
      </c>
      <c r="L1069">
        <v>35810</v>
      </c>
      <c r="M1069" t="s">
        <v>29</v>
      </c>
      <c r="N1069" t="s">
        <v>734</v>
      </c>
      <c r="O1069" t="s">
        <v>70</v>
      </c>
      <c r="P1069" t="s">
        <v>158</v>
      </c>
      <c r="Q1069" t="s">
        <v>735</v>
      </c>
      <c r="R1069">
        <v>29</v>
      </c>
      <c r="S1069">
        <v>2</v>
      </c>
      <c r="T1069">
        <v>0</v>
      </c>
      <c r="U1069">
        <v>7.25</v>
      </c>
      <c r="V1069" t="str">
        <f t="shared" si="16"/>
        <v>Rob Haberlin</v>
      </c>
      <c r="W1069">
        <f>Table2[Profit]/Table2[Sales]</f>
        <v>0.25</v>
      </c>
    </row>
    <row r="1070" spans="1:23" x14ac:dyDescent="0.25">
      <c r="A1070">
        <v>1069</v>
      </c>
      <c r="B1070" t="s">
        <v>5024</v>
      </c>
      <c r="C1070" s="1">
        <v>42957</v>
      </c>
      <c r="D1070" s="1">
        <v>42962</v>
      </c>
      <c r="E1070" t="s">
        <v>49</v>
      </c>
      <c r="F1070" t="s">
        <v>5007</v>
      </c>
      <c r="G1070" t="s">
        <v>5008</v>
      </c>
      <c r="H1070" t="s">
        <v>25</v>
      </c>
      <c r="I1070" t="s">
        <v>26</v>
      </c>
      <c r="J1070" t="s">
        <v>490</v>
      </c>
      <c r="K1070" t="s">
        <v>251</v>
      </c>
      <c r="L1070">
        <v>47201</v>
      </c>
      <c r="M1070" t="s">
        <v>104</v>
      </c>
      <c r="N1070" t="s">
        <v>4045</v>
      </c>
      <c r="O1070" t="s">
        <v>45</v>
      </c>
      <c r="P1070" t="s">
        <v>170</v>
      </c>
      <c r="Q1070" t="s">
        <v>662</v>
      </c>
      <c r="R1070">
        <v>70.08</v>
      </c>
      <c r="S1070">
        <v>6</v>
      </c>
      <c r="T1070">
        <v>0</v>
      </c>
      <c r="U1070">
        <v>35.04</v>
      </c>
      <c r="V1070" t="str">
        <f t="shared" si="16"/>
        <v>Ivan Liston</v>
      </c>
      <c r="W1070">
        <f>Table2[Profit]/Table2[Sales]</f>
        <v>0.5</v>
      </c>
    </row>
    <row r="1071" spans="1:23" x14ac:dyDescent="0.25">
      <c r="A1071">
        <v>1070</v>
      </c>
      <c r="B1071" t="s">
        <v>5025</v>
      </c>
      <c r="C1071" s="1">
        <v>42546</v>
      </c>
      <c r="D1071" s="1">
        <v>42550</v>
      </c>
      <c r="E1071" t="s">
        <v>49</v>
      </c>
      <c r="F1071" t="s">
        <v>1979</v>
      </c>
      <c r="G1071" t="s">
        <v>1980</v>
      </c>
      <c r="H1071" t="s">
        <v>25</v>
      </c>
      <c r="I1071" t="s">
        <v>26</v>
      </c>
      <c r="J1071" t="s">
        <v>41</v>
      </c>
      <c r="K1071" t="s">
        <v>42</v>
      </c>
      <c r="L1071">
        <v>90049</v>
      </c>
      <c r="M1071" t="s">
        <v>43</v>
      </c>
      <c r="N1071" t="s">
        <v>5026</v>
      </c>
      <c r="O1071" t="s">
        <v>45</v>
      </c>
      <c r="P1071" t="s">
        <v>77</v>
      </c>
      <c r="Q1071" t="s">
        <v>5027</v>
      </c>
      <c r="R1071">
        <v>60.81</v>
      </c>
      <c r="S1071">
        <v>3</v>
      </c>
      <c r="T1071">
        <v>0</v>
      </c>
      <c r="U1071">
        <v>17.026800000000001</v>
      </c>
      <c r="V1071" t="str">
        <f t="shared" si="16"/>
        <v>Alan Shonely</v>
      </c>
      <c r="W1071">
        <f>Table2[Profit]/Table2[Sales]</f>
        <v>0.28000000000000003</v>
      </c>
    </row>
    <row r="1072" spans="1:23" x14ac:dyDescent="0.25">
      <c r="A1072">
        <v>1071</v>
      </c>
      <c r="B1072" t="s">
        <v>5028</v>
      </c>
      <c r="C1072" s="1">
        <v>42714</v>
      </c>
      <c r="D1072" s="1">
        <v>42721</v>
      </c>
      <c r="E1072" t="s">
        <v>49</v>
      </c>
      <c r="F1072" t="s">
        <v>2255</v>
      </c>
      <c r="G1072" t="s">
        <v>2256</v>
      </c>
      <c r="H1072" t="s">
        <v>25</v>
      </c>
      <c r="I1072" t="s">
        <v>26</v>
      </c>
      <c r="J1072" t="s">
        <v>94</v>
      </c>
      <c r="K1072" t="s">
        <v>95</v>
      </c>
      <c r="L1072">
        <v>98105</v>
      </c>
      <c r="M1072" t="s">
        <v>43</v>
      </c>
      <c r="N1072" t="s">
        <v>4891</v>
      </c>
      <c r="O1072" t="s">
        <v>45</v>
      </c>
      <c r="P1072" t="s">
        <v>74</v>
      </c>
      <c r="Q1072" t="s">
        <v>4892</v>
      </c>
      <c r="R1072">
        <v>153.55199999999999</v>
      </c>
      <c r="S1072">
        <v>3</v>
      </c>
      <c r="T1072">
        <v>0.2</v>
      </c>
      <c r="U1072">
        <v>51.823799999999999</v>
      </c>
      <c r="V1072" t="str">
        <f t="shared" si="16"/>
        <v>Arthur Prichep</v>
      </c>
      <c r="W1072">
        <f>Table2[Profit]/Table2[Sales]</f>
        <v>0.33750000000000002</v>
      </c>
    </row>
    <row r="1073" spans="1:23" x14ac:dyDescent="0.25">
      <c r="A1073">
        <v>1072</v>
      </c>
      <c r="B1073" t="s">
        <v>5031</v>
      </c>
      <c r="C1073" s="1">
        <v>42705</v>
      </c>
      <c r="D1073" s="1">
        <v>42710</v>
      </c>
      <c r="E1073" t="s">
        <v>49</v>
      </c>
      <c r="F1073" t="s">
        <v>3014</v>
      </c>
      <c r="G1073" t="s">
        <v>3015</v>
      </c>
      <c r="H1073" t="s">
        <v>25</v>
      </c>
      <c r="I1073" t="s">
        <v>26</v>
      </c>
      <c r="J1073" t="s">
        <v>5032</v>
      </c>
      <c r="K1073" t="s">
        <v>328</v>
      </c>
      <c r="L1073">
        <v>37918</v>
      </c>
      <c r="M1073" t="s">
        <v>29</v>
      </c>
      <c r="N1073" t="s">
        <v>580</v>
      </c>
      <c r="O1073" t="s">
        <v>45</v>
      </c>
      <c r="P1073" t="s">
        <v>67</v>
      </c>
      <c r="Q1073" t="s">
        <v>581</v>
      </c>
      <c r="R1073">
        <v>4.7039999999999997</v>
      </c>
      <c r="S1073">
        <v>2</v>
      </c>
      <c r="T1073">
        <v>0.2</v>
      </c>
      <c r="U1073">
        <v>0.41160000000000002</v>
      </c>
      <c r="V1073" t="str">
        <f t="shared" si="16"/>
        <v>Allen Goldenen</v>
      </c>
      <c r="W1073">
        <f>Table2[Profit]/Table2[Sales]</f>
        <v>8.7500000000000008E-2</v>
      </c>
    </row>
    <row r="1074" spans="1:23" x14ac:dyDescent="0.25">
      <c r="A1074">
        <v>1073</v>
      </c>
      <c r="B1074" t="s">
        <v>5033</v>
      </c>
      <c r="C1074" s="1">
        <v>41971</v>
      </c>
      <c r="D1074" s="1">
        <v>41977</v>
      </c>
      <c r="E1074" t="s">
        <v>49</v>
      </c>
      <c r="F1074" t="s">
        <v>4865</v>
      </c>
      <c r="G1074" t="s">
        <v>4866</v>
      </c>
      <c r="H1074" t="s">
        <v>25</v>
      </c>
      <c r="I1074" t="s">
        <v>26</v>
      </c>
      <c r="J1074" t="s">
        <v>1793</v>
      </c>
      <c r="K1074" t="s">
        <v>351</v>
      </c>
      <c r="L1074">
        <v>36116</v>
      </c>
      <c r="M1074" t="s">
        <v>29</v>
      </c>
      <c r="N1074" t="s">
        <v>2158</v>
      </c>
      <c r="O1074" t="s">
        <v>45</v>
      </c>
      <c r="P1074" t="s">
        <v>67</v>
      </c>
      <c r="Q1074" t="s">
        <v>2159</v>
      </c>
      <c r="R1074">
        <v>14.67</v>
      </c>
      <c r="S1074">
        <v>3</v>
      </c>
      <c r="T1074">
        <v>0</v>
      </c>
      <c r="U1074">
        <v>3.9609000000000001</v>
      </c>
      <c r="V1074" t="str">
        <f t="shared" si="16"/>
        <v>Bart Folk</v>
      </c>
      <c r="W1074">
        <f>Table2[Profit]/Table2[Sales]</f>
        <v>0.27</v>
      </c>
    </row>
    <row r="1075" spans="1:23" x14ac:dyDescent="0.25">
      <c r="A1075">
        <v>1074</v>
      </c>
      <c r="B1075" t="s">
        <v>5034</v>
      </c>
      <c r="C1075" s="1">
        <v>42091</v>
      </c>
      <c r="D1075" s="1">
        <v>42096</v>
      </c>
      <c r="E1075" t="s">
        <v>49</v>
      </c>
      <c r="F1075" t="s">
        <v>1974</v>
      </c>
      <c r="G1075" t="s">
        <v>1975</v>
      </c>
      <c r="H1075" t="s">
        <v>25</v>
      </c>
      <c r="I1075" t="s">
        <v>26</v>
      </c>
      <c r="J1075" t="s">
        <v>143</v>
      </c>
      <c r="K1075" t="s">
        <v>144</v>
      </c>
      <c r="L1075">
        <v>19120</v>
      </c>
      <c r="M1075" t="s">
        <v>145</v>
      </c>
      <c r="N1075" t="s">
        <v>403</v>
      </c>
      <c r="O1075" t="s">
        <v>45</v>
      </c>
      <c r="P1075" t="s">
        <v>89</v>
      </c>
      <c r="Q1075" t="s">
        <v>404</v>
      </c>
      <c r="R1075">
        <v>15.552</v>
      </c>
      <c r="S1075">
        <v>3</v>
      </c>
      <c r="T1075">
        <v>0.2</v>
      </c>
      <c r="U1075">
        <v>5.4432</v>
      </c>
      <c r="V1075" t="str">
        <f t="shared" si="16"/>
        <v>Chloris Kastensmidt</v>
      </c>
      <c r="W1075">
        <f>Table2[Profit]/Table2[Sales]</f>
        <v>0.35000000000000003</v>
      </c>
    </row>
    <row r="1076" spans="1:23" x14ac:dyDescent="0.25">
      <c r="A1076">
        <v>1075</v>
      </c>
      <c r="B1076" t="s">
        <v>5035</v>
      </c>
      <c r="C1076" s="1">
        <v>41791</v>
      </c>
      <c r="D1076" s="1">
        <v>41796</v>
      </c>
      <c r="E1076" t="s">
        <v>49</v>
      </c>
      <c r="F1076" t="s">
        <v>2443</v>
      </c>
      <c r="G1076" t="s">
        <v>2444</v>
      </c>
      <c r="H1076" t="s">
        <v>25</v>
      </c>
      <c r="I1076" t="s">
        <v>26</v>
      </c>
      <c r="J1076" t="s">
        <v>5036</v>
      </c>
      <c r="K1076" t="s">
        <v>1683</v>
      </c>
      <c r="L1076">
        <v>72209</v>
      </c>
      <c r="M1076" t="s">
        <v>29</v>
      </c>
      <c r="N1076" t="s">
        <v>1351</v>
      </c>
      <c r="O1076" t="s">
        <v>31</v>
      </c>
      <c r="P1076" t="s">
        <v>64</v>
      </c>
      <c r="Q1076" t="s">
        <v>1352</v>
      </c>
      <c r="R1076">
        <v>22.2</v>
      </c>
      <c r="S1076">
        <v>6</v>
      </c>
      <c r="T1076">
        <v>0</v>
      </c>
      <c r="U1076">
        <v>9.1020000000000003</v>
      </c>
      <c r="V1076" t="str">
        <f t="shared" si="16"/>
        <v>Liz Thompson</v>
      </c>
      <c r="W1076">
        <f>Table2[Profit]/Table2[Sales]</f>
        <v>0.41000000000000003</v>
      </c>
    </row>
    <row r="1077" spans="1:23" x14ac:dyDescent="0.25">
      <c r="A1077">
        <v>1076</v>
      </c>
      <c r="B1077" t="s">
        <v>5037</v>
      </c>
      <c r="C1077" s="1">
        <v>42253</v>
      </c>
      <c r="D1077" s="1">
        <v>42259</v>
      </c>
      <c r="E1077" t="s">
        <v>49</v>
      </c>
      <c r="F1077" t="s">
        <v>3761</v>
      </c>
      <c r="G1077" t="s">
        <v>3762</v>
      </c>
      <c r="H1077" t="s">
        <v>101</v>
      </c>
      <c r="I1077" t="s">
        <v>26</v>
      </c>
      <c r="J1077" t="s">
        <v>94</v>
      </c>
      <c r="K1077" t="s">
        <v>95</v>
      </c>
      <c r="L1077">
        <v>98103</v>
      </c>
      <c r="M1077" t="s">
        <v>43</v>
      </c>
      <c r="N1077" t="s">
        <v>1241</v>
      </c>
      <c r="O1077" t="s">
        <v>45</v>
      </c>
      <c r="P1077" t="s">
        <v>74</v>
      </c>
      <c r="Q1077" t="s">
        <v>1242</v>
      </c>
      <c r="R1077">
        <v>6.0960000000000001</v>
      </c>
      <c r="S1077">
        <v>2</v>
      </c>
      <c r="T1077">
        <v>0.2</v>
      </c>
      <c r="U1077">
        <v>2.1335999999999999</v>
      </c>
      <c r="V1077" t="str">
        <f t="shared" si="16"/>
        <v>Beth Thompson</v>
      </c>
      <c r="W1077">
        <f>Table2[Profit]/Table2[Sales]</f>
        <v>0.35</v>
      </c>
    </row>
    <row r="1078" spans="1:23" x14ac:dyDescent="0.25">
      <c r="A1078">
        <v>1077</v>
      </c>
      <c r="B1078" t="s">
        <v>5040</v>
      </c>
      <c r="C1078" s="1">
        <v>42184</v>
      </c>
      <c r="D1078" s="1">
        <v>42190</v>
      </c>
      <c r="E1078" t="s">
        <v>49</v>
      </c>
      <c r="F1078" t="s">
        <v>512</v>
      </c>
      <c r="G1078" t="s">
        <v>513</v>
      </c>
      <c r="H1078" t="s">
        <v>25</v>
      </c>
      <c r="I1078" t="s">
        <v>26</v>
      </c>
      <c r="J1078" t="s">
        <v>2439</v>
      </c>
      <c r="K1078" t="s">
        <v>144</v>
      </c>
      <c r="L1078">
        <v>17602</v>
      </c>
      <c r="M1078" t="s">
        <v>145</v>
      </c>
      <c r="N1078" t="s">
        <v>3846</v>
      </c>
      <c r="O1078" t="s">
        <v>31</v>
      </c>
      <c r="P1078" t="s">
        <v>64</v>
      </c>
      <c r="Q1078" t="s">
        <v>5041</v>
      </c>
      <c r="R1078">
        <v>20.103999999999999</v>
      </c>
      <c r="S1078">
        <v>1</v>
      </c>
      <c r="T1078">
        <v>0.2</v>
      </c>
      <c r="U1078">
        <v>1.7591000000000001</v>
      </c>
      <c r="V1078" t="str">
        <f t="shared" si="16"/>
        <v>Steven Cartwright</v>
      </c>
      <c r="W1078">
        <f>Table2[Profit]/Table2[Sales]</f>
        <v>8.7500000000000008E-2</v>
      </c>
    </row>
    <row r="1079" spans="1:23" x14ac:dyDescent="0.25">
      <c r="A1079">
        <v>1078</v>
      </c>
      <c r="B1079" t="s">
        <v>5042</v>
      </c>
      <c r="C1079" s="1">
        <v>42623</v>
      </c>
      <c r="D1079" s="1">
        <v>42625</v>
      </c>
      <c r="E1079" t="s">
        <v>22</v>
      </c>
      <c r="F1079" t="s">
        <v>2806</v>
      </c>
      <c r="G1079" t="s">
        <v>2807</v>
      </c>
      <c r="H1079" t="s">
        <v>101</v>
      </c>
      <c r="I1079" t="s">
        <v>26</v>
      </c>
      <c r="J1079" t="s">
        <v>508</v>
      </c>
      <c r="K1079" t="s">
        <v>328</v>
      </c>
      <c r="L1079">
        <v>37620</v>
      </c>
      <c r="M1079" t="s">
        <v>29</v>
      </c>
      <c r="N1079" t="s">
        <v>5043</v>
      </c>
      <c r="O1079" t="s">
        <v>45</v>
      </c>
      <c r="P1079" t="s">
        <v>67</v>
      </c>
      <c r="Q1079" t="s">
        <v>5044</v>
      </c>
      <c r="R1079">
        <v>67.56</v>
      </c>
      <c r="S1079">
        <v>3</v>
      </c>
      <c r="T1079">
        <v>0.2</v>
      </c>
      <c r="U1079">
        <v>8.4450000000000003</v>
      </c>
      <c r="V1079" t="str">
        <f t="shared" si="16"/>
        <v>Catherine Glotzbach</v>
      </c>
      <c r="W1079">
        <f>Table2[Profit]/Table2[Sales]</f>
        <v>0.125</v>
      </c>
    </row>
    <row r="1080" spans="1:23" x14ac:dyDescent="0.25">
      <c r="A1080">
        <v>1079</v>
      </c>
      <c r="B1080" t="s">
        <v>5045</v>
      </c>
      <c r="C1080" s="1">
        <v>41834</v>
      </c>
      <c r="D1080" s="1">
        <v>41840</v>
      </c>
      <c r="E1080" t="s">
        <v>49</v>
      </c>
      <c r="F1080" t="s">
        <v>5046</v>
      </c>
      <c r="G1080" t="s">
        <v>5047</v>
      </c>
      <c r="H1080" t="s">
        <v>101</v>
      </c>
      <c r="I1080" t="s">
        <v>26</v>
      </c>
      <c r="J1080" t="s">
        <v>449</v>
      </c>
      <c r="K1080" t="s">
        <v>208</v>
      </c>
      <c r="L1080">
        <v>60505</v>
      </c>
      <c r="M1080" t="s">
        <v>104</v>
      </c>
      <c r="N1080" t="s">
        <v>1574</v>
      </c>
      <c r="O1080" t="s">
        <v>45</v>
      </c>
      <c r="P1080" t="s">
        <v>74</v>
      </c>
      <c r="Q1080" t="s">
        <v>1575</v>
      </c>
      <c r="R1080">
        <v>29.931999999999999</v>
      </c>
      <c r="S1080">
        <v>7</v>
      </c>
      <c r="T1080">
        <v>0.8</v>
      </c>
      <c r="U1080">
        <v>-46.394599999999997</v>
      </c>
      <c r="V1080" t="str">
        <f t="shared" si="16"/>
        <v>Arthur Wiediger</v>
      </c>
      <c r="W1080">
        <f>Table2[Profit]/Table2[Sales]</f>
        <v>-1.55</v>
      </c>
    </row>
    <row r="1081" spans="1:23" x14ac:dyDescent="0.25">
      <c r="A1081">
        <v>1080</v>
      </c>
      <c r="B1081" t="s">
        <v>5048</v>
      </c>
      <c r="C1081" s="1">
        <v>42238</v>
      </c>
      <c r="D1081" s="1">
        <v>42242</v>
      </c>
      <c r="E1081" t="s">
        <v>49</v>
      </c>
      <c r="F1081" t="s">
        <v>410</v>
      </c>
      <c r="G1081" t="s">
        <v>411</v>
      </c>
      <c r="H1081" t="s">
        <v>101</v>
      </c>
      <c r="I1081" t="s">
        <v>26</v>
      </c>
      <c r="J1081" t="s">
        <v>263</v>
      </c>
      <c r="K1081" t="s">
        <v>264</v>
      </c>
      <c r="L1081">
        <v>10009</v>
      </c>
      <c r="M1081" t="s">
        <v>145</v>
      </c>
      <c r="N1081" t="s">
        <v>465</v>
      </c>
      <c r="O1081" t="s">
        <v>45</v>
      </c>
      <c r="P1081" t="s">
        <v>67</v>
      </c>
      <c r="Q1081" t="s">
        <v>466</v>
      </c>
      <c r="R1081">
        <v>16.52</v>
      </c>
      <c r="S1081">
        <v>4</v>
      </c>
      <c r="T1081">
        <v>0</v>
      </c>
      <c r="U1081">
        <v>7.5991999999999997</v>
      </c>
      <c r="V1081" t="str">
        <f t="shared" si="16"/>
        <v>Roger Barcio</v>
      </c>
      <c r="W1081">
        <f>Table2[Profit]/Table2[Sales]</f>
        <v>0.46</v>
      </c>
    </row>
    <row r="1082" spans="1:23" x14ac:dyDescent="0.25">
      <c r="A1082">
        <v>1081</v>
      </c>
      <c r="B1082" t="s">
        <v>5049</v>
      </c>
      <c r="C1082" s="1">
        <v>41957</v>
      </c>
      <c r="D1082" s="1">
        <v>41959</v>
      </c>
      <c r="E1082" t="s">
        <v>22</v>
      </c>
      <c r="F1082" t="s">
        <v>5050</v>
      </c>
      <c r="G1082" t="s">
        <v>5051</v>
      </c>
      <c r="H1082" t="s">
        <v>25</v>
      </c>
      <c r="I1082" t="s">
        <v>26</v>
      </c>
      <c r="J1082" t="s">
        <v>739</v>
      </c>
      <c r="K1082" t="s">
        <v>740</v>
      </c>
      <c r="L1082">
        <v>6824</v>
      </c>
      <c r="M1082" t="s">
        <v>145</v>
      </c>
      <c r="N1082" t="s">
        <v>5052</v>
      </c>
      <c r="O1082" t="s">
        <v>70</v>
      </c>
      <c r="P1082" t="s">
        <v>71</v>
      </c>
      <c r="Q1082" t="s">
        <v>5053</v>
      </c>
      <c r="R1082">
        <v>832.93</v>
      </c>
      <c r="S1082">
        <v>7</v>
      </c>
      <c r="T1082">
        <v>0</v>
      </c>
      <c r="U1082">
        <v>233.22040000000001</v>
      </c>
      <c r="V1082" t="str">
        <f t="shared" si="16"/>
        <v>Maris LaWare</v>
      </c>
      <c r="W1082">
        <f>Table2[Profit]/Table2[Sales]</f>
        <v>0.28000000000000003</v>
      </c>
    </row>
    <row r="1083" spans="1:23" x14ac:dyDescent="0.25">
      <c r="A1083">
        <v>1082</v>
      </c>
      <c r="B1083" t="s">
        <v>5054</v>
      </c>
      <c r="C1083" s="1">
        <v>42701</v>
      </c>
      <c r="D1083" s="1">
        <v>42704</v>
      </c>
      <c r="E1083" t="s">
        <v>185</v>
      </c>
      <c r="F1083" t="s">
        <v>1258</v>
      </c>
      <c r="G1083" t="s">
        <v>1259</v>
      </c>
      <c r="H1083" t="s">
        <v>40</v>
      </c>
      <c r="I1083" t="s">
        <v>26</v>
      </c>
      <c r="J1083" t="s">
        <v>5055</v>
      </c>
      <c r="K1083" t="s">
        <v>235</v>
      </c>
      <c r="L1083">
        <v>48146</v>
      </c>
      <c r="M1083" t="s">
        <v>104</v>
      </c>
      <c r="N1083" t="s">
        <v>5056</v>
      </c>
      <c r="O1083" t="s">
        <v>45</v>
      </c>
      <c r="P1083" t="s">
        <v>77</v>
      </c>
      <c r="Q1083" t="s">
        <v>5057</v>
      </c>
      <c r="R1083">
        <v>167.292</v>
      </c>
      <c r="S1083">
        <v>6</v>
      </c>
      <c r="T1083">
        <v>0.1</v>
      </c>
      <c r="U1083">
        <v>29.7408</v>
      </c>
      <c r="V1083" t="str">
        <f t="shared" si="16"/>
        <v>Victoria Brennan</v>
      </c>
      <c r="W1083">
        <f>Table2[Profit]/Table2[Sales]</f>
        <v>0.17777777777777778</v>
      </c>
    </row>
    <row r="1084" spans="1:23" x14ac:dyDescent="0.25">
      <c r="A1084">
        <v>1083</v>
      </c>
      <c r="B1084" t="s">
        <v>5058</v>
      </c>
      <c r="C1084" s="1">
        <v>43060</v>
      </c>
      <c r="D1084" s="1">
        <v>43064</v>
      </c>
      <c r="E1084" t="s">
        <v>49</v>
      </c>
      <c r="F1084" t="s">
        <v>2855</v>
      </c>
      <c r="G1084" t="s">
        <v>2856</v>
      </c>
      <c r="H1084" t="s">
        <v>25</v>
      </c>
      <c r="I1084" t="s">
        <v>26</v>
      </c>
      <c r="J1084" t="s">
        <v>263</v>
      </c>
      <c r="K1084" t="s">
        <v>264</v>
      </c>
      <c r="L1084">
        <v>10035</v>
      </c>
      <c r="M1084" t="s">
        <v>145</v>
      </c>
      <c r="N1084" t="s">
        <v>3438</v>
      </c>
      <c r="O1084" t="s">
        <v>31</v>
      </c>
      <c r="P1084" t="s">
        <v>64</v>
      </c>
      <c r="Q1084" t="s">
        <v>3439</v>
      </c>
      <c r="R1084">
        <v>27.42</v>
      </c>
      <c r="S1084">
        <v>1</v>
      </c>
      <c r="T1084">
        <v>0</v>
      </c>
      <c r="U1084">
        <v>11.2422</v>
      </c>
      <c r="V1084" t="str">
        <f t="shared" si="16"/>
        <v>Scott Williamson</v>
      </c>
      <c r="W1084">
        <f>Table2[Profit]/Table2[Sales]</f>
        <v>0.41</v>
      </c>
    </row>
    <row r="1085" spans="1:23" x14ac:dyDescent="0.25">
      <c r="A1085">
        <v>1084</v>
      </c>
      <c r="B1085" t="s">
        <v>5059</v>
      </c>
      <c r="C1085" s="1">
        <v>43009</v>
      </c>
      <c r="D1085" s="1">
        <v>43010</v>
      </c>
      <c r="E1085" t="s">
        <v>185</v>
      </c>
      <c r="F1085" t="s">
        <v>4244</v>
      </c>
      <c r="G1085" t="s">
        <v>4245</v>
      </c>
      <c r="H1085" t="s">
        <v>25</v>
      </c>
      <c r="I1085" t="s">
        <v>26</v>
      </c>
      <c r="J1085" t="s">
        <v>622</v>
      </c>
      <c r="K1085" t="s">
        <v>42</v>
      </c>
      <c r="L1085">
        <v>95123</v>
      </c>
      <c r="M1085" t="s">
        <v>43</v>
      </c>
      <c r="N1085" t="s">
        <v>2894</v>
      </c>
      <c r="O1085" t="s">
        <v>45</v>
      </c>
      <c r="P1085" t="s">
        <v>74</v>
      </c>
      <c r="Q1085" t="s">
        <v>2895</v>
      </c>
      <c r="R1085">
        <v>1.44</v>
      </c>
      <c r="S1085">
        <v>1</v>
      </c>
      <c r="T1085">
        <v>0.2</v>
      </c>
      <c r="U1085">
        <v>0.504</v>
      </c>
      <c r="V1085" t="str">
        <f t="shared" si="16"/>
        <v>Neola Schneider</v>
      </c>
      <c r="W1085">
        <f>Table2[Profit]/Table2[Sales]</f>
        <v>0.35000000000000003</v>
      </c>
    </row>
    <row r="1086" spans="1:23" x14ac:dyDescent="0.25">
      <c r="A1086">
        <v>1085</v>
      </c>
      <c r="B1086" t="s">
        <v>5062</v>
      </c>
      <c r="C1086" s="1">
        <v>41902</v>
      </c>
      <c r="D1086" s="1">
        <v>41907</v>
      </c>
      <c r="E1086" t="s">
        <v>49</v>
      </c>
      <c r="F1086" t="s">
        <v>5063</v>
      </c>
      <c r="G1086" t="s">
        <v>5064</v>
      </c>
      <c r="H1086" t="s">
        <v>40</v>
      </c>
      <c r="I1086" t="s">
        <v>26</v>
      </c>
      <c r="J1086" t="s">
        <v>1507</v>
      </c>
      <c r="K1086" t="s">
        <v>53</v>
      </c>
      <c r="L1086">
        <v>32216</v>
      </c>
      <c r="M1086" t="s">
        <v>29</v>
      </c>
      <c r="N1086" t="s">
        <v>5065</v>
      </c>
      <c r="O1086" t="s">
        <v>45</v>
      </c>
      <c r="P1086" t="s">
        <v>67</v>
      </c>
      <c r="Q1086" t="s">
        <v>5066</v>
      </c>
      <c r="R1086">
        <v>2.8159999999999998</v>
      </c>
      <c r="S1086">
        <v>2</v>
      </c>
      <c r="T1086">
        <v>0.2</v>
      </c>
      <c r="U1086">
        <v>0.98560000000000003</v>
      </c>
      <c r="V1086" t="str">
        <f t="shared" si="16"/>
        <v>Dorothy Badders</v>
      </c>
      <c r="W1086">
        <f>Table2[Profit]/Table2[Sales]</f>
        <v>0.35000000000000003</v>
      </c>
    </row>
    <row r="1087" spans="1:23" x14ac:dyDescent="0.25">
      <c r="A1087">
        <v>1086</v>
      </c>
      <c r="B1087" t="s">
        <v>5067</v>
      </c>
      <c r="C1087" s="1">
        <v>42944</v>
      </c>
      <c r="D1087" s="1">
        <v>42948</v>
      </c>
      <c r="E1087" t="s">
        <v>49</v>
      </c>
      <c r="F1087" t="s">
        <v>5068</v>
      </c>
      <c r="G1087" t="s">
        <v>5069</v>
      </c>
      <c r="H1087" t="s">
        <v>40</v>
      </c>
      <c r="I1087" t="s">
        <v>26</v>
      </c>
      <c r="J1087" t="s">
        <v>126</v>
      </c>
      <c r="K1087" t="s">
        <v>42</v>
      </c>
      <c r="L1087">
        <v>94110</v>
      </c>
      <c r="M1087" t="s">
        <v>43</v>
      </c>
      <c r="N1087" t="s">
        <v>2873</v>
      </c>
      <c r="O1087" t="s">
        <v>45</v>
      </c>
      <c r="P1087" t="s">
        <v>74</v>
      </c>
      <c r="Q1087" t="s">
        <v>2874</v>
      </c>
      <c r="R1087">
        <v>9.984</v>
      </c>
      <c r="S1087">
        <v>4</v>
      </c>
      <c r="T1087">
        <v>0.2</v>
      </c>
      <c r="U1087">
        <v>3.6192000000000002</v>
      </c>
      <c r="V1087" t="str">
        <f t="shared" si="16"/>
        <v>Matt Hagelstein</v>
      </c>
      <c r="W1087">
        <f>Table2[Profit]/Table2[Sales]</f>
        <v>0.36250000000000004</v>
      </c>
    </row>
    <row r="1088" spans="1:23" x14ac:dyDescent="0.25">
      <c r="A1088">
        <v>1087</v>
      </c>
      <c r="B1088" t="s">
        <v>5070</v>
      </c>
      <c r="C1088" s="1">
        <v>42344</v>
      </c>
      <c r="D1088" s="1">
        <v>42344</v>
      </c>
      <c r="E1088" t="s">
        <v>1278</v>
      </c>
      <c r="F1088" t="s">
        <v>5071</v>
      </c>
      <c r="G1088" t="s">
        <v>5072</v>
      </c>
      <c r="H1088" t="s">
        <v>25</v>
      </c>
      <c r="I1088" t="s">
        <v>26</v>
      </c>
      <c r="J1088" t="s">
        <v>5073</v>
      </c>
      <c r="K1088" t="s">
        <v>491</v>
      </c>
      <c r="L1088">
        <v>43302</v>
      </c>
      <c r="M1088" t="s">
        <v>145</v>
      </c>
      <c r="N1088" t="s">
        <v>4912</v>
      </c>
      <c r="O1088" t="s">
        <v>70</v>
      </c>
      <c r="P1088" t="s">
        <v>71</v>
      </c>
      <c r="Q1088" t="s">
        <v>4913</v>
      </c>
      <c r="R1088">
        <v>485.94</v>
      </c>
      <c r="S1088">
        <v>2</v>
      </c>
      <c r="T1088">
        <v>0.4</v>
      </c>
      <c r="U1088">
        <v>-89.088999999999999</v>
      </c>
      <c r="V1088" t="str">
        <f t="shared" si="16"/>
        <v>Dennis Kane</v>
      </c>
      <c r="W1088">
        <f>Table2[Profit]/Table2[Sales]</f>
        <v>-0.18333333333333332</v>
      </c>
    </row>
    <row r="1089" spans="1:23" x14ac:dyDescent="0.25">
      <c r="A1089">
        <v>1088</v>
      </c>
      <c r="B1089" t="s">
        <v>5074</v>
      </c>
      <c r="C1089" s="1">
        <v>42947</v>
      </c>
      <c r="D1089" s="1">
        <v>42952</v>
      </c>
      <c r="E1089" t="s">
        <v>49</v>
      </c>
      <c r="F1089" t="s">
        <v>888</v>
      </c>
      <c r="G1089" t="s">
        <v>889</v>
      </c>
      <c r="H1089" t="s">
        <v>40</v>
      </c>
      <c r="I1089" t="s">
        <v>26</v>
      </c>
      <c r="J1089" t="s">
        <v>143</v>
      </c>
      <c r="K1089" t="s">
        <v>144</v>
      </c>
      <c r="L1089">
        <v>19134</v>
      </c>
      <c r="M1089" t="s">
        <v>145</v>
      </c>
      <c r="N1089" t="s">
        <v>5075</v>
      </c>
      <c r="O1089" t="s">
        <v>45</v>
      </c>
      <c r="P1089" t="s">
        <v>89</v>
      </c>
      <c r="Q1089" t="s">
        <v>5076</v>
      </c>
      <c r="R1089">
        <v>54.816000000000003</v>
      </c>
      <c r="S1089">
        <v>3</v>
      </c>
      <c r="T1089">
        <v>0.2</v>
      </c>
      <c r="U1089">
        <v>17.815200000000001</v>
      </c>
      <c r="V1089" t="str">
        <f t="shared" si="16"/>
        <v>Erin Ashbrook</v>
      </c>
      <c r="W1089">
        <f>Table2[Profit]/Table2[Sales]</f>
        <v>0.32500000000000001</v>
      </c>
    </row>
    <row r="1090" spans="1:23" x14ac:dyDescent="0.25">
      <c r="A1090">
        <v>1089</v>
      </c>
      <c r="B1090" t="s">
        <v>5077</v>
      </c>
      <c r="C1090" s="1">
        <v>42448</v>
      </c>
      <c r="D1090" s="1">
        <v>42450</v>
      </c>
      <c r="E1090" t="s">
        <v>22</v>
      </c>
      <c r="F1090" t="s">
        <v>5078</v>
      </c>
      <c r="G1090" t="s">
        <v>5079</v>
      </c>
      <c r="H1090" t="s">
        <v>25</v>
      </c>
      <c r="I1090" t="s">
        <v>26</v>
      </c>
      <c r="J1090" t="s">
        <v>5080</v>
      </c>
      <c r="K1090" t="s">
        <v>450</v>
      </c>
      <c r="L1090">
        <v>80122</v>
      </c>
      <c r="M1090" t="s">
        <v>43</v>
      </c>
      <c r="N1090" t="s">
        <v>5081</v>
      </c>
      <c r="O1090" t="s">
        <v>31</v>
      </c>
      <c r="P1090" t="s">
        <v>32</v>
      </c>
      <c r="Q1090" t="s">
        <v>5082</v>
      </c>
      <c r="R1090">
        <v>72.293999999999997</v>
      </c>
      <c r="S1090">
        <v>1</v>
      </c>
      <c r="T1090">
        <v>0.7</v>
      </c>
      <c r="U1090">
        <v>-98.8018</v>
      </c>
      <c r="V1090" t="str">
        <f t="shared" si="16"/>
        <v>Bobby Trafton</v>
      </c>
      <c r="W1090">
        <f>Table2[Profit]/Table2[Sales]</f>
        <v>-1.3666666666666667</v>
      </c>
    </row>
    <row r="1091" spans="1:23" x14ac:dyDescent="0.25">
      <c r="A1091">
        <v>1090</v>
      </c>
      <c r="B1091" t="s">
        <v>5083</v>
      </c>
      <c r="C1091" s="1">
        <v>42945</v>
      </c>
      <c r="D1091" s="1">
        <v>42950</v>
      </c>
      <c r="E1091" t="s">
        <v>49</v>
      </c>
      <c r="F1091" t="s">
        <v>1334</v>
      </c>
      <c r="G1091" t="s">
        <v>1335</v>
      </c>
      <c r="H1091" t="s">
        <v>40</v>
      </c>
      <c r="I1091" t="s">
        <v>26</v>
      </c>
      <c r="J1091" t="s">
        <v>1225</v>
      </c>
      <c r="K1091" t="s">
        <v>103</v>
      </c>
      <c r="L1091">
        <v>78745</v>
      </c>
      <c r="M1091" t="s">
        <v>104</v>
      </c>
      <c r="N1091" t="s">
        <v>3090</v>
      </c>
      <c r="O1091" t="s">
        <v>45</v>
      </c>
      <c r="P1091" t="s">
        <v>266</v>
      </c>
      <c r="Q1091" t="s">
        <v>3091</v>
      </c>
      <c r="R1091">
        <v>2.8959999999999999</v>
      </c>
      <c r="S1091">
        <v>2</v>
      </c>
      <c r="T1091">
        <v>0.2</v>
      </c>
      <c r="U1091">
        <v>0.47060000000000002</v>
      </c>
      <c r="V1091" t="str">
        <f t="shared" ref="V1091:V1154" si="17">TRIM(G1091)</f>
        <v>Laura Armstrong</v>
      </c>
      <c r="W1091">
        <f>Table2[Profit]/Table2[Sales]</f>
        <v>0.16250000000000001</v>
      </c>
    </row>
    <row r="1092" spans="1:23" x14ac:dyDescent="0.25">
      <c r="A1092">
        <v>1091</v>
      </c>
      <c r="B1092" t="s">
        <v>5084</v>
      </c>
      <c r="C1092" s="1">
        <v>42644</v>
      </c>
      <c r="D1092" s="1">
        <v>42648</v>
      </c>
      <c r="E1092" t="s">
        <v>49</v>
      </c>
      <c r="F1092" t="s">
        <v>3398</v>
      </c>
      <c r="G1092" t="s">
        <v>3399</v>
      </c>
      <c r="H1092" t="s">
        <v>25</v>
      </c>
      <c r="I1092" t="s">
        <v>26</v>
      </c>
      <c r="J1092" t="s">
        <v>263</v>
      </c>
      <c r="K1092" t="s">
        <v>264</v>
      </c>
      <c r="L1092">
        <v>10024</v>
      </c>
      <c r="M1092" t="s">
        <v>145</v>
      </c>
      <c r="N1092" t="s">
        <v>4964</v>
      </c>
      <c r="O1092" t="s">
        <v>31</v>
      </c>
      <c r="P1092" t="s">
        <v>55</v>
      </c>
      <c r="Q1092" t="s">
        <v>4965</v>
      </c>
      <c r="R1092">
        <v>330.58800000000002</v>
      </c>
      <c r="S1092">
        <v>1</v>
      </c>
      <c r="T1092">
        <v>0.4</v>
      </c>
      <c r="U1092">
        <v>-115.7058</v>
      </c>
      <c r="V1092" t="str">
        <f t="shared" si="17"/>
        <v>Greg Matthias</v>
      </c>
      <c r="W1092">
        <f>Table2[Profit]/Table2[Sales]</f>
        <v>-0.35</v>
      </c>
    </row>
    <row r="1093" spans="1:23" x14ac:dyDescent="0.25">
      <c r="A1093">
        <v>1092</v>
      </c>
      <c r="B1093" t="s">
        <v>5085</v>
      </c>
      <c r="C1093" s="1">
        <v>41729</v>
      </c>
      <c r="D1093" s="1">
        <v>41734</v>
      </c>
      <c r="E1093" t="s">
        <v>49</v>
      </c>
      <c r="F1093" t="s">
        <v>3268</v>
      </c>
      <c r="G1093" t="s">
        <v>3269</v>
      </c>
      <c r="H1093" t="s">
        <v>25</v>
      </c>
      <c r="I1093" t="s">
        <v>26</v>
      </c>
      <c r="J1093" t="s">
        <v>126</v>
      </c>
      <c r="K1093" t="s">
        <v>42</v>
      </c>
      <c r="L1093">
        <v>94122</v>
      </c>
      <c r="M1093" t="s">
        <v>43</v>
      </c>
      <c r="N1093" t="s">
        <v>4625</v>
      </c>
      <c r="O1093" t="s">
        <v>45</v>
      </c>
      <c r="P1093" t="s">
        <v>74</v>
      </c>
      <c r="Q1093" t="s">
        <v>4626</v>
      </c>
      <c r="R1093">
        <v>673.56799999999998</v>
      </c>
      <c r="S1093">
        <v>2</v>
      </c>
      <c r="T1093">
        <v>0.2</v>
      </c>
      <c r="U1093">
        <v>252.58799999999999</v>
      </c>
      <c r="V1093" t="str">
        <f t="shared" si="17"/>
        <v>Alex Avila</v>
      </c>
      <c r="W1093">
        <f>Table2[Profit]/Table2[Sales]</f>
        <v>0.375</v>
      </c>
    </row>
    <row r="1094" spans="1:23" x14ac:dyDescent="0.25">
      <c r="A1094">
        <v>1093</v>
      </c>
      <c r="B1094" t="s">
        <v>5088</v>
      </c>
      <c r="C1094" s="1">
        <v>42912</v>
      </c>
      <c r="D1094" s="1">
        <v>42917</v>
      </c>
      <c r="E1094" t="s">
        <v>49</v>
      </c>
      <c r="F1094" t="s">
        <v>5089</v>
      </c>
      <c r="G1094" t="s">
        <v>5090</v>
      </c>
      <c r="H1094" t="s">
        <v>25</v>
      </c>
      <c r="I1094" t="s">
        <v>26</v>
      </c>
      <c r="J1094" t="s">
        <v>3229</v>
      </c>
      <c r="K1094" t="s">
        <v>251</v>
      </c>
      <c r="L1094">
        <v>46350</v>
      </c>
      <c r="M1094" t="s">
        <v>104</v>
      </c>
      <c r="N1094" t="s">
        <v>3057</v>
      </c>
      <c r="O1094" t="s">
        <v>31</v>
      </c>
      <c r="P1094" t="s">
        <v>64</v>
      </c>
      <c r="Q1094" t="s">
        <v>3058</v>
      </c>
      <c r="R1094">
        <v>526.45000000000005</v>
      </c>
      <c r="S1094">
        <v>5</v>
      </c>
      <c r="T1094">
        <v>0</v>
      </c>
      <c r="U1094">
        <v>31.587</v>
      </c>
      <c r="V1094" t="str">
        <f t="shared" si="17"/>
        <v>Denny Blanton</v>
      </c>
      <c r="W1094">
        <f>Table2[Profit]/Table2[Sales]</f>
        <v>0.06</v>
      </c>
    </row>
    <row r="1095" spans="1:23" x14ac:dyDescent="0.25">
      <c r="A1095">
        <v>1094</v>
      </c>
      <c r="B1095" t="s">
        <v>5091</v>
      </c>
      <c r="C1095" s="1">
        <v>42925</v>
      </c>
      <c r="D1095" s="1">
        <v>42930</v>
      </c>
      <c r="E1095" t="s">
        <v>49</v>
      </c>
      <c r="F1095" t="s">
        <v>5002</v>
      </c>
      <c r="G1095" t="s">
        <v>5003</v>
      </c>
      <c r="H1095" t="s">
        <v>25</v>
      </c>
      <c r="I1095" t="s">
        <v>26</v>
      </c>
      <c r="J1095" t="s">
        <v>296</v>
      </c>
      <c r="K1095" t="s">
        <v>208</v>
      </c>
      <c r="L1095">
        <v>60610</v>
      </c>
      <c r="M1095" t="s">
        <v>104</v>
      </c>
      <c r="N1095" t="s">
        <v>5092</v>
      </c>
      <c r="O1095" t="s">
        <v>45</v>
      </c>
      <c r="P1095" t="s">
        <v>58</v>
      </c>
      <c r="Q1095" t="s">
        <v>5093</v>
      </c>
      <c r="R1095">
        <v>228.92</v>
      </c>
      <c r="S1095">
        <v>5</v>
      </c>
      <c r="T1095">
        <v>0.2</v>
      </c>
      <c r="U1095">
        <v>14.307499999999999</v>
      </c>
      <c r="V1095" t="str">
        <f t="shared" si="17"/>
        <v>John Huston</v>
      </c>
      <c r="W1095">
        <f>Table2[Profit]/Table2[Sales]</f>
        <v>6.25E-2</v>
      </c>
    </row>
    <row r="1096" spans="1:23" x14ac:dyDescent="0.25">
      <c r="A1096">
        <v>1095</v>
      </c>
      <c r="B1096" t="s">
        <v>5094</v>
      </c>
      <c r="C1096" s="1">
        <v>42352</v>
      </c>
      <c r="D1096" s="1">
        <v>42354</v>
      </c>
      <c r="E1096" t="s">
        <v>22</v>
      </c>
      <c r="F1096" t="s">
        <v>2180</v>
      </c>
      <c r="G1096" t="s">
        <v>2181</v>
      </c>
      <c r="H1096" t="s">
        <v>25</v>
      </c>
      <c r="I1096" t="s">
        <v>26</v>
      </c>
      <c r="J1096" t="s">
        <v>412</v>
      </c>
      <c r="K1096" t="s">
        <v>413</v>
      </c>
      <c r="L1096">
        <v>97206</v>
      </c>
      <c r="M1096" t="s">
        <v>43</v>
      </c>
      <c r="N1096" t="s">
        <v>5095</v>
      </c>
      <c r="O1096" t="s">
        <v>70</v>
      </c>
      <c r="P1096" t="s">
        <v>71</v>
      </c>
      <c r="Q1096" t="s">
        <v>5096</v>
      </c>
      <c r="R1096">
        <v>319.96800000000002</v>
      </c>
      <c r="S1096">
        <v>4</v>
      </c>
      <c r="T1096">
        <v>0.2</v>
      </c>
      <c r="U1096">
        <v>35.996400000000001</v>
      </c>
      <c r="V1096" t="str">
        <f t="shared" si="17"/>
        <v>Doug Jacobs</v>
      </c>
      <c r="W1096">
        <f>Table2[Profit]/Table2[Sales]</f>
        <v>0.1125</v>
      </c>
    </row>
    <row r="1097" spans="1:23" x14ac:dyDescent="0.25">
      <c r="A1097">
        <v>1096</v>
      </c>
      <c r="B1097" t="s">
        <v>5097</v>
      </c>
      <c r="C1097" s="1">
        <v>43074</v>
      </c>
      <c r="D1097" s="1">
        <v>43079</v>
      </c>
      <c r="E1097" t="s">
        <v>49</v>
      </c>
      <c r="F1097" t="s">
        <v>3530</v>
      </c>
      <c r="G1097" t="s">
        <v>3531</v>
      </c>
      <c r="H1097" t="s">
        <v>40</v>
      </c>
      <c r="I1097" t="s">
        <v>26</v>
      </c>
      <c r="J1097" t="s">
        <v>2189</v>
      </c>
      <c r="K1097" t="s">
        <v>5098</v>
      </c>
      <c r="L1097">
        <v>5408</v>
      </c>
      <c r="M1097" t="s">
        <v>145</v>
      </c>
      <c r="N1097" t="s">
        <v>3177</v>
      </c>
      <c r="O1097" t="s">
        <v>70</v>
      </c>
      <c r="P1097" t="s">
        <v>158</v>
      </c>
      <c r="Q1097" t="s">
        <v>3178</v>
      </c>
      <c r="R1097">
        <v>205.03</v>
      </c>
      <c r="S1097">
        <v>7</v>
      </c>
      <c r="T1097">
        <v>0</v>
      </c>
      <c r="U1097">
        <v>67.659899999999993</v>
      </c>
      <c r="V1097" t="str">
        <f t="shared" si="17"/>
        <v>Quincy Jones</v>
      </c>
      <c r="W1097">
        <f>Table2[Profit]/Table2[Sales]</f>
        <v>0.32999999999999996</v>
      </c>
    </row>
    <row r="1098" spans="1:23" x14ac:dyDescent="0.25">
      <c r="A1098">
        <v>1097</v>
      </c>
      <c r="B1098" t="s">
        <v>5099</v>
      </c>
      <c r="C1098" s="1">
        <v>42262</v>
      </c>
      <c r="D1098" s="1">
        <v>42264</v>
      </c>
      <c r="E1098" t="s">
        <v>22</v>
      </c>
      <c r="F1098" t="s">
        <v>4808</v>
      </c>
      <c r="G1098" t="s">
        <v>4809</v>
      </c>
      <c r="H1098" t="s">
        <v>25</v>
      </c>
      <c r="I1098" t="s">
        <v>26</v>
      </c>
      <c r="J1098" t="s">
        <v>4288</v>
      </c>
      <c r="K1098" t="s">
        <v>251</v>
      </c>
      <c r="L1098">
        <v>46203</v>
      </c>
      <c r="M1098" t="s">
        <v>104</v>
      </c>
      <c r="N1098" t="s">
        <v>2397</v>
      </c>
      <c r="O1098" t="s">
        <v>45</v>
      </c>
      <c r="P1098" t="s">
        <v>58</v>
      </c>
      <c r="Q1098" t="s">
        <v>2398</v>
      </c>
      <c r="R1098">
        <v>190.86</v>
      </c>
      <c r="S1098">
        <v>2</v>
      </c>
      <c r="T1098">
        <v>0</v>
      </c>
      <c r="U1098">
        <v>11.451599999999999</v>
      </c>
      <c r="V1098" t="str">
        <f t="shared" si="17"/>
        <v>Carol Triggs</v>
      </c>
      <c r="W1098">
        <f>Table2[Profit]/Table2[Sales]</f>
        <v>5.9999999999999991E-2</v>
      </c>
    </row>
    <row r="1099" spans="1:23" x14ac:dyDescent="0.25">
      <c r="A1099">
        <v>1098</v>
      </c>
      <c r="B1099" t="s">
        <v>5102</v>
      </c>
      <c r="C1099" s="1">
        <v>42566</v>
      </c>
      <c r="D1099" s="1">
        <v>42572</v>
      </c>
      <c r="E1099" t="s">
        <v>49</v>
      </c>
      <c r="F1099" t="s">
        <v>4797</v>
      </c>
      <c r="G1099" t="s">
        <v>4798</v>
      </c>
      <c r="H1099" t="s">
        <v>101</v>
      </c>
      <c r="I1099" t="s">
        <v>26</v>
      </c>
      <c r="J1099" t="s">
        <v>3698</v>
      </c>
      <c r="K1099" t="s">
        <v>120</v>
      </c>
      <c r="L1099">
        <v>84604</v>
      </c>
      <c r="M1099" t="s">
        <v>43</v>
      </c>
      <c r="N1099" t="s">
        <v>5103</v>
      </c>
      <c r="O1099" t="s">
        <v>45</v>
      </c>
      <c r="P1099" t="s">
        <v>572</v>
      </c>
      <c r="Q1099" t="s">
        <v>5104</v>
      </c>
      <c r="R1099">
        <v>44.4</v>
      </c>
      <c r="S1099">
        <v>5</v>
      </c>
      <c r="T1099">
        <v>0</v>
      </c>
      <c r="U1099">
        <v>12.432</v>
      </c>
      <c r="V1099" t="str">
        <f t="shared" si="17"/>
        <v>Rick Huthwaite</v>
      </c>
      <c r="W1099">
        <f>Table2[Profit]/Table2[Sales]</f>
        <v>0.28000000000000003</v>
      </c>
    </row>
    <row r="1100" spans="1:23" x14ac:dyDescent="0.25">
      <c r="A1100">
        <v>1099</v>
      </c>
      <c r="B1100" t="s">
        <v>5105</v>
      </c>
      <c r="C1100" s="1">
        <v>42845</v>
      </c>
      <c r="D1100" s="1">
        <v>42851</v>
      </c>
      <c r="E1100" t="s">
        <v>49</v>
      </c>
      <c r="F1100" t="s">
        <v>2620</v>
      </c>
      <c r="G1100" t="s">
        <v>2621</v>
      </c>
      <c r="H1100" t="s">
        <v>101</v>
      </c>
      <c r="I1100" t="s">
        <v>26</v>
      </c>
      <c r="J1100" t="s">
        <v>296</v>
      </c>
      <c r="K1100" t="s">
        <v>208</v>
      </c>
      <c r="L1100">
        <v>60610</v>
      </c>
      <c r="M1100" t="s">
        <v>104</v>
      </c>
      <c r="N1100" t="s">
        <v>5106</v>
      </c>
      <c r="O1100" t="s">
        <v>31</v>
      </c>
      <c r="P1100" t="s">
        <v>64</v>
      </c>
      <c r="Q1100" t="s">
        <v>5107</v>
      </c>
      <c r="R1100">
        <v>44.4</v>
      </c>
      <c r="S1100">
        <v>2</v>
      </c>
      <c r="T1100">
        <v>0.6</v>
      </c>
      <c r="U1100">
        <v>-52.17</v>
      </c>
      <c r="V1100" t="str">
        <f t="shared" si="17"/>
        <v>Sanjit Jacobs</v>
      </c>
      <c r="W1100">
        <f>Table2[Profit]/Table2[Sales]</f>
        <v>-1.175</v>
      </c>
    </row>
    <row r="1101" spans="1:23" x14ac:dyDescent="0.25">
      <c r="A1101">
        <v>1100</v>
      </c>
      <c r="B1101" t="s">
        <v>5108</v>
      </c>
      <c r="C1101" s="1">
        <v>42689</v>
      </c>
      <c r="D1101" s="1">
        <v>42691</v>
      </c>
      <c r="E1101" t="s">
        <v>22</v>
      </c>
      <c r="F1101" t="s">
        <v>5109</v>
      </c>
      <c r="G1101" t="s">
        <v>5110</v>
      </c>
      <c r="H1101" t="s">
        <v>25</v>
      </c>
      <c r="I1101" t="s">
        <v>26</v>
      </c>
      <c r="J1101" t="s">
        <v>41</v>
      </c>
      <c r="K1101" t="s">
        <v>42</v>
      </c>
      <c r="L1101">
        <v>90049</v>
      </c>
      <c r="M1101" t="s">
        <v>43</v>
      </c>
      <c r="N1101" t="s">
        <v>1718</v>
      </c>
      <c r="O1101" t="s">
        <v>45</v>
      </c>
      <c r="P1101" t="s">
        <v>74</v>
      </c>
      <c r="Q1101" t="s">
        <v>1719</v>
      </c>
      <c r="R1101">
        <v>1016.792</v>
      </c>
      <c r="S1101">
        <v>1</v>
      </c>
      <c r="T1101">
        <v>0.2</v>
      </c>
      <c r="U1101">
        <v>381.29700000000003</v>
      </c>
      <c r="V1101" t="str">
        <f t="shared" si="17"/>
        <v>Toby Gnade</v>
      </c>
      <c r="W1101">
        <f>Table2[Profit]/Table2[Sales]</f>
        <v>0.375</v>
      </c>
    </row>
    <row r="1102" spans="1:23" x14ac:dyDescent="0.25">
      <c r="A1102">
        <v>1101</v>
      </c>
      <c r="B1102" t="s">
        <v>5113</v>
      </c>
      <c r="C1102" s="1">
        <v>42700</v>
      </c>
      <c r="D1102" s="1">
        <v>42705</v>
      </c>
      <c r="E1102" t="s">
        <v>49</v>
      </c>
      <c r="F1102" t="s">
        <v>4808</v>
      </c>
      <c r="G1102" t="s">
        <v>4809</v>
      </c>
      <c r="H1102" t="s">
        <v>25</v>
      </c>
      <c r="I1102" t="s">
        <v>26</v>
      </c>
      <c r="J1102" t="s">
        <v>143</v>
      </c>
      <c r="K1102" t="s">
        <v>144</v>
      </c>
      <c r="L1102">
        <v>19134</v>
      </c>
      <c r="M1102" t="s">
        <v>145</v>
      </c>
      <c r="N1102" t="s">
        <v>3431</v>
      </c>
      <c r="O1102" t="s">
        <v>70</v>
      </c>
      <c r="P1102" t="s">
        <v>71</v>
      </c>
      <c r="Q1102" t="s">
        <v>3432</v>
      </c>
      <c r="R1102">
        <v>494.98200000000003</v>
      </c>
      <c r="S1102">
        <v>3</v>
      </c>
      <c r="T1102">
        <v>0.4</v>
      </c>
      <c r="U1102">
        <v>-115.4958</v>
      </c>
      <c r="V1102" t="str">
        <f t="shared" si="17"/>
        <v>Carol Triggs</v>
      </c>
      <c r="W1102">
        <f>Table2[Profit]/Table2[Sales]</f>
        <v>-0.23333333333333334</v>
      </c>
    </row>
    <row r="1103" spans="1:23" x14ac:dyDescent="0.25">
      <c r="A1103">
        <v>1102</v>
      </c>
      <c r="B1103" t="s">
        <v>5114</v>
      </c>
      <c r="C1103" s="1">
        <v>43060</v>
      </c>
      <c r="D1103" s="1">
        <v>43064</v>
      </c>
      <c r="E1103" t="s">
        <v>49</v>
      </c>
      <c r="F1103" t="s">
        <v>5115</v>
      </c>
      <c r="G1103" t="s">
        <v>5116</v>
      </c>
      <c r="H1103" t="s">
        <v>101</v>
      </c>
      <c r="I1103" t="s">
        <v>26</v>
      </c>
      <c r="J1103" t="s">
        <v>596</v>
      </c>
      <c r="K1103" t="s">
        <v>42</v>
      </c>
      <c r="L1103">
        <v>91104</v>
      </c>
      <c r="M1103" t="s">
        <v>43</v>
      </c>
      <c r="N1103" t="s">
        <v>390</v>
      </c>
      <c r="O1103" t="s">
        <v>45</v>
      </c>
      <c r="P1103" t="s">
        <v>58</v>
      </c>
      <c r="Q1103" t="s">
        <v>391</v>
      </c>
      <c r="R1103">
        <v>56.56</v>
      </c>
      <c r="S1103">
        <v>2</v>
      </c>
      <c r="T1103">
        <v>0</v>
      </c>
      <c r="U1103">
        <v>15.2712</v>
      </c>
      <c r="V1103" t="str">
        <f t="shared" si="17"/>
        <v>Barry Franz</v>
      </c>
      <c r="W1103">
        <f>Table2[Profit]/Table2[Sales]</f>
        <v>0.27</v>
      </c>
    </row>
    <row r="1104" spans="1:23" x14ac:dyDescent="0.25">
      <c r="A1104">
        <v>1103</v>
      </c>
      <c r="B1104" t="s">
        <v>5117</v>
      </c>
      <c r="C1104" s="1">
        <v>42050</v>
      </c>
      <c r="D1104" s="1">
        <v>42053</v>
      </c>
      <c r="E1104" t="s">
        <v>22</v>
      </c>
      <c r="F1104" t="s">
        <v>5118</v>
      </c>
      <c r="G1104" t="s">
        <v>5119</v>
      </c>
      <c r="H1104" t="s">
        <v>25</v>
      </c>
      <c r="I1104" t="s">
        <v>26</v>
      </c>
      <c r="J1104" t="s">
        <v>41</v>
      </c>
      <c r="K1104" t="s">
        <v>42</v>
      </c>
      <c r="L1104">
        <v>90004</v>
      </c>
      <c r="M1104" t="s">
        <v>43</v>
      </c>
      <c r="N1104" t="s">
        <v>5120</v>
      </c>
      <c r="O1104" t="s">
        <v>45</v>
      </c>
      <c r="P1104" t="s">
        <v>89</v>
      </c>
      <c r="Q1104" t="s">
        <v>5121</v>
      </c>
      <c r="R1104">
        <v>13.36</v>
      </c>
      <c r="S1104">
        <v>2</v>
      </c>
      <c r="T1104">
        <v>0</v>
      </c>
      <c r="U1104">
        <v>6.4127999999999998</v>
      </c>
      <c r="V1104" t="str">
        <f t="shared" si="17"/>
        <v>Justin MacKendrick</v>
      </c>
      <c r="W1104">
        <f>Table2[Profit]/Table2[Sales]</f>
        <v>0.48</v>
      </c>
    </row>
    <row r="1105" spans="1:23" x14ac:dyDescent="0.25">
      <c r="A1105">
        <v>1104</v>
      </c>
      <c r="B1105" t="s">
        <v>5123</v>
      </c>
      <c r="C1105" s="1">
        <v>42475</v>
      </c>
      <c r="D1105" s="1">
        <v>42477</v>
      </c>
      <c r="E1105" t="s">
        <v>22</v>
      </c>
      <c r="F1105" t="s">
        <v>3711</v>
      </c>
      <c r="G1105" t="s">
        <v>3712</v>
      </c>
      <c r="H1105" t="s">
        <v>101</v>
      </c>
      <c r="I1105" t="s">
        <v>26</v>
      </c>
      <c r="J1105" t="s">
        <v>941</v>
      </c>
      <c r="K1105" t="s">
        <v>42</v>
      </c>
      <c r="L1105">
        <v>92105</v>
      </c>
      <c r="M1105" t="s">
        <v>43</v>
      </c>
      <c r="N1105" t="s">
        <v>584</v>
      </c>
      <c r="O1105" t="s">
        <v>45</v>
      </c>
      <c r="P1105" t="s">
        <v>89</v>
      </c>
      <c r="Q1105" t="s">
        <v>585</v>
      </c>
      <c r="R1105">
        <v>143.69999999999999</v>
      </c>
      <c r="S1105">
        <v>3</v>
      </c>
      <c r="T1105">
        <v>0</v>
      </c>
      <c r="U1105">
        <v>68.975999999999999</v>
      </c>
      <c r="V1105" t="str">
        <f t="shared" si="17"/>
        <v>Julie Kriz</v>
      </c>
      <c r="W1105">
        <f>Table2[Profit]/Table2[Sales]</f>
        <v>0.48000000000000004</v>
      </c>
    </row>
    <row r="1106" spans="1:23" x14ac:dyDescent="0.25">
      <c r="A1106">
        <v>1105</v>
      </c>
      <c r="B1106" t="s">
        <v>5124</v>
      </c>
      <c r="C1106" s="1">
        <v>42275</v>
      </c>
      <c r="D1106" s="1">
        <v>42278</v>
      </c>
      <c r="E1106" t="s">
        <v>185</v>
      </c>
      <c r="F1106" t="s">
        <v>3559</v>
      </c>
      <c r="G1106" t="s">
        <v>3560</v>
      </c>
      <c r="H1106" t="s">
        <v>40</v>
      </c>
      <c r="I1106" t="s">
        <v>26</v>
      </c>
      <c r="J1106" t="s">
        <v>126</v>
      </c>
      <c r="K1106" t="s">
        <v>42</v>
      </c>
      <c r="L1106">
        <v>94110</v>
      </c>
      <c r="M1106" t="s">
        <v>43</v>
      </c>
      <c r="N1106" t="s">
        <v>1320</v>
      </c>
      <c r="O1106" t="s">
        <v>45</v>
      </c>
      <c r="P1106" t="s">
        <v>77</v>
      </c>
      <c r="Q1106" t="s">
        <v>1321</v>
      </c>
      <c r="R1106">
        <v>43.26</v>
      </c>
      <c r="S1106">
        <v>3</v>
      </c>
      <c r="T1106">
        <v>0</v>
      </c>
      <c r="U1106">
        <v>14.2758</v>
      </c>
      <c r="V1106" t="str">
        <f t="shared" si="17"/>
        <v>Henry Goldwyn</v>
      </c>
      <c r="W1106">
        <f>Table2[Profit]/Table2[Sales]</f>
        <v>0.33</v>
      </c>
    </row>
    <row r="1107" spans="1:23" x14ac:dyDescent="0.25">
      <c r="A1107">
        <v>1106</v>
      </c>
      <c r="B1107" t="s">
        <v>5125</v>
      </c>
      <c r="C1107" s="1">
        <v>42630</v>
      </c>
      <c r="D1107" s="1">
        <v>42635</v>
      </c>
      <c r="E1107" t="s">
        <v>49</v>
      </c>
      <c r="F1107" t="s">
        <v>1334</v>
      </c>
      <c r="G1107" t="s">
        <v>1335</v>
      </c>
      <c r="H1107" t="s">
        <v>40</v>
      </c>
      <c r="I1107" t="s">
        <v>26</v>
      </c>
      <c r="J1107" t="s">
        <v>5126</v>
      </c>
      <c r="K1107" t="s">
        <v>5127</v>
      </c>
      <c r="L1107">
        <v>4401</v>
      </c>
      <c r="M1107" t="s">
        <v>145</v>
      </c>
      <c r="N1107" t="s">
        <v>5128</v>
      </c>
      <c r="O1107" t="s">
        <v>70</v>
      </c>
      <c r="P1107" t="s">
        <v>71</v>
      </c>
      <c r="Q1107" t="s">
        <v>5129</v>
      </c>
      <c r="R1107">
        <v>437.85</v>
      </c>
      <c r="S1107">
        <v>3</v>
      </c>
      <c r="T1107">
        <v>0</v>
      </c>
      <c r="U1107">
        <v>131.35499999999999</v>
      </c>
      <c r="V1107" t="str">
        <f t="shared" si="17"/>
        <v>Laura Armstrong</v>
      </c>
      <c r="W1107">
        <f>Table2[Profit]/Table2[Sales]</f>
        <v>0.29999999999999993</v>
      </c>
    </row>
    <row r="1108" spans="1:23" x14ac:dyDescent="0.25">
      <c r="A1108">
        <v>1107</v>
      </c>
      <c r="B1108" t="s">
        <v>5130</v>
      </c>
      <c r="C1108" s="1">
        <v>42902</v>
      </c>
      <c r="D1108" s="1">
        <v>42905</v>
      </c>
      <c r="E1108" t="s">
        <v>185</v>
      </c>
      <c r="F1108" t="s">
        <v>535</v>
      </c>
      <c r="G1108" t="s">
        <v>536</v>
      </c>
      <c r="H1108" t="s">
        <v>25</v>
      </c>
      <c r="I1108" t="s">
        <v>26</v>
      </c>
      <c r="J1108" t="s">
        <v>126</v>
      </c>
      <c r="K1108" t="s">
        <v>42</v>
      </c>
      <c r="L1108">
        <v>94122</v>
      </c>
      <c r="M1108" t="s">
        <v>43</v>
      </c>
      <c r="N1108" t="s">
        <v>1474</v>
      </c>
      <c r="O1108" t="s">
        <v>31</v>
      </c>
      <c r="P1108" t="s">
        <v>35</v>
      </c>
      <c r="Q1108" t="s">
        <v>1475</v>
      </c>
      <c r="R1108">
        <v>1212.96</v>
      </c>
      <c r="S1108">
        <v>7</v>
      </c>
      <c r="T1108">
        <v>0.2</v>
      </c>
      <c r="U1108">
        <v>90.971999999999994</v>
      </c>
      <c r="V1108" t="str">
        <f t="shared" si="17"/>
        <v>Troy Staebel</v>
      </c>
      <c r="W1108">
        <f>Table2[Profit]/Table2[Sales]</f>
        <v>7.4999999999999997E-2</v>
      </c>
    </row>
    <row r="1109" spans="1:23" x14ac:dyDescent="0.25">
      <c r="A1109">
        <v>1108</v>
      </c>
      <c r="B1109" t="s">
        <v>5133</v>
      </c>
      <c r="C1109" s="1">
        <v>42316</v>
      </c>
      <c r="D1109" s="1">
        <v>42318</v>
      </c>
      <c r="E1109" t="s">
        <v>22</v>
      </c>
      <c r="F1109" t="s">
        <v>5134</v>
      </c>
      <c r="G1109" t="s">
        <v>5135</v>
      </c>
      <c r="H1109" t="s">
        <v>101</v>
      </c>
      <c r="I1109" t="s">
        <v>26</v>
      </c>
      <c r="J1109" t="s">
        <v>941</v>
      </c>
      <c r="K1109" t="s">
        <v>42</v>
      </c>
      <c r="L1109">
        <v>92024</v>
      </c>
      <c r="M1109" t="s">
        <v>43</v>
      </c>
      <c r="N1109" t="s">
        <v>2541</v>
      </c>
      <c r="O1109" t="s">
        <v>45</v>
      </c>
      <c r="P1109" t="s">
        <v>266</v>
      </c>
      <c r="Q1109" t="s">
        <v>2542</v>
      </c>
      <c r="R1109">
        <v>5</v>
      </c>
      <c r="S1109">
        <v>1</v>
      </c>
      <c r="T1109">
        <v>0</v>
      </c>
      <c r="U1109">
        <v>2.4</v>
      </c>
      <c r="V1109" t="str">
        <f t="shared" si="17"/>
        <v>Maria Zettner</v>
      </c>
      <c r="W1109">
        <f>Table2[Profit]/Table2[Sales]</f>
        <v>0.48</v>
      </c>
    </row>
    <row r="1110" spans="1:23" x14ac:dyDescent="0.25">
      <c r="A1110">
        <v>1109</v>
      </c>
      <c r="B1110" t="s">
        <v>5136</v>
      </c>
      <c r="C1110" s="1">
        <v>42356</v>
      </c>
      <c r="D1110" s="1">
        <v>42356</v>
      </c>
      <c r="E1110" t="s">
        <v>1278</v>
      </c>
      <c r="F1110" t="s">
        <v>5137</v>
      </c>
      <c r="G1110" t="s">
        <v>5138</v>
      </c>
      <c r="H1110" t="s">
        <v>25</v>
      </c>
      <c r="I1110" t="s">
        <v>26</v>
      </c>
      <c r="J1110" t="s">
        <v>263</v>
      </c>
      <c r="K1110" t="s">
        <v>264</v>
      </c>
      <c r="L1110">
        <v>10035</v>
      </c>
      <c r="M1110" t="s">
        <v>145</v>
      </c>
      <c r="N1110" t="s">
        <v>2213</v>
      </c>
      <c r="O1110" t="s">
        <v>70</v>
      </c>
      <c r="P1110" t="s">
        <v>158</v>
      </c>
      <c r="Q1110" t="s">
        <v>2214</v>
      </c>
      <c r="R1110">
        <v>166.24</v>
      </c>
      <c r="S1110">
        <v>1</v>
      </c>
      <c r="T1110">
        <v>0</v>
      </c>
      <c r="U1110">
        <v>24.936</v>
      </c>
      <c r="V1110" t="str">
        <f t="shared" si="17"/>
        <v>Mitch Webber</v>
      </c>
      <c r="W1110">
        <f>Table2[Profit]/Table2[Sales]</f>
        <v>0.15</v>
      </c>
    </row>
    <row r="1111" spans="1:23" x14ac:dyDescent="0.25">
      <c r="A1111">
        <v>1110</v>
      </c>
      <c r="B1111" t="s">
        <v>5139</v>
      </c>
      <c r="C1111" s="1">
        <v>42772</v>
      </c>
      <c r="D1111" s="1">
        <v>42775</v>
      </c>
      <c r="E1111" t="s">
        <v>185</v>
      </c>
      <c r="F1111" t="s">
        <v>5140</v>
      </c>
      <c r="G1111" t="s">
        <v>5141</v>
      </c>
      <c r="H1111" t="s">
        <v>25</v>
      </c>
      <c r="I1111" t="s">
        <v>26</v>
      </c>
      <c r="J1111" t="s">
        <v>1119</v>
      </c>
      <c r="K1111" t="s">
        <v>312</v>
      </c>
      <c r="L1111">
        <v>22204</v>
      </c>
      <c r="M1111" t="s">
        <v>29</v>
      </c>
      <c r="N1111" t="s">
        <v>2200</v>
      </c>
      <c r="O1111" t="s">
        <v>31</v>
      </c>
      <c r="P1111" t="s">
        <v>32</v>
      </c>
      <c r="Q1111" t="s">
        <v>2201</v>
      </c>
      <c r="R1111">
        <v>359.97</v>
      </c>
      <c r="S1111">
        <v>3</v>
      </c>
      <c r="T1111">
        <v>0</v>
      </c>
      <c r="U1111">
        <v>79.193399999999997</v>
      </c>
      <c r="V1111" t="str">
        <f t="shared" si="17"/>
        <v>Mark Van Huff</v>
      </c>
      <c r="W1111">
        <f>Table2[Profit]/Table2[Sales]</f>
        <v>0.21999999999999997</v>
      </c>
    </row>
    <row r="1112" spans="1:23" x14ac:dyDescent="0.25">
      <c r="A1112">
        <v>1111</v>
      </c>
      <c r="B1112" t="s">
        <v>5142</v>
      </c>
      <c r="C1112" s="1">
        <v>42688</v>
      </c>
      <c r="D1112" s="1">
        <v>42690</v>
      </c>
      <c r="E1112" t="s">
        <v>22</v>
      </c>
      <c r="F1112" t="s">
        <v>1797</v>
      </c>
      <c r="G1112" t="s">
        <v>1798</v>
      </c>
      <c r="H1112" t="s">
        <v>25</v>
      </c>
      <c r="I1112" t="s">
        <v>26</v>
      </c>
      <c r="J1112" t="s">
        <v>1712</v>
      </c>
      <c r="K1112" t="s">
        <v>1260</v>
      </c>
      <c r="L1112">
        <v>30318</v>
      </c>
      <c r="M1112" t="s">
        <v>29</v>
      </c>
      <c r="N1112" t="s">
        <v>5143</v>
      </c>
      <c r="O1112" t="s">
        <v>70</v>
      </c>
      <c r="P1112" t="s">
        <v>158</v>
      </c>
      <c r="Q1112" t="s">
        <v>5144</v>
      </c>
      <c r="R1112">
        <v>499.98</v>
      </c>
      <c r="S1112">
        <v>2</v>
      </c>
      <c r="T1112">
        <v>0</v>
      </c>
      <c r="U1112">
        <v>114.9954</v>
      </c>
      <c r="V1112" t="str">
        <f t="shared" si="17"/>
        <v>Allen Armold</v>
      </c>
      <c r="W1112">
        <f>Table2[Profit]/Table2[Sales]</f>
        <v>0.23</v>
      </c>
    </row>
    <row r="1113" spans="1:23" x14ac:dyDescent="0.25">
      <c r="A1113">
        <v>1112</v>
      </c>
      <c r="B1113" t="s">
        <v>5145</v>
      </c>
      <c r="C1113" s="1">
        <v>43020</v>
      </c>
      <c r="D1113" s="1">
        <v>43020</v>
      </c>
      <c r="E1113" t="s">
        <v>1278</v>
      </c>
      <c r="F1113" t="s">
        <v>5146</v>
      </c>
      <c r="G1113" t="s">
        <v>5147</v>
      </c>
      <c r="H1113" t="s">
        <v>101</v>
      </c>
      <c r="I1113" t="s">
        <v>26</v>
      </c>
      <c r="J1113" t="s">
        <v>728</v>
      </c>
      <c r="K1113" t="s">
        <v>87</v>
      </c>
      <c r="L1113">
        <v>28110</v>
      </c>
      <c r="M1113" t="s">
        <v>29</v>
      </c>
      <c r="N1113" t="s">
        <v>5148</v>
      </c>
      <c r="O1113" t="s">
        <v>45</v>
      </c>
      <c r="P1113" t="s">
        <v>89</v>
      </c>
      <c r="Q1113" t="s">
        <v>5149</v>
      </c>
      <c r="R1113">
        <v>7.968</v>
      </c>
      <c r="S1113">
        <v>2</v>
      </c>
      <c r="T1113">
        <v>0.2</v>
      </c>
      <c r="U1113">
        <v>2.6892</v>
      </c>
      <c r="V1113" t="str">
        <f t="shared" si="17"/>
        <v>Sean Miller</v>
      </c>
      <c r="W1113">
        <f>Table2[Profit]/Table2[Sales]</f>
        <v>0.33750000000000002</v>
      </c>
    </row>
    <row r="1114" spans="1:23" x14ac:dyDescent="0.25">
      <c r="A1114">
        <v>1113</v>
      </c>
      <c r="B1114" t="s">
        <v>5150</v>
      </c>
      <c r="C1114" s="1">
        <v>42995</v>
      </c>
      <c r="D1114" s="1">
        <v>42995</v>
      </c>
      <c r="E1114" t="s">
        <v>1278</v>
      </c>
      <c r="F1114" t="s">
        <v>5151</v>
      </c>
      <c r="G1114" t="s">
        <v>5152</v>
      </c>
      <c r="H1114" t="s">
        <v>25</v>
      </c>
      <c r="I1114" t="s">
        <v>26</v>
      </c>
      <c r="J1114" t="s">
        <v>94</v>
      </c>
      <c r="K1114" t="s">
        <v>95</v>
      </c>
      <c r="L1114">
        <v>98115</v>
      </c>
      <c r="M1114" t="s">
        <v>43</v>
      </c>
      <c r="N1114" t="s">
        <v>5153</v>
      </c>
      <c r="O1114" t="s">
        <v>45</v>
      </c>
      <c r="P1114" t="s">
        <v>89</v>
      </c>
      <c r="Q1114" t="s">
        <v>5154</v>
      </c>
      <c r="R1114">
        <v>12.96</v>
      </c>
      <c r="S1114">
        <v>2</v>
      </c>
      <c r="T1114">
        <v>0</v>
      </c>
      <c r="U1114">
        <v>6.3503999999999996</v>
      </c>
      <c r="V1114" t="str">
        <f t="shared" si="17"/>
        <v>Tom Prescott</v>
      </c>
      <c r="W1114">
        <f>Table2[Profit]/Table2[Sales]</f>
        <v>0.48999999999999994</v>
      </c>
    </row>
    <row r="1115" spans="1:23" x14ac:dyDescent="0.25">
      <c r="A1115">
        <v>1114</v>
      </c>
      <c r="B1115" t="s">
        <v>5155</v>
      </c>
      <c r="C1115" s="1">
        <v>43089</v>
      </c>
      <c r="D1115" s="1">
        <v>43095</v>
      </c>
      <c r="E1115" t="s">
        <v>49</v>
      </c>
      <c r="F1115" t="s">
        <v>1347</v>
      </c>
      <c r="G1115" t="s">
        <v>1348</v>
      </c>
      <c r="H1115" t="s">
        <v>40</v>
      </c>
      <c r="I1115" t="s">
        <v>26</v>
      </c>
      <c r="J1115" t="s">
        <v>382</v>
      </c>
      <c r="K1115" t="s">
        <v>264</v>
      </c>
      <c r="L1115">
        <v>14609</v>
      </c>
      <c r="M1115" t="s">
        <v>145</v>
      </c>
      <c r="N1115" t="s">
        <v>5156</v>
      </c>
      <c r="O1115" t="s">
        <v>45</v>
      </c>
      <c r="P1115" t="s">
        <v>89</v>
      </c>
      <c r="Q1115" t="s">
        <v>5157</v>
      </c>
      <c r="R1115">
        <v>6.48</v>
      </c>
      <c r="S1115">
        <v>1</v>
      </c>
      <c r="T1115">
        <v>0</v>
      </c>
      <c r="U1115">
        <v>3.1103999999999998</v>
      </c>
      <c r="V1115" t="str">
        <f t="shared" si="17"/>
        <v>Dean Katz</v>
      </c>
      <c r="W1115">
        <f>Table2[Profit]/Table2[Sales]</f>
        <v>0.47999999999999993</v>
      </c>
    </row>
    <row r="1116" spans="1:23" x14ac:dyDescent="0.25">
      <c r="A1116">
        <v>1115</v>
      </c>
      <c r="B1116" t="s">
        <v>5158</v>
      </c>
      <c r="C1116" s="1">
        <v>43071</v>
      </c>
      <c r="D1116" s="1">
        <v>43076</v>
      </c>
      <c r="E1116" t="s">
        <v>49</v>
      </c>
      <c r="F1116" t="s">
        <v>1279</v>
      </c>
      <c r="G1116" t="s">
        <v>1280</v>
      </c>
      <c r="H1116" t="s">
        <v>40</v>
      </c>
      <c r="I1116" t="s">
        <v>26</v>
      </c>
      <c r="J1116" t="s">
        <v>1406</v>
      </c>
      <c r="K1116" t="s">
        <v>53</v>
      </c>
      <c r="L1116">
        <v>33180</v>
      </c>
      <c r="M1116" t="s">
        <v>29</v>
      </c>
      <c r="N1116" t="s">
        <v>1442</v>
      </c>
      <c r="O1116" t="s">
        <v>45</v>
      </c>
      <c r="P1116" t="s">
        <v>67</v>
      </c>
      <c r="Q1116" t="s">
        <v>1443</v>
      </c>
      <c r="R1116">
        <v>47.96</v>
      </c>
      <c r="S1116">
        <v>5</v>
      </c>
      <c r="T1116">
        <v>0.2</v>
      </c>
      <c r="U1116">
        <v>4.1965000000000003</v>
      </c>
      <c r="V1116" t="str">
        <f t="shared" si="17"/>
        <v>Michael Kennedy</v>
      </c>
      <c r="W1116">
        <f>Table2[Profit]/Table2[Sales]</f>
        <v>8.7500000000000008E-2</v>
      </c>
    </row>
    <row r="1117" spans="1:23" x14ac:dyDescent="0.25">
      <c r="A1117">
        <v>1116</v>
      </c>
      <c r="B1117" t="s">
        <v>5159</v>
      </c>
      <c r="C1117" s="1">
        <v>42268</v>
      </c>
      <c r="D1117" s="1">
        <v>42274</v>
      </c>
      <c r="E1117" t="s">
        <v>49</v>
      </c>
      <c r="F1117" t="s">
        <v>688</v>
      </c>
      <c r="G1117" t="s">
        <v>689</v>
      </c>
      <c r="H1117" t="s">
        <v>25</v>
      </c>
      <c r="I1117" t="s">
        <v>26</v>
      </c>
      <c r="J1117" t="s">
        <v>94</v>
      </c>
      <c r="K1117" t="s">
        <v>95</v>
      </c>
      <c r="L1117">
        <v>98105</v>
      </c>
      <c r="M1117" t="s">
        <v>43</v>
      </c>
      <c r="N1117" t="s">
        <v>5160</v>
      </c>
      <c r="O1117" t="s">
        <v>45</v>
      </c>
      <c r="P1117" t="s">
        <v>58</v>
      </c>
      <c r="Q1117" t="s">
        <v>5161</v>
      </c>
      <c r="R1117">
        <v>199.74</v>
      </c>
      <c r="S1117">
        <v>6</v>
      </c>
      <c r="T1117">
        <v>0</v>
      </c>
      <c r="U1117">
        <v>47.937600000000003</v>
      </c>
      <c r="V1117" t="str">
        <f t="shared" si="17"/>
        <v>Chad Sievert</v>
      </c>
      <c r="W1117">
        <f>Table2[Profit]/Table2[Sales]</f>
        <v>0.24000000000000002</v>
      </c>
    </row>
    <row r="1118" spans="1:23" x14ac:dyDescent="0.25">
      <c r="A1118">
        <v>1117</v>
      </c>
      <c r="B1118" t="s">
        <v>5162</v>
      </c>
      <c r="C1118" s="1">
        <v>42069</v>
      </c>
      <c r="D1118" s="1">
        <v>42074</v>
      </c>
      <c r="E1118" t="s">
        <v>49</v>
      </c>
      <c r="F1118" t="s">
        <v>1190</v>
      </c>
      <c r="G1118" t="s">
        <v>1191</v>
      </c>
      <c r="H1118" t="s">
        <v>25</v>
      </c>
      <c r="I1118" t="s">
        <v>26</v>
      </c>
      <c r="J1118" t="s">
        <v>126</v>
      </c>
      <c r="K1118" t="s">
        <v>42</v>
      </c>
      <c r="L1118">
        <v>94122</v>
      </c>
      <c r="M1118" t="s">
        <v>43</v>
      </c>
      <c r="N1118" t="s">
        <v>5163</v>
      </c>
      <c r="O1118" t="s">
        <v>31</v>
      </c>
      <c r="P1118" t="s">
        <v>64</v>
      </c>
      <c r="Q1118" t="s">
        <v>5164</v>
      </c>
      <c r="R1118">
        <v>435.26</v>
      </c>
      <c r="S1118">
        <v>7</v>
      </c>
      <c r="T1118">
        <v>0</v>
      </c>
      <c r="U1118">
        <v>95.757199999999997</v>
      </c>
      <c r="V1118" t="str">
        <f t="shared" si="17"/>
        <v>John Lucas</v>
      </c>
      <c r="W1118">
        <f>Table2[Profit]/Table2[Sales]</f>
        <v>0.22</v>
      </c>
    </row>
    <row r="1119" spans="1:23" x14ac:dyDescent="0.25">
      <c r="A1119">
        <v>1118</v>
      </c>
      <c r="B1119" t="s">
        <v>5165</v>
      </c>
      <c r="C1119" s="1">
        <v>41915</v>
      </c>
      <c r="D1119" s="1">
        <v>41920</v>
      </c>
      <c r="E1119" t="s">
        <v>22</v>
      </c>
      <c r="F1119" t="s">
        <v>1313</v>
      </c>
      <c r="G1119" t="s">
        <v>1314</v>
      </c>
      <c r="H1119" t="s">
        <v>40</v>
      </c>
      <c r="I1119" t="s">
        <v>26</v>
      </c>
      <c r="J1119" t="s">
        <v>41</v>
      </c>
      <c r="K1119" t="s">
        <v>42</v>
      </c>
      <c r="L1119">
        <v>90036</v>
      </c>
      <c r="M1119" t="s">
        <v>43</v>
      </c>
      <c r="N1119" t="s">
        <v>5166</v>
      </c>
      <c r="O1119" t="s">
        <v>31</v>
      </c>
      <c r="P1119" t="s">
        <v>55</v>
      </c>
      <c r="Q1119" t="s">
        <v>5167</v>
      </c>
      <c r="R1119">
        <v>143.43199999999999</v>
      </c>
      <c r="S1119">
        <v>1</v>
      </c>
      <c r="T1119">
        <v>0.2</v>
      </c>
      <c r="U1119">
        <v>3.5857999999999999</v>
      </c>
      <c r="V1119" t="str">
        <f t="shared" si="17"/>
        <v>Allen Rosenblatt</v>
      </c>
      <c r="W1119">
        <f>Table2[Profit]/Table2[Sales]</f>
        <v>2.5000000000000001E-2</v>
      </c>
    </row>
    <row r="1120" spans="1:23" x14ac:dyDescent="0.25">
      <c r="A1120">
        <v>1119</v>
      </c>
      <c r="B1120" t="s">
        <v>5168</v>
      </c>
      <c r="C1120" s="1">
        <v>41817</v>
      </c>
      <c r="D1120" s="1">
        <v>41821</v>
      </c>
      <c r="E1120" t="s">
        <v>49</v>
      </c>
      <c r="F1120" t="s">
        <v>1827</v>
      </c>
      <c r="G1120" t="s">
        <v>1828</v>
      </c>
      <c r="H1120" t="s">
        <v>25</v>
      </c>
      <c r="I1120" t="s">
        <v>26</v>
      </c>
      <c r="J1120" t="s">
        <v>5169</v>
      </c>
      <c r="K1120" t="s">
        <v>1473</v>
      </c>
      <c r="L1120">
        <v>38671</v>
      </c>
      <c r="M1120" t="s">
        <v>29</v>
      </c>
      <c r="N1120" t="s">
        <v>3260</v>
      </c>
      <c r="O1120" t="s">
        <v>45</v>
      </c>
      <c r="P1120" t="s">
        <v>58</v>
      </c>
      <c r="Q1120" t="s">
        <v>3261</v>
      </c>
      <c r="R1120">
        <v>306.2</v>
      </c>
      <c r="S1120">
        <v>5</v>
      </c>
      <c r="T1120">
        <v>0</v>
      </c>
      <c r="U1120">
        <v>0</v>
      </c>
      <c r="V1120" t="str">
        <f t="shared" si="17"/>
        <v>Liz MacKendrick</v>
      </c>
      <c r="W1120">
        <f>Table2[Profit]/Table2[Sales]</f>
        <v>0</v>
      </c>
    </row>
    <row r="1121" spans="1:23" x14ac:dyDescent="0.25">
      <c r="A1121">
        <v>1120</v>
      </c>
      <c r="B1121" t="s">
        <v>5170</v>
      </c>
      <c r="C1121" s="1">
        <v>43038</v>
      </c>
      <c r="D1121" s="1">
        <v>43041</v>
      </c>
      <c r="E1121" t="s">
        <v>185</v>
      </c>
      <c r="F1121" t="s">
        <v>5171</v>
      </c>
      <c r="G1121" t="s">
        <v>5172</v>
      </c>
      <c r="H1121" t="s">
        <v>25</v>
      </c>
      <c r="I1121" t="s">
        <v>26</v>
      </c>
      <c r="J1121" t="s">
        <v>94</v>
      </c>
      <c r="K1121" t="s">
        <v>95</v>
      </c>
      <c r="L1121">
        <v>98115</v>
      </c>
      <c r="M1121" t="s">
        <v>43</v>
      </c>
      <c r="N1121" t="s">
        <v>4825</v>
      </c>
      <c r="O1121" t="s">
        <v>31</v>
      </c>
      <c r="P1121" t="s">
        <v>35</v>
      </c>
      <c r="Q1121" t="s">
        <v>4826</v>
      </c>
      <c r="R1121">
        <v>97.567999999999998</v>
      </c>
      <c r="S1121">
        <v>2</v>
      </c>
      <c r="T1121">
        <v>0.2</v>
      </c>
      <c r="U1121">
        <v>-6.0979999999999999</v>
      </c>
      <c r="V1121" t="str">
        <f t="shared" si="17"/>
        <v>Jim Karlsson</v>
      </c>
      <c r="W1121">
        <f>Table2[Profit]/Table2[Sales]</f>
        <v>-6.25E-2</v>
      </c>
    </row>
    <row r="1122" spans="1:23" x14ac:dyDescent="0.25">
      <c r="A1122">
        <v>1121</v>
      </c>
      <c r="B1122" t="s">
        <v>5173</v>
      </c>
      <c r="C1122" s="1">
        <v>42616</v>
      </c>
      <c r="D1122" s="1">
        <v>42618</v>
      </c>
      <c r="E1122" t="s">
        <v>185</v>
      </c>
      <c r="F1122" t="s">
        <v>4337</v>
      </c>
      <c r="G1122" t="s">
        <v>4338</v>
      </c>
      <c r="H1122" t="s">
        <v>40</v>
      </c>
      <c r="I1122" t="s">
        <v>26</v>
      </c>
      <c r="J1122" t="s">
        <v>3616</v>
      </c>
      <c r="K1122" t="s">
        <v>740</v>
      </c>
      <c r="L1122">
        <v>6457</v>
      </c>
      <c r="M1122" t="s">
        <v>145</v>
      </c>
      <c r="N1122" t="s">
        <v>1254</v>
      </c>
      <c r="O1122" t="s">
        <v>45</v>
      </c>
      <c r="P1122" t="s">
        <v>89</v>
      </c>
      <c r="Q1122" t="s">
        <v>1255</v>
      </c>
      <c r="R1122">
        <v>48.16</v>
      </c>
      <c r="S1122">
        <v>7</v>
      </c>
      <c r="T1122">
        <v>0</v>
      </c>
      <c r="U1122">
        <v>22.153600000000001</v>
      </c>
      <c r="V1122" t="str">
        <f t="shared" si="17"/>
        <v>Filia McAdams</v>
      </c>
      <c r="W1122">
        <f>Table2[Profit]/Table2[Sales]</f>
        <v>0.46000000000000008</v>
      </c>
    </row>
    <row r="1123" spans="1:23" x14ac:dyDescent="0.25">
      <c r="A1123">
        <v>1122</v>
      </c>
      <c r="B1123" t="s">
        <v>5174</v>
      </c>
      <c r="C1123" s="1">
        <v>42068</v>
      </c>
      <c r="D1123" s="1">
        <v>42072</v>
      </c>
      <c r="E1123" t="s">
        <v>49</v>
      </c>
      <c r="F1123" t="s">
        <v>1913</v>
      </c>
      <c r="G1123" t="s">
        <v>1914</v>
      </c>
      <c r="H1123" t="s">
        <v>25</v>
      </c>
      <c r="I1123" t="s">
        <v>26</v>
      </c>
      <c r="J1123" t="s">
        <v>5175</v>
      </c>
      <c r="K1123" t="s">
        <v>251</v>
      </c>
      <c r="L1123">
        <v>47362</v>
      </c>
      <c r="M1123" t="s">
        <v>104</v>
      </c>
      <c r="N1123" t="s">
        <v>759</v>
      </c>
      <c r="O1123" t="s">
        <v>70</v>
      </c>
      <c r="P1123" t="s">
        <v>71</v>
      </c>
      <c r="Q1123" t="s">
        <v>760</v>
      </c>
      <c r="R1123">
        <v>23.92</v>
      </c>
      <c r="S1123">
        <v>2</v>
      </c>
      <c r="T1123">
        <v>0</v>
      </c>
      <c r="U1123">
        <v>6.6976000000000004</v>
      </c>
      <c r="V1123" t="str">
        <f t="shared" si="17"/>
        <v>Sarah Foster</v>
      </c>
      <c r="W1123">
        <f>Table2[Profit]/Table2[Sales]</f>
        <v>0.27999999999999997</v>
      </c>
    </row>
    <row r="1124" spans="1:23" x14ac:dyDescent="0.25">
      <c r="A1124">
        <v>1123</v>
      </c>
      <c r="B1124" t="s">
        <v>5177</v>
      </c>
      <c r="C1124" s="1">
        <v>42495</v>
      </c>
      <c r="D1124" s="1">
        <v>42498</v>
      </c>
      <c r="E1124" t="s">
        <v>185</v>
      </c>
      <c r="F1124" t="s">
        <v>5178</v>
      </c>
      <c r="G1124" t="s">
        <v>5179</v>
      </c>
      <c r="H1124" t="s">
        <v>40</v>
      </c>
      <c r="I1124" t="s">
        <v>26</v>
      </c>
      <c r="J1124" t="s">
        <v>1173</v>
      </c>
      <c r="K1124" t="s">
        <v>328</v>
      </c>
      <c r="L1124">
        <v>37130</v>
      </c>
      <c r="M1124" t="s">
        <v>29</v>
      </c>
      <c r="N1124" t="s">
        <v>5180</v>
      </c>
      <c r="O1124" t="s">
        <v>45</v>
      </c>
      <c r="P1124" t="s">
        <v>89</v>
      </c>
      <c r="Q1124" t="s">
        <v>5181</v>
      </c>
      <c r="R1124">
        <v>14.352</v>
      </c>
      <c r="S1124">
        <v>3</v>
      </c>
      <c r="T1124">
        <v>0.2</v>
      </c>
      <c r="U1124">
        <v>5.2026000000000003</v>
      </c>
      <c r="V1124" t="str">
        <f t="shared" si="17"/>
        <v>Patrick Jones</v>
      </c>
      <c r="W1124">
        <f>Table2[Profit]/Table2[Sales]</f>
        <v>0.36249999999999999</v>
      </c>
    </row>
    <row r="1125" spans="1:23" x14ac:dyDescent="0.25">
      <c r="A1125">
        <v>1124</v>
      </c>
      <c r="B1125" t="s">
        <v>5182</v>
      </c>
      <c r="C1125" s="1">
        <v>43056</v>
      </c>
      <c r="D1125" s="1">
        <v>43062</v>
      </c>
      <c r="E1125" t="s">
        <v>49</v>
      </c>
      <c r="F1125" t="s">
        <v>3201</v>
      </c>
      <c r="G1125" t="s">
        <v>3202</v>
      </c>
      <c r="H1125" t="s">
        <v>25</v>
      </c>
      <c r="I1125" t="s">
        <v>26</v>
      </c>
      <c r="J1125" t="s">
        <v>1948</v>
      </c>
      <c r="K1125" t="s">
        <v>312</v>
      </c>
      <c r="L1125">
        <v>24153</v>
      </c>
      <c r="M1125" t="s">
        <v>29</v>
      </c>
      <c r="N1125" t="s">
        <v>5183</v>
      </c>
      <c r="O1125" t="s">
        <v>45</v>
      </c>
      <c r="P1125" t="s">
        <v>77</v>
      </c>
      <c r="Q1125" t="s">
        <v>5184</v>
      </c>
      <c r="R1125">
        <v>35.04</v>
      </c>
      <c r="S1125">
        <v>2</v>
      </c>
      <c r="T1125">
        <v>0</v>
      </c>
      <c r="U1125">
        <v>12.263999999999999</v>
      </c>
      <c r="V1125" t="str">
        <f t="shared" si="17"/>
        <v>Christine Sundaresam</v>
      </c>
      <c r="W1125">
        <f>Table2[Profit]/Table2[Sales]</f>
        <v>0.35</v>
      </c>
    </row>
    <row r="1126" spans="1:23" x14ac:dyDescent="0.25">
      <c r="A1126">
        <v>1125</v>
      </c>
      <c r="B1126" t="s">
        <v>5185</v>
      </c>
      <c r="C1126" s="1">
        <v>42887</v>
      </c>
      <c r="D1126" s="1">
        <v>42891</v>
      </c>
      <c r="E1126" t="s">
        <v>22</v>
      </c>
      <c r="F1126" t="s">
        <v>1017</v>
      </c>
      <c r="G1126" t="s">
        <v>1018</v>
      </c>
      <c r="H1126" t="s">
        <v>40</v>
      </c>
      <c r="I1126" t="s">
        <v>26</v>
      </c>
      <c r="J1126" t="s">
        <v>2797</v>
      </c>
      <c r="K1126" t="s">
        <v>491</v>
      </c>
      <c r="L1126">
        <v>43615</v>
      </c>
      <c r="M1126" t="s">
        <v>145</v>
      </c>
      <c r="N1126" t="s">
        <v>5186</v>
      </c>
      <c r="O1126" t="s">
        <v>45</v>
      </c>
      <c r="P1126" t="s">
        <v>77</v>
      </c>
      <c r="Q1126" t="s">
        <v>5187</v>
      </c>
      <c r="R1126">
        <v>17.48</v>
      </c>
      <c r="S1126">
        <v>5</v>
      </c>
      <c r="T1126">
        <v>0.2</v>
      </c>
      <c r="U1126">
        <v>1.3109999999999999</v>
      </c>
      <c r="V1126" t="str">
        <f t="shared" si="17"/>
        <v>Barry Blumstein</v>
      </c>
      <c r="W1126">
        <f>Table2[Profit]/Table2[Sales]</f>
        <v>7.4999999999999997E-2</v>
      </c>
    </row>
    <row r="1127" spans="1:23" x14ac:dyDescent="0.25">
      <c r="A1127">
        <v>1126</v>
      </c>
      <c r="B1127" t="s">
        <v>5188</v>
      </c>
      <c r="C1127" s="1">
        <v>42896</v>
      </c>
      <c r="D1127" s="1">
        <v>42899</v>
      </c>
      <c r="E1127" t="s">
        <v>185</v>
      </c>
      <c r="F1127" t="s">
        <v>4905</v>
      </c>
      <c r="G1127" t="s">
        <v>4906</v>
      </c>
      <c r="H1127" t="s">
        <v>25</v>
      </c>
      <c r="I1127" t="s">
        <v>26</v>
      </c>
      <c r="J1127" t="s">
        <v>41</v>
      </c>
      <c r="K1127" t="s">
        <v>42</v>
      </c>
      <c r="L1127">
        <v>90032</v>
      </c>
      <c r="M1127" t="s">
        <v>43</v>
      </c>
      <c r="N1127" t="s">
        <v>3210</v>
      </c>
      <c r="O1127" t="s">
        <v>45</v>
      </c>
      <c r="P1127" t="s">
        <v>67</v>
      </c>
      <c r="Q1127" t="s">
        <v>3211</v>
      </c>
      <c r="R1127">
        <v>16.399999999999999</v>
      </c>
      <c r="S1127">
        <v>5</v>
      </c>
      <c r="T1127">
        <v>0</v>
      </c>
      <c r="U1127">
        <v>4.7560000000000002</v>
      </c>
      <c r="V1127" t="str">
        <f t="shared" si="17"/>
        <v>Ben Wallace</v>
      </c>
      <c r="W1127">
        <f>Table2[Profit]/Table2[Sales]</f>
        <v>0.29000000000000004</v>
      </c>
    </row>
    <row r="1128" spans="1:23" x14ac:dyDescent="0.25">
      <c r="A1128">
        <v>1127</v>
      </c>
      <c r="B1128" t="s">
        <v>5189</v>
      </c>
      <c r="C1128" s="1">
        <v>42743</v>
      </c>
      <c r="D1128" s="1">
        <v>42746</v>
      </c>
      <c r="E1128" t="s">
        <v>185</v>
      </c>
      <c r="F1128" t="s">
        <v>5190</v>
      </c>
      <c r="G1128" t="s">
        <v>5191</v>
      </c>
      <c r="H1128" t="s">
        <v>40</v>
      </c>
      <c r="I1128" t="s">
        <v>26</v>
      </c>
      <c r="J1128" t="s">
        <v>94</v>
      </c>
      <c r="K1128" t="s">
        <v>95</v>
      </c>
      <c r="L1128">
        <v>98115</v>
      </c>
      <c r="M1128" t="s">
        <v>43</v>
      </c>
      <c r="N1128" t="s">
        <v>5192</v>
      </c>
      <c r="O1128" t="s">
        <v>31</v>
      </c>
      <c r="P1128" t="s">
        <v>55</v>
      </c>
      <c r="Q1128" t="s">
        <v>5193</v>
      </c>
      <c r="R1128">
        <v>892.98</v>
      </c>
      <c r="S1128">
        <v>2</v>
      </c>
      <c r="T1128">
        <v>0</v>
      </c>
      <c r="U1128">
        <v>80.368200000000002</v>
      </c>
      <c r="V1128" t="str">
        <f t="shared" si="17"/>
        <v>Ricardo Sperren</v>
      </c>
      <c r="W1128">
        <f>Table2[Profit]/Table2[Sales]</f>
        <v>0.09</v>
      </c>
    </row>
    <row r="1129" spans="1:23" x14ac:dyDescent="0.25">
      <c r="A1129">
        <v>1128</v>
      </c>
      <c r="B1129" t="s">
        <v>5194</v>
      </c>
      <c r="C1129" s="1">
        <v>42114</v>
      </c>
      <c r="D1129" s="1">
        <v>42119</v>
      </c>
      <c r="E1129" t="s">
        <v>49</v>
      </c>
      <c r="F1129" t="s">
        <v>3084</v>
      </c>
      <c r="G1129" t="s">
        <v>3085</v>
      </c>
      <c r="H1129" t="s">
        <v>40</v>
      </c>
      <c r="I1129" t="s">
        <v>26</v>
      </c>
      <c r="J1129" t="s">
        <v>490</v>
      </c>
      <c r="K1129" t="s">
        <v>1260</v>
      </c>
      <c r="L1129">
        <v>31907</v>
      </c>
      <c r="M1129" t="s">
        <v>29</v>
      </c>
      <c r="N1129" t="s">
        <v>2551</v>
      </c>
      <c r="O1129" t="s">
        <v>70</v>
      </c>
      <c r="P1129" t="s">
        <v>71</v>
      </c>
      <c r="Q1129" t="s">
        <v>2552</v>
      </c>
      <c r="R1129">
        <v>287.97000000000003</v>
      </c>
      <c r="S1129">
        <v>3</v>
      </c>
      <c r="T1129">
        <v>0</v>
      </c>
      <c r="U1129">
        <v>77.751900000000006</v>
      </c>
      <c r="V1129" t="str">
        <f t="shared" si="17"/>
        <v>Theresa Swint</v>
      </c>
      <c r="W1129">
        <f>Table2[Profit]/Table2[Sales]</f>
        <v>0.27</v>
      </c>
    </row>
    <row r="1130" spans="1:23" x14ac:dyDescent="0.25">
      <c r="A1130">
        <v>1129</v>
      </c>
      <c r="B1130" t="s">
        <v>5195</v>
      </c>
      <c r="C1130" s="1">
        <v>42309</v>
      </c>
      <c r="D1130" s="1">
        <v>42314</v>
      </c>
      <c r="E1130" t="s">
        <v>49</v>
      </c>
      <c r="F1130" t="s">
        <v>3530</v>
      </c>
      <c r="G1130" t="s">
        <v>3531</v>
      </c>
      <c r="H1130" t="s">
        <v>40</v>
      </c>
      <c r="I1130" t="s">
        <v>26</v>
      </c>
      <c r="J1130" t="s">
        <v>263</v>
      </c>
      <c r="K1130" t="s">
        <v>264</v>
      </c>
      <c r="L1130">
        <v>10009</v>
      </c>
      <c r="M1130" t="s">
        <v>145</v>
      </c>
      <c r="N1130" t="s">
        <v>1910</v>
      </c>
      <c r="O1130" t="s">
        <v>70</v>
      </c>
      <c r="P1130" t="s">
        <v>71</v>
      </c>
      <c r="Q1130" t="s">
        <v>1911</v>
      </c>
      <c r="R1130">
        <v>4.95</v>
      </c>
      <c r="S1130">
        <v>1</v>
      </c>
      <c r="T1130">
        <v>0</v>
      </c>
      <c r="U1130">
        <v>1.3365</v>
      </c>
      <c r="V1130" t="str">
        <f t="shared" si="17"/>
        <v>Quincy Jones</v>
      </c>
      <c r="W1130">
        <f>Table2[Profit]/Table2[Sales]</f>
        <v>0.27</v>
      </c>
    </row>
    <row r="1131" spans="1:23" x14ac:dyDescent="0.25">
      <c r="A1131">
        <v>1130</v>
      </c>
      <c r="B1131" t="s">
        <v>5196</v>
      </c>
      <c r="C1131" s="1">
        <v>43092</v>
      </c>
      <c r="D1131" s="1">
        <v>43096</v>
      </c>
      <c r="E1131" t="s">
        <v>49</v>
      </c>
      <c r="F1131" t="s">
        <v>4337</v>
      </c>
      <c r="G1131" t="s">
        <v>4338</v>
      </c>
      <c r="H1131" t="s">
        <v>40</v>
      </c>
      <c r="I1131" t="s">
        <v>26</v>
      </c>
      <c r="J1131" t="s">
        <v>3616</v>
      </c>
      <c r="K1131" t="s">
        <v>740</v>
      </c>
      <c r="L1131">
        <v>6457</v>
      </c>
      <c r="M1131" t="s">
        <v>145</v>
      </c>
      <c r="N1131" t="s">
        <v>331</v>
      </c>
      <c r="O1131" t="s">
        <v>31</v>
      </c>
      <c r="P1131" t="s">
        <v>64</v>
      </c>
      <c r="Q1131" t="s">
        <v>332</v>
      </c>
      <c r="R1131">
        <v>181.95</v>
      </c>
      <c r="S1131">
        <v>3</v>
      </c>
      <c r="T1131">
        <v>0</v>
      </c>
      <c r="U1131">
        <v>38.209499999999998</v>
      </c>
      <c r="V1131" t="str">
        <f t="shared" si="17"/>
        <v>Filia McAdams</v>
      </c>
      <c r="W1131">
        <f>Table2[Profit]/Table2[Sales]</f>
        <v>0.21</v>
      </c>
    </row>
    <row r="1132" spans="1:23" x14ac:dyDescent="0.25">
      <c r="A1132">
        <v>1131</v>
      </c>
      <c r="B1132" t="s">
        <v>5197</v>
      </c>
      <c r="C1132" s="1">
        <v>42309</v>
      </c>
      <c r="D1132" s="1">
        <v>42313</v>
      </c>
      <c r="E1132" t="s">
        <v>49</v>
      </c>
      <c r="F1132" t="s">
        <v>881</v>
      </c>
      <c r="G1132" t="s">
        <v>882</v>
      </c>
      <c r="H1132" t="s">
        <v>25</v>
      </c>
      <c r="I1132" t="s">
        <v>26</v>
      </c>
      <c r="J1132" t="s">
        <v>263</v>
      </c>
      <c r="K1132" t="s">
        <v>264</v>
      </c>
      <c r="L1132">
        <v>10011</v>
      </c>
      <c r="M1132" t="s">
        <v>145</v>
      </c>
      <c r="N1132" t="s">
        <v>3584</v>
      </c>
      <c r="O1132" t="s">
        <v>45</v>
      </c>
      <c r="P1132" t="s">
        <v>89</v>
      </c>
      <c r="Q1132" t="s">
        <v>3585</v>
      </c>
      <c r="R1132">
        <v>13.52</v>
      </c>
      <c r="S1132">
        <v>4</v>
      </c>
      <c r="T1132">
        <v>0</v>
      </c>
      <c r="U1132">
        <v>6.2191999999999998</v>
      </c>
      <c r="V1132" t="str">
        <f t="shared" si="17"/>
        <v>Valerie Dominguez</v>
      </c>
      <c r="W1132">
        <f>Table2[Profit]/Table2[Sales]</f>
        <v>0.46</v>
      </c>
    </row>
    <row r="1133" spans="1:23" x14ac:dyDescent="0.25">
      <c r="A1133">
        <v>1132</v>
      </c>
      <c r="B1133" t="s">
        <v>5200</v>
      </c>
      <c r="C1133" s="1">
        <v>41957</v>
      </c>
      <c r="D1133" s="1">
        <v>41961</v>
      </c>
      <c r="E1133" t="s">
        <v>49</v>
      </c>
      <c r="F1133" t="s">
        <v>1246</v>
      </c>
      <c r="G1133" t="s">
        <v>1247</v>
      </c>
      <c r="H1133" t="s">
        <v>25</v>
      </c>
      <c r="I1133" t="s">
        <v>26</v>
      </c>
      <c r="J1133" t="s">
        <v>5201</v>
      </c>
      <c r="K1133" t="s">
        <v>235</v>
      </c>
      <c r="L1133">
        <v>48640</v>
      </c>
      <c r="M1133" t="s">
        <v>104</v>
      </c>
      <c r="N1133" t="s">
        <v>107</v>
      </c>
      <c r="O1133" t="s">
        <v>45</v>
      </c>
      <c r="P1133" t="s">
        <v>74</v>
      </c>
      <c r="Q1133" t="s">
        <v>108</v>
      </c>
      <c r="R1133">
        <v>12.72</v>
      </c>
      <c r="S1133">
        <v>3</v>
      </c>
      <c r="T1133">
        <v>0</v>
      </c>
      <c r="U1133">
        <v>6.36</v>
      </c>
      <c r="V1133" t="str">
        <f t="shared" si="17"/>
        <v>Jeremy Lonsdale</v>
      </c>
      <c r="W1133">
        <f>Table2[Profit]/Table2[Sales]</f>
        <v>0.5</v>
      </c>
    </row>
    <row r="1134" spans="1:23" x14ac:dyDescent="0.25">
      <c r="A1134">
        <v>1133</v>
      </c>
      <c r="B1134" t="s">
        <v>5202</v>
      </c>
      <c r="C1134" s="1">
        <v>42386</v>
      </c>
      <c r="D1134" s="1">
        <v>42390</v>
      </c>
      <c r="E1134" t="s">
        <v>49</v>
      </c>
      <c r="F1134" t="s">
        <v>3198</v>
      </c>
      <c r="G1134" t="s">
        <v>3199</v>
      </c>
      <c r="H1134" t="s">
        <v>40</v>
      </c>
      <c r="I1134" t="s">
        <v>26</v>
      </c>
      <c r="J1134" t="s">
        <v>490</v>
      </c>
      <c r="K1134" t="s">
        <v>1260</v>
      </c>
      <c r="L1134">
        <v>31907</v>
      </c>
      <c r="M1134" t="s">
        <v>29</v>
      </c>
      <c r="N1134" t="s">
        <v>2113</v>
      </c>
      <c r="O1134" t="s">
        <v>70</v>
      </c>
      <c r="P1134" t="s">
        <v>158</v>
      </c>
      <c r="Q1134" t="s">
        <v>2114</v>
      </c>
      <c r="R1134">
        <v>316</v>
      </c>
      <c r="S1134">
        <v>4</v>
      </c>
      <c r="T1134">
        <v>0</v>
      </c>
      <c r="U1134">
        <v>31.6</v>
      </c>
      <c r="V1134" t="str">
        <f t="shared" si="17"/>
        <v>Dionis Lloyd</v>
      </c>
      <c r="W1134">
        <f>Table2[Profit]/Table2[Sales]</f>
        <v>0.1</v>
      </c>
    </row>
    <row r="1135" spans="1:23" x14ac:dyDescent="0.25">
      <c r="A1135">
        <v>1134</v>
      </c>
      <c r="B1135" t="s">
        <v>5203</v>
      </c>
      <c r="C1135" s="1">
        <v>42995</v>
      </c>
      <c r="D1135" s="1">
        <v>43000</v>
      </c>
      <c r="E1135" t="s">
        <v>22</v>
      </c>
      <c r="F1135" t="s">
        <v>2037</v>
      </c>
      <c r="G1135" t="s">
        <v>2038</v>
      </c>
      <c r="H1135" t="s">
        <v>101</v>
      </c>
      <c r="I1135" t="s">
        <v>26</v>
      </c>
      <c r="J1135" t="s">
        <v>3203</v>
      </c>
      <c r="K1135" t="s">
        <v>1260</v>
      </c>
      <c r="L1135">
        <v>30076</v>
      </c>
      <c r="M1135" t="s">
        <v>29</v>
      </c>
      <c r="N1135" t="s">
        <v>1268</v>
      </c>
      <c r="O1135" t="s">
        <v>31</v>
      </c>
      <c r="P1135" t="s">
        <v>35</v>
      </c>
      <c r="Q1135" t="s">
        <v>1269</v>
      </c>
      <c r="R1135">
        <v>723.92</v>
      </c>
      <c r="S1135">
        <v>4</v>
      </c>
      <c r="T1135">
        <v>0</v>
      </c>
      <c r="U1135">
        <v>188.2192</v>
      </c>
      <c r="V1135" t="str">
        <f t="shared" si="17"/>
        <v>Meg O'Connel</v>
      </c>
      <c r="W1135">
        <f>Table2[Profit]/Table2[Sales]</f>
        <v>0.26</v>
      </c>
    </row>
    <row r="1136" spans="1:23" x14ac:dyDescent="0.25">
      <c r="A1136">
        <v>1135</v>
      </c>
      <c r="B1136" t="s">
        <v>5204</v>
      </c>
      <c r="C1136" s="1">
        <v>42727</v>
      </c>
      <c r="D1136" s="1">
        <v>42728</v>
      </c>
      <c r="E1136" t="s">
        <v>185</v>
      </c>
      <c r="F1136" t="s">
        <v>1123</v>
      </c>
      <c r="G1136" t="s">
        <v>1124</v>
      </c>
      <c r="H1136" t="s">
        <v>40</v>
      </c>
      <c r="I1136" t="s">
        <v>26</v>
      </c>
      <c r="J1136" t="s">
        <v>296</v>
      </c>
      <c r="K1136" t="s">
        <v>208</v>
      </c>
      <c r="L1136">
        <v>60623</v>
      </c>
      <c r="M1136" t="s">
        <v>104</v>
      </c>
      <c r="N1136" t="s">
        <v>2746</v>
      </c>
      <c r="O1136" t="s">
        <v>31</v>
      </c>
      <c r="P1136" t="s">
        <v>32</v>
      </c>
      <c r="Q1136" t="s">
        <v>2747</v>
      </c>
      <c r="R1136">
        <v>141.37200000000001</v>
      </c>
      <c r="S1136">
        <v>2</v>
      </c>
      <c r="T1136">
        <v>0.3</v>
      </c>
      <c r="U1136">
        <v>-14.1372</v>
      </c>
      <c r="V1136" t="str">
        <f t="shared" si="17"/>
        <v>Ben Peterman</v>
      </c>
      <c r="W1136">
        <f>Table2[Profit]/Table2[Sales]</f>
        <v>-9.9999999999999992E-2</v>
      </c>
    </row>
    <row r="1137" spans="1:23" x14ac:dyDescent="0.25">
      <c r="A1137">
        <v>1136</v>
      </c>
      <c r="B1137" t="s">
        <v>5205</v>
      </c>
      <c r="C1137" s="1">
        <v>42222</v>
      </c>
      <c r="D1137" s="1">
        <v>42224</v>
      </c>
      <c r="E1137" t="s">
        <v>185</v>
      </c>
      <c r="F1137" t="s">
        <v>835</v>
      </c>
      <c r="G1137" t="s">
        <v>836</v>
      </c>
      <c r="H1137" t="s">
        <v>40</v>
      </c>
      <c r="I1137" t="s">
        <v>26</v>
      </c>
      <c r="J1137" t="s">
        <v>181</v>
      </c>
      <c r="K1137" t="s">
        <v>103</v>
      </c>
      <c r="L1137">
        <v>77041</v>
      </c>
      <c r="M1137" t="s">
        <v>104</v>
      </c>
      <c r="N1137" t="s">
        <v>2901</v>
      </c>
      <c r="O1137" t="s">
        <v>45</v>
      </c>
      <c r="P1137" t="s">
        <v>89</v>
      </c>
      <c r="Q1137" t="s">
        <v>2902</v>
      </c>
      <c r="R1137">
        <v>27.216000000000001</v>
      </c>
      <c r="S1137">
        <v>3</v>
      </c>
      <c r="T1137">
        <v>0.2</v>
      </c>
      <c r="U1137">
        <v>9.8658000000000001</v>
      </c>
      <c r="V1137" t="str">
        <f t="shared" si="17"/>
        <v>Michael Stewart</v>
      </c>
      <c r="W1137">
        <f>Table2[Profit]/Table2[Sales]</f>
        <v>0.36249999999999999</v>
      </c>
    </row>
    <row r="1138" spans="1:23" x14ac:dyDescent="0.25">
      <c r="A1138">
        <v>1137</v>
      </c>
      <c r="B1138" t="s">
        <v>5206</v>
      </c>
      <c r="C1138" s="1">
        <v>43044</v>
      </c>
      <c r="D1138" s="1">
        <v>43048</v>
      </c>
      <c r="E1138" t="s">
        <v>49</v>
      </c>
      <c r="F1138" t="s">
        <v>5207</v>
      </c>
      <c r="G1138" t="s">
        <v>5208</v>
      </c>
      <c r="H1138" t="s">
        <v>25</v>
      </c>
      <c r="I1138" t="s">
        <v>26</v>
      </c>
      <c r="J1138" t="s">
        <v>263</v>
      </c>
      <c r="K1138" t="s">
        <v>264</v>
      </c>
      <c r="L1138">
        <v>10009</v>
      </c>
      <c r="M1138" t="s">
        <v>145</v>
      </c>
      <c r="N1138" t="s">
        <v>1821</v>
      </c>
      <c r="O1138" t="s">
        <v>70</v>
      </c>
      <c r="P1138" t="s">
        <v>158</v>
      </c>
      <c r="Q1138" t="s">
        <v>1822</v>
      </c>
      <c r="R1138">
        <v>390.75</v>
      </c>
      <c r="S1138">
        <v>5</v>
      </c>
      <c r="T1138">
        <v>0</v>
      </c>
      <c r="U1138">
        <v>171.93</v>
      </c>
      <c r="V1138" t="str">
        <f t="shared" si="17"/>
        <v>Susan Vittorini</v>
      </c>
      <c r="W1138">
        <f>Table2[Profit]/Table2[Sales]</f>
        <v>0.44</v>
      </c>
    </row>
    <row r="1139" spans="1:23" x14ac:dyDescent="0.25">
      <c r="A1139">
        <v>1138</v>
      </c>
      <c r="B1139" t="s">
        <v>5209</v>
      </c>
      <c r="C1139" s="1">
        <v>42897</v>
      </c>
      <c r="D1139" s="1">
        <v>42898</v>
      </c>
      <c r="E1139" t="s">
        <v>185</v>
      </c>
      <c r="F1139" t="s">
        <v>5210</v>
      </c>
      <c r="G1139" t="s">
        <v>5211</v>
      </c>
      <c r="H1139" t="s">
        <v>101</v>
      </c>
      <c r="I1139" t="s">
        <v>26</v>
      </c>
      <c r="J1139" t="s">
        <v>1374</v>
      </c>
      <c r="K1139" t="s">
        <v>303</v>
      </c>
      <c r="L1139">
        <v>85345</v>
      </c>
      <c r="M1139" t="s">
        <v>43</v>
      </c>
      <c r="N1139" t="s">
        <v>2524</v>
      </c>
      <c r="O1139" t="s">
        <v>31</v>
      </c>
      <c r="P1139" t="s">
        <v>35</v>
      </c>
      <c r="Q1139" t="s">
        <v>2525</v>
      </c>
      <c r="R1139">
        <v>280.79199999999997</v>
      </c>
      <c r="S1139">
        <v>1</v>
      </c>
      <c r="T1139">
        <v>0.2</v>
      </c>
      <c r="U1139">
        <v>35.098999999999997</v>
      </c>
      <c r="V1139" t="str">
        <f t="shared" si="17"/>
        <v>Becky Castell</v>
      </c>
      <c r="W1139">
        <f>Table2[Profit]/Table2[Sales]</f>
        <v>0.125</v>
      </c>
    </row>
    <row r="1140" spans="1:23" x14ac:dyDescent="0.25">
      <c r="A1140">
        <v>1139</v>
      </c>
      <c r="B1140" t="s">
        <v>5212</v>
      </c>
      <c r="C1140" s="1">
        <v>42936</v>
      </c>
      <c r="D1140" s="1">
        <v>42941</v>
      </c>
      <c r="E1140" t="s">
        <v>49</v>
      </c>
      <c r="F1140" t="s">
        <v>5213</v>
      </c>
      <c r="G1140" t="s">
        <v>5214</v>
      </c>
      <c r="H1140" t="s">
        <v>40</v>
      </c>
      <c r="I1140" t="s">
        <v>26</v>
      </c>
      <c r="J1140" t="s">
        <v>5215</v>
      </c>
      <c r="K1140" t="s">
        <v>5216</v>
      </c>
      <c r="L1140">
        <v>57103</v>
      </c>
      <c r="M1140" t="s">
        <v>104</v>
      </c>
      <c r="N1140" t="s">
        <v>2583</v>
      </c>
      <c r="O1140" t="s">
        <v>45</v>
      </c>
      <c r="P1140" t="s">
        <v>46</v>
      </c>
      <c r="Q1140" t="s">
        <v>2584</v>
      </c>
      <c r="R1140">
        <v>14.62</v>
      </c>
      <c r="S1140">
        <v>2</v>
      </c>
      <c r="T1140">
        <v>0</v>
      </c>
      <c r="U1140">
        <v>6.8714000000000004</v>
      </c>
      <c r="V1140" t="str">
        <f t="shared" si="17"/>
        <v>Elizabeth Moffitt</v>
      </c>
      <c r="W1140">
        <f>Table2[Profit]/Table2[Sales]</f>
        <v>0.47000000000000003</v>
      </c>
    </row>
    <row r="1141" spans="1:23" x14ac:dyDescent="0.25">
      <c r="A1141">
        <v>1140</v>
      </c>
      <c r="B1141" t="s">
        <v>5219</v>
      </c>
      <c r="C1141" s="1">
        <v>42361</v>
      </c>
      <c r="D1141" s="1">
        <v>42364</v>
      </c>
      <c r="E1141" t="s">
        <v>185</v>
      </c>
      <c r="F1141" t="s">
        <v>1818</v>
      </c>
      <c r="G1141" t="s">
        <v>1819</v>
      </c>
      <c r="H1141" t="s">
        <v>25</v>
      </c>
      <c r="I1141" t="s">
        <v>26</v>
      </c>
      <c r="J1141" t="s">
        <v>1450</v>
      </c>
      <c r="K1141" t="s">
        <v>312</v>
      </c>
      <c r="L1141">
        <v>23223</v>
      </c>
      <c r="M1141" t="s">
        <v>29</v>
      </c>
      <c r="N1141" t="s">
        <v>2044</v>
      </c>
      <c r="O1141" t="s">
        <v>45</v>
      </c>
      <c r="P1141" t="s">
        <v>77</v>
      </c>
      <c r="Q1141" t="s">
        <v>2045</v>
      </c>
      <c r="R1141">
        <v>194.32</v>
      </c>
      <c r="S1141">
        <v>4</v>
      </c>
      <c r="T1141">
        <v>0</v>
      </c>
      <c r="U1141">
        <v>56.352800000000002</v>
      </c>
      <c r="V1141" t="str">
        <f t="shared" si="17"/>
        <v>Bradley Drucker</v>
      </c>
      <c r="W1141">
        <f>Table2[Profit]/Table2[Sales]</f>
        <v>0.29000000000000004</v>
      </c>
    </row>
    <row r="1142" spans="1:23" x14ac:dyDescent="0.25">
      <c r="A1142">
        <v>1141</v>
      </c>
      <c r="B1142" t="s">
        <v>5220</v>
      </c>
      <c r="C1142" s="1">
        <v>42814</v>
      </c>
      <c r="D1142" s="1">
        <v>42818</v>
      </c>
      <c r="E1142" t="s">
        <v>49</v>
      </c>
      <c r="F1142" t="s">
        <v>2476</v>
      </c>
      <c r="G1142" t="s">
        <v>2477</v>
      </c>
      <c r="H1142" t="s">
        <v>40</v>
      </c>
      <c r="I1142" t="s">
        <v>26</v>
      </c>
      <c r="J1142" t="s">
        <v>94</v>
      </c>
      <c r="K1142" t="s">
        <v>95</v>
      </c>
      <c r="L1142">
        <v>98115</v>
      </c>
      <c r="M1142" t="s">
        <v>43</v>
      </c>
      <c r="N1142" t="s">
        <v>5221</v>
      </c>
      <c r="O1142" t="s">
        <v>70</v>
      </c>
      <c r="P1142" t="s">
        <v>158</v>
      </c>
      <c r="Q1142" t="s">
        <v>5222</v>
      </c>
      <c r="R1142">
        <v>265.93</v>
      </c>
      <c r="S1142">
        <v>7</v>
      </c>
      <c r="T1142">
        <v>0</v>
      </c>
      <c r="U1142">
        <v>63.8232</v>
      </c>
      <c r="V1142" t="str">
        <f t="shared" si="17"/>
        <v>Helen Wasserman</v>
      </c>
      <c r="W1142">
        <f>Table2[Profit]/Table2[Sales]</f>
        <v>0.24</v>
      </c>
    </row>
    <row r="1143" spans="1:23" x14ac:dyDescent="0.25">
      <c r="A1143">
        <v>1142</v>
      </c>
      <c r="B1143" t="s">
        <v>5223</v>
      </c>
      <c r="C1143" s="1">
        <v>42369</v>
      </c>
      <c r="D1143" s="1">
        <v>42372</v>
      </c>
      <c r="E1143" t="s">
        <v>22</v>
      </c>
      <c r="F1143" t="s">
        <v>2823</v>
      </c>
      <c r="G1143" t="s">
        <v>2824</v>
      </c>
      <c r="H1143" t="s">
        <v>40</v>
      </c>
      <c r="I1143" t="s">
        <v>26</v>
      </c>
      <c r="J1143" t="s">
        <v>27</v>
      </c>
      <c r="K1143" t="s">
        <v>28</v>
      </c>
      <c r="L1143">
        <v>42420</v>
      </c>
      <c r="M1143" t="s">
        <v>29</v>
      </c>
      <c r="N1143" t="s">
        <v>1382</v>
      </c>
      <c r="O1143" t="s">
        <v>45</v>
      </c>
      <c r="P1143" t="s">
        <v>74</v>
      </c>
      <c r="Q1143" t="s">
        <v>1383</v>
      </c>
      <c r="R1143">
        <v>94.74</v>
      </c>
      <c r="S1143">
        <v>3</v>
      </c>
      <c r="T1143">
        <v>0</v>
      </c>
      <c r="U1143">
        <v>44.527799999999999</v>
      </c>
      <c r="V1143" t="str">
        <f t="shared" si="17"/>
        <v>Karen Carlisle</v>
      </c>
      <c r="W1143">
        <f>Table2[Profit]/Table2[Sales]</f>
        <v>0.47000000000000003</v>
      </c>
    </row>
    <row r="1144" spans="1:23" x14ac:dyDescent="0.25">
      <c r="A1144">
        <v>1143</v>
      </c>
      <c r="B1144" t="s">
        <v>5224</v>
      </c>
      <c r="C1144" s="1">
        <v>42262</v>
      </c>
      <c r="D1144" s="1">
        <v>42266</v>
      </c>
      <c r="E1144" t="s">
        <v>22</v>
      </c>
      <c r="F1144" t="s">
        <v>5225</v>
      </c>
      <c r="G1144" t="s">
        <v>5226</v>
      </c>
      <c r="H1144" t="s">
        <v>40</v>
      </c>
      <c r="I1144" t="s">
        <v>26</v>
      </c>
      <c r="J1144" t="s">
        <v>263</v>
      </c>
      <c r="K1144" t="s">
        <v>264</v>
      </c>
      <c r="L1144">
        <v>10035</v>
      </c>
      <c r="M1144" t="s">
        <v>145</v>
      </c>
      <c r="N1144" t="s">
        <v>4701</v>
      </c>
      <c r="O1144" t="s">
        <v>45</v>
      </c>
      <c r="P1144" t="s">
        <v>74</v>
      </c>
      <c r="Q1144" t="s">
        <v>4702</v>
      </c>
      <c r="R1144">
        <v>79.872</v>
      </c>
      <c r="S1144">
        <v>3</v>
      </c>
      <c r="T1144">
        <v>0.2</v>
      </c>
      <c r="U1144">
        <v>29.952000000000002</v>
      </c>
      <c r="V1144" t="str">
        <f t="shared" si="17"/>
        <v>Brendan Murry</v>
      </c>
      <c r="W1144">
        <f>Table2[Profit]/Table2[Sales]</f>
        <v>0.375</v>
      </c>
    </row>
    <row r="1145" spans="1:23" x14ac:dyDescent="0.25">
      <c r="A1145">
        <v>1144</v>
      </c>
      <c r="B1145" t="s">
        <v>5227</v>
      </c>
      <c r="C1145" s="1">
        <v>43001</v>
      </c>
      <c r="D1145" s="1">
        <v>43004</v>
      </c>
      <c r="E1145" t="s">
        <v>185</v>
      </c>
      <c r="F1145" t="s">
        <v>5228</v>
      </c>
      <c r="G1145" t="s">
        <v>5229</v>
      </c>
      <c r="H1145" t="s">
        <v>101</v>
      </c>
      <c r="I1145" t="s">
        <v>26</v>
      </c>
      <c r="J1145" t="s">
        <v>5230</v>
      </c>
      <c r="K1145" t="s">
        <v>450</v>
      </c>
      <c r="L1145">
        <v>80525</v>
      </c>
      <c r="M1145" t="s">
        <v>43</v>
      </c>
      <c r="N1145" t="s">
        <v>5231</v>
      </c>
      <c r="O1145" t="s">
        <v>45</v>
      </c>
      <c r="P1145" t="s">
        <v>170</v>
      </c>
      <c r="Q1145" t="s">
        <v>5232</v>
      </c>
      <c r="R1145">
        <v>14.352</v>
      </c>
      <c r="S1145">
        <v>3</v>
      </c>
      <c r="T1145">
        <v>0.2</v>
      </c>
      <c r="U1145">
        <v>5.2026000000000003</v>
      </c>
      <c r="V1145" t="str">
        <f t="shared" si="17"/>
        <v>Kristina Nunn</v>
      </c>
      <c r="W1145">
        <f>Table2[Profit]/Table2[Sales]</f>
        <v>0.36249999999999999</v>
      </c>
    </row>
    <row r="1146" spans="1:23" x14ac:dyDescent="0.25">
      <c r="A1146">
        <v>1145</v>
      </c>
      <c r="B1146" t="s">
        <v>5233</v>
      </c>
      <c r="C1146" s="1">
        <v>42363</v>
      </c>
      <c r="D1146" s="1">
        <v>42367</v>
      </c>
      <c r="E1146" t="s">
        <v>49</v>
      </c>
      <c r="F1146" t="s">
        <v>2079</v>
      </c>
      <c r="G1146" t="s">
        <v>2080</v>
      </c>
      <c r="H1146" t="s">
        <v>40</v>
      </c>
      <c r="I1146" t="s">
        <v>26</v>
      </c>
      <c r="J1146" t="s">
        <v>143</v>
      </c>
      <c r="K1146" t="s">
        <v>144</v>
      </c>
      <c r="L1146">
        <v>19140</v>
      </c>
      <c r="M1146" t="s">
        <v>145</v>
      </c>
      <c r="N1146" t="s">
        <v>5234</v>
      </c>
      <c r="O1146" t="s">
        <v>31</v>
      </c>
      <c r="P1146" t="s">
        <v>64</v>
      </c>
      <c r="Q1146" t="s">
        <v>5235</v>
      </c>
      <c r="R1146">
        <v>547.13599999999997</v>
      </c>
      <c r="S1146">
        <v>4</v>
      </c>
      <c r="T1146">
        <v>0.2</v>
      </c>
      <c r="U1146">
        <v>-68.391999999999996</v>
      </c>
      <c r="V1146" t="str">
        <f t="shared" si="17"/>
        <v>Justin Deggeller</v>
      </c>
      <c r="W1146">
        <f>Table2[Profit]/Table2[Sales]</f>
        <v>-0.125</v>
      </c>
    </row>
    <row r="1147" spans="1:23" x14ac:dyDescent="0.25">
      <c r="A1147">
        <v>1146</v>
      </c>
      <c r="B1147" t="s">
        <v>5236</v>
      </c>
      <c r="C1147" s="1">
        <v>42637</v>
      </c>
      <c r="D1147" s="1">
        <v>42639</v>
      </c>
      <c r="E1147" t="s">
        <v>22</v>
      </c>
      <c r="F1147" t="s">
        <v>1334</v>
      </c>
      <c r="G1147" t="s">
        <v>1335</v>
      </c>
      <c r="H1147" t="s">
        <v>40</v>
      </c>
      <c r="I1147" t="s">
        <v>26</v>
      </c>
      <c r="J1147" t="s">
        <v>41</v>
      </c>
      <c r="K1147" t="s">
        <v>42</v>
      </c>
      <c r="L1147">
        <v>90004</v>
      </c>
      <c r="M1147" t="s">
        <v>43</v>
      </c>
      <c r="N1147" t="s">
        <v>826</v>
      </c>
      <c r="O1147" t="s">
        <v>45</v>
      </c>
      <c r="P1147" t="s">
        <v>58</v>
      </c>
      <c r="Q1147" t="s">
        <v>827</v>
      </c>
      <c r="R1147">
        <v>41.96</v>
      </c>
      <c r="S1147">
        <v>2</v>
      </c>
      <c r="T1147">
        <v>0</v>
      </c>
      <c r="U1147">
        <v>2.9371999999999998</v>
      </c>
      <c r="V1147" t="str">
        <f t="shared" si="17"/>
        <v>Laura Armstrong</v>
      </c>
      <c r="W1147">
        <f>Table2[Profit]/Table2[Sales]</f>
        <v>6.9999999999999993E-2</v>
      </c>
    </row>
    <row r="1148" spans="1:23" x14ac:dyDescent="0.25">
      <c r="A1148">
        <v>1147</v>
      </c>
      <c r="B1148" t="s">
        <v>5239</v>
      </c>
      <c r="C1148" s="1">
        <v>42815</v>
      </c>
      <c r="D1148" s="1">
        <v>42819</v>
      </c>
      <c r="E1148" t="s">
        <v>49</v>
      </c>
      <c r="F1148" t="s">
        <v>2898</v>
      </c>
      <c r="G1148" t="s">
        <v>2899</v>
      </c>
      <c r="H1148" t="s">
        <v>25</v>
      </c>
      <c r="I1148" t="s">
        <v>26</v>
      </c>
      <c r="J1148" t="s">
        <v>4182</v>
      </c>
      <c r="K1148" t="s">
        <v>251</v>
      </c>
      <c r="L1148">
        <v>47905</v>
      </c>
      <c r="M1148" t="s">
        <v>104</v>
      </c>
      <c r="N1148" t="s">
        <v>1600</v>
      </c>
      <c r="O1148" t="s">
        <v>45</v>
      </c>
      <c r="P1148" t="s">
        <v>89</v>
      </c>
      <c r="Q1148" t="s">
        <v>1601</v>
      </c>
      <c r="R1148">
        <v>277.39999999999998</v>
      </c>
      <c r="S1148">
        <v>5</v>
      </c>
      <c r="T1148">
        <v>0</v>
      </c>
      <c r="U1148">
        <v>133.15199999999999</v>
      </c>
      <c r="V1148" t="str">
        <f t="shared" si="17"/>
        <v>Robert Waldorf</v>
      </c>
      <c r="W1148">
        <f>Table2[Profit]/Table2[Sales]</f>
        <v>0.48</v>
      </c>
    </row>
    <row r="1149" spans="1:23" x14ac:dyDescent="0.25">
      <c r="A1149">
        <v>1148</v>
      </c>
      <c r="B1149" t="s">
        <v>5240</v>
      </c>
      <c r="C1149" s="1">
        <v>41912</v>
      </c>
      <c r="D1149" s="1">
        <v>41916</v>
      </c>
      <c r="E1149" t="s">
        <v>49</v>
      </c>
      <c r="F1149" t="s">
        <v>5241</v>
      </c>
      <c r="G1149" t="s">
        <v>5242</v>
      </c>
      <c r="H1149" t="s">
        <v>25</v>
      </c>
      <c r="I1149" t="s">
        <v>26</v>
      </c>
      <c r="J1149" t="s">
        <v>5243</v>
      </c>
      <c r="K1149" t="s">
        <v>328</v>
      </c>
      <c r="L1149">
        <v>37042</v>
      </c>
      <c r="M1149" t="s">
        <v>29</v>
      </c>
      <c r="N1149" t="s">
        <v>1320</v>
      </c>
      <c r="O1149" t="s">
        <v>45</v>
      </c>
      <c r="P1149" t="s">
        <v>77</v>
      </c>
      <c r="Q1149" t="s">
        <v>1321</v>
      </c>
      <c r="R1149">
        <v>69.215999999999994</v>
      </c>
      <c r="S1149">
        <v>6</v>
      </c>
      <c r="T1149">
        <v>0.2</v>
      </c>
      <c r="U1149">
        <v>11.2476</v>
      </c>
      <c r="V1149" t="str">
        <f t="shared" si="17"/>
        <v>Kelly Williams</v>
      </c>
      <c r="W1149">
        <f>Table2[Profit]/Table2[Sales]</f>
        <v>0.16250000000000001</v>
      </c>
    </row>
    <row r="1150" spans="1:23" x14ac:dyDescent="0.25">
      <c r="A1150">
        <v>1149</v>
      </c>
      <c r="B1150" t="s">
        <v>5244</v>
      </c>
      <c r="C1150" s="1">
        <v>43079</v>
      </c>
      <c r="D1150" s="1">
        <v>43079</v>
      </c>
      <c r="E1150" t="s">
        <v>1278</v>
      </c>
      <c r="F1150" t="s">
        <v>3456</v>
      </c>
      <c r="G1150" t="s">
        <v>3457</v>
      </c>
      <c r="H1150" t="s">
        <v>25</v>
      </c>
      <c r="I1150" t="s">
        <v>26</v>
      </c>
      <c r="J1150" t="s">
        <v>739</v>
      </c>
      <c r="K1150" t="s">
        <v>740</v>
      </c>
      <c r="L1150">
        <v>6824</v>
      </c>
      <c r="M1150" t="s">
        <v>145</v>
      </c>
      <c r="N1150" t="s">
        <v>582</v>
      </c>
      <c r="O1150" t="s">
        <v>45</v>
      </c>
      <c r="P1150" t="s">
        <v>170</v>
      </c>
      <c r="Q1150" t="s">
        <v>583</v>
      </c>
      <c r="R1150">
        <v>10.86</v>
      </c>
      <c r="S1150">
        <v>3</v>
      </c>
      <c r="T1150">
        <v>0</v>
      </c>
      <c r="U1150">
        <v>5.1041999999999996</v>
      </c>
      <c r="V1150" t="str">
        <f t="shared" si="17"/>
        <v>Chris Cortes</v>
      </c>
      <c r="W1150">
        <f>Table2[Profit]/Table2[Sales]</f>
        <v>0.47</v>
      </c>
    </row>
    <row r="1151" spans="1:23" x14ac:dyDescent="0.25">
      <c r="A1151">
        <v>1150</v>
      </c>
      <c r="B1151" t="s">
        <v>5247</v>
      </c>
      <c r="C1151" s="1">
        <v>41874</v>
      </c>
      <c r="D1151" s="1">
        <v>41874</v>
      </c>
      <c r="E1151" t="s">
        <v>1278</v>
      </c>
      <c r="F1151" t="s">
        <v>2464</v>
      </c>
      <c r="G1151" t="s">
        <v>2465</v>
      </c>
      <c r="H1151" t="s">
        <v>25</v>
      </c>
      <c r="I1151" t="s">
        <v>26</v>
      </c>
      <c r="J1151" t="s">
        <v>263</v>
      </c>
      <c r="K1151" t="s">
        <v>264</v>
      </c>
      <c r="L1151">
        <v>10009</v>
      </c>
      <c r="M1151" t="s">
        <v>145</v>
      </c>
      <c r="N1151" t="s">
        <v>5248</v>
      </c>
      <c r="O1151" t="s">
        <v>45</v>
      </c>
      <c r="P1151" t="s">
        <v>89</v>
      </c>
      <c r="Q1151" t="s">
        <v>5249</v>
      </c>
      <c r="R1151">
        <v>25.92</v>
      </c>
      <c r="S1151">
        <v>4</v>
      </c>
      <c r="T1151">
        <v>0</v>
      </c>
      <c r="U1151">
        <v>12.441599999999999</v>
      </c>
      <c r="V1151" t="str">
        <f t="shared" si="17"/>
        <v>Rick Hansen</v>
      </c>
      <c r="W1151">
        <f>Table2[Profit]/Table2[Sales]</f>
        <v>0.47999999999999993</v>
      </c>
    </row>
    <row r="1152" spans="1:23" x14ac:dyDescent="0.25">
      <c r="A1152">
        <v>1151</v>
      </c>
      <c r="B1152" t="s">
        <v>5250</v>
      </c>
      <c r="C1152" s="1">
        <v>41870</v>
      </c>
      <c r="D1152" s="1">
        <v>41875</v>
      </c>
      <c r="E1152" t="s">
        <v>49</v>
      </c>
      <c r="F1152" t="s">
        <v>5171</v>
      </c>
      <c r="G1152" t="s">
        <v>5172</v>
      </c>
      <c r="H1152" t="s">
        <v>25</v>
      </c>
      <c r="I1152" t="s">
        <v>26</v>
      </c>
      <c r="J1152" t="s">
        <v>490</v>
      </c>
      <c r="K1152" t="s">
        <v>491</v>
      </c>
      <c r="L1152">
        <v>43229</v>
      </c>
      <c r="M1152" t="s">
        <v>145</v>
      </c>
      <c r="N1152" t="s">
        <v>395</v>
      </c>
      <c r="O1152" t="s">
        <v>45</v>
      </c>
      <c r="P1152" t="s">
        <v>67</v>
      </c>
      <c r="Q1152" t="s">
        <v>396</v>
      </c>
      <c r="R1152">
        <v>10.72</v>
      </c>
      <c r="S1152">
        <v>2</v>
      </c>
      <c r="T1152">
        <v>0.2</v>
      </c>
      <c r="U1152">
        <v>1.742</v>
      </c>
      <c r="V1152" t="str">
        <f t="shared" si="17"/>
        <v>Jim Karlsson</v>
      </c>
      <c r="W1152">
        <f>Table2[Profit]/Table2[Sales]</f>
        <v>0.16249999999999998</v>
      </c>
    </row>
    <row r="1153" spans="1:23" x14ac:dyDescent="0.25">
      <c r="A1153">
        <v>1152</v>
      </c>
      <c r="B1153" t="s">
        <v>5251</v>
      </c>
      <c r="C1153" s="1">
        <v>42684</v>
      </c>
      <c r="D1153" s="1">
        <v>42689</v>
      </c>
      <c r="E1153" t="s">
        <v>49</v>
      </c>
      <c r="F1153" t="s">
        <v>2371</v>
      </c>
      <c r="G1153" t="s">
        <v>2372</v>
      </c>
      <c r="H1153" t="s">
        <v>25</v>
      </c>
      <c r="I1153" t="s">
        <v>26</v>
      </c>
      <c r="J1153" t="s">
        <v>2064</v>
      </c>
      <c r="K1153" t="s">
        <v>1260</v>
      </c>
      <c r="L1153">
        <v>31088</v>
      </c>
      <c r="M1153" t="s">
        <v>29</v>
      </c>
      <c r="N1153" t="s">
        <v>3355</v>
      </c>
      <c r="O1153" t="s">
        <v>45</v>
      </c>
      <c r="P1153" t="s">
        <v>67</v>
      </c>
      <c r="Q1153" t="s">
        <v>3356</v>
      </c>
      <c r="R1153">
        <v>41.86</v>
      </c>
      <c r="S1153">
        <v>7</v>
      </c>
      <c r="T1153">
        <v>0</v>
      </c>
      <c r="U1153">
        <v>10.465</v>
      </c>
      <c r="V1153" t="str">
        <f t="shared" si="17"/>
        <v>Debra Catini</v>
      </c>
      <c r="W1153">
        <f>Table2[Profit]/Table2[Sales]</f>
        <v>0.25</v>
      </c>
    </row>
    <row r="1154" spans="1:23" x14ac:dyDescent="0.25">
      <c r="A1154">
        <v>1153</v>
      </c>
      <c r="B1154" t="s">
        <v>5252</v>
      </c>
      <c r="C1154" s="1">
        <v>42004</v>
      </c>
      <c r="D1154" s="1">
        <v>42007</v>
      </c>
      <c r="E1154" t="s">
        <v>185</v>
      </c>
      <c r="F1154" t="s">
        <v>388</v>
      </c>
      <c r="G1154" t="s">
        <v>389</v>
      </c>
      <c r="H1154" t="s">
        <v>101</v>
      </c>
      <c r="I1154" t="s">
        <v>26</v>
      </c>
      <c r="J1154" t="s">
        <v>606</v>
      </c>
      <c r="K1154" t="s">
        <v>1233</v>
      </c>
      <c r="L1154">
        <v>2038</v>
      </c>
      <c r="M1154" t="s">
        <v>145</v>
      </c>
      <c r="N1154" t="s">
        <v>5253</v>
      </c>
      <c r="O1154" t="s">
        <v>31</v>
      </c>
      <c r="P1154" t="s">
        <v>64</v>
      </c>
      <c r="Q1154" t="s">
        <v>5254</v>
      </c>
      <c r="R1154">
        <v>63.2</v>
      </c>
      <c r="S1154">
        <v>5</v>
      </c>
      <c r="T1154">
        <v>0</v>
      </c>
      <c r="U1154">
        <v>23.384</v>
      </c>
      <c r="V1154" t="str">
        <f t="shared" si="17"/>
        <v>Gary Mitchum</v>
      </c>
      <c r="W1154">
        <f>Table2[Profit]/Table2[Sales]</f>
        <v>0.37</v>
      </c>
    </row>
    <row r="1155" spans="1:23" x14ac:dyDescent="0.25">
      <c r="A1155">
        <v>1154</v>
      </c>
      <c r="B1155" t="s">
        <v>5255</v>
      </c>
      <c r="C1155" s="1">
        <v>41846</v>
      </c>
      <c r="D1155" s="1">
        <v>41850</v>
      </c>
      <c r="E1155" t="s">
        <v>22</v>
      </c>
      <c r="F1155" t="s">
        <v>4008</v>
      </c>
      <c r="G1155" t="s">
        <v>4009</v>
      </c>
      <c r="H1155" t="s">
        <v>25</v>
      </c>
      <c r="I1155" t="s">
        <v>26</v>
      </c>
      <c r="J1155" t="s">
        <v>296</v>
      </c>
      <c r="K1155" t="s">
        <v>208</v>
      </c>
      <c r="L1155">
        <v>60623</v>
      </c>
      <c r="M1155" t="s">
        <v>104</v>
      </c>
      <c r="N1155" t="s">
        <v>954</v>
      </c>
      <c r="O1155" t="s">
        <v>45</v>
      </c>
      <c r="P1155" t="s">
        <v>58</v>
      </c>
      <c r="Q1155" t="s">
        <v>955</v>
      </c>
      <c r="R1155">
        <v>123.55200000000001</v>
      </c>
      <c r="S1155">
        <v>3</v>
      </c>
      <c r="T1155">
        <v>0.2</v>
      </c>
      <c r="U1155">
        <v>-29.343599999999999</v>
      </c>
      <c r="V1155" t="str">
        <f t="shared" ref="V1155:V1218" si="18">TRIM(G1155)</f>
        <v>Carl Ludwig</v>
      </c>
      <c r="W1155">
        <f>Table2[Profit]/Table2[Sales]</f>
        <v>-0.23749999999999999</v>
      </c>
    </row>
    <row r="1156" spans="1:23" x14ac:dyDescent="0.25">
      <c r="A1156">
        <v>1155</v>
      </c>
      <c r="B1156" t="s">
        <v>5256</v>
      </c>
      <c r="C1156" s="1">
        <v>42422</v>
      </c>
      <c r="D1156" s="1">
        <v>42428</v>
      </c>
      <c r="E1156" t="s">
        <v>49</v>
      </c>
      <c r="F1156" t="s">
        <v>3173</v>
      </c>
      <c r="G1156" t="s">
        <v>3174</v>
      </c>
      <c r="H1156" t="s">
        <v>101</v>
      </c>
      <c r="I1156" t="s">
        <v>26</v>
      </c>
      <c r="J1156" t="s">
        <v>2517</v>
      </c>
      <c r="K1156" t="s">
        <v>113</v>
      </c>
      <c r="L1156">
        <v>53209</v>
      </c>
      <c r="M1156" t="s">
        <v>104</v>
      </c>
      <c r="N1156" t="s">
        <v>5257</v>
      </c>
      <c r="O1156" t="s">
        <v>45</v>
      </c>
      <c r="P1156" t="s">
        <v>77</v>
      </c>
      <c r="Q1156" t="s">
        <v>5258</v>
      </c>
      <c r="R1156">
        <v>490.32</v>
      </c>
      <c r="S1156">
        <v>9</v>
      </c>
      <c r="T1156">
        <v>0</v>
      </c>
      <c r="U1156">
        <v>137.28960000000001</v>
      </c>
      <c r="V1156" t="str">
        <f t="shared" si="18"/>
        <v>Paul Van Hugh</v>
      </c>
      <c r="W1156">
        <f>Table2[Profit]/Table2[Sales]</f>
        <v>0.28000000000000003</v>
      </c>
    </row>
    <row r="1157" spans="1:23" x14ac:dyDescent="0.25">
      <c r="A1157">
        <v>1156</v>
      </c>
      <c r="B1157" t="s">
        <v>5259</v>
      </c>
      <c r="C1157" s="1">
        <v>42442</v>
      </c>
      <c r="D1157" s="1">
        <v>42447</v>
      </c>
      <c r="E1157" t="s">
        <v>49</v>
      </c>
      <c r="F1157" t="s">
        <v>2443</v>
      </c>
      <c r="G1157" t="s">
        <v>2444</v>
      </c>
      <c r="H1157" t="s">
        <v>25</v>
      </c>
      <c r="I1157" t="s">
        <v>26</v>
      </c>
      <c r="J1157" t="s">
        <v>671</v>
      </c>
      <c r="K1157" t="s">
        <v>103</v>
      </c>
      <c r="L1157">
        <v>78207</v>
      </c>
      <c r="M1157" t="s">
        <v>104</v>
      </c>
      <c r="N1157" t="s">
        <v>690</v>
      </c>
      <c r="O1157" t="s">
        <v>45</v>
      </c>
      <c r="P1157" t="s">
        <v>89</v>
      </c>
      <c r="Q1157" t="s">
        <v>5260</v>
      </c>
      <c r="R1157">
        <v>70.08</v>
      </c>
      <c r="S1157">
        <v>5</v>
      </c>
      <c r="T1157">
        <v>0.2</v>
      </c>
      <c r="U1157">
        <v>24.527999999999999</v>
      </c>
      <c r="V1157" t="str">
        <f t="shared" si="18"/>
        <v>Liz Thompson</v>
      </c>
      <c r="W1157">
        <f>Table2[Profit]/Table2[Sales]</f>
        <v>0.35</v>
      </c>
    </row>
    <row r="1158" spans="1:23" x14ac:dyDescent="0.25">
      <c r="A1158">
        <v>1157</v>
      </c>
      <c r="B1158" t="s">
        <v>5263</v>
      </c>
      <c r="C1158" s="1">
        <v>43071</v>
      </c>
      <c r="D1158" s="1">
        <v>43072</v>
      </c>
      <c r="E1158" t="s">
        <v>1278</v>
      </c>
      <c r="F1158" t="s">
        <v>749</v>
      </c>
      <c r="G1158" t="s">
        <v>750</v>
      </c>
      <c r="H1158" t="s">
        <v>40</v>
      </c>
      <c r="I1158" t="s">
        <v>26</v>
      </c>
      <c r="J1158" t="s">
        <v>41</v>
      </c>
      <c r="K1158" t="s">
        <v>42</v>
      </c>
      <c r="L1158">
        <v>90032</v>
      </c>
      <c r="M1158" t="s">
        <v>43</v>
      </c>
      <c r="N1158" t="s">
        <v>2395</v>
      </c>
      <c r="O1158" t="s">
        <v>45</v>
      </c>
      <c r="P1158" t="s">
        <v>74</v>
      </c>
      <c r="Q1158" t="s">
        <v>2396</v>
      </c>
      <c r="R1158">
        <v>9.0239999999999991</v>
      </c>
      <c r="S1158">
        <v>6</v>
      </c>
      <c r="T1158">
        <v>0.2</v>
      </c>
      <c r="U1158">
        <v>3.1583999999999999</v>
      </c>
      <c r="V1158" t="str">
        <f t="shared" si="18"/>
        <v>Alice McCarthy</v>
      </c>
      <c r="W1158">
        <f>Table2[Profit]/Table2[Sales]</f>
        <v>0.35000000000000003</v>
      </c>
    </row>
    <row r="1159" spans="1:23" x14ac:dyDescent="0.25">
      <c r="A1159">
        <v>1158</v>
      </c>
      <c r="B1159" t="s">
        <v>5266</v>
      </c>
      <c r="C1159" s="1">
        <v>42247</v>
      </c>
      <c r="D1159" s="1">
        <v>42249</v>
      </c>
      <c r="E1159" t="s">
        <v>185</v>
      </c>
      <c r="F1159" t="s">
        <v>5267</v>
      </c>
      <c r="G1159" t="s">
        <v>5268</v>
      </c>
      <c r="H1159" t="s">
        <v>40</v>
      </c>
      <c r="I1159" t="s">
        <v>26</v>
      </c>
      <c r="J1159" t="s">
        <v>126</v>
      </c>
      <c r="K1159" t="s">
        <v>42</v>
      </c>
      <c r="L1159">
        <v>94122</v>
      </c>
      <c r="M1159" t="s">
        <v>43</v>
      </c>
      <c r="N1159" t="s">
        <v>198</v>
      </c>
      <c r="O1159" t="s">
        <v>31</v>
      </c>
      <c r="P1159" t="s">
        <v>32</v>
      </c>
      <c r="Q1159" t="s">
        <v>199</v>
      </c>
      <c r="R1159">
        <v>1552.8309999999999</v>
      </c>
      <c r="S1159">
        <v>7</v>
      </c>
      <c r="T1159">
        <v>0.15</v>
      </c>
      <c r="U1159">
        <v>200.9546</v>
      </c>
      <c r="V1159" t="str">
        <f t="shared" si="18"/>
        <v>Scott Cohen</v>
      </c>
      <c r="W1159">
        <f>Table2[Profit]/Table2[Sales]</f>
        <v>0.12941176470588237</v>
      </c>
    </row>
    <row r="1160" spans="1:23" x14ac:dyDescent="0.25">
      <c r="A1160">
        <v>1159</v>
      </c>
      <c r="B1160" t="s">
        <v>5273</v>
      </c>
      <c r="C1160" s="1">
        <v>41715</v>
      </c>
      <c r="D1160" s="1">
        <v>41719</v>
      </c>
      <c r="E1160" t="s">
        <v>49</v>
      </c>
      <c r="F1160" t="s">
        <v>2375</v>
      </c>
      <c r="G1160" t="s">
        <v>2376</v>
      </c>
      <c r="H1160" t="s">
        <v>40</v>
      </c>
      <c r="I1160" t="s">
        <v>26</v>
      </c>
      <c r="J1160" t="s">
        <v>263</v>
      </c>
      <c r="K1160" t="s">
        <v>264</v>
      </c>
      <c r="L1160">
        <v>10024</v>
      </c>
      <c r="M1160" t="s">
        <v>145</v>
      </c>
      <c r="N1160" t="s">
        <v>896</v>
      </c>
      <c r="O1160" t="s">
        <v>31</v>
      </c>
      <c r="P1160" t="s">
        <v>55</v>
      </c>
      <c r="Q1160" t="s">
        <v>897</v>
      </c>
      <c r="R1160">
        <v>1579.7460000000001</v>
      </c>
      <c r="S1160">
        <v>7</v>
      </c>
      <c r="T1160">
        <v>0.4</v>
      </c>
      <c r="U1160">
        <v>-447.59469999999999</v>
      </c>
      <c r="V1160" t="str">
        <f t="shared" si="18"/>
        <v>Christine Phan</v>
      </c>
      <c r="W1160">
        <f>Table2[Profit]/Table2[Sales]</f>
        <v>-0.28333333333333333</v>
      </c>
    </row>
    <row r="1161" spans="1:23" x14ac:dyDescent="0.25">
      <c r="A1161">
        <v>1160</v>
      </c>
      <c r="B1161" t="s">
        <v>5274</v>
      </c>
      <c r="C1161" s="1">
        <v>42841</v>
      </c>
      <c r="D1161" s="1">
        <v>42845</v>
      </c>
      <c r="E1161" t="s">
        <v>49</v>
      </c>
      <c r="F1161" t="s">
        <v>1413</v>
      </c>
      <c r="G1161" t="s">
        <v>1414</v>
      </c>
      <c r="H1161" t="s">
        <v>25</v>
      </c>
      <c r="I1161" t="s">
        <v>26</v>
      </c>
      <c r="J1161" t="s">
        <v>490</v>
      </c>
      <c r="K1161" t="s">
        <v>491</v>
      </c>
      <c r="L1161">
        <v>43229</v>
      </c>
      <c r="M1161" t="s">
        <v>145</v>
      </c>
      <c r="N1161" t="s">
        <v>5275</v>
      </c>
      <c r="O1161" t="s">
        <v>45</v>
      </c>
      <c r="P1161" t="s">
        <v>74</v>
      </c>
      <c r="Q1161" t="s">
        <v>5276</v>
      </c>
      <c r="R1161">
        <v>13.71</v>
      </c>
      <c r="S1161">
        <v>5</v>
      </c>
      <c r="T1161">
        <v>0.7</v>
      </c>
      <c r="U1161">
        <v>-10.054</v>
      </c>
      <c r="V1161" t="str">
        <f t="shared" si="18"/>
        <v>Roy Französisch</v>
      </c>
      <c r="W1161">
        <f>Table2[Profit]/Table2[Sales]</f>
        <v>-0.73333333333333328</v>
      </c>
    </row>
    <row r="1162" spans="1:23" x14ac:dyDescent="0.25">
      <c r="A1162">
        <v>1161</v>
      </c>
      <c r="B1162" t="s">
        <v>5277</v>
      </c>
      <c r="C1162" s="1">
        <v>42442</v>
      </c>
      <c r="D1162" s="1">
        <v>42447</v>
      </c>
      <c r="E1162" t="s">
        <v>49</v>
      </c>
      <c r="F1162" t="s">
        <v>1237</v>
      </c>
      <c r="G1162" t="s">
        <v>1238</v>
      </c>
      <c r="H1162" t="s">
        <v>101</v>
      </c>
      <c r="I1162" t="s">
        <v>26</v>
      </c>
      <c r="J1162" t="s">
        <v>2205</v>
      </c>
      <c r="K1162" t="s">
        <v>312</v>
      </c>
      <c r="L1162">
        <v>22980</v>
      </c>
      <c r="M1162" t="s">
        <v>29</v>
      </c>
      <c r="N1162" t="s">
        <v>1690</v>
      </c>
      <c r="O1162" t="s">
        <v>31</v>
      </c>
      <c r="P1162" t="s">
        <v>64</v>
      </c>
      <c r="Q1162" t="s">
        <v>1691</v>
      </c>
      <c r="R1162">
        <v>127.88</v>
      </c>
      <c r="S1162">
        <v>2</v>
      </c>
      <c r="T1162">
        <v>0</v>
      </c>
      <c r="U1162">
        <v>40.921599999999998</v>
      </c>
      <c r="V1162" t="str">
        <f t="shared" si="18"/>
        <v>Adam Bellavance</v>
      </c>
      <c r="W1162">
        <f>Table2[Profit]/Table2[Sales]</f>
        <v>0.32</v>
      </c>
    </row>
    <row r="1163" spans="1:23" x14ac:dyDescent="0.25">
      <c r="A1163">
        <v>1162</v>
      </c>
      <c r="B1163" t="s">
        <v>5280</v>
      </c>
      <c r="C1163" s="1">
        <v>41967</v>
      </c>
      <c r="D1163" s="1">
        <v>41969</v>
      </c>
      <c r="E1163" t="s">
        <v>22</v>
      </c>
      <c r="F1163" t="s">
        <v>4654</v>
      </c>
      <c r="G1163" t="s">
        <v>4655</v>
      </c>
      <c r="H1163" t="s">
        <v>25</v>
      </c>
      <c r="I1163" t="s">
        <v>26</v>
      </c>
      <c r="J1163" t="s">
        <v>5281</v>
      </c>
      <c r="K1163" t="s">
        <v>42</v>
      </c>
      <c r="L1163">
        <v>95823</v>
      </c>
      <c r="M1163" t="s">
        <v>43</v>
      </c>
      <c r="N1163" t="s">
        <v>5282</v>
      </c>
      <c r="O1163" t="s">
        <v>31</v>
      </c>
      <c r="P1163" t="s">
        <v>35</v>
      </c>
      <c r="Q1163" t="s">
        <v>5283</v>
      </c>
      <c r="R1163">
        <v>120.712</v>
      </c>
      <c r="S1163">
        <v>1</v>
      </c>
      <c r="T1163">
        <v>0.2</v>
      </c>
      <c r="U1163">
        <v>-18.1068</v>
      </c>
      <c r="V1163" t="str">
        <f t="shared" si="18"/>
        <v>Erica Hackney</v>
      </c>
      <c r="W1163">
        <f>Table2[Profit]/Table2[Sales]</f>
        <v>-0.15</v>
      </c>
    </row>
    <row r="1164" spans="1:23" x14ac:dyDescent="0.25">
      <c r="A1164">
        <v>1163</v>
      </c>
      <c r="B1164" t="s">
        <v>5284</v>
      </c>
      <c r="C1164" s="1">
        <v>42776</v>
      </c>
      <c r="D1164" s="1">
        <v>42779</v>
      </c>
      <c r="E1164" t="s">
        <v>185</v>
      </c>
      <c r="F1164" t="s">
        <v>3608</v>
      </c>
      <c r="G1164" t="s">
        <v>3609</v>
      </c>
      <c r="H1164" t="s">
        <v>25</v>
      </c>
      <c r="I1164" t="s">
        <v>26</v>
      </c>
      <c r="J1164" t="s">
        <v>3159</v>
      </c>
      <c r="K1164" t="s">
        <v>2699</v>
      </c>
      <c r="L1164">
        <v>20735</v>
      </c>
      <c r="M1164" t="s">
        <v>145</v>
      </c>
      <c r="N1164" t="s">
        <v>3892</v>
      </c>
      <c r="O1164" t="s">
        <v>45</v>
      </c>
      <c r="P1164" t="s">
        <v>89</v>
      </c>
      <c r="Q1164" t="s">
        <v>3893</v>
      </c>
      <c r="R1164">
        <v>23.12</v>
      </c>
      <c r="S1164">
        <v>4</v>
      </c>
      <c r="T1164">
        <v>0</v>
      </c>
      <c r="U1164">
        <v>11.328799999999999</v>
      </c>
      <c r="V1164" t="str">
        <f t="shared" si="18"/>
        <v>Michael Nguyen</v>
      </c>
      <c r="W1164">
        <f>Table2[Profit]/Table2[Sales]</f>
        <v>0.48999999999999994</v>
      </c>
    </row>
    <row r="1165" spans="1:23" x14ac:dyDescent="0.25">
      <c r="A1165">
        <v>1164</v>
      </c>
      <c r="B1165" t="s">
        <v>5285</v>
      </c>
      <c r="C1165" s="1">
        <v>42636</v>
      </c>
      <c r="D1165" s="1">
        <v>42640</v>
      </c>
      <c r="E1165" t="s">
        <v>49</v>
      </c>
      <c r="F1165" t="s">
        <v>1071</v>
      </c>
      <c r="G1165" t="s">
        <v>1072</v>
      </c>
      <c r="H1165" t="s">
        <v>40</v>
      </c>
      <c r="I1165" t="s">
        <v>26</v>
      </c>
      <c r="J1165" t="s">
        <v>739</v>
      </c>
      <c r="K1165" t="s">
        <v>491</v>
      </c>
      <c r="L1165">
        <v>45014</v>
      </c>
      <c r="M1165" t="s">
        <v>145</v>
      </c>
      <c r="N1165" t="s">
        <v>5286</v>
      </c>
      <c r="O1165" t="s">
        <v>31</v>
      </c>
      <c r="P1165" t="s">
        <v>64</v>
      </c>
      <c r="Q1165" t="s">
        <v>5287</v>
      </c>
      <c r="R1165">
        <v>532.70399999999995</v>
      </c>
      <c r="S1165">
        <v>6</v>
      </c>
      <c r="T1165">
        <v>0.2</v>
      </c>
      <c r="U1165">
        <v>-26.635200000000001</v>
      </c>
      <c r="V1165" t="str">
        <f t="shared" si="18"/>
        <v>Kelly Lampkin</v>
      </c>
      <c r="W1165">
        <f>Table2[Profit]/Table2[Sales]</f>
        <v>-5.000000000000001E-2</v>
      </c>
    </row>
    <row r="1166" spans="1:23" x14ac:dyDescent="0.25">
      <c r="A1166">
        <v>1165</v>
      </c>
      <c r="B1166" t="s">
        <v>5290</v>
      </c>
      <c r="C1166" s="1">
        <v>42923</v>
      </c>
      <c r="D1166" s="1">
        <v>42925</v>
      </c>
      <c r="E1166" t="s">
        <v>22</v>
      </c>
      <c r="F1166" t="s">
        <v>1463</v>
      </c>
      <c r="G1166" t="s">
        <v>1464</v>
      </c>
      <c r="H1166" t="s">
        <v>40</v>
      </c>
      <c r="I1166" t="s">
        <v>26</v>
      </c>
      <c r="J1166" t="s">
        <v>1387</v>
      </c>
      <c r="K1166" t="s">
        <v>1388</v>
      </c>
      <c r="L1166">
        <v>2886</v>
      </c>
      <c r="M1166" t="s">
        <v>145</v>
      </c>
      <c r="N1166" t="s">
        <v>2791</v>
      </c>
      <c r="O1166" t="s">
        <v>70</v>
      </c>
      <c r="P1166" t="s">
        <v>158</v>
      </c>
      <c r="Q1166" t="s">
        <v>2792</v>
      </c>
      <c r="R1166">
        <v>252</v>
      </c>
      <c r="S1166">
        <v>4</v>
      </c>
      <c r="T1166">
        <v>0</v>
      </c>
      <c r="U1166">
        <v>93.24</v>
      </c>
      <c r="V1166" t="str">
        <f t="shared" si="18"/>
        <v>Michael Paige</v>
      </c>
      <c r="W1166">
        <f>Table2[Profit]/Table2[Sales]</f>
        <v>0.37</v>
      </c>
    </row>
    <row r="1167" spans="1:23" x14ac:dyDescent="0.25">
      <c r="A1167">
        <v>1166</v>
      </c>
      <c r="B1167" t="s">
        <v>5291</v>
      </c>
      <c r="C1167" s="1">
        <v>42558</v>
      </c>
      <c r="D1167" s="1">
        <v>42562</v>
      </c>
      <c r="E1167" t="s">
        <v>22</v>
      </c>
      <c r="F1167" t="s">
        <v>2378</v>
      </c>
      <c r="G1167" t="s">
        <v>2379</v>
      </c>
      <c r="H1167" t="s">
        <v>40</v>
      </c>
      <c r="I1167" t="s">
        <v>26</v>
      </c>
      <c r="J1167" t="s">
        <v>449</v>
      </c>
      <c r="K1167" t="s">
        <v>208</v>
      </c>
      <c r="L1167">
        <v>60505</v>
      </c>
      <c r="M1167" t="s">
        <v>104</v>
      </c>
      <c r="N1167" t="s">
        <v>4534</v>
      </c>
      <c r="O1167" t="s">
        <v>31</v>
      </c>
      <c r="P1167" t="s">
        <v>64</v>
      </c>
      <c r="Q1167" t="s">
        <v>4535</v>
      </c>
      <c r="R1167">
        <v>60.287999999999997</v>
      </c>
      <c r="S1167">
        <v>8</v>
      </c>
      <c r="T1167">
        <v>0.6</v>
      </c>
      <c r="U1167">
        <v>-27.1296</v>
      </c>
      <c r="V1167" t="str">
        <f t="shared" si="18"/>
        <v>Barry Französisch</v>
      </c>
      <c r="W1167">
        <f>Table2[Profit]/Table2[Sales]</f>
        <v>-0.45</v>
      </c>
    </row>
    <row r="1168" spans="1:23" x14ac:dyDescent="0.25">
      <c r="A1168">
        <v>1167</v>
      </c>
      <c r="B1168" t="s">
        <v>5294</v>
      </c>
      <c r="C1168" s="1">
        <v>42759</v>
      </c>
      <c r="D1168" s="1">
        <v>42765</v>
      </c>
      <c r="E1168" t="s">
        <v>49</v>
      </c>
      <c r="F1168" t="s">
        <v>1969</v>
      </c>
      <c r="G1168" t="s">
        <v>1970</v>
      </c>
      <c r="H1168" t="s">
        <v>25</v>
      </c>
      <c r="I1168" t="s">
        <v>26</v>
      </c>
      <c r="J1168" t="s">
        <v>3716</v>
      </c>
      <c r="K1168" t="s">
        <v>1260</v>
      </c>
      <c r="L1168">
        <v>30080</v>
      </c>
      <c r="M1168" t="s">
        <v>29</v>
      </c>
      <c r="N1168" t="s">
        <v>3719</v>
      </c>
      <c r="O1168" t="s">
        <v>45</v>
      </c>
      <c r="P1168" t="s">
        <v>266</v>
      </c>
      <c r="Q1168" t="s">
        <v>3720</v>
      </c>
      <c r="R1168">
        <v>5.67</v>
      </c>
      <c r="S1168">
        <v>3</v>
      </c>
      <c r="T1168">
        <v>0</v>
      </c>
      <c r="U1168">
        <v>0.1134</v>
      </c>
      <c r="V1168" t="str">
        <f t="shared" si="18"/>
        <v>Theone Pippenger</v>
      </c>
      <c r="W1168">
        <f>Table2[Profit]/Table2[Sales]</f>
        <v>0.02</v>
      </c>
    </row>
    <row r="1169" spans="1:23" x14ac:dyDescent="0.25">
      <c r="A1169">
        <v>1168</v>
      </c>
      <c r="B1169" t="s">
        <v>5295</v>
      </c>
      <c r="C1169" s="1">
        <v>41870</v>
      </c>
      <c r="D1169" s="1">
        <v>41872</v>
      </c>
      <c r="E1169" t="s">
        <v>22</v>
      </c>
      <c r="F1169" t="s">
        <v>3903</v>
      </c>
      <c r="G1169" t="s">
        <v>3904</v>
      </c>
      <c r="H1169" t="s">
        <v>25</v>
      </c>
      <c r="I1169" t="s">
        <v>26</v>
      </c>
      <c r="J1169" t="s">
        <v>490</v>
      </c>
      <c r="K1169" t="s">
        <v>491</v>
      </c>
      <c r="L1169">
        <v>43229</v>
      </c>
      <c r="M1169" t="s">
        <v>145</v>
      </c>
      <c r="N1169" t="s">
        <v>4891</v>
      </c>
      <c r="O1169" t="s">
        <v>45</v>
      </c>
      <c r="P1169" t="s">
        <v>74</v>
      </c>
      <c r="Q1169" t="s">
        <v>4892</v>
      </c>
      <c r="R1169">
        <v>76.775999999999996</v>
      </c>
      <c r="S1169">
        <v>4</v>
      </c>
      <c r="T1169">
        <v>0.7</v>
      </c>
      <c r="U1169">
        <v>-58.861600000000003</v>
      </c>
      <c r="V1169" t="str">
        <f t="shared" si="18"/>
        <v>Maxwell Schwartz</v>
      </c>
      <c r="W1169">
        <f>Table2[Profit]/Table2[Sales]</f>
        <v>-0.76666666666666672</v>
      </c>
    </row>
    <row r="1170" spans="1:23" x14ac:dyDescent="0.25">
      <c r="A1170">
        <v>1169</v>
      </c>
      <c r="B1170" t="s">
        <v>5298</v>
      </c>
      <c r="C1170" s="1">
        <v>42344</v>
      </c>
      <c r="D1170" s="1">
        <v>42349</v>
      </c>
      <c r="E1170" t="s">
        <v>49</v>
      </c>
      <c r="F1170" t="s">
        <v>3738</v>
      </c>
      <c r="G1170" t="s">
        <v>3739</v>
      </c>
      <c r="H1170" t="s">
        <v>101</v>
      </c>
      <c r="I1170" t="s">
        <v>26</v>
      </c>
      <c r="J1170" t="s">
        <v>5299</v>
      </c>
      <c r="K1170" t="s">
        <v>42</v>
      </c>
      <c r="L1170">
        <v>91360</v>
      </c>
      <c r="M1170" t="s">
        <v>43</v>
      </c>
      <c r="N1170" t="s">
        <v>4948</v>
      </c>
      <c r="O1170" t="s">
        <v>45</v>
      </c>
      <c r="P1170" t="s">
        <v>89</v>
      </c>
      <c r="Q1170" t="s">
        <v>4949</v>
      </c>
      <c r="R1170">
        <v>32.75</v>
      </c>
      <c r="S1170">
        <v>5</v>
      </c>
      <c r="T1170">
        <v>0</v>
      </c>
      <c r="U1170">
        <v>15.065</v>
      </c>
      <c r="V1170" t="str">
        <f t="shared" si="18"/>
        <v>Katherine Murray</v>
      </c>
      <c r="W1170">
        <f>Table2[Profit]/Table2[Sales]</f>
        <v>0.45999999999999996</v>
      </c>
    </row>
    <row r="1171" spans="1:23" x14ac:dyDescent="0.25">
      <c r="A1171">
        <v>1170</v>
      </c>
      <c r="B1171" t="s">
        <v>5300</v>
      </c>
      <c r="C1171" s="1">
        <v>42496</v>
      </c>
      <c r="D1171" s="1">
        <v>42500</v>
      </c>
      <c r="E1171" t="s">
        <v>49</v>
      </c>
      <c r="F1171" t="s">
        <v>4433</v>
      </c>
      <c r="G1171" t="s">
        <v>4434</v>
      </c>
      <c r="H1171" t="s">
        <v>101</v>
      </c>
      <c r="I1171" t="s">
        <v>26</v>
      </c>
      <c r="J1171" t="s">
        <v>2591</v>
      </c>
      <c r="K1171" t="s">
        <v>491</v>
      </c>
      <c r="L1171">
        <v>44052</v>
      </c>
      <c r="M1171" t="s">
        <v>145</v>
      </c>
      <c r="N1171" t="s">
        <v>1854</v>
      </c>
      <c r="O1171" t="s">
        <v>45</v>
      </c>
      <c r="P1171" t="s">
        <v>266</v>
      </c>
      <c r="Q1171" t="s">
        <v>1855</v>
      </c>
      <c r="R1171">
        <v>7.2160000000000002</v>
      </c>
      <c r="S1171">
        <v>2</v>
      </c>
      <c r="T1171">
        <v>0.2</v>
      </c>
      <c r="U1171">
        <v>1.7138</v>
      </c>
      <c r="V1171" t="str">
        <f t="shared" si="18"/>
        <v>Brad Eason</v>
      </c>
      <c r="W1171">
        <f>Table2[Profit]/Table2[Sales]</f>
        <v>0.23749999999999999</v>
      </c>
    </row>
    <row r="1172" spans="1:23" x14ac:dyDescent="0.25">
      <c r="A1172">
        <v>1171</v>
      </c>
      <c r="B1172" t="s">
        <v>5304</v>
      </c>
      <c r="C1172" s="1">
        <v>42819</v>
      </c>
      <c r="D1172" s="1">
        <v>42820</v>
      </c>
      <c r="E1172" t="s">
        <v>185</v>
      </c>
      <c r="F1172" t="s">
        <v>5305</v>
      </c>
      <c r="G1172" t="s">
        <v>5306</v>
      </c>
      <c r="H1172" t="s">
        <v>25</v>
      </c>
      <c r="I1172" t="s">
        <v>26</v>
      </c>
      <c r="J1172" t="s">
        <v>3419</v>
      </c>
      <c r="K1172" t="s">
        <v>42</v>
      </c>
      <c r="L1172">
        <v>93727</v>
      </c>
      <c r="M1172" t="s">
        <v>43</v>
      </c>
      <c r="N1172" t="s">
        <v>5307</v>
      </c>
      <c r="O1172" t="s">
        <v>45</v>
      </c>
      <c r="P1172" t="s">
        <v>77</v>
      </c>
      <c r="Q1172" t="s">
        <v>5308</v>
      </c>
      <c r="R1172">
        <v>176.04</v>
      </c>
      <c r="S1172">
        <v>4</v>
      </c>
      <c r="T1172">
        <v>0</v>
      </c>
      <c r="U1172">
        <v>45.770400000000002</v>
      </c>
      <c r="V1172" t="str">
        <f t="shared" si="18"/>
        <v>Christina VanderZanden</v>
      </c>
      <c r="W1172">
        <f>Table2[Profit]/Table2[Sales]</f>
        <v>0.26</v>
      </c>
    </row>
    <row r="1173" spans="1:23" x14ac:dyDescent="0.25">
      <c r="A1173">
        <v>1172</v>
      </c>
      <c r="B1173" t="s">
        <v>5314</v>
      </c>
      <c r="C1173" s="1">
        <v>42350</v>
      </c>
      <c r="D1173" s="1">
        <v>42353</v>
      </c>
      <c r="E1173" t="s">
        <v>185</v>
      </c>
      <c r="F1173" t="s">
        <v>5071</v>
      </c>
      <c r="G1173" t="s">
        <v>5072</v>
      </c>
      <c r="H1173" t="s">
        <v>25</v>
      </c>
      <c r="I1173" t="s">
        <v>26</v>
      </c>
      <c r="J1173" t="s">
        <v>941</v>
      </c>
      <c r="K1173" t="s">
        <v>42</v>
      </c>
      <c r="L1173">
        <v>92105</v>
      </c>
      <c r="M1173" t="s">
        <v>43</v>
      </c>
      <c r="N1173" t="s">
        <v>5315</v>
      </c>
      <c r="O1173" t="s">
        <v>45</v>
      </c>
      <c r="P1173" t="s">
        <v>266</v>
      </c>
      <c r="Q1173" t="s">
        <v>556</v>
      </c>
      <c r="R1173">
        <v>7.86</v>
      </c>
      <c r="S1173">
        <v>2</v>
      </c>
      <c r="T1173">
        <v>0</v>
      </c>
      <c r="U1173">
        <v>3.6156000000000001</v>
      </c>
      <c r="V1173" t="str">
        <f t="shared" si="18"/>
        <v>Dennis Kane</v>
      </c>
      <c r="W1173">
        <f>Table2[Profit]/Table2[Sales]</f>
        <v>0.46</v>
      </c>
    </row>
    <row r="1174" spans="1:23" x14ac:dyDescent="0.25">
      <c r="A1174">
        <v>1173</v>
      </c>
      <c r="B1174" t="s">
        <v>5318</v>
      </c>
      <c r="C1174" s="1">
        <v>42344</v>
      </c>
      <c r="D1174" s="1">
        <v>42348</v>
      </c>
      <c r="E1174" t="s">
        <v>49</v>
      </c>
      <c r="F1174" t="s">
        <v>5319</v>
      </c>
      <c r="G1174" t="s">
        <v>5320</v>
      </c>
      <c r="H1174" t="s">
        <v>25</v>
      </c>
      <c r="I1174" t="s">
        <v>26</v>
      </c>
      <c r="J1174" t="s">
        <v>263</v>
      </c>
      <c r="K1174" t="s">
        <v>264</v>
      </c>
      <c r="L1174">
        <v>10009</v>
      </c>
      <c r="M1174" t="s">
        <v>145</v>
      </c>
      <c r="N1174" t="s">
        <v>5321</v>
      </c>
      <c r="O1174" t="s">
        <v>45</v>
      </c>
      <c r="P1174" t="s">
        <v>89</v>
      </c>
      <c r="Q1174" t="s">
        <v>5322</v>
      </c>
      <c r="R1174">
        <v>6.48</v>
      </c>
      <c r="S1174">
        <v>1</v>
      </c>
      <c r="T1174">
        <v>0</v>
      </c>
      <c r="U1174">
        <v>3.1103999999999998</v>
      </c>
      <c r="V1174" t="str">
        <f t="shared" si="18"/>
        <v>Speros Goranitis</v>
      </c>
      <c r="W1174">
        <f>Table2[Profit]/Table2[Sales]</f>
        <v>0.47999999999999993</v>
      </c>
    </row>
    <row r="1175" spans="1:23" x14ac:dyDescent="0.25">
      <c r="A1175">
        <v>1174</v>
      </c>
      <c r="B1175" t="s">
        <v>5327</v>
      </c>
      <c r="C1175" s="1">
        <v>42446</v>
      </c>
      <c r="D1175" s="1">
        <v>42452</v>
      </c>
      <c r="E1175" t="s">
        <v>49</v>
      </c>
      <c r="F1175" t="s">
        <v>3201</v>
      </c>
      <c r="G1175" t="s">
        <v>3202</v>
      </c>
      <c r="H1175" t="s">
        <v>25</v>
      </c>
      <c r="I1175" t="s">
        <v>26</v>
      </c>
      <c r="J1175" t="s">
        <v>5328</v>
      </c>
      <c r="K1175" t="s">
        <v>1233</v>
      </c>
      <c r="L1175">
        <v>2148</v>
      </c>
      <c r="M1175" t="s">
        <v>145</v>
      </c>
      <c r="N1175" t="s">
        <v>1541</v>
      </c>
      <c r="O1175" t="s">
        <v>45</v>
      </c>
      <c r="P1175" t="s">
        <v>67</v>
      </c>
      <c r="Q1175" t="s">
        <v>1542</v>
      </c>
      <c r="R1175">
        <v>39.68</v>
      </c>
      <c r="S1175">
        <v>2</v>
      </c>
      <c r="T1175">
        <v>0</v>
      </c>
      <c r="U1175">
        <v>10.316800000000001</v>
      </c>
      <c r="V1175" t="str">
        <f t="shared" si="18"/>
        <v>Christine Sundaresam</v>
      </c>
      <c r="W1175">
        <f>Table2[Profit]/Table2[Sales]</f>
        <v>0.26</v>
      </c>
    </row>
    <row r="1176" spans="1:23" x14ac:dyDescent="0.25">
      <c r="A1176">
        <v>1175</v>
      </c>
      <c r="B1176" t="s">
        <v>5329</v>
      </c>
      <c r="C1176" s="1">
        <v>42322</v>
      </c>
      <c r="D1176" s="1">
        <v>42327</v>
      </c>
      <c r="E1176" t="s">
        <v>49</v>
      </c>
      <c r="F1176" t="s">
        <v>5178</v>
      </c>
      <c r="G1176" t="s">
        <v>5179</v>
      </c>
      <c r="H1176" t="s">
        <v>40</v>
      </c>
      <c r="I1176" t="s">
        <v>26</v>
      </c>
      <c r="J1176" t="s">
        <v>263</v>
      </c>
      <c r="K1176" t="s">
        <v>264</v>
      </c>
      <c r="L1176">
        <v>10035</v>
      </c>
      <c r="M1176" t="s">
        <v>145</v>
      </c>
      <c r="N1176" t="s">
        <v>4717</v>
      </c>
      <c r="O1176" t="s">
        <v>70</v>
      </c>
      <c r="P1176" t="s">
        <v>158</v>
      </c>
      <c r="Q1176" t="s">
        <v>4718</v>
      </c>
      <c r="R1176">
        <v>37.6</v>
      </c>
      <c r="S1176">
        <v>2</v>
      </c>
      <c r="T1176">
        <v>0</v>
      </c>
      <c r="U1176">
        <v>2.2559999999999998</v>
      </c>
      <c r="V1176" t="str">
        <f t="shared" si="18"/>
        <v>Patrick Jones</v>
      </c>
      <c r="W1176">
        <f>Table2[Profit]/Table2[Sales]</f>
        <v>5.9999999999999991E-2</v>
      </c>
    </row>
    <row r="1177" spans="1:23" x14ac:dyDescent="0.25">
      <c r="A1177">
        <v>1176</v>
      </c>
      <c r="B1177" t="s">
        <v>5330</v>
      </c>
      <c r="C1177" s="1">
        <v>42961</v>
      </c>
      <c r="D1177" s="1">
        <v>42963</v>
      </c>
      <c r="E1177" t="s">
        <v>22</v>
      </c>
      <c r="F1177" t="s">
        <v>3417</v>
      </c>
      <c r="G1177" t="s">
        <v>3418</v>
      </c>
      <c r="H1177" t="s">
        <v>25</v>
      </c>
      <c r="I1177" t="s">
        <v>26</v>
      </c>
      <c r="J1177" t="s">
        <v>126</v>
      </c>
      <c r="K1177" t="s">
        <v>42</v>
      </c>
      <c r="L1177">
        <v>94109</v>
      </c>
      <c r="M1177" t="s">
        <v>43</v>
      </c>
      <c r="N1177" t="s">
        <v>2878</v>
      </c>
      <c r="O1177" t="s">
        <v>45</v>
      </c>
      <c r="P1177" t="s">
        <v>46</v>
      </c>
      <c r="Q1177" t="s">
        <v>2879</v>
      </c>
      <c r="R1177">
        <v>5.76</v>
      </c>
      <c r="S1177">
        <v>2</v>
      </c>
      <c r="T1177">
        <v>0</v>
      </c>
      <c r="U1177">
        <v>2.8224</v>
      </c>
      <c r="V1177" t="str">
        <f t="shared" si="18"/>
        <v>Nora Preis</v>
      </c>
      <c r="W1177">
        <f>Table2[Profit]/Table2[Sales]</f>
        <v>0.49000000000000005</v>
      </c>
    </row>
    <row r="1178" spans="1:23" x14ac:dyDescent="0.25">
      <c r="A1178">
        <v>1177</v>
      </c>
      <c r="B1178" t="s">
        <v>5331</v>
      </c>
      <c r="C1178" s="1">
        <v>42987</v>
      </c>
      <c r="D1178" s="1">
        <v>42993</v>
      </c>
      <c r="E1178" t="s">
        <v>49</v>
      </c>
      <c r="F1178" t="s">
        <v>973</v>
      </c>
      <c r="G1178" t="s">
        <v>974</v>
      </c>
      <c r="H1178" t="s">
        <v>40</v>
      </c>
      <c r="I1178" t="s">
        <v>26</v>
      </c>
      <c r="J1178" t="s">
        <v>2548</v>
      </c>
      <c r="K1178" t="s">
        <v>376</v>
      </c>
      <c r="L1178">
        <v>29501</v>
      </c>
      <c r="M1178" t="s">
        <v>29</v>
      </c>
      <c r="N1178" t="s">
        <v>1665</v>
      </c>
      <c r="O1178" t="s">
        <v>45</v>
      </c>
      <c r="P1178" t="s">
        <v>58</v>
      </c>
      <c r="Q1178" t="s">
        <v>1666</v>
      </c>
      <c r="R1178">
        <v>628.80999999999995</v>
      </c>
      <c r="S1178">
        <v>7</v>
      </c>
      <c r="T1178">
        <v>0</v>
      </c>
      <c r="U1178">
        <v>12.5762</v>
      </c>
      <c r="V1178" t="str">
        <f t="shared" si="18"/>
        <v>Sean Braxton</v>
      </c>
      <c r="W1178">
        <f>Table2[Profit]/Table2[Sales]</f>
        <v>0.02</v>
      </c>
    </row>
    <row r="1179" spans="1:23" x14ac:dyDescent="0.25">
      <c r="A1179">
        <v>1178</v>
      </c>
      <c r="B1179" t="s">
        <v>5332</v>
      </c>
      <c r="C1179" s="1">
        <v>42826</v>
      </c>
      <c r="D1179" s="1">
        <v>42829</v>
      </c>
      <c r="E1179" t="s">
        <v>22</v>
      </c>
      <c r="F1179" t="s">
        <v>4610</v>
      </c>
      <c r="G1179" t="s">
        <v>4611</v>
      </c>
      <c r="H1179" t="s">
        <v>25</v>
      </c>
      <c r="I1179" t="s">
        <v>26</v>
      </c>
      <c r="J1179" t="s">
        <v>311</v>
      </c>
      <c r="K1179" t="s">
        <v>590</v>
      </c>
      <c r="L1179">
        <v>65807</v>
      </c>
      <c r="M1179" t="s">
        <v>104</v>
      </c>
      <c r="N1179" t="s">
        <v>3655</v>
      </c>
      <c r="O1179" t="s">
        <v>45</v>
      </c>
      <c r="P1179" t="s">
        <v>58</v>
      </c>
      <c r="Q1179" t="s">
        <v>3656</v>
      </c>
      <c r="R1179">
        <v>94.2</v>
      </c>
      <c r="S1179">
        <v>6</v>
      </c>
      <c r="T1179">
        <v>0</v>
      </c>
      <c r="U1179">
        <v>23.55</v>
      </c>
      <c r="V1179" t="str">
        <f t="shared" si="18"/>
        <v>Adam Shillingsburg</v>
      </c>
      <c r="W1179">
        <f>Table2[Profit]/Table2[Sales]</f>
        <v>0.25</v>
      </c>
    </row>
    <row r="1180" spans="1:23" x14ac:dyDescent="0.25">
      <c r="A1180">
        <v>1179</v>
      </c>
      <c r="B1180" t="s">
        <v>5333</v>
      </c>
      <c r="C1180" s="1">
        <v>42640</v>
      </c>
      <c r="D1180" s="1">
        <v>42646</v>
      </c>
      <c r="E1180" t="s">
        <v>49</v>
      </c>
      <c r="F1180" t="s">
        <v>3673</v>
      </c>
      <c r="G1180" t="s">
        <v>3674</v>
      </c>
      <c r="H1180" t="s">
        <v>40</v>
      </c>
      <c r="I1180" t="s">
        <v>26</v>
      </c>
      <c r="J1180" t="s">
        <v>1657</v>
      </c>
      <c r="K1180" t="s">
        <v>103</v>
      </c>
      <c r="L1180">
        <v>77340</v>
      </c>
      <c r="M1180" t="s">
        <v>104</v>
      </c>
      <c r="N1180" t="s">
        <v>5334</v>
      </c>
      <c r="O1180" t="s">
        <v>31</v>
      </c>
      <c r="P1180" t="s">
        <v>32</v>
      </c>
      <c r="Q1180" t="s">
        <v>5335</v>
      </c>
      <c r="R1180">
        <v>956.66480000000001</v>
      </c>
      <c r="S1180">
        <v>7</v>
      </c>
      <c r="T1180">
        <v>0.32</v>
      </c>
      <c r="U1180">
        <v>-225.0976</v>
      </c>
      <c r="V1180" t="str">
        <f t="shared" si="18"/>
        <v>Harry Marie</v>
      </c>
      <c r="W1180">
        <f>Table2[Profit]/Table2[Sales]</f>
        <v>-0.23529411764705882</v>
      </c>
    </row>
    <row r="1181" spans="1:23" x14ac:dyDescent="0.25">
      <c r="A1181">
        <v>1180</v>
      </c>
      <c r="B1181" t="s">
        <v>5336</v>
      </c>
      <c r="C1181" s="1">
        <v>43015</v>
      </c>
      <c r="D1181" s="1">
        <v>43019</v>
      </c>
      <c r="E1181" t="s">
        <v>49</v>
      </c>
      <c r="F1181" t="s">
        <v>1772</v>
      </c>
      <c r="G1181" t="s">
        <v>1773</v>
      </c>
      <c r="H1181" t="s">
        <v>25</v>
      </c>
      <c r="I1181" t="s">
        <v>26</v>
      </c>
      <c r="J1181" t="s">
        <v>41</v>
      </c>
      <c r="K1181" t="s">
        <v>42</v>
      </c>
      <c r="L1181">
        <v>90045</v>
      </c>
      <c r="M1181" t="s">
        <v>43</v>
      </c>
      <c r="N1181" t="s">
        <v>2668</v>
      </c>
      <c r="O1181" t="s">
        <v>70</v>
      </c>
      <c r="P1181" t="s">
        <v>158</v>
      </c>
      <c r="Q1181" t="s">
        <v>2669</v>
      </c>
      <c r="R1181">
        <v>1115.9100000000001</v>
      </c>
      <c r="S1181">
        <v>9</v>
      </c>
      <c r="T1181">
        <v>0</v>
      </c>
      <c r="U1181">
        <v>200.8638</v>
      </c>
      <c r="V1181" t="str">
        <f t="shared" si="18"/>
        <v>Mike Gockenbach</v>
      </c>
      <c r="W1181">
        <f>Table2[Profit]/Table2[Sales]</f>
        <v>0.18</v>
      </c>
    </row>
    <row r="1182" spans="1:23" x14ac:dyDescent="0.25">
      <c r="A1182">
        <v>1181</v>
      </c>
      <c r="B1182" t="s">
        <v>5337</v>
      </c>
      <c r="C1182" s="1">
        <v>42755</v>
      </c>
      <c r="D1182" s="1">
        <v>42760</v>
      </c>
      <c r="E1182" t="s">
        <v>49</v>
      </c>
      <c r="F1182" t="s">
        <v>5338</v>
      </c>
      <c r="G1182" t="s">
        <v>5339</v>
      </c>
      <c r="H1182" t="s">
        <v>25</v>
      </c>
      <c r="I1182" t="s">
        <v>26</v>
      </c>
      <c r="J1182" t="s">
        <v>126</v>
      </c>
      <c r="K1182" t="s">
        <v>42</v>
      </c>
      <c r="L1182">
        <v>94122</v>
      </c>
      <c r="M1182" t="s">
        <v>43</v>
      </c>
      <c r="N1182" t="s">
        <v>4546</v>
      </c>
      <c r="O1182" t="s">
        <v>45</v>
      </c>
      <c r="P1182" t="s">
        <v>67</v>
      </c>
      <c r="Q1182" t="s">
        <v>2988</v>
      </c>
      <c r="R1182">
        <v>24.2</v>
      </c>
      <c r="S1182">
        <v>5</v>
      </c>
      <c r="T1182">
        <v>0</v>
      </c>
      <c r="U1182">
        <v>7.9859999999999998</v>
      </c>
      <c r="V1182" t="str">
        <f t="shared" si="18"/>
        <v>Tamara Manning</v>
      </c>
      <c r="W1182">
        <f>Table2[Profit]/Table2[Sales]</f>
        <v>0.33</v>
      </c>
    </row>
    <row r="1183" spans="1:23" x14ac:dyDescent="0.25">
      <c r="A1183">
        <v>1182</v>
      </c>
      <c r="B1183" t="s">
        <v>5342</v>
      </c>
      <c r="C1183" s="1">
        <v>42817</v>
      </c>
      <c r="D1183" s="1">
        <v>42819</v>
      </c>
      <c r="E1183" t="s">
        <v>185</v>
      </c>
      <c r="F1183" t="s">
        <v>2753</v>
      </c>
      <c r="G1183" t="s">
        <v>2754</v>
      </c>
      <c r="H1183" t="s">
        <v>101</v>
      </c>
      <c r="I1183" t="s">
        <v>26</v>
      </c>
      <c r="J1183" t="s">
        <v>126</v>
      </c>
      <c r="K1183" t="s">
        <v>42</v>
      </c>
      <c r="L1183">
        <v>94122</v>
      </c>
      <c r="M1183" t="s">
        <v>43</v>
      </c>
      <c r="N1183" t="s">
        <v>4270</v>
      </c>
      <c r="O1183" t="s">
        <v>31</v>
      </c>
      <c r="P1183" t="s">
        <v>64</v>
      </c>
      <c r="Q1183" t="s">
        <v>4271</v>
      </c>
      <c r="R1183">
        <v>211.84</v>
      </c>
      <c r="S1183">
        <v>8</v>
      </c>
      <c r="T1183">
        <v>0</v>
      </c>
      <c r="U1183">
        <v>76.2624</v>
      </c>
      <c r="V1183" t="str">
        <f t="shared" si="18"/>
        <v>Bill Eplett</v>
      </c>
      <c r="W1183">
        <f>Table2[Profit]/Table2[Sales]</f>
        <v>0.36</v>
      </c>
    </row>
    <row r="1184" spans="1:23" x14ac:dyDescent="0.25">
      <c r="A1184">
        <v>1183</v>
      </c>
      <c r="B1184" t="s">
        <v>5343</v>
      </c>
      <c r="C1184" s="1">
        <v>41852</v>
      </c>
      <c r="D1184" s="1">
        <v>41857</v>
      </c>
      <c r="E1184" t="s">
        <v>49</v>
      </c>
      <c r="F1184" t="s">
        <v>2912</v>
      </c>
      <c r="G1184" t="s">
        <v>2913</v>
      </c>
      <c r="H1184" t="s">
        <v>101</v>
      </c>
      <c r="I1184" t="s">
        <v>26</v>
      </c>
      <c r="J1184" t="s">
        <v>143</v>
      </c>
      <c r="K1184" t="s">
        <v>144</v>
      </c>
      <c r="L1184">
        <v>19120</v>
      </c>
      <c r="M1184" t="s">
        <v>145</v>
      </c>
      <c r="N1184" t="s">
        <v>4101</v>
      </c>
      <c r="O1184" t="s">
        <v>45</v>
      </c>
      <c r="P1184" t="s">
        <v>266</v>
      </c>
      <c r="Q1184" t="s">
        <v>4102</v>
      </c>
      <c r="R1184">
        <v>5.68</v>
      </c>
      <c r="S1184">
        <v>2</v>
      </c>
      <c r="T1184">
        <v>0.2</v>
      </c>
      <c r="U1184">
        <v>1.917</v>
      </c>
      <c r="V1184" t="str">
        <f t="shared" si="18"/>
        <v>Ann Steele</v>
      </c>
      <c r="W1184">
        <f>Table2[Profit]/Table2[Sales]</f>
        <v>0.33750000000000002</v>
      </c>
    </row>
    <row r="1185" spans="1:23" x14ac:dyDescent="0.25">
      <c r="A1185">
        <v>1184</v>
      </c>
      <c r="B1185" t="s">
        <v>5344</v>
      </c>
      <c r="C1185" s="1">
        <v>42162</v>
      </c>
      <c r="D1185" s="1">
        <v>42164</v>
      </c>
      <c r="E1185" t="s">
        <v>22</v>
      </c>
      <c r="F1185" t="s">
        <v>5345</v>
      </c>
      <c r="G1185" t="s">
        <v>5346</v>
      </c>
      <c r="H1185" t="s">
        <v>40</v>
      </c>
      <c r="I1185" t="s">
        <v>26</v>
      </c>
      <c r="J1185" t="s">
        <v>41</v>
      </c>
      <c r="K1185" t="s">
        <v>42</v>
      </c>
      <c r="L1185">
        <v>90036</v>
      </c>
      <c r="M1185" t="s">
        <v>43</v>
      </c>
      <c r="N1185" t="s">
        <v>2395</v>
      </c>
      <c r="O1185" t="s">
        <v>45</v>
      </c>
      <c r="P1185" t="s">
        <v>74</v>
      </c>
      <c r="Q1185" t="s">
        <v>2396</v>
      </c>
      <c r="R1185">
        <v>7.52</v>
      </c>
      <c r="S1185">
        <v>5</v>
      </c>
      <c r="T1185">
        <v>0.2</v>
      </c>
      <c r="U1185">
        <v>2.6320000000000001</v>
      </c>
      <c r="V1185" t="str">
        <f t="shared" si="18"/>
        <v>Eleni McCrary</v>
      </c>
      <c r="W1185">
        <f>Table2[Profit]/Table2[Sales]</f>
        <v>0.35000000000000003</v>
      </c>
    </row>
    <row r="1186" spans="1:23" x14ac:dyDescent="0.25">
      <c r="A1186">
        <v>1185</v>
      </c>
      <c r="B1186" t="s">
        <v>5347</v>
      </c>
      <c r="C1186" s="1">
        <v>41955</v>
      </c>
      <c r="D1186" s="1">
        <v>41959</v>
      </c>
      <c r="E1186" t="s">
        <v>49</v>
      </c>
      <c r="F1186" t="s">
        <v>2858</v>
      </c>
      <c r="G1186" t="s">
        <v>2859</v>
      </c>
      <c r="H1186" t="s">
        <v>25</v>
      </c>
      <c r="I1186" t="s">
        <v>26</v>
      </c>
      <c r="J1186" t="s">
        <v>41</v>
      </c>
      <c r="K1186" t="s">
        <v>42</v>
      </c>
      <c r="L1186">
        <v>90045</v>
      </c>
      <c r="M1186" t="s">
        <v>43</v>
      </c>
      <c r="N1186" t="s">
        <v>1407</v>
      </c>
      <c r="O1186" t="s">
        <v>45</v>
      </c>
      <c r="P1186" t="s">
        <v>89</v>
      </c>
      <c r="Q1186" t="s">
        <v>1408</v>
      </c>
      <c r="R1186">
        <v>11.96</v>
      </c>
      <c r="S1186">
        <v>2</v>
      </c>
      <c r="T1186">
        <v>0</v>
      </c>
      <c r="U1186">
        <v>5.8604000000000003</v>
      </c>
      <c r="V1186" t="str">
        <f t="shared" si="18"/>
        <v>Joseph Airdo</v>
      </c>
      <c r="W1186">
        <f>Table2[Profit]/Table2[Sales]</f>
        <v>0.49</v>
      </c>
    </row>
    <row r="1187" spans="1:23" x14ac:dyDescent="0.25">
      <c r="A1187">
        <v>1186</v>
      </c>
      <c r="B1187" t="s">
        <v>5348</v>
      </c>
      <c r="C1187" s="1">
        <v>42733</v>
      </c>
      <c r="D1187" s="1">
        <v>42737</v>
      </c>
      <c r="E1187" t="s">
        <v>49</v>
      </c>
      <c r="F1187" t="s">
        <v>1533</v>
      </c>
      <c r="G1187" t="s">
        <v>1534</v>
      </c>
      <c r="H1187" t="s">
        <v>25</v>
      </c>
      <c r="I1187" t="s">
        <v>26</v>
      </c>
      <c r="J1187" t="s">
        <v>2517</v>
      </c>
      <c r="K1187" t="s">
        <v>113</v>
      </c>
      <c r="L1187">
        <v>53209</v>
      </c>
      <c r="M1187" t="s">
        <v>104</v>
      </c>
      <c r="N1187" t="s">
        <v>5282</v>
      </c>
      <c r="O1187" t="s">
        <v>31</v>
      </c>
      <c r="P1187" t="s">
        <v>35</v>
      </c>
      <c r="Q1187" t="s">
        <v>5283</v>
      </c>
      <c r="R1187">
        <v>754.45</v>
      </c>
      <c r="S1187">
        <v>5</v>
      </c>
      <c r="T1187">
        <v>0</v>
      </c>
      <c r="U1187">
        <v>60.356000000000002</v>
      </c>
      <c r="V1187" t="str">
        <f t="shared" si="18"/>
        <v>Troy Blackwell</v>
      </c>
      <c r="W1187">
        <f>Table2[Profit]/Table2[Sales]</f>
        <v>0.08</v>
      </c>
    </row>
    <row r="1188" spans="1:23" x14ac:dyDescent="0.25">
      <c r="A1188">
        <v>1187</v>
      </c>
      <c r="B1188" t="s">
        <v>5349</v>
      </c>
      <c r="C1188" s="1">
        <v>42191</v>
      </c>
      <c r="D1188" s="1">
        <v>42196</v>
      </c>
      <c r="E1188" t="s">
        <v>49</v>
      </c>
      <c r="F1188" t="s">
        <v>3714</v>
      </c>
      <c r="G1188" t="s">
        <v>3715</v>
      </c>
      <c r="H1188" t="s">
        <v>101</v>
      </c>
      <c r="I1188" t="s">
        <v>26</v>
      </c>
      <c r="J1188" t="s">
        <v>5350</v>
      </c>
      <c r="K1188" t="s">
        <v>1233</v>
      </c>
      <c r="L1188">
        <v>1040</v>
      </c>
      <c r="M1188" t="s">
        <v>145</v>
      </c>
      <c r="N1188" t="s">
        <v>1591</v>
      </c>
      <c r="O1188" t="s">
        <v>31</v>
      </c>
      <c r="P1188" t="s">
        <v>32</v>
      </c>
      <c r="Q1188" t="s">
        <v>1592</v>
      </c>
      <c r="R1188">
        <v>301.95999999999998</v>
      </c>
      <c r="S1188">
        <v>2</v>
      </c>
      <c r="T1188">
        <v>0</v>
      </c>
      <c r="U1188">
        <v>60.392000000000003</v>
      </c>
      <c r="V1188" t="str">
        <f t="shared" si="18"/>
        <v>Paul Prost</v>
      </c>
      <c r="W1188">
        <f>Table2[Profit]/Table2[Sales]</f>
        <v>0.2</v>
      </c>
    </row>
    <row r="1189" spans="1:23" x14ac:dyDescent="0.25">
      <c r="A1189">
        <v>1188</v>
      </c>
      <c r="B1189" t="s">
        <v>5351</v>
      </c>
      <c r="C1189" s="1">
        <v>43020</v>
      </c>
      <c r="D1189" s="1">
        <v>43026</v>
      </c>
      <c r="E1189" t="s">
        <v>49</v>
      </c>
      <c r="F1189" t="s">
        <v>5352</v>
      </c>
      <c r="G1189" t="s">
        <v>5353</v>
      </c>
      <c r="H1189" t="s">
        <v>40</v>
      </c>
      <c r="I1189" t="s">
        <v>26</v>
      </c>
      <c r="J1189" t="s">
        <v>5354</v>
      </c>
      <c r="K1189" t="s">
        <v>660</v>
      </c>
      <c r="L1189">
        <v>87105</v>
      </c>
      <c r="M1189" t="s">
        <v>43</v>
      </c>
      <c r="N1189" t="s">
        <v>4712</v>
      </c>
      <c r="O1189" t="s">
        <v>70</v>
      </c>
      <c r="P1189" t="s">
        <v>158</v>
      </c>
      <c r="Q1189" t="s">
        <v>4713</v>
      </c>
      <c r="R1189">
        <v>595</v>
      </c>
      <c r="S1189">
        <v>5</v>
      </c>
      <c r="T1189">
        <v>0</v>
      </c>
      <c r="U1189">
        <v>95.2</v>
      </c>
      <c r="V1189" t="str">
        <f t="shared" si="18"/>
        <v>Michelle Lonsdale</v>
      </c>
      <c r="W1189">
        <f>Table2[Profit]/Table2[Sales]</f>
        <v>0.16</v>
      </c>
    </row>
    <row r="1190" spans="1:23" x14ac:dyDescent="0.25">
      <c r="A1190">
        <v>1189</v>
      </c>
      <c r="B1190" t="s">
        <v>5355</v>
      </c>
      <c r="C1190" s="1">
        <v>42511</v>
      </c>
      <c r="D1190" s="1">
        <v>42518</v>
      </c>
      <c r="E1190" t="s">
        <v>49</v>
      </c>
      <c r="F1190" t="s">
        <v>205</v>
      </c>
      <c r="G1190" t="s">
        <v>206</v>
      </c>
      <c r="H1190" t="s">
        <v>40</v>
      </c>
      <c r="I1190" t="s">
        <v>26</v>
      </c>
      <c r="J1190" t="s">
        <v>5356</v>
      </c>
      <c r="K1190" t="s">
        <v>1381</v>
      </c>
      <c r="L1190">
        <v>89431</v>
      </c>
      <c r="M1190" t="s">
        <v>43</v>
      </c>
      <c r="N1190" t="s">
        <v>5357</v>
      </c>
      <c r="O1190" t="s">
        <v>70</v>
      </c>
      <c r="P1190" t="s">
        <v>675</v>
      </c>
      <c r="Q1190" t="s">
        <v>5358</v>
      </c>
      <c r="R1190">
        <v>2396.4</v>
      </c>
      <c r="S1190">
        <v>10</v>
      </c>
      <c r="T1190">
        <v>0.2</v>
      </c>
      <c r="U1190">
        <v>179.73</v>
      </c>
      <c r="V1190" t="str">
        <f t="shared" si="18"/>
        <v>Linda Cazamias</v>
      </c>
      <c r="W1190">
        <f>Table2[Profit]/Table2[Sales]</f>
        <v>7.4999999999999997E-2</v>
      </c>
    </row>
    <row r="1191" spans="1:23" x14ac:dyDescent="0.25">
      <c r="A1191">
        <v>1190</v>
      </c>
      <c r="B1191" t="s">
        <v>5359</v>
      </c>
      <c r="C1191" s="1">
        <v>43048</v>
      </c>
      <c r="D1191" s="1">
        <v>43053</v>
      </c>
      <c r="E1191" t="s">
        <v>49</v>
      </c>
      <c r="F1191" t="s">
        <v>4821</v>
      </c>
      <c r="G1191" t="s">
        <v>4822</v>
      </c>
      <c r="H1191" t="s">
        <v>40</v>
      </c>
      <c r="I1191" t="s">
        <v>26</v>
      </c>
      <c r="J1191" t="s">
        <v>5360</v>
      </c>
      <c r="K1191" t="s">
        <v>42</v>
      </c>
      <c r="L1191">
        <v>92236</v>
      </c>
      <c r="M1191" t="s">
        <v>43</v>
      </c>
      <c r="N1191" t="s">
        <v>3708</v>
      </c>
      <c r="O1191" t="s">
        <v>45</v>
      </c>
      <c r="P1191" t="s">
        <v>58</v>
      </c>
      <c r="Q1191" t="s">
        <v>3709</v>
      </c>
      <c r="R1191">
        <v>63.56</v>
      </c>
      <c r="S1191">
        <v>2</v>
      </c>
      <c r="T1191">
        <v>0</v>
      </c>
      <c r="U1191">
        <v>3.1779999999999999</v>
      </c>
      <c r="V1191" t="str">
        <f t="shared" si="18"/>
        <v>Matt Collister</v>
      </c>
      <c r="W1191">
        <f>Table2[Profit]/Table2[Sales]</f>
        <v>4.9999999999999996E-2</v>
      </c>
    </row>
    <row r="1192" spans="1:23" x14ac:dyDescent="0.25">
      <c r="A1192">
        <v>1191</v>
      </c>
      <c r="B1192" t="s">
        <v>5363</v>
      </c>
      <c r="C1192" s="1">
        <v>42478</v>
      </c>
      <c r="D1192" s="1">
        <v>42483</v>
      </c>
      <c r="E1192" t="s">
        <v>49</v>
      </c>
      <c r="F1192" t="s">
        <v>5364</v>
      </c>
      <c r="G1192" t="s">
        <v>5365</v>
      </c>
      <c r="H1192" t="s">
        <v>101</v>
      </c>
      <c r="I1192" t="s">
        <v>26</v>
      </c>
      <c r="J1192" t="s">
        <v>5366</v>
      </c>
      <c r="K1192" t="s">
        <v>208</v>
      </c>
      <c r="L1192">
        <v>60126</v>
      </c>
      <c r="M1192" t="s">
        <v>104</v>
      </c>
      <c r="N1192" t="s">
        <v>372</v>
      </c>
      <c r="O1192" t="s">
        <v>45</v>
      </c>
      <c r="P1192" t="s">
        <v>58</v>
      </c>
      <c r="Q1192" t="s">
        <v>373</v>
      </c>
      <c r="R1192">
        <v>230.376</v>
      </c>
      <c r="S1192">
        <v>3</v>
      </c>
      <c r="T1192">
        <v>0.2</v>
      </c>
      <c r="U1192">
        <v>-48.954900000000002</v>
      </c>
      <c r="V1192" t="str">
        <f t="shared" si="18"/>
        <v>Clay Rozendal</v>
      </c>
      <c r="W1192">
        <f>Table2[Profit]/Table2[Sales]</f>
        <v>-0.21249999999999999</v>
      </c>
    </row>
    <row r="1193" spans="1:23" x14ac:dyDescent="0.25">
      <c r="A1193">
        <v>1192</v>
      </c>
      <c r="B1193" t="s">
        <v>5367</v>
      </c>
      <c r="C1193" s="1">
        <v>43094</v>
      </c>
      <c r="D1193" s="1">
        <v>43099</v>
      </c>
      <c r="E1193" t="s">
        <v>49</v>
      </c>
      <c r="F1193" t="s">
        <v>5207</v>
      </c>
      <c r="G1193" t="s">
        <v>5208</v>
      </c>
      <c r="H1193" t="s">
        <v>25</v>
      </c>
      <c r="I1193" t="s">
        <v>26</v>
      </c>
      <c r="J1193" t="s">
        <v>739</v>
      </c>
      <c r="K1193" t="s">
        <v>491</v>
      </c>
      <c r="L1193">
        <v>45014</v>
      </c>
      <c r="M1193" t="s">
        <v>145</v>
      </c>
      <c r="N1193" t="s">
        <v>2777</v>
      </c>
      <c r="O1193" t="s">
        <v>70</v>
      </c>
      <c r="P1193" t="s">
        <v>158</v>
      </c>
      <c r="Q1193" t="s">
        <v>2778</v>
      </c>
      <c r="R1193">
        <v>158.928</v>
      </c>
      <c r="S1193">
        <v>7</v>
      </c>
      <c r="T1193">
        <v>0.2</v>
      </c>
      <c r="U1193">
        <v>41.718600000000002</v>
      </c>
      <c r="V1193" t="str">
        <f t="shared" si="18"/>
        <v>Susan Vittorini</v>
      </c>
      <c r="W1193">
        <f>Table2[Profit]/Table2[Sales]</f>
        <v>0.26250000000000001</v>
      </c>
    </row>
    <row r="1194" spans="1:23" x14ac:dyDescent="0.25">
      <c r="A1194">
        <v>1193</v>
      </c>
      <c r="B1194" t="s">
        <v>5370</v>
      </c>
      <c r="C1194" s="1">
        <v>42532</v>
      </c>
      <c r="D1194" s="1">
        <v>42538</v>
      </c>
      <c r="E1194" t="s">
        <v>49</v>
      </c>
      <c r="F1194" t="s">
        <v>766</v>
      </c>
      <c r="G1194" t="s">
        <v>767</v>
      </c>
      <c r="H1194" t="s">
        <v>40</v>
      </c>
      <c r="I1194" t="s">
        <v>26</v>
      </c>
      <c r="J1194" t="s">
        <v>1119</v>
      </c>
      <c r="K1194" t="s">
        <v>103</v>
      </c>
      <c r="L1194">
        <v>76017</v>
      </c>
      <c r="M1194" t="s">
        <v>104</v>
      </c>
      <c r="N1194" t="s">
        <v>5371</v>
      </c>
      <c r="O1194" t="s">
        <v>45</v>
      </c>
      <c r="P1194" t="s">
        <v>74</v>
      </c>
      <c r="Q1194" t="s">
        <v>5372</v>
      </c>
      <c r="R1194">
        <v>1.3440000000000001</v>
      </c>
      <c r="S1194">
        <v>4</v>
      </c>
      <c r="T1194">
        <v>0.8</v>
      </c>
      <c r="U1194">
        <v>-2.1503999999999999</v>
      </c>
      <c r="V1194" t="str">
        <f t="shared" si="18"/>
        <v>Mary Zewe</v>
      </c>
      <c r="W1194">
        <f>Table2[Profit]/Table2[Sales]</f>
        <v>-1.5999999999999999</v>
      </c>
    </row>
    <row r="1195" spans="1:23" x14ac:dyDescent="0.25">
      <c r="A1195">
        <v>1194</v>
      </c>
      <c r="B1195" t="s">
        <v>5375</v>
      </c>
      <c r="C1195" s="1">
        <v>42868</v>
      </c>
      <c r="D1195" s="1">
        <v>42875</v>
      </c>
      <c r="E1195" t="s">
        <v>49</v>
      </c>
      <c r="F1195" t="s">
        <v>1494</v>
      </c>
      <c r="G1195" t="s">
        <v>1495</v>
      </c>
      <c r="H1195" t="s">
        <v>101</v>
      </c>
      <c r="I1195" t="s">
        <v>26</v>
      </c>
      <c r="J1195" t="s">
        <v>126</v>
      </c>
      <c r="K1195" t="s">
        <v>42</v>
      </c>
      <c r="L1195">
        <v>94110</v>
      </c>
      <c r="M1195" t="s">
        <v>43</v>
      </c>
      <c r="N1195" t="s">
        <v>44</v>
      </c>
      <c r="O1195" t="s">
        <v>45</v>
      </c>
      <c r="P1195" t="s">
        <v>46</v>
      </c>
      <c r="Q1195" t="s">
        <v>47</v>
      </c>
      <c r="R1195">
        <v>58.48</v>
      </c>
      <c r="S1195">
        <v>8</v>
      </c>
      <c r="T1195">
        <v>0</v>
      </c>
      <c r="U1195">
        <v>27.485600000000002</v>
      </c>
      <c r="V1195" t="str">
        <f t="shared" si="18"/>
        <v>Ross Baird</v>
      </c>
      <c r="W1195">
        <f>Table2[Profit]/Table2[Sales]</f>
        <v>0.47000000000000003</v>
      </c>
    </row>
    <row r="1196" spans="1:23" x14ac:dyDescent="0.25">
      <c r="A1196">
        <v>1195</v>
      </c>
      <c r="B1196" t="s">
        <v>5376</v>
      </c>
      <c r="C1196" s="1">
        <v>43097</v>
      </c>
      <c r="D1196" s="1">
        <v>43102</v>
      </c>
      <c r="E1196" t="s">
        <v>49</v>
      </c>
      <c r="F1196" t="s">
        <v>3673</v>
      </c>
      <c r="G1196" t="s">
        <v>3674</v>
      </c>
      <c r="H1196" t="s">
        <v>40</v>
      </c>
      <c r="I1196" t="s">
        <v>26</v>
      </c>
      <c r="J1196" t="s">
        <v>94</v>
      </c>
      <c r="K1196" t="s">
        <v>95</v>
      </c>
      <c r="L1196">
        <v>98103</v>
      </c>
      <c r="M1196" t="s">
        <v>43</v>
      </c>
      <c r="N1196" t="s">
        <v>1351</v>
      </c>
      <c r="O1196" t="s">
        <v>31</v>
      </c>
      <c r="P1196" t="s">
        <v>64</v>
      </c>
      <c r="Q1196" t="s">
        <v>1352</v>
      </c>
      <c r="R1196">
        <v>7.4</v>
      </c>
      <c r="S1196">
        <v>2</v>
      </c>
      <c r="T1196">
        <v>0</v>
      </c>
      <c r="U1196">
        <v>3.0339999999999998</v>
      </c>
      <c r="V1196" t="str">
        <f t="shared" si="18"/>
        <v>Harry Marie</v>
      </c>
      <c r="W1196">
        <f>Table2[Profit]/Table2[Sales]</f>
        <v>0.41</v>
      </c>
    </row>
    <row r="1197" spans="1:23" x14ac:dyDescent="0.25">
      <c r="A1197">
        <v>1196</v>
      </c>
      <c r="B1197" t="s">
        <v>5377</v>
      </c>
      <c r="C1197" s="1">
        <v>41723</v>
      </c>
      <c r="D1197" s="1">
        <v>41730</v>
      </c>
      <c r="E1197" t="s">
        <v>49</v>
      </c>
      <c r="F1197" t="s">
        <v>5378</v>
      </c>
      <c r="G1197" t="s">
        <v>5379</v>
      </c>
      <c r="H1197" t="s">
        <v>25</v>
      </c>
      <c r="I1197" t="s">
        <v>26</v>
      </c>
      <c r="J1197" t="s">
        <v>263</v>
      </c>
      <c r="K1197" t="s">
        <v>264</v>
      </c>
      <c r="L1197">
        <v>10009</v>
      </c>
      <c r="M1197" t="s">
        <v>145</v>
      </c>
      <c r="N1197" t="s">
        <v>5380</v>
      </c>
      <c r="O1197" t="s">
        <v>31</v>
      </c>
      <c r="P1197" t="s">
        <v>35</v>
      </c>
      <c r="Q1197" t="s">
        <v>5381</v>
      </c>
      <c r="R1197">
        <v>366.786</v>
      </c>
      <c r="S1197">
        <v>7</v>
      </c>
      <c r="T1197">
        <v>0.1</v>
      </c>
      <c r="U1197">
        <v>65.206400000000002</v>
      </c>
      <c r="V1197" t="str">
        <f t="shared" si="18"/>
        <v>Annie Zypern</v>
      </c>
      <c r="W1197">
        <f>Table2[Profit]/Table2[Sales]</f>
        <v>0.17777777777777778</v>
      </c>
    </row>
    <row r="1198" spans="1:23" x14ac:dyDescent="0.25">
      <c r="A1198">
        <v>1197</v>
      </c>
      <c r="B1198" t="s">
        <v>5382</v>
      </c>
      <c r="C1198" s="1">
        <v>42883</v>
      </c>
      <c r="D1198" s="1">
        <v>42887</v>
      </c>
      <c r="E1198" t="s">
        <v>49</v>
      </c>
      <c r="F1198" t="s">
        <v>852</v>
      </c>
      <c r="G1198" t="s">
        <v>853</v>
      </c>
      <c r="H1198" t="s">
        <v>25</v>
      </c>
      <c r="I1198" t="s">
        <v>26</v>
      </c>
      <c r="J1198" t="s">
        <v>181</v>
      </c>
      <c r="K1198" t="s">
        <v>103</v>
      </c>
      <c r="L1198">
        <v>77070</v>
      </c>
      <c r="M1198" t="s">
        <v>104</v>
      </c>
      <c r="N1198" t="s">
        <v>4971</v>
      </c>
      <c r="O1198" t="s">
        <v>70</v>
      </c>
      <c r="P1198" t="s">
        <v>71</v>
      </c>
      <c r="Q1198" t="s">
        <v>4972</v>
      </c>
      <c r="R1198">
        <v>54.368000000000002</v>
      </c>
      <c r="S1198">
        <v>4</v>
      </c>
      <c r="T1198">
        <v>0.2</v>
      </c>
      <c r="U1198">
        <v>4.0776000000000003</v>
      </c>
      <c r="V1198" t="str">
        <f t="shared" si="18"/>
        <v>Jonathan Howell</v>
      </c>
      <c r="W1198">
        <f>Table2[Profit]/Table2[Sales]</f>
        <v>7.4999999999999997E-2</v>
      </c>
    </row>
    <row r="1199" spans="1:23" x14ac:dyDescent="0.25">
      <c r="A1199">
        <v>1198</v>
      </c>
      <c r="B1199" t="s">
        <v>5383</v>
      </c>
      <c r="C1199" s="1">
        <v>42322</v>
      </c>
      <c r="D1199" s="1">
        <v>42325</v>
      </c>
      <c r="E1199" t="s">
        <v>185</v>
      </c>
      <c r="F1199" t="s">
        <v>5178</v>
      </c>
      <c r="G1199" t="s">
        <v>5179</v>
      </c>
      <c r="H1199" t="s">
        <v>40</v>
      </c>
      <c r="I1199" t="s">
        <v>26</v>
      </c>
      <c r="J1199" t="s">
        <v>311</v>
      </c>
      <c r="K1199" t="s">
        <v>312</v>
      </c>
      <c r="L1199">
        <v>22153</v>
      </c>
      <c r="M1199" t="s">
        <v>29</v>
      </c>
      <c r="N1199" t="s">
        <v>2391</v>
      </c>
      <c r="O1199" t="s">
        <v>45</v>
      </c>
      <c r="P1199" t="s">
        <v>170</v>
      </c>
      <c r="Q1199" t="s">
        <v>2392</v>
      </c>
      <c r="R1199">
        <v>33.96</v>
      </c>
      <c r="S1199">
        <v>2</v>
      </c>
      <c r="T1199">
        <v>0</v>
      </c>
      <c r="U1199">
        <v>16.98</v>
      </c>
      <c r="V1199" t="str">
        <f t="shared" si="18"/>
        <v>Patrick Jones</v>
      </c>
      <c r="W1199">
        <f>Table2[Profit]/Table2[Sales]</f>
        <v>0.5</v>
      </c>
    </row>
    <row r="1200" spans="1:23" x14ac:dyDescent="0.25">
      <c r="A1200">
        <v>1199</v>
      </c>
      <c r="B1200" t="s">
        <v>5384</v>
      </c>
      <c r="C1200" s="1">
        <v>42919</v>
      </c>
      <c r="D1200" s="1">
        <v>42926</v>
      </c>
      <c r="E1200" t="s">
        <v>49</v>
      </c>
      <c r="F1200" t="s">
        <v>2022</v>
      </c>
      <c r="G1200" t="s">
        <v>2023</v>
      </c>
      <c r="H1200" t="s">
        <v>25</v>
      </c>
      <c r="I1200" t="s">
        <v>26</v>
      </c>
      <c r="J1200" t="s">
        <v>2813</v>
      </c>
      <c r="K1200" t="s">
        <v>660</v>
      </c>
      <c r="L1200">
        <v>87401</v>
      </c>
      <c r="M1200" t="s">
        <v>43</v>
      </c>
      <c r="N1200" t="s">
        <v>331</v>
      </c>
      <c r="O1200" t="s">
        <v>31</v>
      </c>
      <c r="P1200" t="s">
        <v>64</v>
      </c>
      <c r="Q1200" t="s">
        <v>332</v>
      </c>
      <c r="R1200">
        <v>545.85</v>
      </c>
      <c r="S1200">
        <v>9</v>
      </c>
      <c r="T1200">
        <v>0</v>
      </c>
      <c r="U1200">
        <v>114.6285</v>
      </c>
      <c r="V1200" t="str">
        <f t="shared" si="18"/>
        <v>Christina Anderson</v>
      </c>
      <c r="W1200">
        <f>Table2[Profit]/Table2[Sales]</f>
        <v>0.21</v>
      </c>
    </row>
    <row r="1201" spans="1:23" x14ac:dyDescent="0.25">
      <c r="A1201">
        <v>1200</v>
      </c>
      <c r="B1201" t="s">
        <v>5385</v>
      </c>
      <c r="C1201" s="1">
        <v>41961</v>
      </c>
      <c r="D1201" s="1">
        <v>41963</v>
      </c>
      <c r="E1201" t="s">
        <v>22</v>
      </c>
      <c r="F1201" t="s">
        <v>5386</v>
      </c>
      <c r="G1201" t="s">
        <v>5387</v>
      </c>
      <c r="H1201" t="s">
        <v>25</v>
      </c>
      <c r="I1201" t="s">
        <v>26</v>
      </c>
      <c r="J1201" t="s">
        <v>1459</v>
      </c>
      <c r="K1201" t="s">
        <v>450</v>
      </c>
      <c r="L1201">
        <v>80027</v>
      </c>
      <c r="M1201" t="s">
        <v>43</v>
      </c>
      <c r="N1201" t="s">
        <v>5388</v>
      </c>
      <c r="O1201" t="s">
        <v>31</v>
      </c>
      <c r="P1201" t="s">
        <v>55</v>
      </c>
      <c r="Q1201" t="s">
        <v>5389</v>
      </c>
      <c r="R1201">
        <v>145.97999999999999</v>
      </c>
      <c r="S1201">
        <v>2</v>
      </c>
      <c r="T1201">
        <v>0.5</v>
      </c>
      <c r="U1201">
        <v>-99.266400000000004</v>
      </c>
      <c r="V1201" t="str">
        <f t="shared" si="18"/>
        <v>Pierre Wener</v>
      </c>
      <c r="W1201">
        <f>Table2[Profit]/Table2[Sales]</f>
        <v>-0.68</v>
      </c>
    </row>
    <row r="1202" spans="1:23" x14ac:dyDescent="0.25">
      <c r="A1202">
        <v>1201</v>
      </c>
      <c r="B1202" t="s">
        <v>5390</v>
      </c>
      <c r="C1202" s="1">
        <v>42933</v>
      </c>
      <c r="D1202" s="1">
        <v>42938</v>
      </c>
      <c r="E1202" t="s">
        <v>49</v>
      </c>
      <c r="F1202" t="s">
        <v>4262</v>
      </c>
      <c r="G1202" t="s">
        <v>4263</v>
      </c>
      <c r="H1202" t="s">
        <v>25</v>
      </c>
      <c r="I1202" t="s">
        <v>26</v>
      </c>
      <c r="J1202" t="s">
        <v>893</v>
      </c>
      <c r="K1202" t="s">
        <v>53</v>
      </c>
      <c r="L1202">
        <v>33614</v>
      </c>
      <c r="M1202" t="s">
        <v>29</v>
      </c>
      <c r="N1202" t="s">
        <v>2416</v>
      </c>
      <c r="O1202" t="s">
        <v>31</v>
      </c>
      <c r="P1202" t="s">
        <v>64</v>
      </c>
      <c r="Q1202" t="s">
        <v>2417</v>
      </c>
      <c r="R1202">
        <v>7.9039999999999999</v>
      </c>
      <c r="S1202">
        <v>2</v>
      </c>
      <c r="T1202">
        <v>0.2</v>
      </c>
      <c r="U1202">
        <v>2.1736</v>
      </c>
      <c r="V1202" t="str">
        <f t="shared" si="18"/>
        <v>Shaun Weien</v>
      </c>
      <c r="W1202">
        <f>Table2[Profit]/Table2[Sales]</f>
        <v>0.27500000000000002</v>
      </c>
    </row>
    <row r="1203" spans="1:23" x14ac:dyDescent="0.25">
      <c r="A1203">
        <v>1202</v>
      </c>
      <c r="B1203" t="s">
        <v>5391</v>
      </c>
      <c r="C1203" s="1">
        <v>42512</v>
      </c>
      <c r="D1203" s="1">
        <v>42517</v>
      </c>
      <c r="E1203" t="s">
        <v>49</v>
      </c>
      <c r="F1203" t="s">
        <v>4974</v>
      </c>
      <c r="G1203" t="s">
        <v>4975</v>
      </c>
      <c r="H1203" t="s">
        <v>25</v>
      </c>
      <c r="I1203" t="s">
        <v>26</v>
      </c>
      <c r="J1203" t="s">
        <v>5392</v>
      </c>
      <c r="K1203" t="s">
        <v>781</v>
      </c>
      <c r="L1203">
        <v>7055</v>
      </c>
      <c r="M1203" t="s">
        <v>145</v>
      </c>
      <c r="N1203" t="s">
        <v>1192</v>
      </c>
      <c r="O1203" t="s">
        <v>70</v>
      </c>
      <c r="P1203" t="s">
        <v>71</v>
      </c>
      <c r="Q1203" t="s">
        <v>1193</v>
      </c>
      <c r="R1203">
        <v>345</v>
      </c>
      <c r="S1203">
        <v>5</v>
      </c>
      <c r="T1203">
        <v>0</v>
      </c>
      <c r="U1203">
        <v>86.25</v>
      </c>
      <c r="V1203" t="str">
        <f t="shared" si="18"/>
        <v>Art Ferguson</v>
      </c>
      <c r="W1203">
        <f>Table2[Profit]/Table2[Sales]</f>
        <v>0.25</v>
      </c>
    </row>
    <row r="1204" spans="1:23" x14ac:dyDescent="0.25">
      <c r="A1204">
        <v>1203</v>
      </c>
      <c r="B1204" t="s">
        <v>5395</v>
      </c>
      <c r="C1204" s="1">
        <v>42272</v>
      </c>
      <c r="D1204" s="1">
        <v>42278</v>
      </c>
      <c r="E1204" t="s">
        <v>49</v>
      </c>
      <c r="F1204" t="s">
        <v>4790</v>
      </c>
      <c r="G1204" t="s">
        <v>4791</v>
      </c>
      <c r="H1204" t="s">
        <v>25</v>
      </c>
      <c r="I1204" t="s">
        <v>26</v>
      </c>
      <c r="J1204" t="s">
        <v>41</v>
      </c>
      <c r="K1204" t="s">
        <v>42</v>
      </c>
      <c r="L1204">
        <v>90004</v>
      </c>
      <c r="M1204" t="s">
        <v>43</v>
      </c>
      <c r="N1204" t="s">
        <v>2914</v>
      </c>
      <c r="O1204" t="s">
        <v>45</v>
      </c>
      <c r="P1204" t="s">
        <v>170</v>
      </c>
      <c r="Q1204" t="s">
        <v>2915</v>
      </c>
      <c r="R1204">
        <v>17.48</v>
      </c>
      <c r="S1204">
        <v>2</v>
      </c>
      <c r="T1204">
        <v>0</v>
      </c>
      <c r="U1204">
        <v>8.2156000000000002</v>
      </c>
      <c r="V1204" t="str">
        <f t="shared" si="18"/>
        <v>Anne McFarland</v>
      </c>
      <c r="W1204">
        <f>Table2[Profit]/Table2[Sales]</f>
        <v>0.47000000000000003</v>
      </c>
    </row>
    <row r="1205" spans="1:23" x14ac:dyDescent="0.25">
      <c r="A1205">
        <v>1204</v>
      </c>
      <c r="B1205" t="s">
        <v>5396</v>
      </c>
      <c r="C1205" s="1">
        <v>42674</v>
      </c>
      <c r="D1205" s="1">
        <v>42680</v>
      </c>
      <c r="E1205" t="s">
        <v>49</v>
      </c>
      <c r="F1205" t="s">
        <v>1844</v>
      </c>
      <c r="G1205" t="s">
        <v>1845</v>
      </c>
      <c r="H1205" t="s">
        <v>25</v>
      </c>
      <c r="I1205" t="s">
        <v>26</v>
      </c>
      <c r="J1205" t="s">
        <v>143</v>
      </c>
      <c r="K1205" t="s">
        <v>144</v>
      </c>
      <c r="L1205">
        <v>19143</v>
      </c>
      <c r="M1205" t="s">
        <v>145</v>
      </c>
      <c r="N1205" t="s">
        <v>4525</v>
      </c>
      <c r="O1205" t="s">
        <v>31</v>
      </c>
      <c r="P1205" t="s">
        <v>35</v>
      </c>
      <c r="Q1205" t="s">
        <v>4526</v>
      </c>
      <c r="R1205">
        <v>492.83499999999998</v>
      </c>
      <c r="S1205">
        <v>5</v>
      </c>
      <c r="T1205">
        <v>0.3</v>
      </c>
      <c r="U1205">
        <v>-14.081</v>
      </c>
      <c r="V1205" t="str">
        <f t="shared" si="18"/>
        <v>Bill Donatelli</v>
      </c>
      <c r="W1205">
        <f>Table2[Profit]/Table2[Sales]</f>
        <v>-2.8571428571428571E-2</v>
      </c>
    </row>
    <row r="1206" spans="1:23" x14ac:dyDescent="0.25">
      <c r="A1206">
        <v>1205</v>
      </c>
      <c r="B1206" t="s">
        <v>5397</v>
      </c>
      <c r="C1206" s="1">
        <v>42261</v>
      </c>
      <c r="D1206" s="1">
        <v>42264</v>
      </c>
      <c r="E1206" t="s">
        <v>22</v>
      </c>
      <c r="F1206" t="s">
        <v>1710</v>
      </c>
      <c r="G1206" t="s">
        <v>1711</v>
      </c>
      <c r="H1206" t="s">
        <v>25</v>
      </c>
      <c r="I1206" t="s">
        <v>26</v>
      </c>
      <c r="J1206" t="s">
        <v>5398</v>
      </c>
      <c r="K1206" t="s">
        <v>376</v>
      </c>
      <c r="L1206">
        <v>29406</v>
      </c>
      <c r="M1206" t="s">
        <v>29</v>
      </c>
      <c r="N1206" t="s">
        <v>1665</v>
      </c>
      <c r="O1206" t="s">
        <v>45</v>
      </c>
      <c r="P1206" t="s">
        <v>58</v>
      </c>
      <c r="Q1206" t="s">
        <v>1666</v>
      </c>
      <c r="R1206">
        <v>269.49</v>
      </c>
      <c r="S1206">
        <v>3</v>
      </c>
      <c r="T1206">
        <v>0</v>
      </c>
      <c r="U1206">
        <v>5.3898000000000001</v>
      </c>
      <c r="V1206" t="str">
        <f t="shared" si="18"/>
        <v>Christopher Martinez</v>
      </c>
      <c r="W1206">
        <f>Table2[Profit]/Table2[Sales]</f>
        <v>0.02</v>
      </c>
    </row>
    <row r="1207" spans="1:23" x14ac:dyDescent="0.25">
      <c r="A1207">
        <v>1206</v>
      </c>
      <c r="B1207" t="s">
        <v>5399</v>
      </c>
      <c r="C1207" s="1">
        <v>42679</v>
      </c>
      <c r="D1207" s="1">
        <v>42684</v>
      </c>
      <c r="E1207" t="s">
        <v>49</v>
      </c>
      <c r="F1207" t="s">
        <v>370</v>
      </c>
      <c r="G1207" t="s">
        <v>371</v>
      </c>
      <c r="H1207" t="s">
        <v>101</v>
      </c>
      <c r="I1207" t="s">
        <v>26</v>
      </c>
      <c r="J1207" t="s">
        <v>622</v>
      </c>
      <c r="K1207" t="s">
        <v>42</v>
      </c>
      <c r="L1207">
        <v>95123</v>
      </c>
      <c r="M1207" t="s">
        <v>43</v>
      </c>
      <c r="N1207" t="s">
        <v>5400</v>
      </c>
      <c r="O1207" t="s">
        <v>45</v>
      </c>
      <c r="P1207" t="s">
        <v>74</v>
      </c>
      <c r="Q1207" t="s">
        <v>5401</v>
      </c>
      <c r="R1207">
        <v>29.12</v>
      </c>
      <c r="S1207">
        <v>5</v>
      </c>
      <c r="T1207">
        <v>0.2</v>
      </c>
      <c r="U1207">
        <v>9.8279999999999994</v>
      </c>
      <c r="V1207" t="str">
        <f t="shared" si="18"/>
        <v>Christopher Schild</v>
      </c>
      <c r="W1207">
        <f>Table2[Profit]/Table2[Sales]</f>
        <v>0.33749999999999997</v>
      </c>
    </row>
    <row r="1208" spans="1:23" x14ac:dyDescent="0.25">
      <c r="A1208">
        <v>1207</v>
      </c>
      <c r="B1208" t="s">
        <v>5402</v>
      </c>
      <c r="C1208" s="1">
        <v>42811</v>
      </c>
      <c r="D1208" s="1">
        <v>42816</v>
      </c>
      <c r="E1208" t="s">
        <v>22</v>
      </c>
      <c r="F1208" t="s">
        <v>5089</v>
      </c>
      <c r="G1208" t="s">
        <v>5090</v>
      </c>
      <c r="H1208" t="s">
        <v>25</v>
      </c>
      <c r="I1208" t="s">
        <v>26</v>
      </c>
      <c r="J1208" t="s">
        <v>263</v>
      </c>
      <c r="K1208" t="s">
        <v>264</v>
      </c>
      <c r="L1208">
        <v>10011</v>
      </c>
      <c r="M1208" t="s">
        <v>145</v>
      </c>
      <c r="N1208" t="s">
        <v>5403</v>
      </c>
      <c r="O1208" t="s">
        <v>45</v>
      </c>
      <c r="P1208" t="s">
        <v>46</v>
      </c>
      <c r="Q1208" t="s">
        <v>5404</v>
      </c>
      <c r="R1208">
        <v>18.75</v>
      </c>
      <c r="S1208">
        <v>5</v>
      </c>
      <c r="T1208">
        <v>0</v>
      </c>
      <c r="U1208">
        <v>9</v>
      </c>
      <c r="V1208" t="str">
        <f t="shared" si="18"/>
        <v>Denny Blanton</v>
      </c>
      <c r="W1208">
        <f>Table2[Profit]/Table2[Sales]</f>
        <v>0.48</v>
      </c>
    </row>
    <row r="1209" spans="1:23" x14ac:dyDescent="0.25">
      <c r="A1209">
        <v>1208</v>
      </c>
      <c r="B1209" t="s">
        <v>5405</v>
      </c>
      <c r="C1209" s="1">
        <v>42962</v>
      </c>
      <c r="D1209" s="1">
        <v>42968</v>
      </c>
      <c r="E1209" t="s">
        <v>49</v>
      </c>
      <c r="F1209" t="s">
        <v>4175</v>
      </c>
      <c r="G1209" t="s">
        <v>4176</v>
      </c>
      <c r="H1209" t="s">
        <v>25</v>
      </c>
      <c r="I1209" t="s">
        <v>26</v>
      </c>
      <c r="J1209" t="s">
        <v>2096</v>
      </c>
      <c r="K1209" t="s">
        <v>781</v>
      </c>
      <c r="L1209">
        <v>7060</v>
      </c>
      <c r="M1209" t="s">
        <v>145</v>
      </c>
      <c r="N1209" t="s">
        <v>1583</v>
      </c>
      <c r="O1209" t="s">
        <v>45</v>
      </c>
      <c r="P1209" t="s">
        <v>77</v>
      </c>
      <c r="Q1209" t="s">
        <v>1584</v>
      </c>
      <c r="R1209">
        <v>97.84</v>
      </c>
      <c r="S1209">
        <v>2</v>
      </c>
      <c r="T1209">
        <v>0</v>
      </c>
      <c r="U1209">
        <v>25.438400000000001</v>
      </c>
      <c r="V1209" t="str">
        <f t="shared" si="18"/>
        <v>James Galang</v>
      </c>
      <c r="W1209">
        <f>Table2[Profit]/Table2[Sales]</f>
        <v>0.26</v>
      </c>
    </row>
    <row r="1210" spans="1:23" x14ac:dyDescent="0.25">
      <c r="A1210">
        <v>1209</v>
      </c>
      <c r="B1210" t="s">
        <v>5406</v>
      </c>
      <c r="C1210" s="1">
        <v>42196</v>
      </c>
      <c r="D1210" s="1">
        <v>42198</v>
      </c>
      <c r="E1210" t="s">
        <v>22</v>
      </c>
      <c r="F1210" t="s">
        <v>5407</v>
      </c>
      <c r="G1210" t="s">
        <v>5408</v>
      </c>
      <c r="H1210" t="s">
        <v>25</v>
      </c>
      <c r="I1210" t="s">
        <v>26</v>
      </c>
      <c r="J1210" t="s">
        <v>94</v>
      </c>
      <c r="K1210" t="s">
        <v>95</v>
      </c>
      <c r="L1210">
        <v>98115</v>
      </c>
      <c r="M1210" t="s">
        <v>43</v>
      </c>
      <c r="N1210" t="s">
        <v>3232</v>
      </c>
      <c r="O1210" t="s">
        <v>45</v>
      </c>
      <c r="P1210" t="s">
        <v>89</v>
      </c>
      <c r="Q1210" t="s">
        <v>3233</v>
      </c>
      <c r="R1210">
        <v>29.97</v>
      </c>
      <c r="S1210">
        <v>3</v>
      </c>
      <c r="T1210">
        <v>0</v>
      </c>
      <c r="U1210">
        <v>13.486499999999999</v>
      </c>
      <c r="V1210" t="str">
        <f t="shared" si="18"/>
        <v>Shahid Collister</v>
      </c>
      <c r="W1210">
        <f>Table2[Profit]/Table2[Sales]</f>
        <v>0.45</v>
      </c>
    </row>
    <row r="1211" spans="1:23" x14ac:dyDescent="0.25">
      <c r="A1211">
        <v>1210</v>
      </c>
      <c r="B1211" t="s">
        <v>5409</v>
      </c>
      <c r="C1211" s="1">
        <v>43072</v>
      </c>
      <c r="D1211" s="1">
        <v>43078</v>
      </c>
      <c r="E1211" t="s">
        <v>49</v>
      </c>
      <c r="F1211" t="s">
        <v>3540</v>
      </c>
      <c r="G1211" t="s">
        <v>3541</v>
      </c>
      <c r="H1211" t="s">
        <v>25</v>
      </c>
      <c r="I1211" t="s">
        <v>26</v>
      </c>
      <c r="J1211" t="s">
        <v>263</v>
      </c>
      <c r="K1211" t="s">
        <v>264</v>
      </c>
      <c r="L1211">
        <v>10009</v>
      </c>
      <c r="M1211" t="s">
        <v>145</v>
      </c>
      <c r="N1211" t="s">
        <v>1187</v>
      </c>
      <c r="O1211" t="s">
        <v>45</v>
      </c>
      <c r="P1211" t="s">
        <v>74</v>
      </c>
      <c r="Q1211" t="s">
        <v>1188</v>
      </c>
      <c r="R1211">
        <v>83.92</v>
      </c>
      <c r="S1211">
        <v>5</v>
      </c>
      <c r="T1211">
        <v>0.2</v>
      </c>
      <c r="U1211">
        <v>29.372</v>
      </c>
      <c r="V1211" t="str">
        <f t="shared" si="18"/>
        <v>Chuck Sachs</v>
      </c>
      <c r="W1211">
        <f>Table2[Profit]/Table2[Sales]</f>
        <v>0.35</v>
      </c>
    </row>
    <row r="1212" spans="1:23" x14ac:dyDescent="0.25">
      <c r="A1212">
        <v>1211</v>
      </c>
      <c r="B1212" t="s">
        <v>5410</v>
      </c>
      <c r="C1212" s="1">
        <v>42859</v>
      </c>
      <c r="D1212" s="1">
        <v>42863</v>
      </c>
      <c r="E1212" t="s">
        <v>49</v>
      </c>
      <c r="F1212" t="s">
        <v>1505</v>
      </c>
      <c r="G1212" t="s">
        <v>1506</v>
      </c>
      <c r="H1212" t="s">
        <v>25</v>
      </c>
      <c r="I1212" t="s">
        <v>26</v>
      </c>
      <c r="J1212" t="s">
        <v>5411</v>
      </c>
      <c r="K1212" t="s">
        <v>312</v>
      </c>
      <c r="L1212">
        <v>23602</v>
      </c>
      <c r="M1212" t="s">
        <v>29</v>
      </c>
      <c r="N1212" t="s">
        <v>5412</v>
      </c>
      <c r="O1212" t="s">
        <v>45</v>
      </c>
      <c r="P1212" t="s">
        <v>89</v>
      </c>
      <c r="Q1212" t="s">
        <v>5413</v>
      </c>
      <c r="R1212">
        <v>9.11</v>
      </c>
      <c r="S1212">
        <v>1</v>
      </c>
      <c r="T1212">
        <v>0</v>
      </c>
      <c r="U1212">
        <v>4.0994999999999999</v>
      </c>
      <c r="V1212" t="str">
        <f t="shared" si="18"/>
        <v>Mike Kennedy</v>
      </c>
      <c r="W1212">
        <f>Table2[Profit]/Table2[Sales]</f>
        <v>0.45</v>
      </c>
    </row>
    <row r="1213" spans="1:23" x14ac:dyDescent="0.25">
      <c r="A1213">
        <v>1212</v>
      </c>
      <c r="B1213" t="s">
        <v>5416</v>
      </c>
      <c r="C1213" s="1">
        <v>42391</v>
      </c>
      <c r="D1213" s="1">
        <v>42397</v>
      </c>
      <c r="E1213" t="s">
        <v>49</v>
      </c>
      <c r="F1213" t="s">
        <v>5417</v>
      </c>
      <c r="G1213" t="s">
        <v>5418</v>
      </c>
      <c r="H1213" t="s">
        <v>25</v>
      </c>
      <c r="I1213" t="s">
        <v>26</v>
      </c>
      <c r="J1213" t="s">
        <v>1682</v>
      </c>
      <c r="K1213" t="s">
        <v>87</v>
      </c>
      <c r="L1213">
        <v>28314</v>
      </c>
      <c r="M1213" t="s">
        <v>29</v>
      </c>
      <c r="N1213" t="s">
        <v>5419</v>
      </c>
      <c r="O1213" t="s">
        <v>31</v>
      </c>
      <c r="P1213" t="s">
        <v>64</v>
      </c>
      <c r="Q1213" t="s">
        <v>5420</v>
      </c>
      <c r="R1213">
        <v>14.272</v>
      </c>
      <c r="S1213">
        <v>8</v>
      </c>
      <c r="T1213">
        <v>0.2</v>
      </c>
      <c r="U1213">
        <v>4.2816000000000001</v>
      </c>
      <c r="V1213" t="str">
        <f t="shared" si="18"/>
        <v>Carlos Meador</v>
      </c>
      <c r="W1213">
        <f>Table2[Profit]/Table2[Sales]</f>
        <v>0.3</v>
      </c>
    </row>
    <row r="1214" spans="1:23" x14ac:dyDescent="0.25">
      <c r="A1214">
        <v>1213</v>
      </c>
      <c r="B1214" t="s">
        <v>5422</v>
      </c>
      <c r="C1214" s="1">
        <v>42677</v>
      </c>
      <c r="D1214" s="1">
        <v>42680</v>
      </c>
      <c r="E1214" t="s">
        <v>185</v>
      </c>
      <c r="F1214" t="s">
        <v>3459</v>
      </c>
      <c r="G1214" t="s">
        <v>3460</v>
      </c>
      <c r="H1214" t="s">
        <v>25</v>
      </c>
      <c r="I1214" t="s">
        <v>26</v>
      </c>
      <c r="J1214" t="s">
        <v>41</v>
      </c>
      <c r="K1214" t="s">
        <v>42</v>
      </c>
      <c r="L1214">
        <v>90032</v>
      </c>
      <c r="M1214" t="s">
        <v>43</v>
      </c>
      <c r="N1214" t="s">
        <v>5423</v>
      </c>
      <c r="O1214" t="s">
        <v>31</v>
      </c>
      <c r="P1214" t="s">
        <v>35</v>
      </c>
      <c r="Q1214" t="s">
        <v>5424</v>
      </c>
      <c r="R1214">
        <v>217.584</v>
      </c>
      <c r="S1214">
        <v>2</v>
      </c>
      <c r="T1214">
        <v>0.2</v>
      </c>
      <c r="U1214">
        <v>-29.9178</v>
      </c>
      <c r="V1214" t="str">
        <f t="shared" si="18"/>
        <v>Phillip Flathmann</v>
      </c>
      <c r="W1214">
        <f>Table2[Profit]/Table2[Sales]</f>
        <v>-0.13749999999999998</v>
      </c>
    </row>
    <row r="1215" spans="1:23" x14ac:dyDescent="0.25">
      <c r="A1215">
        <v>1214</v>
      </c>
      <c r="B1215" t="s">
        <v>5429</v>
      </c>
      <c r="C1215" s="1">
        <v>42982</v>
      </c>
      <c r="D1215" s="1">
        <v>42986</v>
      </c>
      <c r="E1215" t="s">
        <v>22</v>
      </c>
      <c r="F1215" t="s">
        <v>5430</v>
      </c>
      <c r="G1215" t="s">
        <v>5431</v>
      </c>
      <c r="H1215" t="s">
        <v>40</v>
      </c>
      <c r="I1215" t="s">
        <v>26</v>
      </c>
      <c r="J1215" t="s">
        <v>41</v>
      </c>
      <c r="K1215" t="s">
        <v>42</v>
      </c>
      <c r="L1215">
        <v>90036</v>
      </c>
      <c r="M1215" t="s">
        <v>43</v>
      </c>
      <c r="N1215" t="s">
        <v>2286</v>
      </c>
      <c r="O1215" t="s">
        <v>31</v>
      </c>
      <c r="P1215" t="s">
        <v>55</v>
      </c>
      <c r="Q1215" t="s">
        <v>2287</v>
      </c>
      <c r="R1215">
        <v>1322.3520000000001</v>
      </c>
      <c r="S1215">
        <v>3</v>
      </c>
      <c r="T1215">
        <v>0.2</v>
      </c>
      <c r="U1215">
        <v>-99.176400000000001</v>
      </c>
      <c r="V1215" t="str">
        <f t="shared" si="18"/>
        <v>Greg Maxwell</v>
      </c>
      <c r="W1215">
        <f>Table2[Profit]/Table2[Sales]</f>
        <v>-7.4999999999999997E-2</v>
      </c>
    </row>
    <row r="1216" spans="1:23" x14ac:dyDescent="0.25">
      <c r="A1216">
        <v>1215</v>
      </c>
      <c r="B1216" t="s">
        <v>5432</v>
      </c>
      <c r="C1216" s="1">
        <v>41895</v>
      </c>
      <c r="D1216" s="1">
        <v>41901</v>
      </c>
      <c r="E1216" t="s">
        <v>49</v>
      </c>
      <c r="F1216" t="s">
        <v>3466</v>
      </c>
      <c r="G1216" t="s">
        <v>3467</v>
      </c>
      <c r="H1216" t="s">
        <v>25</v>
      </c>
      <c r="I1216" t="s">
        <v>26</v>
      </c>
      <c r="J1216" t="s">
        <v>263</v>
      </c>
      <c r="K1216" t="s">
        <v>264</v>
      </c>
      <c r="L1216">
        <v>10011</v>
      </c>
      <c r="M1216" t="s">
        <v>145</v>
      </c>
      <c r="N1216" t="s">
        <v>66</v>
      </c>
      <c r="O1216" t="s">
        <v>45</v>
      </c>
      <c r="P1216" t="s">
        <v>67</v>
      </c>
      <c r="Q1216" t="s">
        <v>68</v>
      </c>
      <c r="R1216">
        <v>5.46</v>
      </c>
      <c r="S1216">
        <v>3</v>
      </c>
      <c r="T1216">
        <v>0</v>
      </c>
      <c r="U1216">
        <v>1.4742</v>
      </c>
      <c r="V1216" t="str">
        <f t="shared" si="18"/>
        <v>Dan Campbell</v>
      </c>
      <c r="W1216">
        <f>Table2[Profit]/Table2[Sales]</f>
        <v>0.27</v>
      </c>
    </row>
    <row r="1217" spans="1:23" x14ac:dyDescent="0.25">
      <c r="A1217">
        <v>1216</v>
      </c>
      <c r="B1217" t="s">
        <v>5433</v>
      </c>
      <c r="C1217" s="1">
        <v>42905</v>
      </c>
      <c r="D1217" s="1">
        <v>42911</v>
      </c>
      <c r="E1217" t="s">
        <v>49</v>
      </c>
      <c r="F1217" t="s">
        <v>3109</v>
      </c>
      <c r="G1217" t="s">
        <v>3110</v>
      </c>
      <c r="H1217" t="s">
        <v>25</v>
      </c>
      <c r="I1217" t="s">
        <v>26</v>
      </c>
      <c r="J1217" t="s">
        <v>808</v>
      </c>
      <c r="K1217" t="s">
        <v>103</v>
      </c>
      <c r="L1217">
        <v>75220</v>
      </c>
      <c r="M1217" t="s">
        <v>104</v>
      </c>
      <c r="N1217" t="s">
        <v>5434</v>
      </c>
      <c r="O1217" t="s">
        <v>45</v>
      </c>
      <c r="P1217" t="s">
        <v>572</v>
      </c>
      <c r="Q1217" t="s">
        <v>5435</v>
      </c>
      <c r="R1217">
        <v>11.183999999999999</v>
      </c>
      <c r="S1217">
        <v>1</v>
      </c>
      <c r="T1217">
        <v>0.2</v>
      </c>
      <c r="U1217">
        <v>0.83879999999999999</v>
      </c>
      <c r="V1217" t="str">
        <f t="shared" si="18"/>
        <v>Frank Olsen</v>
      </c>
      <c r="W1217">
        <f>Table2[Profit]/Table2[Sales]</f>
        <v>7.4999999999999997E-2</v>
      </c>
    </row>
    <row r="1218" spans="1:23" x14ac:dyDescent="0.25">
      <c r="A1218">
        <v>1217</v>
      </c>
      <c r="B1218" t="s">
        <v>5436</v>
      </c>
      <c r="C1218" s="1">
        <v>43093</v>
      </c>
      <c r="D1218" s="1">
        <v>43100</v>
      </c>
      <c r="E1218" t="s">
        <v>49</v>
      </c>
      <c r="F1218" t="s">
        <v>981</v>
      </c>
      <c r="G1218" t="s">
        <v>982</v>
      </c>
      <c r="H1218" t="s">
        <v>25</v>
      </c>
      <c r="I1218" t="s">
        <v>26</v>
      </c>
      <c r="J1218" t="s">
        <v>94</v>
      </c>
      <c r="K1218" t="s">
        <v>95</v>
      </c>
      <c r="L1218">
        <v>98105</v>
      </c>
      <c r="M1218" t="s">
        <v>43</v>
      </c>
      <c r="N1218" t="s">
        <v>2887</v>
      </c>
      <c r="O1218" t="s">
        <v>45</v>
      </c>
      <c r="P1218" t="s">
        <v>58</v>
      </c>
      <c r="Q1218" t="s">
        <v>2888</v>
      </c>
      <c r="R1218">
        <v>1003.62</v>
      </c>
      <c r="S1218">
        <v>6</v>
      </c>
      <c r="T1218">
        <v>0</v>
      </c>
      <c r="U1218">
        <v>0</v>
      </c>
      <c r="V1218" t="str">
        <f t="shared" si="18"/>
        <v>Alan Hwang</v>
      </c>
      <c r="W1218">
        <f>Table2[Profit]/Table2[Sales]</f>
        <v>0</v>
      </c>
    </row>
    <row r="1219" spans="1:23" x14ac:dyDescent="0.25">
      <c r="A1219">
        <v>1218</v>
      </c>
      <c r="B1219" t="s">
        <v>5437</v>
      </c>
      <c r="C1219" s="1">
        <v>42975</v>
      </c>
      <c r="D1219" s="1">
        <v>42981</v>
      </c>
      <c r="E1219" t="s">
        <v>49</v>
      </c>
      <c r="F1219" t="s">
        <v>5228</v>
      </c>
      <c r="G1219" t="s">
        <v>5229</v>
      </c>
      <c r="H1219" t="s">
        <v>101</v>
      </c>
      <c r="I1219" t="s">
        <v>26</v>
      </c>
      <c r="J1219" t="s">
        <v>94</v>
      </c>
      <c r="K1219" t="s">
        <v>95</v>
      </c>
      <c r="L1219">
        <v>98105</v>
      </c>
      <c r="M1219" t="s">
        <v>43</v>
      </c>
      <c r="N1219" t="s">
        <v>5438</v>
      </c>
      <c r="O1219" t="s">
        <v>70</v>
      </c>
      <c r="P1219" t="s">
        <v>71</v>
      </c>
      <c r="Q1219" t="s">
        <v>5439</v>
      </c>
      <c r="R1219">
        <v>35.167999999999999</v>
      </c>
      <c r="S1219">
        <v>4</v>
      </c>
      <c r="T1219">
        <v>0.2</v>
      </c>
      <c r="U1219">
        <v>11.429600000000001</v>
      </c>
      <c r="V1219" t="str">
        <f t="shared" ref="V1219:V1282" si="19">TRIM(G1219)</f>
        <v>Kristina Nunn</v>
      </c>
      <c r="W1219">
        <f>Table2[Profit]/Table2[Sales]</f>
        <v>0.32500000000000001</v>
      </c>
    </row>
    <row r="1220" spans="1:23" x14ac:dyDescent="0.25">
      <c r="A1220">
        <v>1219</v>
      </c>
      <c r="B1220" t="s">
        <v>5440</v>
      </c>
      <c r="C1220" s="1">
        <v>42006</v>
      </c>
      <c r="D1220" s="1">
        <v>42008</v>
      </c>
      <c r="E1220" t="s">
        <v>22</v>
      </c>
      <c r="F1220" t="s">
        <v>987</v>
      </c>
      <c r="G1220" t="s">
        <v>988</v>
      </c>
      <c r="H1220" t="s">
        <v>40</v>
      </c>
      <c r="I1220" t="s">
        <v>26</v>
      </c>
      <c r="J1220" t="s">
        <v>600</v>
      </c>
      <c r="K1220" t="s">
        <v>242</v>
      </c>
      <c r="L1220">
        <v>19711</v>
      </c>
      <c r="M1220" t="s">
        <v>145</v>
      </c>
      <c r="N1220" t="s">
        <v>5441</v>
      </c>
      <c r="O1220" t="s">
        <v>45</v>
      </c>
      <c r="P1220" t="s">
        <v>58</v>
      </c>
      <c r="Q1220" t="s">
        <v>5442</v>
      </c>
      <c r="R1220">
        <v>85.52</v>
      </c>
      <c r="S1220">
        <v>2</v>
      </c>
      <c r="T1220">
        <v>0</v>
      </c>
      <c r="U1220">
        <v>22.235199999999999</v>
      </c>
      <c r="V1220" t="str">
        <f t="shared" si="19"/>
        <v>Claudia Bergmann</v>
      </c>
      <c r="W1220">
        <f>Table2[Profit]/Table2[Sales]</f>
        <v>0.26</v>
      </c>
    </row>
    <row r="1221" spans="1:23" x14ac:dyDescent="0.25">
      <c r="A1221">
        <v>1220</v>
      </c>
      <c r="B1221" t="s">
        <v>5445</v>
      </c>
      <c r="C1221" s="1">
        <v>42286</v>
      </c>
      <c r="D1221" s="1">
        <v>42290</v>
      </c>
      <c r="E1221" t="s">
        <v>22</v>
      </c>
      <c r="F1221" t="s">
        <v>5446</v>
      </c>
      <c r="G1221" t="s">
        <v>5447</v>
      </c>
      <c r="H1221" t="s">
        <v>25</v>
      </c>
      <c r="I1221" t="s">
        <v>26</v>
      </c>
      <c r="J1221" t="s">
        <v>263</v>
      </c>
      <c r="K1221" t="s">
        <v>264</v>
      </c>
      <c r="L1221">
        <v>10024</v>
      </c>
      <c r="M1221" t="s">
        <v>145</v>
      </c>
      <c r="N1221" t="s">
        <v>5448</v>
      </c>
      <c r="O1221" t="s">
        <v>70</v>
      </c>
      <c r="P1221" t="s">
        <v>71</v>
      </c>
      <c r="Q1221" t="s">
        <v>5449</v>
      </c>
      <c r="R1221">
        <v>631.96</v>
      </c>
      <c r="S1221">
        <v>4</v>
      </c>
      <c r="T1221">
        <v>0</v>
      </c>
      <c r="U1221">
        <v>303.3408</v>
      </c>
      <c r="V1221" t="str">
        <f t="shared" si="19"/>
        <v>Tim Brockman</v>
      </c>
      <c r="W1221">
        <f>Table2[Profit]/Table2[Sales]</f>
        <v>0.48</v>
      </c>
    </row>
    <row r="1222" spans="1:23" x14ac:dyDescent="0.25">
      <c r="A1222">
        <v>1221</v>
      </c>
      <c r="B1222" t="s">
        <v>5452</v>
      </c>
      <c r="C1222" s="1">
        <v>41986</v>
      </c>
      <c r="D1222" s="1">
        <v>41988</v>
      </c>
      <c r="E1222" t="s">
        <v>22</v>
      </c>
      <c r="F1222" t="s">
        <v>422</v>
      </c>
      <c r="G1222" t="s">
        <v>423</v>
      </c>
      <c r="H1222" t="s">
        <v>25</v>
      </c>
      <c r="I1222" t="s">
        <v>26</v>
      </c>
      <c r="J1222" t="s">
        <v>41</v>
      </c>
      <c r="K1222" t="s">
        <v>42</v>
      </c>
      <c r="L1222">
        <v>90049</v>
      </c>
      <c r="M1222" t="s">
        <v>43</v>
      </c>
      <c r="N1222" t="s">
        <v>4343</v>
      </c>
      <c r="O1222" t="s">
        <v>45</v>
      </c>
      <c r="P1222" t="s">
        <v>89</v>
      </c>
      <c r="Q1222" t="s">
        <v>4344</v>
      </c>
      <c r="R1222">
        <v>90.24</v>
      </c>
      <c r="S1222">
        <v>6</v>
      </c>
      <c r="T1222">
        <v>0</v>
      </c>
      <c r="U1222">
        <v>41.510399999999997</v>
      </c>
      <c r="V1222" t="str">
        <f t="shared" si="19"/>
        <v>Katherine Ducich</v>
      </c>
      <c r="W1222">
        <f>Table2[Profit]/Table2[Sales]</f>
        <v>0.46</v>
      </c>
    </row>
    <row r="1223" spans="1:23" x14ac:dyDescent="0.25">
      <c r="A1223">
        <v>1222</v>
      </c>
      <c r="B1223" t="s">
        <v>5453</v>
      </c>
      <c r="C1223" s="1">
        <v>41962</v>
      </c>
      <c r="D1223" s="1">
        <v>41966</v>
      </c>
      <c r="E1223" t="s">
        <v>49</v>
      </c>
      <c r="F1223" t="s">
        <v>5454</v>
      </c>
      <c r="G1223" t="s">
        <v>5455</v>
      </c>
      <c r="H1223" t="s">
        <v>25</v>
      </c>
      <c r="I1223" t="s">
        <v>26</v>
      </c>
      <c r="J1223" t="s">
        <v>5456</v>
      </c>
      <c r="K1223" t="s">
        <v>264</v>
      </c>
      <c r="L1223">
        <v>14701</v>
      </c>
      <c r="M1223" t="s">
        <v>145</v>
      </c>
      <c r="N1223" t="s">
        <v>4501</v>
      </c>
      <c r="O1223" t="s">
        <v>70</v>
      </c>
      <c r="P1223" t="s">
        <v>71</v>
      </c>
      <c r="Q1223" t="s">
        <v>4502</v>
      </c>
      <c r="R1223">
        <v>4548.8100000000004</v>
      </c>
      <c r="S1223">
        <v>7</v>
      </c>
      <c r="T1223">
        <v>0</v>
      </c>
      <c r="U1223">
        <v>1228.1786999999999</v>
      </c>
      <c r="V1223" t="str">
        <f t="shared" si="19"/>
        <v>John Murray</v>
      </c>
      <c r="W1223">
        <f>Table2[Profit]/Table2[Sales]</f>
        <v>0.26999999999999996</v>
      </c>
    </row>
    <row r="1224" spans="1:23" x14ac:dyDescent="0.25">
      <c r="A1224">
        <v>1223</v>
      </c>
      <c r="B1224" t="s">
        <v>5457</v>
      </c>
      <c r="C1224" s="1">
        <v>42623</v>
      </c>
      <c r="D1224" s="1">
        <v>42627</v>
      </c>
      <c r="E1224" t="s">
        <v>22</v>
      </c>
      <c r="F1224" t="s">
        <v>3381</v>
      </c>
      <c r="G1224" t="s">
        <v>3382</v>
      </c>
      <c r="H1224" t="s">
        <v>25</v>
      </c>
      <c r="I1224" t="s">
        <v>26</v>
      </c>
      <c r="J1224" t="s">
        <v>181</v>
      </c>
      <c r="K1224" t="s">
        <v>103</v>
      </c>
      <c r="L1224">
        <v>77095</v>
      </c>
      <c r="M1224" t="s">
        <v>104</v>
      </c>
      <c r="N1224" t="s">
        <v>3215</v>
      </c>
      <c r="O1224" t="s">
        <v>31</v>
      </c>
      <c r="P1224" t="s">
        <v>55</v>
      </c>
      <c r="Q1224" t="s">
        <v>3216</v>
      </c>
      <c r="R1224">
        <v>300.93</v>
      </c>
      <c r="S1224">
        <v>5</v>
      </c>
      <c r="T1224">
        <v>0.3</v>
      </c>
      <c r="U1224">
        <v>-34.392000000000003</v>
      </c>
      <c r="V1224" t="str">
        <f t="shared" si="19"/>
        <v>Kean Thornton</v>
      </c>
      <c r="W1224">
        <f>Table2[Profit]/Table2[Sales]</f>
        <v>-0.1142857142857143</v>
      </c>
    </row>
    <row r="1225" spans="1:23" x14ac:dyDescent="0.25">
      <c r="A1225">
        <v>1224</v>
      </c>
      <c r="B1225" t="s">
        <v>5458</v>
      </c>
      <c r="C1225" s="1">
        <v>41806</v>
      </c>
      <c r="D1225" s="1">
        <v>41812</v>
      </c>
      <c r="E1225" t="s">
        <v>49</v>
      </c>
      <c r="F1225" t="s">
        <v>5459</v>
      </c>
      <c r="G1225" t="s">
        <v>5460</v>
      </c>
      <c r="H1225" t="s">
        <v>25</v>
      </c>
      <c r="I1225" t="s">
        <v>26</v>
      </c>
      <c r="J1225" t="s">
        <v>5461</v>
      </c>
      <c r="K1225" t="s">
        <v>251</v>
      </c>
      <c r="L1225">
        <v>46544</v>
      </c>
      <c r="M1225" t="s">
        <v>104</v>
      </c>
      <c r="N1225" t="s">
        <v>1563</v>
      </c>
      <c r="O1225" t="s">
        <v>31</v>
      </c>
      <c r="P1225" t="s">
        <v>35</v>
      </c>
      <c r="Q1225" t="s">
        <v>1564</v>
      </c>
      <c r="R1225">
        <v>647.84</v>
      </c>
      <c r="S1225">
        <v>8</v>
      </c>
      <c r="T1225">
        <v>0</v>
      </c>
      <c r="U1225">
        <v>32.392000000000003</v>
      </c>
      <c r="V1225" t="str">
        <f t="shared" si="19"/>
        <v>Sonia Cooley</v>
      </c>
      <c r="W1225">
        <f>Table2[Profit]/Table2[Sales]</f>
        <v>0.05</v>
      </c>
    </row>
    <row r="1226" spans="1:23" x14ac:dyDescent="0.25">
      <c r="A1226">
        <v>1225</v>
      </c>
      <c r="B1226" t="s">
        <v>5462</v>
      </c>
      <c r="C1226" s="1">
        <v>42273</v>
      </c>
      <c r="D1226" s="1">
        <v>42278</v>
      </c>
      <c r="E1226" t="s">
        <v>49</v>
      </c>
      <c r="F1226" t="s">
        <v>2881</v>
      </c>
      <c r="G1226" t="s">
        <v>2882</v>
      </c>
      <c r="H1226" t="s">
        <v>101</v>
      </c>
      <c r="I1226" t="s">
        <v>26</v>
      </c>
      <c r="J1226" t="s">
        <v>941</v>
      </c>
      <c r="K1226" t="s">
        <v>42</v>
      </c>
      <c r="L1226">
        <v>92037</v>
      </c>
      <c r="M1226" t="s">
        <v>43</v>
      </c>
      <c r="N1226" t="s">
        <v>361</v>
      </c>
      <c r="O1226" t="s">
        <v>45</v>
      </c>
      <c r="P1226" t="s">
        <v>58</v>
      </c>
      <c r="Q1226" t="s">
        <v>362</v>
      </c>
      <c r="R1226">
        <v>64.17</v>
      </c>
      <c r="S1226">
        <v>3</v>
      </c>
      <c r="T1226">
        <v>0</v>
      </c>
      <c r="U1226">
        <v>18.609300000000001</v>
      </c>
      <c r="V1226" t="str">
        <f t="shared" si="19"/>
        <v>Bryan Spruell</v>
      </c>
      <c r="W1226">
        <f>Table2[Profit]/Table2[Sales]</f>
        <v>0.29000000000000004</v>
      </c>
    </row>
    <row r="1227" spans="1:23" x14ac:dyDescent="0.25">
      <c r="A1227">
        <v>1226</v>
      </c>
      <c r="B1227" t="s">
        <v>5463</v>
      </c>
      <c r="C1227" s="1">
        <v>42509</v>
      </c>
      <c r="D1227" s="1">
        <v>42514</v>
      </c>
      <c r="E1227" t="s">
        <v>49</v>
      </c>
      <c r="F1227" t="s">
        <v>3131</v>
      </c>
      <c r="G1227" t="s">
        <v>3132</v>
      </c>
      <c r="H1227" t="s">
        <v>40</v>
      </c>
      <c r="I1227" t="s">
        <v>26</v>
      </c>
      <c r="J1227" t="s">
        <v>126</v>
      </c>
      <c r="K1227" t="s">
        <v>42</v>
      </c>
      <c r="L1227">
        <v>94109</v>
      </c>
      <c r="M1227" t="s">
        <v>43</v>
      </c>
      <c r="N1227" t="s">
        <v>4816</v>
      </c>
      <c r="O1227" t="s">
        <v>45</v>
      </c>
      <c r="P1227" t="s">
        <v>74</v>
      </c>
      <c r="Q1227" t="s">
        <v>4817</v>
      </c>
      <c r="R1227">
        <v>9.5839999999999996</v>
      </c>
      <c r="S1227">
        <v>1</v>
      </c>
      <c r="T1227">
        <v>0.2</v>
      </c>
      <c r="U1227">
        <v>3.3544</v>
      </c>
      <c r="V1227" t="str">
        <f t="shared" si="19"/>
        <v>Bill Tyler</v>
      </c>
      <c r="W1227">
        <f>Table2[Profit]/Table2[Sales]</f>
        <v>0.35000000000000003</v>
      </c>
    </row>
    <row r="1228" spans="1:23" x14ac:dyDescent="0.25">
      <c r="A1228">
        <v>1227</v>
      </c>
      <c r="B1228" t="s">
        <v>5464</v>
      </c>
      <c r="C1228" s="1">
        <v>42908</v>
      </c>
      <c r="D1228" s="1">
        <v>42909</v>
      </c>
      <c r="E1228" t="s">
        <v>185</v>
      </c>
      <c r="F1228" t="s">
        <v>3466</v>
      </c>
      <c r="G1228" t="s">
        <v>3467</v>
      </c>
      <c r="H1228" t="s">
        <v>25</v>
      </c>
      <c r="I1228" t="s">
        <v>26</v>
      </c>
      <c r="J1228" t="s">
        <v>1406</v>
      </c>
      <c r="K1228" t="s">
        <v>53</v>
      </c>
      <c r="L1228">
        <v>33178</v>
      </c>
      <c r="M1228" t="s">
        <v>29</v>
      </c>
      <c r="N1228" t="s">
        <v>5465</v>
      </c>
      <c r="O1228" t="s">
        <v>45</v>
      </c>
      <c r="P1228" t="s">
        <v>170</v>
      </c>
      <c r="Q1228" t="s">
        <v>5466</v>
      </c>
      <c r="R1228">
        <v>37.607999999999997</v>
      </c>
      <c r="S1228">
        <v>3</v>
      </c>
      <c r="T1228">
        <v>0.2</v>
      </c>
      <c r="U1228">
        <v>12.6927</v>
      </c>
      <c r="V1228" t="str">
        <f t="shared" si="19"/>
        <v>Dan Campbell</v>
      </c>
      <c r="W1228">
        <f>Table2[Profit]/Table2[Sales]</f>
        <v>0.33750000000000002</v>
      </c>
    </row>
    <row r="1229" spans="1:23" x14ac:dyDescent="0.25">
      <c r="A1229">
        <v>1228</v>
      </c>
      <c r="B1229" t="s">
        <v>5467</v>
      </c>
      <c r="C1229" s="1">
        <v>42903</v>
      </c>
      <c r="D1229" s="1">
        <v>42906</v>
      </c>
      <c r="E1229" t="s">
        <v>185</v>
      </c>
      <c r="F1229" t="s">
        <v>5468</v>
      </c>
      <c r="G1229" t="s">
        <v>5469</v>
      </c>
      <c r="H1229" t="s">
        <v>40</v>
      </c>
      <c r="I1229" t="s">
        <v>26</v>
      </c>
      <c r="J1229" t="s">
        <v>4203</v>
      </c>
      <c r="K1229" t="s">
        <v>208</v>
      </c>
      <c r="L1229">
        <v>60076</v>
      </c>
      <c r="M1229" t="s">
        <v>104</v>
      </c>
      <c r="N1229" t="s">
        <v>3185</v>
      </c>
      <c r="O1229" t="s">
        <v>45</v>
      </c>
      <c r="P1229" t="s">
        <v>89</v>
      </c>
      <c r="Q1229" t="s">
        <v>3186</v>
      </c>
      <c r="R1229">
        <v>12.224</v>
      </c>
      <c r="S1229">
        <v>2</v>
      </c>
      <c r="T1229">
        <v>0.2</v>
      </c>
      <c r="U1229">
        <v>4.4311999999999996</v>
      </c>
      <c r="V1229" t="str">
        <f t="shared" si="19"/>
        <v>Luke Schmidt</v>
      </c>
      <c r="W1229">
        <f>Table2[Profit]/Table2[Sales]</f>
        <v>0.36249999999999993</v>
      </c>
    </row>
    <row r="1230" spans="1:23" x14ac:dyDescent="0.25">
      <c r="A1230">
        <v>1229</v>
      </c>
      <c r="B1230" t="s">
        <v>5470</v>
      </c>
      <c r="C1230" s="1">
        <v>42688</v>
      </c>
      <c r="D1230" s="1">
        <v>42693</v>
      </c>
      <c r="E1230" t="s">
        <v>49</v>
      </c>
      <c r="F1230" t="s">
        <v>5471</v>
      </c>
      <c r="G1230" t="s">
        <v>5472</v>
      </c>
      <c r="H1230" t="s">
        <v>25</v>
      </c>
      <c r="I1230" t="s">
        <v>26</v>
      </c>
      <c r="J1230" t="s">
        <v>126</v>
      </c>
      <c r="K1230" t="s">
        <v>42</v>
      </c>
      <c r="L1230">
        <v>94110</v>
      </c>
      <c r="M1230" t="s">
        <v>43</v>
      </c>
      <c r="N1230" t="s">
        <v>4873</v>
      </c>
      <c r="O1230" t="s">
        <v>45</v>
      </c>
      <c r="P1230" t="s">
        <v>46</v>
      </c>
      <c r="Q1230" t="s">
        <v>4874</v>
      </c>
      <c r="R1230">
        <v>7.38</v>
      </c>
      <c r="S1230">
        <v>2</v>
      </c>
      <c r="T1230">
        <v>0</v>
      </c>
      <c r="U1230">
        <v>3.4685999999999999</v>
      </c>
      <c r="V1230" t="str">
        <f t="shared" si="19"/>
        <v>Ralph Ritter</v>
      </c>
      <c r="W1230">
        <f>Table2[Profit]/Table2[Sales]</f>
        <v>0.47</v>
      </c>
    </row>
    <row r="1231" spans="1:23" x14ac:dyDescent="0.25">
      <c r="A1231">
        <v>1230</v>
      </c>
      <c r="B1231" t="s">
        <v>5473</v>
      </c>
      <c r="C1231" s="1">
        <v>41845</v>
      </c>
      <c r="D1231" s="1">
        <v>41847</v>
      </c>
      <c r="E1231" t="s">
        <v>22</v>
      </c>
      <c r="F1231" t="s">
        <v>909</v>
      </c>
      <c r="G1231" t="s">
        <v>910</v>
      </c>
      <c r="H1231" t="s">
        <v>25</v>
      </c>
      <c r="I1231" t="s">
        <v>26</v>
      </c>
      <c r="J1231" t="s">
        <v>126</v>
      </c>
      <c r="K1231" t="s">
        <v>42</v>
      </c>
      <c r="L1231">
        <v>94122</v>
      </c>
      <c r="M1231" t="s">
        <v>43</v>
      </c>
      <c r="N1231" t="s">
        <v>947</v>
      </c>
      <c r="O1231" t="s">
        <v>45</v>
      </c>
      <c r="P1231" t="s">
        <v>58</v>
      </c>
      <c r="Q1231" t="s">
        <v>948</v>
      </c>
      <c r="R1231">
        <v>53.72</v>
      </c>
      <c r="S1231">
        <v>4</v>
      </c>
      <c r="T1231">
        <v>0</v>
      </c>
      <c r="U1231">
        <v>15.041600000000001</v>
      </c>
      <c r="V1231" t="str">
        <f t="shared" si="19"/>
        <v>Ken Lonsdale</v>
      </c>
      <c r="W1231">
        <f>Table2[Profit]/Table2[Sales]</f>
        <v>0.28000000000000003</v>
      </c>
    </row>
    <row r="1232" spans="1:23" x14ac:dyDescent="0.25">
      <c r="A1232">
        <v>1231</v>
      </c>
      <c r="B1232" t="s">
        <v>5476</v>
      </c>
      <c r="C1232" s="1">
        <v>42187</v>
      </c>
      <c r="D1232" s="1">
        <v>42187</v>
      </c>
      <c r="E1232" t="s">
        <v>1278</v>
      </c>
      <c r="F1232" t="s">
        <v>4978</v>
      </c>
      <c r="G1232" t="s">
        <v>4979</v>
      </c>
      <c r="H1232" t="s">
        <v>25</v>
      </c>
      <c r="I1232" t="s">
        <v>26</v>
      </c>
      <c r="J1232" t="s">
        <v>181</v>
      </c>
      <c r="K1232" t="s">
        <v>103</v>
      </c>
      <c r="L1232">
        <v>77070</v>
      </c>
      <c r="M1232" t="s">
        <v>104</v>
      </c>
      <c r="N1232" t="s">
        <v>5477</v>
      </c>
      <c r="O1232" t="s">
        <v>45</v>
      </c>
      <c r="P1232" t="s">
        <v>77</v>
      </c>
      <c r="Q1232" t="s">
        <v>5478</v>
      </c>
      <c r="R1232">
        <v>32.783999999999999</v>
      </c>
      <c r="S1232">
        <v>4</v>
      </c>
      <c r="T1232">
        <v>0.8</v>
      </c>
      <c r="U1232">
        <v>-85.238399999999999</v>
      </c>
      <c r="V1232" t="str">
        <f t="shared" si="19"/>
        <v>Richard Bierner</v>
      </c>
      <c r="W1232">
        <f>Table2[Profit]/Table2[Sales]</f>
        <v>-2.6</v>
      </c>
    </row>
    <row r="1233" spans="1:23" x14ac:dyDescent="0.25">
      <c r="A1233">
        <v>1232</v>
      </c>
      <c r="B1233" t="s">
        <v>5479</v>
      </c>
      <c r="C1233" s="1">
        <v>42796</v>
      </c>
      <c r="D1233" s="1">
        <v>42802</v>
      </c>
      <c r="E1233" t="s">
        <v>49</v>
      </c>
      <c r="F1233" t="s">
        <v>1695</v>
      </c>
      <c r="G1233" t="s">
        <v>1696</v>
      </c>
      <c r="H1233" t="s">
        <v>40</v>
      </c>
      <c r="I1233" t="s">
        <v>26</v>
      </c>
      <c r="J1233" t="s">
        <v>41</v>
      </c>
      <c r="K1233" t="s">
        <v>42</v>
      </c>
      <c r="L1233">
        <v>90045</v>
      </c>
      <c r="M1233" t="s">
        <v>43</v>
      </c>
      <c r="N1233" t="s">
        <v>5480</v>
      </c>
      <c r="O1233" t="s">
        <v>70</v>
      </c>
      <c r="P1233" t="s">
        <v>71</v>
      </c>
      <c r="Q1233" t="s">
        <v>5481</v>
      </c>
      <c r="R1233">
        <v>196.77600000000001</v>
      </c>
      <c r="S1233">
        <v>3</v>
      </c>
      <c r="T1233">
        <v>0.2</v>
      </c>
      <c r="U1233">
        <v>14.7582</v>
      </c>
      <c r="V1233" t="str">
        <f t="shared" si="19"/>
        <v>Maribeth Yedwab</v>
      </c>
      <c r="W1233">
        <f>Table2[Profit]/Table2[Sales]</f>
        <v>7.4999999999999997E-2</v>
      </c>
    </row>
    <row r="1234" spans="1:23" x14ac:dyDescent="0.25">
      <c r="A1234">
        <v>1233</v>
      </c>
      <c r="B1234" t="s">
        <v>5482</v>
      </c>
      <c r="C1234" s="1">
        <v>42692</v>
      </c>
      <c r="D1234" s="1">
        <v>42697</v>
      </c>
      <c r="E1234" t="s">
        <v>49</v>
      </c>
      <c r="F1234" t="s">
        <v>5046</v>
      </c>
      <c r="G1234" t="s">
        <v>5047</v>
      </c>
      <c r="H1234" t="s">
        <v>101</v>
      </c>
      <c r="I1234" t="s">
        <v>26</v>
      </c>
      <c r="J1234" t="s">
        <v>4745</v>
      </c>
      <c r="K1234" t="s">
        <v>641</v>
      </c>
      <c r="L1234">
        <v>73120</v>
      </c>
      <c r="M1234" t="s">
        <v>104</v>
      </c>
      <c r="N1234" t="s">
        <v>5483</v>
      </c>
      <c r="O1234" t="s">
        <v>45</v>
      </c>
      <c r="P1234" t="s">
        <v>58</v>
      </c>
      <c r="Q1234" t="s">
        <v>5484</v>
      </c>
      <c r="R1234">
        <v>1117.92</v>
      </c>
      <c r="S1234">
        <v>4</v>
      </c>
      <c r="T1234">
        <v>0</v>
      </c>
      <c r="U1234">
        <v>55.896000000000001</v>
      </c>
      <c r="V1234" t="str">
        <f t="shared" si="19"/>
        <v>Arthur Wiediger</v>
      </c>
      <c r="W1234">
        <f>Table2[Profit]/Table2[Sales]</f>
        <v>4.9999999999999996E-2</v>
      </c>
    </row>
    <row r="1235" spans="1:23" x14ac:dyDescent="0.25">
      <c r="A1235">
        <v>1234</v>
      </c>
      <c r="B1235" t="s">
        <v>5485</v>
      </c>
      <c r="C1235" s="1">
        <v>42112</v>
      </c>
      <c r="D1235" s="1">
        <v>42113</v>
      </c>
      <c r="E1235" t="s">
        <v>185</v>
      </c>
      <c r="F1235" t="s">
        <v>5241</v>
      </c>
      <c r="G1235" t="s">
        <v>5242</v>
      </c>
      <c r="H1235" t="s">
        <v>25</v>
      </c>
      <c r="I1235" t="s">
        <v>26</v>
      </c>
      <c r="J1235" t="s">
        <v>728</v>
      </c>
      <c r="K1235" t="s">
        <v>729</v>
      </c>
      <c r="L1235">
        <v>71203</v>
      </c>
      <c r="M1235" t="s">
        <v>29</v>
      </c>
      <c r="N1235" t="s">
        <v>3566</v>
      </c>
      <c r="O1235" t="s">
        <v>70</v>
      </c>
      <c r="P1235" t="s">
        <v>158</v>
      </c>
      <c r="Q1235" t="s">
        <v>3567</v>
      </c>
      <c r="R1235">
        <v>106.5</v>
      </c>
      <c r="S1235">
        <v>6</v>
      </c>
      <c r="T1235">
        <v>0</v>
      </c>
      <c r="U1235">
        <v>41.534999999999997</v>
      </c>
      <c r="V1235" t="str">
        <f t="shared" si="19"/>
        <v>Kelly Williams</v>
      </c>
      <c r="W1235">
        <f>Table2[Profit]/Table2[Sales]</f>
        <v>0.38999999999999996</v>
      </c>
    </row>
    <row r="1236" spans="1:23" x14ac:dyDescent="0.25">
      <c r="A1236">
        <v>1235</v>
      </c>
      <c r="B1236" t="s">
        <v>5486</v>
      </c>
      <c r="C1236" s="1">
        <v>43071</v>
      </c>
      <c r="D1236" s="1">
        <v>43075</v>
      </c>
      <c r="E1236" t="s">
        <v>49</v>
      </c>
      <c r="F1236" t="s">
        <v>5487</v>
      </c>
      <c r="G1236" t="s">
        <v>5488</v>
      </c>
      <c r="H1236" t="s">
        <v>101</v>
      </c>
      <c r="I1236" t="s">
        <v>26</v>
      </c>
      <c r="J1236" t="s">
        <v>893</v>
      </c>
      <c r="K1236" t="s">
        <v>53</v>
      </c>
      <c r="L1236">
        <v>33614</v>
      </c>
      <c r="M1236" t="s">
        <v>29</v>
      </c>
      <c r="N1236" t="s">
        <v>1805</v>
      </c>
      <c r="O1236" t="s">
        <v>45</v>
      </c>
      <c r="P1236" t="s">
        <v>74</v>
      </c>
      <c r="Q1236" t="s">
        <v>1806</v>
      </c>
      <c r="R1236">
        <v>45.66</v>
      </c>
      <c r="S1236">
        <v>5</v>
      </c>
      <c r="T1236">
        <v>0.7</v>
      </c>
      <c r="U1236">
        <v>-33.484000000000002</v>
      </c>
      <c r="V1236" t="str">
        <f t="shared" si="19"/>
        <v>Daniel Byrd</v>
      </c>
      <c r="W1236">
        <f>Table2[Profit]/Table2[Sales]</f>
        <v>-0.73333333333333339</v>
      </c>
    </row>
    <row r="1237" spans="1:23" x14ac:dyDescent="0.25">
      <c r="A1237">
        <v>1236</v>
      </c>
      <c r="B1237" t="s">
        <v>5489</v>
      </c>
      <c r="C1237" s="1">
        <v>42685</v>
      </c>
      <c r="D1237" s="1">
        <v>42691</v>
      </c>
      <c r="E1237" t="s">
        <v>49</v>
      </c>
      <c r="F1237" t="s">
        <v>1516</v>
      </c>
      <c r="G1237" t="s">
        <v>1517</v>
      </c>
      <c r="H1237" t="s">
        <v>40</v>
      </c>
      <c r="I1237" t="s">
        <v>26</v>
      </c>
      <c r="J1237" t="s">
        <v>296</v>
      </c>
      <c r="K1237" t="s">
        <v>208</v>
      </c>
      <c r="L1237">
        <v>60623</v>
      </c>
      <c r="M1237" t="s">
        <v>104</v>
      </c>
      <c r="N1237" t="s">
        <v>4081</v>
      </c>
      <c r="O1237" t="s">
        <v>70</v>
      </c>
      <c r="P1237" t="s">
        <v>158</v>
      </c>
      <c r="Q1237" t="s">
        <v>4082</v>
      </c>
      <c r="R1237">
        <v>95.968000000000004</v>
      </c>
      <c r="S1237">
        <v>4</v>
      </c>
      <c r="T1237">
        <v>0.2</v>
      </c>
      <c r="U1237">
        <v>1.1996</v>
      </c>
      <c r="V1237" t="str">
        <f t="shared" si="19"/>
        <v>Brenda Bowman</v>
      </c>
      <c r="W1237">
        <f>Table2[Profit]/Table2[Sales]</f>
        <v>1.2499999999999999E-2</v>
      </c>
    </row>
    <row r="1238" spans="1:23" x14ac:dyDescent="0.25">
      <c r="A1238">
        <v>1237</v>
      </c>
      <c r="B1238" t="s">
        <v>5490</v>
      </c>
      <c r="C1238" s="1">
        <v>41887</v>
      </c>
      <c r="D1238" s="1">
        <v>41892</v>
      </c>
      <c r="E1238" t="s">
        <v>49</v>
      </c>
      <c r="F1238" t="s">
        <v>3417</v>
      </c>
      <c r="G1238" t="s">
        <v>3418</v>
      </c>
      <c r="H1238" t="s">
        <v>25</v>
      </c>
      <c r="I1238" t="s">
        <v>26</v>
      </c>
      <c r="J1238" t="s">
        <v>4524</v>
      </c>
      <c r="K1238" t="s">
        <v>491</v>
      </c>
      <c r="L1238">
        <v>43402</v>
      </c>
      <c r="M1238" t="s">
        <v>145</v>
      </c>
      <c r="N1238" t="s">
        <v>2087</v>
      </c>
      <c r="O1238" t="s">
        <v>45</v>
      </c>
      <c r="P1238" t="s">
        <v>58</v>
      </c>
      <c r="Q1238" t="s">
        <v>2088</v>
      </c>
      <c r="R1238">
        <v>264.32</v>
      </c>
      <c r="S1238">
        <v>2</v>
      </c>
      <c r="T1238">
        <v>0.2</v>
      </c>
      <c r="U1238">
        <v>19.824000000000002</v>
      </c>
      <c r="V1238" t="str">
        <f t="shared" si="19"/>
        <v>Nora Preis</v>
      </c>
      <c r="W1238">
        <f>Table2[Profit]/Table2[Sales]</f>
        <v>7.5000000000000011E-2</v>
      </c>
    </row>
    <row r="1239" spans="1:23" x14ac:dyDescent="0.25">
      <c r="A1239">
        <v>1238</v>
      </c>
      <c r="B1239" t="s">
        <v>5491</v>
      </c>
      <c r="C1239" s="1">
        <v>41958</v>
      </c>
      <c r="D1239" s="1">
        <v>41965</v>
      </c>
      <c r="E1239" t="s">
        <v>49</v>
      </c>
      <c r="F1239" t="s">
        <v>2346</v>
      </c>
      <c r="G1239" t="s">
        <v>2347</v>
      </c>
      <c r="H1239" t="s">
        <v>25</v>
      </c>
      <c r="I1239" t="s">
        <v>26</v>
      </c>
      <c r="J1239" t="s">
        <v>181</v>
      </c>
      <c r="K1239" t="s">
        <v>103</v>
      </c>
      <c r="L1239">
        <v>77095</v>
      </c>
      <c r="M1239" t="s">
        <v>104</v>
      </c>
      <c r="N1239" t="s">
        <v>3722</v>
      </c>
      <c r="O1239" t="s">
        <v>45</v>
      </c>
      <c r="P1239" t="s">
        <v>170</v>
      </c>
      <c r="Q1239" t="s">
        <v>3723</v>
      </c>
      <c r="R1239">
        <v>604.65599999999995</v>
      </c>
      <c r="S1239">
        <v>9</v>
      </c>
      <c r="T1239">
        <v>0.2</v>
      </c>
      <c r="U1239">
        <v>204.07140000000001</v>
      </c>
      <c r="V1239" t="str">
        <f t="shared" si="19"/>
        <v>Peter Bühler</v>
      </c>
      <c r="W1239">
        <f>Table2[Profit]/Table2[Sales]</f>
        <v>0.33750000000000002</v>
      </c>
    </row>
    <row r="1240" spans="1:23" x14ac:dyDescent="0.25">
      <c r="A1240">
        <v>1239</v>
      </c>
      <c r="B1240" t="s">
        <v>5492</v>
      </c>
      <c r="C1240" s="1">
        <v>42857</v>
      </c>
      <c r="D1240" s="1">
        <v>42862</v>
      </c>
      <c r="E1240" t="s">
        <v>49</v>
      </c>
      <c r="F1240" t="s">
        <v>549</v>
      </c>
      <c r="G1240" t="s">
        <v>550</v>
      </c>
      <c r="H1240" t="s">
        <v>40</v>
      </c>
      <c r="I1240" t="s">
        <v>26</v>
      </c>
      <c r="J1240" t="s">
        <v>780</v>
      </c>
      <c r="K1240" t="s">
        <v>781</v>
      </c>
      <c r="L1240">
        <v>7090</v>
      </c>
      <c r="M1240" t="s">
        <v>145</v>
      </c>
      <c r="N1240" t="s">
        <v>3020</v>
      </c>
      <c r="O1240" t="s">
        <v>31</v>
      </c>
      <c r="P1240" t="s">
        <v>64</v>
      </c>
      <c r="Q1240" t="s">
        <v>3021</v>
      </c>
      <c r="R1240">
        <v>129.93</v>
      </c>
      <c r="S1240">
        <v>3</v>
      </c>
      <c r="T1240">
        <v>0</v>
      </c>
      <c r="U1240">
        <v>12.993</v>
      </c>
      <c r="V1240" t="str">
        <f t="shared" si="19"/>
        <v>Dorothy Wardle</v>
      </c>
      <c r="W1240">
        <f>Table2[Profit]/Table2[Sales]</f>
        <v>9.9999999999999992E-2</v>
      </c>
    </row>
    <row r="1241" spans="1:23" x14ac:dyDescent="0.25">
      <c r="A1241">
        <v>1240</v>
      </c>
      <c r="B1241" t="s">
        <v>5493</v>
      </c>
      <c r="C1241" s="1">
        <v>42658</v>
      </c>
      <c r="D1241" s="1">
        <v>42664</v>
      </c>
      <c r="E1241" t="s">
        <v>49</v>
      </c>
      <c r="F1241" t="s">
        <v>4303</v>
      </c>
      <c r="G1241" t="s">
        <v>4304</v>
      </c>
      <c r="H1241" t="s">
        <v>101</v>
      </c>
      <c r="I1241" t="s">
        <v>26</v>
      </c>
      <c r="J1241" t="s">
        <v>4745</v>
      </c>
      <c r="K1241" t="s">
        <v>641</v>
      </c>
      <c r="L1241">
        <v>73120</v>
      </c>
      <c r="M1241" t="s">
        <v>104</v>
      </c>
      <c r="N1241" t="s">
        <v>5494</v>
      </c>
      <c r="O1241" t="s">
        <v>45</v>
      </c>
      <c r="P1241" t="s">
        <v>46</v>
      </c>
      <c r="Q1241" t="s">
        <v>5495</v>
      </c>
      <c r="R1241">
        <v>20.16</v>
      </c>
      <c r="S1241">
        <v>7</v>
      </c>
      <c r="T1241">
        <v>0</v>
      </c>
      <c r="U1241">
        <v>9.8783999999999992</v>
      </c>
      <c r="V1241" t="str">
        <f t="shared" si="19"/>
        <v>Cynthia Delaney</v>
      </c>
      <c r="W1241">
        <f>Table2[Profit]/Table2[Sales]</f>
        <v>0.48999999999999994</v>
      </c>
    </row>
    <row r="1242" spans="1:23" x14ac:dyDescent="0.25">
      <c r="A1242">
        <v>1241</v>
      </c>
      <c r="B1242" t="s">
        <v>5498</v>
      </c>
      <c r="C1242" s="1">
        <v>42100</v>
      </c>
      <c r="D1242" s="1">
        <v>42104</v>
      </c>
      <c r="E1242" t="s">
        <v>49</v>
      </c>
      <c r="F1242" t="s">
        <v>5499</v>
      </c>
      <c r="G1242" t="s">
        <v>5500</v>
      </c>
      <c r="H1242" t="s">
        <v>25</v>
      </c>
      <c r="I1242" t="s">
        <v>26</v>
      </c>
      <c r="J1242" t="s">
        <v>181</v>
      </c>
      <c r="K1242" t="s">
        <v>103</v>
      </c>
      <c r="L1242">
        <v>77041</v>
      </c>
      <c r="M1242" t="s">
        <v>104</v>
      </c>
      <c r="N1242" t="s">
        <v>1959</v>
      </c>
      <c r="O1242" t="s">
        <v>45</v>
      </c>
      <c r="P1242" t="s">
        <v>67</v>
      </c>
      <c r="Q1242" t="s">
        <v>1960</v>
      </c>
      <c r="R1242">
        <v>42.048000000000002</v>
      </c>
      <c r="S1242">
        <v>9</v>
      </c>
      <c r="T1242">
        <v>0.2</v>
      </c>
      <c r="U1242">
        <v>5.2560000000000002</v>
      </c>
      <c r="V1242" t="str">
        <f t="shared" si="19"/>
        <v>Thomas Thornton</v>
      </c>
      <c r="W1242">
        <f>Table2[Profit]/Table2[Sales]</f>
        <v>0.125</v>
      </c>
    </row>
    <row r="1243" spans="1:23" x14ac:dyDescent="0.25">
      <c r="A1243">
        <v>1242</v>
      </c>
      <c r="B1243" t="s">
        <v>5503</v>
      </c>
      <c r="C1243" s="1">
        <v>41936</v>
      </c>
      <c r="D1243" s="1">
        <v>41941</v>
      </c>
      <c r="E1243" t="s">
        <v>49</v>
      </c>
      <c r="F1243" t="s">
        <v>5487</v>
      </c>
      <c r="G1243" t="s">
        <v>5488</v>
      </c>
      <c r="H1243" t="s">
        <v>101</v>
      </c>
      <c r="I1243" t="s">
        <v>26</v>
      </c>
      <c r="J1243" t="s">
        <v>52</v>
      </c>
      <c r="K1243" t="s">
        <v>53</v>
      </c>
      <c r="L1243">
        <v>33311</v>
      </c>
      <c r="M1243" t="s">
        <v>29</v>
      </c>
      <c r="N1243" t="s">
        <v>2844</v>
      </c>
      <c r="O1243" t="s">
        <v>45</v>
      </c>
      <c r="P1243" t="s">
        <v>89</v>
      </c>
      <c r="Q1243" t="s">
        <v>2845</v>
      </c>
      <c r="R1243">
        <v>10.368</v>
      </c>
      <c r="S1243">
        <v>2</v>
      </c>
      <c r="T1243">
        <v>0.2</v>
      </c>
      <c r="U1243">
        <v>3.6288</v>
      </c>
      <c r="V1243" t="str">
        <f t="shared" si="19"/>
        <v>Daniel Byrd</v>
      </c>
      <c r="W1243">
        <f>Table2[Profit]/Table2[Sales]</f>
        <v>0.35</v>
      </c>
    </row>
    <row r="1244" spans="1:23" x14ac:dyDescent="0.25">
      <c r="A1244">
        <v>1243</v>
      </c>
      <c r="B1244" t="s">
        <v>5504</v>
      </c>
      <c r="C1244" s="1">
        <v>41868</v>
      </c>
      <c r="D1244" s="1">
        <v>41872</v>
      </c>
      <c r="E1244" t="s">
        <v>49</v>
      </c>
      <c r="F1244" t="s">
        <v>1171</v>
      </c>
      <c r="G1244" t="s">
        <v>1172</v>
      </c>
      <c r="H1244" t="s">
        <v>40</v>
      </c>
      <c r="I1244" t="s">
        <v>26</v>
      </c>
      <c r="J1244" t="s">
        <v>5036</v>
      </c>
      <c r="K1244" t="s">
        <v>1683</v>
      </c>
      <c r="L1244">
        <v>72209</v>
      </c>
      <c r="M1244" t="s">
        <v>29</v>
      </c>
      <c r="N1244" t="s">
        <v>4460</v>
      </c>
      <c r="O1244" t="s">
        <v>45</v>
      </c>
      <c r="P1244" t="s">
        <v>89</v>
      </c>
      <c r="Q1244" t="s">
        <v>4461</v>
      </c>
      <c r="R1244">
        <v>114.2</v>
      </c>
      <c r="S1244">
        <v>5</v>
      </c>
      <c r="T1244">
        <v>0</v>
      </c>
      <c r="U1244">
        <v>52.531999999999996</v>
      </c>
      <c r="V1244" t="str">
        <f t="shared" si="19"/>
        <v>Don Jones</v>
      </c>
      <c r="W1244">
        <f>Table2[Profit]/Table2[Sales]</f>
        <v>0.45999999999999996</v>
      </c>
    </row>
    <row r="1245" spans="1:23" x14ac:dyDescent="0.25">
      <c r="A1245">
        <v>1244</v>
      </c>
      <c r="B1245" t="s">
        <v>5506</v>
      </c>
      <c r="C1245" s="1">
        <v>42962</v>
      </c>
      <c r="D1245" s="1">
        <v>42965</v>
      </c>
      <c r="E1245" t="s">
        <v>22</v>
      </c>
      <c r="F1245" t="s">
        <v>3198</v>
      </c>
      <c r="G1245" t="s">
        <v>3199</v>
      </c>
      <c r="H1245" t="s">
        <v>40</v>
      </c>
      <c r="I1245" t="s">
        <v>26</v>
      </c>
      <c r="J1245" t="s">
        <v>143</v>
      </c>
      <c r="K1245" t="s">
        <v>144</v>
      </c>
      <c r="L1245">
        <v>19120</v>
      </c>
      <c r="M1245" t="s">
        <v>145</v>
      </c>
      <c r="N1245" t="s">
        <v>1745</v>
      </c>
      <c r="O1245" t="s">
        <v>45</v>
      </c>
      <c r="P1245" t="s">
        <v>58</v>
      </c>
      <c r="Q1245" t="s">
        <v>1746</v>
      </c>
      <c r="R1245">
        <v>1801.6320000000001</v>
      </c>
      <c r="S1245">
        <v>6</v>
      </c>
      <c r="T1245">
        <v>0.2</v>
      </c>
      <c r="U1245">
        <v>-337.80599999999998</v>
      </c>
      <c r="V1245" t="str">
        <f t="shared" si="19"/>
        <v>Dionis Lloyd</v>
      </c>
      <c r="W1245">
        <f>Table2[Profit]/Table2[Sales]</f>
        <v>-0.18749999999999997</v>
      </c>
    </row>
    <row r="1246" spans="1:23" x14ac:dyDescent="0.25">
      <c r="A1246">
        <v>1245</v>
      </c>
      <c r="B1246" t="s">
        <v>5507</v>
      </c>
      <c r="C1246" s="1">
        <v>42253</v>
      </c>
      <c r="D1246" s="1">
        <v>42255</v>
      </c>
      <c r="E1246" t="s">
        <v>185</v>
      </c>
      <c r="F1246" t="s">
        <v>5508</v>
      </c>
      <c r="G1246" t="s">
        <v>5509</v>
      </c>
      <c r="H1246" t="s">
        <v>40</v>
      </c>
      <c r="I1246" t="s">
        <v>26</v>
      </c>
      <c r="J1246" t="s">
        <v>5510</v>
      </c>
      <c r="K1246" t="s">
        <v>42</v>
      </c>
      <c r="L1246">
        <v>92253</v>
      </c>
      <c r="M1246" t="s">
        <v>43</v>
      </c>
      <c r="N1246" t="s">
        <v>461</v>
      </c>
      <c r="O1246" t="s">
        <v>70</v>
      </c>
      <c r="P1246" t="s">
        <v>158</v>
      </c>
      <c r="Q1246" t="s">
        <v>462</v>
      </c>
      <c r="R1246">
        <v>46.32</v>
      </c>
      <c r="S1246">
        <v>4</v>
      </c>
      <c r="T1246">
        <v>0</v>
      </c>
      <c r="U1246">
        <v>18.064800000000002</v>
      </c>
      <c r="V1246" t="str">
        <f t="shared" si="19"/>
        <v>Lori Olson</v>
      </c>
      <c r="W1246">
        <f>Table2[Profit]/Table2[Sales]</f>
        <v>0.39</v>
      </c>
    </row>
    <row r="1247" spans="1:23" x14ac:dyDescent="0.25">
      <c r="A1247">
        <v>1246</v>
      </c>
      <c r="B1247" t="s">
        <v>5511</v>
      </c>
      <c r="C1247" s="1">
        <v>42031</v>
      </c>
      <c r="D1247" s="1">
        <v>42033</v>
      </c>
      <c r="E1247" t="s">
        <v>22</v>
      </c>
      <c r="F1247" t="s">
        <v>2272</v>
      </c>
      <c r="G1247" t="s">
        <v>2273</v>
      </c>
      <c r="H1247" t="s">
        <v>25</v>
      </c>
      <c r="I1247" t="s">
        <v>26</v>
      </c>
      <c r="J1247" t="s">
        <v>2148</v>
      </c>
      <c r="K1247" t="s">
        <v>491</v>
      </c>
      <c r="L1247">
        <v>44105</v>
      </c>
      <c r="M1247" t="s">
        <v>145</v>
      </c>
      <c r="N1247" t="s">
        <v>329</v>
      </c>
      <c r="O1247" t="s">
        <v>31</v>
      </c>
      <c r="P1247" t="s">
        <v>35</v>
      </c>
      <c r="Q1247" t="s">
        <v>330</v>
      </c>
      <c r="R1247">
        <v>181.98599999999999</v>
      </c>
      <c r="S1247">
        <v>2</v>
      </c>
      <c r="T1247">
        <v>0.3</v>
      </c>
      <c r="U1247">
        <v>-54.595799999999997</v>
      </c>
      <c r="V1247" t="str">
        <f t="shared" si="19"/>
        <v>Seth Vernon</v>
      </c>
      <c r="W1247">
        <f>Table2[Profit]/Table2[Sales]</f>
        <v>-0.3</v>
      </c>
    </row>
    <row r="1248" spans="1:23" x14ac:dyDescent="0.25">
      <c r="A1248">
        <v>1247</v>
      </c>
      <c r="B1248" t="s">
        <v>5514</v>
      </c>
      <c r="C1248" s="1">
        <v>42201</v>
      </c>
      <c r="D1248" s="1">
        <v>42201</v>
      </c>
      <c r="E1248" t="s">
        <v>1278</v>
      </c>
      <c r="F1248" t="s">
        <v>5345</v>
      </c>
      <c r="G1248" t="s">
        <v>5346</v>
      </c>
      <c r="H1248" t="s">
        <v>40</v>
      </c>
      <c r="I1248" t="s">
        <v>26</v>
      </c>
      <c r="J1248" t="s">
        <v>126</v>
      </c>
      <c r="K1248" t="s">
        <v>42</v>
      </c>
      <c r="L1248">
        <v>94122</v>
      </c>
      <c r="M1248" t="s">
        <v>43</v>
      </c>
      <c r="N1248" t="s">
        <v>1183</v>
      </c>
      <c r="O1248" t="s">
        <v>31</v>
      </c>
      <c r="P1248" t="s">
        <v>35</v>
      </c>
      <c r="Q1248" t="s">
        <v>1184</v>
      </c>
      <c r="R1248">
        <v>1348.704</v>
      </c>
      <c r="S1248">
        <v>6</v>
      </c>
      <c r="T1248">
        <v>0.2</v>
      </c>
      <c r="U1248">
        <v>-219.1644</v>
      </c>
      <c r="V1248" t="str">
        <f t="shared" si="19"/>
        <v>Eleni McCrary</v>
      </c>
      <c r="W1248">
        <f>Table2[Profit]/Table2[Sales]</f>
        <v>-0.16250000000000001</v>
      </c>
    </row>
    <row r="1249" spans="1:23" x14ac:dyDescent="0.25">
      <c r="A1249">
        <v>1248</v>
      </c>
      <c r="B1249" t="s">
        <v>5515</v>
      </c>
      <c r="C1249" s="1">
        <v>42490</v>
      </c>
      <c r="D1249" s="1">
        <v>42494</v>
      </c>
      <c r="E1249" t="s">
        <v>49</v>
      </c>
      <c r="F1249" t="s">
        <v>5516</v>
      </c>
      <c r="G1249" t="s">
        <v>5517</v>
      </c>
      <c r="H1249" t="s">
        <v>40</v>
      </c>
      <c r="I1249" t="s">
        <v>26</v>
      </c>
      <c r="J1249" t="s">
        <v>616</v>
      </c>
      <c r="K1249" t="s">
        <v>303</v>
      </c>
      <c r="L1249">
        <v>85254</v>
      </c>
      <c r="M1249" t="s">
        <v>43</v>
      </c>
      <c r="N1249" t="s">
        <v>2152</v>
      </c>
      <c r="O1249" t="s">
        <v>31</v>
      </c>
      <c r="P1249" t="s">
        <v>64</v>
      </c>
      <c r="Q1249" t="s">
        <v>2153</v>
      </c>
      <c r="R1249">
        <v>111.88800000000001</v>
      </c>
      <c r="S1249">
        <v>7</v>
      </c>
      <c r="T1249">
        <v>0.2</v>
      </c>
      <c r="U1249">
        <v>22.377600000000001</v>
      </c>
      <c r="V1249" t="str">
        <f t="shared" si="19"/>
        <v>Ken Dana</v>
      </c>
      <c r="W1249">
        <f>Table2[Profit]/Table2[Sales]</f>
        <v>0.2</v>
      </c>
    </row>
    <row r="1250" spans="1:23" x14ac:dyDescent="0.25">
      <c r="A1250">
        <v>1249</v>
      </c>
      <c r="B1250" t="s">
        <v>5518</v>
      </c>
      <c r="C1250" s="1">
        <v>41908</v>
      </c>
      <c r="D1250" s="1">
        <v>41913</v>
      </c>
      <c r="E1250" t="s">
        <v>22</v>
      </c>
      <c r="F1250" t="s">
        <v>5519</v>
      </c>
      <c r="G1250" t="s">
        <v>5520</v>
      </c>
      <c r="H1250" t="s">
        <v>40</v>
      </c>
      <c r="I1250" t="s">
        <v>26</v>
      </c>
      <c r="J1250" t="s">
        <v>143</v>
      </c>
      <c r="K1250" t="s">
        <v>144</v>
      </c>
      <c r="L1250">
        <v>19134</v>
      </c>
      <c r="M1250" t="s">
        <v>145</v>
      </c>
      <c r="N1250" t="s">
        <v>3128</v>
      </c>
      <c r="O1250" t="s">
        <v>45</v>
      </c>
      <c r="P1250" t="s">
        <v>77</v>
      </c>
      <c r="Q1250" t="s">
        <v>3129</v>
      </c>
      <c r="R1250">
        <v>143.952</v>
      </c>
      <c r="S1250">
        <v>3</v>
      </c>
      <c r="T1250">
        <v>0.2</v>
      </c>
      <c r="U1250">
        <v>14.395200000000001</v>
      </c>
      <c r="V1250" t="str">
        <f t="shared" si="19"/>
        <v>Nicole Brennan</v>
      </c>
      <c r="W1250">
        <f>Table2[Profit]/Table2[Sales]</f>
        <v>0.1</v>
      </c>
    </row>
    <row r="1251" spans="1:23" x14ac:dyDescent="0.25">
      <c r="A1251">
        <v>1250</v>
      </c>
      <c r="B1251" t="s">
        <v>5521</v>
      </c>
      <c r="C1251" s="1">
        <v>42621</v>
      </c>
      <c r="D1251" s="1">
        <v>42627</v>
      </c>
      <c r="E1251" t="s">
        <v>49</v>
      </c>
      <c r="F1251" t="s">
        <v>3276</v>
      </c>
      <c r="G1251" t="s">
        <v>3277</v>
      </c>
      <c r="H1251" t="s">
        <v>101</v>
      </c>
      <c r="I1251" t="s">
        <v>26</v>
      </c>
      <c r="J1251" t="s">
        <v>5328</v>
      </c>
      <c r="K1251" t="s">
        <v>1233</v>
      </c>
      <c r="L1251">
        <v>2148</v>
      </c>
      <c r="M1251" t="s">
        <v>145</v>
      </c>
      <c r="N1251" t="s">
        <v>5522</v>
      </c>
      <c r="O1251" t="s">
        <v>31</v>
      </c>
      <c r="P1251" t="s">
        <v>32</v>
      </c>
      <c r="Q1251" t="s">
        <v>5523</v>
      </c>
      <c r="R1251">
        <v>173.94</v>
      </c>
      <c r="S1251">
        <v>3</v>
      </c>
      <c r="T1251">
        <v>0</v>
      </c>
      <c r="U1251">
        <v>13.9152</v>
      </c>
      <c r="V1251" t="str">
        <f t="shared" si="19"/>
        <v>Anne Pryor</v>
      </c>
      <c r="W1251">
        <f>Table2[Profit]/Table2[Sales]</f>
        <v>0.08</v>
      </c>
    </row>
    <row r="1252" spans="1:23" x14ac:dyDescent="0.25">
      <c r="A1252">
        <v>1251</v>
      </c>
      <c r="B1252" t="s">
        <v>5524</v>
      </c>
      <c r="C1252" s="1">
        <v>42841</v>
      </c>
      <c r="D1252" s="1">
        <v>42845</v>
      </c>
      <c r="E1252" t="s">
        <v>49</v>
      </c>
      <c r="F1252" t="s">
        <v>325</v>
      </c>
      <c r="G1252" t="s">
        <v>326</v>
      </c>
      <c r="H1252" t="s">
        <v>25</v>
      </c>
      <c r="I1252" t="s">
        <v>26</v>
      </c>
      <c r="J1252" t="s">
        <v>622</v>
      </c>
      <c r="K1252" t="s">
        <v>42</v>
      </c>
      <c r="L1252">
        <v>95123</v>
      </c>
      <c r="M1252" t="s">
        <v>43</v>
      </c>
      <c r="N1252" t="s">
        <v>954</v>
      </c>
      <c r="O1252" t="s">
        <v>45</v>
      </c>
      <c r="P1252" t="s">
        <v>58</v>
      </c>
      <c r="Q1252" t="s">
        <v>955</v>
      </c>
      <c r="R1252">
        <v>205.92</v>
      </c>
      <c r="S1252">
        <v>4</v>
      </c>
      <c r="T1252">
        <v>0</v>
      </c>
      <c r="U1252">
        <v>2.0592000000000001</v>
      </c>
      <c r="V1252" t="str">
        <f t="shared" si="19"/>
        <v>Joel Eaton</v>
      </c>
      <c r="W1252">
        <f>Table2[Profit]/Table2[Sales]</f>
        <v>1.0000000000000002E-2</v>
      </c>
    </row>
    <row r="1253" spans="1:23" x14ac:dyDescent="0.25">
      <c r="A1253">
        <v>1252</v>
      </c>
      <c r="B1253" t="s">
        <v>5525</v>
      </c>
      <c r="C1253" s="1">
        <v>42232</v>
      </c>
      <c r="D1253" s="1">
        <v>42238</v>
      </c>
      <c r="E1253" t="s">
        <v>49</v>
      </c>
      <c r="F1253" t="s">
        <v>5454</v>
      </c>
      <c r="G1253" t="s">
        <v>5455</v>
      </c>
      <c r="H1253" t="s">
        <v>25</v>
      </c>
      <c r="I1253" t="s">
        <v>26</v>
      </c>
      <c r="J1253" t="s">
        <v>537</v>
      </c>
      <c r="K1253" t="s">
        <v>303</v>
      </c>
      <c r="L1253">
        <v>85023</v>
      </c>
      <c r="M1253" t="s">
        <v>43</v>
      </c>
      <c r="N1253" t="s">
        <v>3179</v>
      </c>
      <c r="O1253" t="s">
        <v>45</v>
      </c>
      <c r="P1253" t="s">
        <v>67</v>
      </c>
      <c r="Q1253" t="s">
        <v>3180</v>
      </c>
      <c r="R1253">
        <v>2.3039999999999998</v>
      </c>
      <c r="S1253">
        <v>1</v>
      </c>
      <c r="T1253">
        <v>0.2</v>
      </c>
      <c r="U1253">
        <v>0.25919999999999999</v>
      </c>
      <c r="V1253" t="str">
        <f t="shared" si="19"/>
        <v>John Murray</v>
      </c>
      <c r="W1253">
        <f>Table2[Profit]/Table2[Sales]</f>
        <v>0.1125</v>
      </c>
    </row>
    <row r="1254" spans="1:23" x14ac:dyDescent="0.25">
      <c r="A1254">
        <v>1253</v>
      </c>
      <c r="B1254" t="s">
        <v>5526</v>
      </c>
      <c r="C1254" s="1">
        <v>43058</v>
      </c>
      <c r="D1254" s="1">
        <v>43062</v>
      </c>
      <c r="E1254" t="s">
        <v>49</v>
      </c>
      <c r="F1254" t="s">
        <v>3751</v>
      </c>
      <c r="G1254" t="s">
        <v>3752</v>
      </c>
      <c r="H1254" t="s">
        <v>25</v>
      </c>
      <c r="I1254" t="s">
        <v>26</v>
      </c>
      <c r="J1254" t="s">
        <v>27</v>
      </c>
      <c r="K1254" t="s">
        <v>28</v>
      </c>
      <c r="L1254">
        <v>42420</v>
      </c>
      <c r="M1254" t="s">
        <v>29</v>
      </c>
      <c r="N1254" t="s">
        <v>5527</v>
      </c>
      <c r="O1254" t="s">
        <v>31</v>
      </c>
      <c r="P1254" t="s">
        <v>64</v>
      </c>
      <c r="Q1254" t="s">
        <v>5528</v>
      </c>
      <c r="R1254">
        <v>821.88</v>
      </c>
      <c r="S1254">
        <v>6</v>
      </c>
      <c r="T1254">
        <v>0</v>
      </c>
      <c r="U1254">
        <v>213.68879999999999</v>
      </c>
      <c r="V1254" t="str">
        <f t="shared" si="19"/>
        <v>Adrian Barton</v>
      </c>
      <c r="W1254">
        <f>Table2[Profit]/Table2[Sales]</f>
        <v>0.26</v>
      </c>
    </row>
    <row r="1255" spans="1:23" x14ac:dyDescent="0.25">
      <c r="A1255">
        <v>1254</v>
      </c>
      <c r="B1255" t="s">
        <v>5529</v>
      </c>
      <c r="C1255" s="1">
        <v>42627</v>
      </c>
      <c r="D1255" s="1">
        <v>42631</v>
      </c>
      <c r="E1255" t="s">
        <v>49</v>
      </c>
      <c r="F1255" t="s">
        <v>417</v>
      </c>
      <c r="G1255" t="s">
        <v>418</v>
      </c>
      <c r="H1255" t="s">
        <v>101</v>
      </c>
      <c r="I1255" t="s">
        <v>26</v>
      </c>
      <c r="J1255" t="s">
        <v>375</v>
      </c>
      <c r="K1255" t="s">
        <v>376</v>
      </c>
      <c r="L1255">
        <v>29203</v>
      </c>
      <c r="M1255" t="s">
        <v>29</v>
      </c>
      <c r="N1255" t="s">
        <v>3140</v>
      </c>
      <c r="O1255" t="s">
        <v>45</v>
      </c>
      <c r="P1255" t="s">
        <v>89</v>
      </c>
      <c r="Q1255" t="s">
        <v>3141</v>
      </c>
      <c r="R1255">
        <v>25.92</v>
      </c>
      <c r="S1255">
        <v>4</v>
      </c>
      <c r="T1255">
        <v>0</v>
      </c>
      <c r="U1255">
        <v>12.441599999999999</v>
      </c>
      <c r="V1255" t="str">
        <f t="shared" si="19"/>
        <v>Parhena Norris</v>
      </c>
      <c r="W1255">
        <f>Table2[Profit]/Table2[Sales]</f>
        <v>0.47999999999999993</v>
      </c>
    </row>
    <row r="1256" spans="1:23" x14ac:dyDescent="0.25">
      <c r="A1256">
        <v>1255</v>
      </c>
      <c r="B1256" t="s">
        <v>5530</v>
      </c>
      <c r="C1256" s="1">
        <v>42597</v>
      </c>
      <c r="D1256" s="1">
        <v>42602</v>
      </c>
      <c r="E1256" t="s">
        <v>49</v>
      </c>
      <c r="F1256" t="s">
        <v>4584</v>
      </c>
      <c r="G1256" t="s">
        <v>4585</v>
      </c>
      <c r="H1256" t="s">
        <v>25</v>
      </c>
      <c r="I1256" t="s">
        <v>26</v>
      </c>
      <c r="J1256" t="s">
        <v>5531</v>
      </c>
      <c r="K1256" t="s">
        <v>53</v>
      </c>
      <c r="L1256">
        <v>32303</v>
      </c>
      <c r="M1256" t="s">
        <v>29</v>
      </c>
      <c r="N1256" t="s">
        <v>5532</v>
      </c>
      <c r="O1256" t="s">
        <v>70</v>
      </c>
      <c r="P1256" t="s">
        <v>71</v>
      </c>
      <c r="Q1256" t="s">
        <v>5533</v>
      </c>
      <c r="R1256">
        <v>705.54399999999998</v>
      </c>
      <c r="S1256">
        <v>7</v>
      </c>
      <c r="T1256">
        <v>0.2</v>
      </c>
      <c r="U1256">
        <v>70.554400000000001</v>
      </c>
      <c r="V1256" t="str">
        <f t="shared" si="19"/>
        <v>John Castell</v>
      </c>
      <c r="W1256">
        <f>Table2[Profit]/Table2[Sales]</f>
        <v>0.1</v>
      </c>
    </row>
    <row r="1257" spans="1:23" x14ac:dyDescent="0.25">
      <c r="A1257">
        <v>1256</v>
      </c>
      <c r="B1257" t="s">
        <v>5534</v>
      </c>
      <c r="C1257" s="1">
        <v>42273</v>
      </c>
      <c r="D1257" s="1">
        <v>42277</v>
      </c>
      <c r="E1257" t="s">
        <v>49</v>
      </c>
      <c r="F1257" t="s">
        <v>529</v>
      </c>
      <c r="G1257" t="s">
        <v>530</v>
      </c>
      <c r="H1257" t="s">
        <v>25</v>
      </c>
      <c r="I1257" t="s">
        <v>26</v>
      </c>
      <c r="J1257" t="s">
        <v>263</v>
      </c>
      <c r="K1257" t="s">
        <v>264</v>
      </c>
      <c r="L1257">
        <v>10035</v>
      </c>
      <c r="M1257" t="s">
        <v>145</v>
      </c>
      <c r="N1257" t="s">
        <v>5535</v>
      </c>
      <c r="O1257" t="s">
        <v>70</v>
      </c>
      <c r="P1257" t="s">
        <v>158</v>
      </c>
      <c r="Q1257" t="s">
        <v>5536</v>
      </c>
      <c r="R1257">
        <v>50</v>
      </c>
      <c r="S1257">
        <v>2</v>
      </c>
      <c r="T1257">
        <v>0</v>
      </c>
      <c r="U1257">
        <v>12</v>
      </c>
      <c r="V1257" t="str">
        <f t="shared" si="19"/>
        <v>Philip Fox</v>
      </c>
      <c r="W1257">
        <f>Table2[Profit]/Table2[Sales]</f>
        <v>0.24</v>
      </c>
    </row>
    <row r="1258" spans="1:23" x14ac:dyDescent="0.25">
      <c r="A1258">
        <v>1257</v>
      </c>
      <c r="B1258" t="s">
        <v>5537</v>
      </c>
      <c r="C1258" s="1">
        <v>42651</v>
      </c>
      <c r="D1258" s="1">
        <v>42657</v>
      </c>
      <c r="E1258" t="s">
        <v>49</v>
      </c>
      <c r="F1258" t="s">
        <v>2515</v>
      </c>
      <c r="G1258" t="s">
        <v>2516</v>
      </c>
      <c r="H1258" t="s">
        <v>40</v>
      </c>
      <c r="I1258" t="s">
        <v>26</v>
      </c>
      <c r="J1258" t="s">
        <v>181</v>
      </c>
      <c r="K1258" t="s">
        <v>103</v>
      </c>
      <c r="L1258">
        <v>77070</v>
      </c>
      <c r="M1258" t="s">
        <v>104</v>
      </c>
      <c r="N1258" t="s">
        <v>5538</v>
      </c>
      <c r="O1258" t="s">
        <v>31</v>
      </c>
      <c r="P1258" t="s">
        <v>64</v>
      </c>
      <c r="Q1258" t="s">
        <v>5539</v>
      </c>
      <c r="R1258">
        <v>51.712000000000003</v>
      </c>
      <c r="S1258">
        <v>8</v>
      </c>
      <c r="T1258">
        <v>0.6</v>
      </c>
      <c r="U1258">
        <v>-32.32</v>
      </c>
      <c r="V1258" t="str">
        <f t="shared" si="19"/>
        <v>Bart Watters</v>
      </c>
      <c r="W1258">
        <f>Table2[Profit]/Table2[Sales]</f>
        <v>-0.625</v>
      </c>
    </row>
    <row r="1259" spans="1:23" x14ac:dyDescent="0.25">
      <c r="A1259">
        <v>1258</v>
      </c>
      <c r="B1259" t="s">
        <v>5540</v>
      </c>
      <c r="C1259" s="1">
        <v>42087</v>
      </c>
      <c r="D1259" s="1">
        <v>42093</v>
      </c>
      <c r="E1259" t="s">
        <v>49</v>
      </c>
      <c r="F1259" t="s">
        <v>1123</v>
      </c>
      <c r="G1259" t="s">
        <v>1124</v>
      </c>
      <c r="H1259" t="s">
        <v>40</v>
      </c>
      <c r="I1259" t="s">
        <v>26</v>
      </c>
      <c r="J1259" t="s">
        <v>3340</v>
      </c>
      <c r="K1259" t="s">
        <v>53</v>
      </c>
      <c r="L1259">
        <v>33065</v>
      </c>
      <c r="M1259" t="s">
        <v>29</v>
      </c>
      <c r="N1259" t="s">
        <v>5186</v>
      </c>
      <c r="O1259" t="s">
        <v>45</v>
      </c>
      <c r="P1259" t="s">
        <v>77</v>
      </c>
      <c r="Q1259" t="s">
        <v>5187</v>
      </c>
      <c r="R1259">
        <v>6.992</v>
      </c>
      <c r="S1259">
        <v>2</v>
      </c>
      <c r="T1259">
        <v>0.2</v>
      </c>
      <c r="U1259">
        <v>0.52439999999999998</v>
      </c>
      <c r="V1259" t="str">
        <f t="shared" si="19"/>
        <v>Ben Peterman</v>
      </c>
      <c r="W1259">
        <f>Table2[Profit]/Table2[Sales]</f>
        <v>7.4999999999999997E-2</v>
      </c>
    </row>
    <row r="1260" spans="1:23" x14ac:dyDescent="0.25">
      <c r="A1260">
        <v>1259</v>
      </c>
      <c r="B1260" t="s">
        <v>5541</v>
      </c>
      <c r="C1260" s="1">
        <v>42155</v>
      </c>
      <c r="D1260" s="1">
        <v>42159</v>
      </c>
      <c r="E1260" t="s">
        <v>49</v>
      </c>
      <c r="F1260" t="s">
        <v>5338</v>
      </c>
      <c r="G1260" t="s">
        <v>5339</v>
      </c>
      <c r="H1260" t="s">
        <v>25</v>
      </c>
      <c r="I1260" t="s">
        <v>26</v>
      </c>
      <c r="J1260" t="s">
        <v>151</v>
      </c>
      <c r="K1260" t="s">
        <v>120</v>
      </c>
      <c r="L1260">
        <v>84057</v>
      </c>
      <c r="M1260" t="s">
        <v>43</v>
      </c>
      <c r="N1260" t="s">
        <v>5542</v>
      </c>
      <c r="O1260" t="s">
        <v>31</v>
      </c>
      <c r="P1260" t="s">
        <v>32</v>
      </c>
      <c r="Q1260" t="s">
        <v>5543</v>
      </c>
      <c r="R1260">
        <v>1406.86</v>
      </c>
      <c r="S1260">
        <v>7</v>
      </c>
      <c r="T1260">
        <v>0</v>
      </c>
      <c r="U1260">
        <v>140.68600000000001</v>
      </c>
      <c r="V1260" t="str">
        <f t="shared" si="19"/>
        <v>Tamara Manning</v>
      </c>
      <c r="W1260">
        <f>Table2[Profit]/Table2[Sales]</f>
        <v>0.1</v>
      </c>
    </row>
    <row r="1261" spans="1:23" x14ac:dyDescent="0.25">
      <c r="A1261">
        <v>1260</v>
      </c>
      <c r="B1261" t="s">
        <v>5544</v>
      </c>
      <c r="C1261" s="1">
        <v>42363</v>
      </c>
      <c r="D1261" s="1">
        <v>42369</v>
      </c>
      <c r="E1261" t="s">
        <v>49</v>
      </c>
      <c r="F1261" t="s">
        <v>792</v>
      </c>
      <c r="G1261" t="s">
        <v>793</v>
      </c>
      <c r="H1261" t="s">
        <v>25</v>
      </c>
      <c r="I1261" t="s">
        <v>26</v>
      </c>
      <c r="J1261" t="s">
        <v>5545</v>
      </c>
      <c r="K1261" t="s">
        <v>328</v>
      </c>
      <c r="L1261">
        <v>37211</v>
      </c>
      <c r="M1261" t="s">
        <v>29</v>
      </c>
      <c r="N1261" t="s">
        <v>4657</v>
      </c>
      <c r="O1261" t="s">
        <v>45</v>
      </c>
      <c r="P1261" t="s">
        <v>46</v>
      </c>
      <c r="Q1261" t="s">
        <v>4658</v>
      </c>
      <c r="R1261">
        <v>9.2159999999999993</v>
      </c>
      <c r="S1261">
        <v>4</v>
      </c>
      <c r="T1261">
        <v>0.2</v>
      </c>
      <c r="U1261">
        <v>3.3408000000000002</v>
      </c>
      <c r="V1261" t="str">
        <f t="shared" si="19"/>
        <v>Maria Bertelson</v>
      </c>
      <c r="W1261">
        <f>Table2[Profit]/Table2[Sales]</f>
        <v>0.36250000000000004</v>
      </c>
    </row>
    <row r="1262" spans="1:23" x14ac:dyDescent="0.25">
      <c r="A1262">
        <v>1261</v>
      </c>
      <c r="B1262" t="s">
        <v>5546</v>
      </c>
      <c r="C1262" s="1">
        <v>42080</v>
      </c>
      <c r="D1262" s="1">
        <v>42085</v>
      </c>
      <c r="E1262" t="s">
        <v>22</v>
      </c>
      <c r="F1262" t="s">
        <v>3326</v>
      </c>
      <c r="G1262" t="s">
        <v>3327</v>
      </c>
      <c r="H1262" t="s">
        <v>40</v>
      </c>
      <c r="I1262" t="s">
        <v>26</v>
      </c>
      <c r="J1262" t="s">
        <v>263</v>
      </c>
      <c r="K1262" t="s">
        <v>264</v>
      </c>
      <c r="L1262">
        <v>10009</v>
      </c>
      <c r="M1262" t="s">
        <v>145</v>
      </c>
      <c r="N1262" t="s">
        <v>5547</v>
      </c>
      <c r="O1262" t="s">
        <v>70</v>
      </c>
      <c r="P1262" t="s">
        <v>158</v>
      </c>
      <c r="Q1262" t="s">
        <v>5548</v>
      </c>
      <c r="R1262">
        <v>15.02</v>
      </c>
      <c r="S1262">
        <v>1</v>
      </c>
      <c r="T1262">
        <v>0</v>
      </c>
      <c r="U1262">
        <v>2.7035999999999998</v>
      </c>
      <c r="V1262" t="str">
        <f t="shared" si="19"/>
        <v>Harold Ryan</v>
      </c>
      <c r="W1262">
        <f>Table2[Profit]/Table2[Sales]</f>
        <v>0.18</v>
      </c>
    </row>
    <row r="1263" spans="1:23" x14ac:dyDescent="0.25">
      <c r="A1263">
        <v>1262</v>
      </c>
      <c r="B1263" t="s">
        <v>5549</v>
      </c>
      <c r="C1263" s="1">
        <v>43090</v>
      </c>
      <c r="D1263" s="1">
        <v>43093</v>
      </c>
      <c r="E1263" t="s">
        <v>185</v>
      </c>
      <c r="F1263" t="s">
        <v>5550</v>
      </c>
      <c r="G1263" t="s">
        <v>5551</v>
      </c>
      <c r="H1263" t="s">
        <v>25</v>
      </c>
      <c r="I1263" t="s">
        <v>26</v>
      </c>
      <c r="J1263" t="s">
        <v>4524</v>
      </c>
      <c r="K1263" t="s">
        <v>28</v>
      </c>
      <c r="L1263">
        <v>42104</v>
      </c>
      <c r="M1263" t="s">
        <v>29</v>
      </c>
      <c r="N1263" t="s">
        <v>3566</v>
      </c>
      <c r="O1263" t="s">
        <v>70</v>
      </c>
      <c r="P1263" t="s">
        <v>158</v>
      </c>
      <c r="Q1263" t="s">
        <v>3567</v>
      </c>
      <c r="R1263">
        <v>71</v>
      </c>
      <c r="S1263">
        <v>4</v>
      </c>
      <c r="T1263">
        <v>0</v>
      </c>
      <c r="U1263">
        <v>27.69</v>
      </c>
      <c r="V1263" t="str">
        <f t="shared" si="19"/>
        <v>Brian Derr</v>
      </c>
      <c r="W1263">
        <f>Table2[Profit]/Table2[Sales]</f>
        <v>0.39</v>
      </c>
    </row>
    <row r="1264" spans="1:23" x14ac:dyDescent="0.25">
      <c r="A1264">
        <v>1263</v>
      </c>
      <c r="B1264" t="s">
        <v>5552</v>
      </c>
      <c r="C1264" s="1">
        <v>43040</v>
      </c>
      <c r="D1264" s="1">
        <v>43042</v>
      </c>
      <c r="E1264" t="s">
        <v>22</v>
      </c>
      <c r="F1264" t="s">
        <v>1913</v>
      </c>
      <c r="G1264" t="s">
        <v>1914</v>
      </c>
      <c r="H1264" t="s">
        <v>25</v>
      </c>
      <c r="I1264" t="s">
        <v>26</v>
      </c>
      <c r="J1264" t="s">
        <v>5553</v>
      </c>
      <c r="K1264" t="s">
        <v>95</v>
      </c>
      <c r="L1264">
        <v>98226</v>
      </c>
      <c r="M1264" t="s">
        <v>43</v>
      </c>
      <c r="N1264" t="s">
        <v>5554</v>
      </c>
      <c r="O1264" t="s">
        <v>45</v>
      </c>
      <c r="P1264" t="s">
        <v>74</v>
      </c>
      <c r="Q1264" t="s">
        <v>5555</v>
      </c>
      <c r="R1264">
        <v>25.12</v>
      </c>
      <c r="S1264">
        <v>5</v>
      </c>
      <c r="T1264">
        <v>0.2</v>
      </c>
      <c r="U1264">
        <v>7.85</v>
      </c>
      <c r="V1264" t="str">
        <f t="shared" si="19"/>
        <v>Sarah Foster</v>
      </c>
      <c r="W1264">
        <f>Table2[Profit]/Table2[Sales]</f>
        <v>0.3125</v>
      </c>
    </row>
    <row r="1265" spans="1:23" x14ac:dyDescent="0.25">
      <c r="A1265">
        <v>1264</v>
      </c>
      <c r="B1265" t="s">
        <v>5556</v>
      </c>
      <c r="C1265" s="1">
        <v>42985</v>
      </c>
      <c r="D1265" s="1">
        <v>42989</v>
      </c>
      <c r="E1265" t="s">
        <v>49</v>
      </c>
      <c r="F1265" t="s">
        <v>3360</v>
      </c>
      <c r="G1265" t="s">
        <v>3361</v>
      </c>
      <c r="H1265" t="s">
        <v>40</v>
      </c>
      <c r="I1265" t="s">
        <v>26</v>
      </c>
      <c r="J1265" t="s">
        <v>263</v>
      </c>
      <c r="K1265" t="s">
        <v>264</v>
      </c>
      <c r="L1265">
        <v>10011</v>
      </c>
      <c r="M1265" t="s">
        <v>145</v>
      </c>
      <c r="N1265" t="s">
        <v>220</v>
      </c>
      <c r="O1265" t="s">
        <v>45</v>
      </c>
      <c r="P1265" t="s">
        <v>58</v>
      </c>
      <c r="Q1265" t="s">
        <v>221</v>
      </c>
      <c r="R1265">
        <v>478.08</v>
      </c>
      <c r="S1265">
        <v>8</v>
      </c>
      <c r="T1265">
        <v>0</v>
      </c>
      <c r="U1265">
        <v>133.86240000000001</v>
      </c>
      <c r="V1265" t="str">
        <f t="shared" si="19"/>
        <v>Stefania Perrino</v>
      </c>
      <c r="W1265">
        <f>Table2[Profit]/Table2[Sales]</f>
        <v>0.28000000000000003</v>
      </c>
    </row>
    <row r="1266" spans="1:23" x14ac:dyDescent="0.25">
      <c r="A1266">
        <v>1265</v>
      </c>
      <c r="B1266" t="s">
        <v>5557</v>
      </c>
      <c r="C1266" s="1">
        <v>43096</v>
      </c>
      <c r="D1266" s="1">
        <v>43096</v>
      </c>
      <c r="E1266" t="s">
        <v>1278</v>
      </c>
      <c r="F1266" t="s">
        <v>952</v>
      </c>
      <c r="G1266" t="s">
        <v>953</v>
      </c>
      <c r="H1266" t="s">
        <v>40</v>
      </c>
      <c r="I1266" t="s">
        <v>26</v>
      </c>
      <c r="J1266" t="s">
        <v>600</v>
      </c>
      <c r="K1266" t="s">
        <v>491</v>
      </c>
      <c r="L1266">
        <v>43055</v>
      </c>
      <c r="M1266" t="s">
        <v>145</v>
      </c>
      <c r="N1266" t="s">
        <v>3154</v>
      </c>
      <c r="O1266" t="s">
        <v>70</v>
      </c>
      <c r="P1266" t="s">
        <v>71</v>
      </c>
      <c r="Q1266" t="s">
        <v>3155</v>
      </c>
      <c r="R1266">
        <v>164.38800000000001</v>
      </c>
      <c r="S1266">
        <v>2</v>
      </c>
      <c r="T1266">
        <v>0.4</v>
      </c>
      <c r="U1266">
        <v>-35.617400000000004</v>
      </c>
      <c r="V1266" t="str">
        <f t="shared" si="19"/>
        <v>Dan Reichenbach</v>
      </c>
      <c r="W1266">
        <f>Table2[Profit]/Table2[Sales]</f>
        <v>-0.21666666666666667</v>
      </c>
    </row>
    <row r="1267" spans="1:23" x14ac:dyDescent="0.25">
      <c r="A1267">
        <v>1266</v>
      </c>
      <c r="B1267" t="s">
        <v>5558</v>
      </c>
      <c r="C1267" s="1">
        <v>42932</v>
      </c>
      <c r="D1267" s="1">
        <v>42937</v>
      </c>
      <c r="E1267" t="s">
        <v>49</v>
      </c>
      <c r="F1267" t="s">
        <v>778</v>
      </c>
      <c r="G1267" t="s">
        <v>779</v>
      </c>
      <c r="H1267" t="s">
        <v>101</v>
      </c>
      <c r="I1267" t="s">
        <v>26</v>
      </c>
      <c r="J1267" t="s">
        <v>5559</v>
      </c>
      <c r="K1267" t="s">
        <v>208</v>
      </c>
      <c r="L1267">
        <v>60098</v>
      </c>
      <c r="M1267" t="s">
        <v>104</v>
      </c>
      <c r="N1267" t="s">
        <v>3256</v>
      </c>
      <c r="O1267" t="s">
        <v>45</v>
      </c>
      <c r="P1267" t="s">
        <v>67</v>
      </c>
      <c r="Q1267" t="s">
        <v>3257</v>
      </c>
      <c r="R1267">
        <v>2.9119999999999999</v>
      </c>
      <c r="S1267">
        <v>2</v>
      </c>
      <c r="T1267">
        <v>0.2</v>
      </c>
      <c r="U1267">
        <v>0.91</v>
      </c>
      <c r="V1267" t="str">
        <f t="shared" si="19"/>
        <v>Valerie Mitchum</v>
      </c>
      <c r="W1267">
        <f>Table2[Profit]/Table2[Sales]</f>
        <v>0.3125</v>
      </c>
    </row>
    <row r="1268" spans="1:23" x14ac:dyDescent="0.25">
      <c r="A1268">
        <v>1267</v>
      </c>
      <c r="B1268" t="s">
        <v>5560</v>
      </c>
      <c r="C1268" s="1">
        <v>42594</v>
      </c>
      <c r="D1268" s="1">
        <v>42597</v>
      </c>
      <c r="E1268" t="s">
        <v>22</v>
      </c>
      <c r="F1268" t="s">
        <v>5561</v>
      </c>
      <c r="G1268" t="s">
        <v>5562</v>
      </c>
      <c r="H1268" t="s">
        <v>25</v>
      </c>
      <c r="I1268" t="s">
        <v>26</v>
      </c>
      <c r="J1268" t="s">
        <v>4128</v>
      </c>
      <c r="K1268" t="s">
        <v>103</v>
      </c>
      <c r="L1268">
        <v>75007</v>
      </c>
      <c r="M1268" t="s">
        <v>104</v>
      </c>
      <c r="N1268" t="s">
        <v>5143</v>
      </c>
      <c r="O1268" t="s">
        <v>70</v>
      </c>
      <c r="P1268" t="s">
        <v>158</v>
      </c>
      <c r="Q1268" t="s">
        <v>5144</v>
      </c>
      <c r="R1268">
        <v>1399.944</v>
      </c>
      <c r="S1268">
        <v>7</v>
      </c>
      <c r="T1268">
        <v>0.2</v>
      </c>
      <c r="U1268">
        <v>52.497900000000001</v>
      </c>
      <c r="V1268" t="str">
        <f t="shared" si="19"/>
        <v>Chris McAfee</v>
      </c>
      <c r="W1268">
        <f>Table2[Profit]/Table2[Sales]</f>
        <v>3.7499999999999999E-2</v>
      </c>
    </row>
    <row r="1269" spans="1:23" x14ac:dyDescent="0.25">
      <c r="A1269">
        <v>1268</v>
      </c>
      <c r="B1269" t="s">
        <v>5563</v>
      </c>
      <c r="C1269" s="1">
        <v>42925</v>
      </c>
      <c r="D1269" s="1">
        <v>42930</v>
      </c>
      <c r="E1269" t="s">
        <v>49</v>
      </c>
      <c r="F1269" t="s">
        <v>5146</v>
      </c>
      <c r="G1269" t="s">
        <v>5147</v>
      </c>
      <c r="H1269" t="s">
        <v>101</v>
      </c>
      <c r="I1269" t="s">
        <v>26</v>
      </c>
      <c r="J1269" t="s">
        <v>4182</v>
      </c>
      <c r="K1269" t="s">
        <v>251</v>
      </c>
      <c r="L1269">
        <v>47905</v>
      </c>
      <c r="M1269" t="s">
        <v>104</v>
      </c>
      <c r="N1269" t="s">
        <v>3057</v>
      </c>
      <c r="O1269" t="s">
        <v>31</v>
      </c>
      <c r="P1269" t="s">
        <v>64</v>
      </c>
      <c r="Q1269" t="s">
        <v>3058</v>
      </c>
      <c r="R1269">
        <v>526.45000000000005</v>
      </c>
      <c r="S1269">
        <v>5</v>
      </c>
      <c r="T1269">
        <v>0</v>
      </c>
      <c r="U1269">
        <v>31.587</v>
      </c>
      <c r="V1269" t="str">
        <f t="shared" si="19"/>
        <v>Sean Miller</v>
      </c>
      <c r="W1269">
        <f>Table2[Profit]/Table2[Sales]</f>
        <v>0.06</v>
      </c>
    </row>
    <row r="1270" spans="1:23" x14ac:dyDescent="0.25">
      <c r="A1270">
        <v>1269</v>
      </c>
      <c r="B1270" t="s">
        <v>5564</v>
      </c>
      <c r="C1270" s="1">
        <v>41965</v>
      </c>
      <c r="D1270" s="1">
        <v>41970</v>
      </c>
      <c r="E1270" t="s">
        <v>49</v>
      </c>
      <c r="F1270" t="s">
        <v>212</v>
      </c>
      <c r="G1270" t="s">
        <v>213</v>
      </c>
      <c r="H1270" t="s">
        <v>40</v>
      </c>
      <c r="I1270" t="s">
        <v>26</v>
      </c>
      <c r="J1270" t="s">
        <v>490</v>
      </c>
      <c r="K1270" t="s">
        <v>1260</v>
      </c>
      <c r="L1270">
        <v>31907</v>
      </c>
      <c r="M1270" t="s">
        <v>29</v>
      </c>
      <c r="N1270" t="s">
        <v>3414</v>
      </c>
      <c r="O1270" t="s">
        <v>45</v>
      </c>
      <c r="P1270" t="s">
        <v>170</v>
      </c>
      <c r="Q1270" t="s">
        <v>3415</v>
      </c>
      <c r="R1270">
        <v>16.23</v>
      </c>
      <c r="S1270">
        <v>3</v>
      </c>
      <c r="T1270">
        <v>0</v>
      </c>
      <c r="U1270">
        <v>7.9527000000000001</v>
      </c>
      <c r="V1270" t="str">
        <f t="shared" si="19"/>
        <v>Ruben Ausman</v>
      </c>
      <c r="W1270">
        <f>Table2[Profit]/Table2[Sales]</f>
        <v>0.49</v>
      </c>
    </row>
    <row r="1271" spans="1:23" x14ac:dyDescent="0.25">
      <c r="A1271">
        <v>1270</v>
      </c>
      <c r="B1271" t="s">
        <v>5565</v>
      </c>
      <c r="C1271" s="1">
        <v>41665</v>
      </c>
      <c r="D1271" s="1">
        <v>41670</v>
      </c>
      <c r="E1271" t="s">
        <v>49</v>
      </c>
      <c r="F1271" t="s">
        <v>1483</v>
      </c>
      <c r="G1271" t="s">
        <v>1484</v>
      </c>
      <c r="H1271" t="s">
        <v>101</v>
      </c>
      <c r="I1271" t="s">
        <v>26</v>
      </c>
      <c r="J1271" t="s">
        <v>2773</v>
      </c>
      <c r="K1271" t="s">
        <v>312</v>
      </c>
      <c r="L1271">
        <v>22304</v>
      </c>
      <c r="M1271" t="s">
        <v>29</v>
      </c>
      <c r="N1271" t="s">
        <v>5566</v>
      </c>
      <c r="O1271" t="s">
        <v>31</v>
      </c>
      <c r="P1271" t="s">
        <v>64</v>
      </c>
      <c r="Q1271" t="s">
        <v>5567</v>
      </c>
      <c r="R1271">
        <v>62.82</v>
      </c>
      <c r="S1271">
        <v>3</v>
      </c>
      <c r="T1271">
        <v>0</v>
      </c>
      <c r="U1271">
        <v>30.7818</v>
      </c>
      <c r="V1271" t="str">
        <f t="shared" si="19"/>
        <v>Shirley Daniels</v>
      </c>
      <c r="W1271">
        <f>Table2[Profit]/Table2[Sales]</f>
        <v>0.49</v>
      </c>
    </row>
    <row r="1272" spans="1:23" x14ac:dyDescent="0.25">
      <c r="A1272">
        <v>1271</v>
      </c>
      <c r="B1272" t="s">
        <v>5572</v>
      </c>
      <c r="C1272" s="1">
        <v>42311</v>
      </c>
      <c r="D1272" s="1">
        <v>42318</v>
      </c>
      <c r="E1272" t="s">
        <v>49</v>
      </c>
      <c r="F1272" t="s">
        <v>2388</v>
      </c>
      <c r="G1272" t="s">
        <v>2389</v>
      </c>
      <c r="H1272" t="s">
        <v>40</v>
      </c>
      <c r="I1272" t="s">
        <v>26</v>
      </c>
      <c r="J1272" t="s">
        <v>5573</v>
      </c>
      <c r="K1272" t="s">
        <v>103</v>
      </c>
      <c r="L1272">
        <v>76117</v>
      </c>
      <c r="M1272" t="s">
        <v>104</v>
      </c>
      <c r="N1272" t="s">
        <v>1250</v>
      </c>
      <c r="O1272" t="s">
        <v>45</v>
      </c>
      <c r="P1272" t="s">
        <v>170</v>
      </c>
      <c r="Q1272" t="s">
        <v>1251</v>
      </c>
      <c r="R1272">
        <v>6.6079999999999997</v>
      </c>
      <c r="S1272">
        <v>2</v>
      </c>
      <c r="T1272">
        <v>0.2</v>
      </c>
      <c r="U1272">
        <v>2.1476000000000002</v>
      </c>
      <c r="V1272" t="str">
        <f t="shared" si="19"/>
        <v>Chris Selesnick</v>
      </c>
      <c r="W1272">
        <f>Table2[Profit]/Table2[Sales]</f>
        <v>0.32500000000000007</v>
      </c>
    </row>
    <row r="1273" spans="1:23" x14ac:dyDescent="0.25">
      <c r="A1273">
        <v>1272</v>
      </c>
      <c r="B1273" t="s">
        <v>5574</v>
      </c>
      <c r="C1273" s="1">
        <v>42916</v>
      </c>
      <c r="D1273" s="1">
        <v>42922</v>
      </c>
      <c r="E1273" t="s">
        <v>49</v>
      </c>
      <c r="F1273" t="s">
        <v>2198</v>
      </c>
      <c r="G1273" t="s">
        <v>2199</v>
      </c>
      <c r="H1273" t="s">
        <v>25</v>
      </c>
      <c r="I1273" t="s">
        <v>26</v>
      </c>
      <c r="J1273" t="s">
        <v>263</v>
      </c>
      <c r="K1273" t="s">
        <v>264</v>
      </c>
      <c r="L1273">
        <v>10024</v>
      </c>
      <c r="M1273" t="s">
        <v>145</v>
      </c>
      <c r="N1273" t="s">
        <v>3224</v>
      </c>
      <c r="O1273" t="s">
        <v>45</v>
      </c>
      <c r="P1273" t="s">
        <v>58</v>
      </c>
      <c r="Q1273" t="s">
        <v>3225</v>
      </c>
      <c r="R1273">
        <v>248.57</v>
      </c>
      <c r="S1273">
        <v>7</v>
      </c>
      <c r="T1273">
        <v>0</v>
      </c>
      <c r="U1273">
        <v>67.113900000000001</v>
      </c>
      <c r="V1273" t="str">
        <f t="shared" si="19"/>
        <v>Ralph Arnett</v>
      </c>
      <c r="W1273">
        <f>Table2[Profit]/Table2[Sales]</f>
        <v>0.27</v>
      </c>
    </row>
    <row r="1274" spans="1:23" x14ac:dyDescent="0.25">
      <c r="A1274">
        <v>1273</v>
      </c>
      <c r="B1274" t="s">
        <v>5577</v>
      </c>
      <c r="C1274" s="1">
        <v>42495</v>
      </c>
      <c r="D1274" s="1">
        <v>42499</v>
      </c>
      <c r="E1274" t="s">
        <v>49</v>
      </c>
      <c r="F1274" t="s">
        <v>5115</v>
      </c>
      <c r="G1274" t="s">
        <v>5116</v>
      </c>
      <c r="H1274" t="s">
        <v>101</v>
      </c>
      <c r="I1274" t="s">
        <v>26</v>
      </c>
      <c r="J1274" t="s">
        <v>41</v>
      </c>
      <c r="K1274" t="s">
        <v>42</v>
      </c>
      <c r="L1274">
        <v>90004</v>
      </c>
      <c r="M1274" t="s">
        <v>43</v>
      </c>
      <c r="N1274" t="s">
        <v>4703</v>
      </c>
      <c r="O1274" t="s">
        <v>45</v>
      </c>
      <c r="P1274" t="s">
        <v>58</v>
      </c>
      <c r="Q1274" t="s">
        <v>4704</v>
      </c>
      <c r="R1274">
        <v>5.98</v>
      </c>
      <c r="S1274">
        <v>1</v>
      </c>
      <c r="T1274">
        <v>0</v>
      </c>
      <c r="U1274">
        <v>1.0165999999999999</v>
      </c>
      <c r="V1274" t="str">
        <f t="shared" si="19"/>
        <v>Barry Franz</v>
      </c>
      <c r="W1274">
        <f>Table2[Profit]/Table2[Sales]</f>
        <v>0.16999999999999998</v>
      </c>
    </row>
    <row r="1275" spans="1:23" x14ac:dyDescent="0.25">
      <c r="A1275">
        <v>1274</v>
      </c>
      <c r="B1275" t="s">
        <v>5578</v>
      </c>
      <c r="C1275" s="1">
        <v>42621</v>
      </c>
      <c r="D1275" s="1">
        <v>42627</v>
      </c>
      <c r="E1275" t="s">
        <v>49</v>
      </c>
      <c r="F1275" t="s">
        <v>2775</v>
      </c>
      <c r="G1275" t="s">
        <v>2776</v>
      </c>
      <c r="H1275" t="s">
        <v>25</v>
      </c>
      <c r="I1275" t="s">
        <v>26</v>
      </c>
      <c r="J1275" t="s">
        <v>5579</v>
      </c>
      <c r="K1275" t="s">
        <v>208</v>
      </c>
      <c r="L1275">
        <v>60090</v>
      </c>
      <c r="M1275" t="s">
        <v>104</v>
      </c>
      <c r="N1275" t="s">
        <v>5580</v>
      </c>
      <c r="O1275" t="s">
        <v>31</v>
      </c>
      <c r="P1275" t="s">
        <v>64</v>
      </c>
      <c r="Q1275" t="s">
        <v>5581</v>
      </c>
      <c r="R1275">
        <v>14.135999999999999</v>
      </c>
      <c r="S1275">
        <v>2</v>
      </c>
      <c r="T1275">
        <v>0.6</v>
      </c>
      <c r="U1275">
        <v>-7.7747999999999999</v>
      </c>
      <c r="V1275" t="str">
        <f t="shared" si="19"/>
        <v>Sanjit Engle</v>
      </c>
      <c r="W1275">
        <f>Table2[Profit]/Table2[Sales]</f>
        <v>-0.55000000000000004</v>
      </c>
    </row>
    <row r="1276" spans="1:23" x14ac:dyDescent="0.25">
      <c r="A1276">
        <v>1275</v>
      </c>
      <c r="B1276" t="s">
        <v>5584</v>
      </c>
      <c r="C1276" s="1">
        <v>43063</v>
      </c>
      <c r="D1276" s="1">
        <v>43065</v>
      </c>
      <c r="E1276" t="s">
        <v>22</v>
      </c>
      <c r="F1276" t="s">
        <v>2261</v>
      </c>
      <c r="G1276" t="s">
        <v>2262</v>
      </c>
      <c r="H1276" t="s">
        <v>40</v>
      </c>
      <c r="I1276" t="s">
        <v>26</v>
      </c>
      <c r="J1276" t="s">
        <v>5585</v>
      </c>
      <c r="K1276" t="s">
        <v>376</v>
      </c>
      <c r="L1276">
        <v>29483</v>
      </c>
      <c r="M1276" t="s">
        <v>29</v>
      </c>
      <c r="N1276" t="s">
        <v>4953</v>
      </c>
      <c r="O1276" t="s">
        <v>70</v>
      </c>
      <c r="P1276" t="s">
        <v>71</v>
      </c>
      <c r="Q1276" t="s">
        <v>4954</v>
      </c>
      <c r="R1276">
        <v>79.099999999999994</v>
      </c>
      <c r="S1276">
        <v>2</v>
      </c>
      <c r="T1276">
        <v>0</v>
      </c>
      <c r="U1276">
        <v>39.549999999999997</v>
      </c>
      <c r="V1276" t="str">
        <f t="shared" si="19"/>
        <v>Roland Schwarz</v>
      </c>
      <c r="W1276">
        <f>Table2[Profit]/Table2[Sales]</f>
        <v>0.5</v>
      </c>
    </row>
    <row r="1277" spans="1:23" x14ac:dyDescent="0.25">
      <c r="A1277">
        <v>1276</v>
      </c>
      <c r="B1277" t="s">
        <v>5586</v>
      </c>
      <c r="C1277" s="1">
        <v>42868</v>
      </c>
      <c r="D1277" s="1">
        <v>42872</v>
      </c>
      <c r="E1277" t="s">
        <v>49</v>
      </c>
      <c r="F1277" t="s">
        <v>2570</v>
      </c>
      <c r="G1277" t="s">
        <v>2571</v>
      </c>
      <c r="H1277" t="s">
        <v>40</v>
      </c>
      <c r="I1277" t="s">
        <v>26</v>
      </c>
      <c r="J1277" t="s">
        <v>490</v>
      </c>
      <c r="K1277" t="s">
        <v>251</v>
      </c>
      <c r="L1277">
        <v>47201</v>
      </c>
      <c r="M1277" t="s">
        <v>104</v>
      </c>
      <c r="N1277" t="s">
        <v>949</v>
      </c>
      <c r="O1277" t="s">
        <v>45</v>
      </c>
      <c r="P1277" t="s">
        <v>170</v>
      </c>
      <c r="Q1277" t="s">
        <v>950</v>
      </c>
      <c r="R1277">
        <v>180.96</v>
      </c>
      <c r="S1277">
        <v>2</v>
      </c>
      <c r="T1277">
        <v>0</v>
      </c>
      <c r="U1277">
        <v>81.432000000000002</v>
      </c>
      <c r="V1277" t="str">
        <f t="shared" si="19"/>
        <v>Brian Moss</v>
      </c>
      <c r="W1277">
        <f>Table2[Profit]/Table2[Sales]</f>
        <v>0.45</v>
      </c>
    </row>
    <row r="1278" spans="1:23" x14ac:dyDescent="0.25">
      <c r="A1278">
        <v>1277</v>
      </c>
      <c r="B1278" t="s">
        <v>5590</v>
      </c>
      <c r="C1278" s="1">
        <v>42848</v>
      </c>
      <c r="D1278" s="1">
        <v>42854</v>
      </c>
      <c r="E1278" t="s">
        <v>49</v>
      </c>
      <c r="F1278" t="s">
        <v>737</v>
      </c>
      <c r="G1278" t="s">
        <v>738</v>
      </c>
      <c r="H1278" t="s">
        <v>25</v>
      </c>
      <c r="I1278" t="s">
        <v>26</v>
      </c>
      <c r="J1278" t="s">
        <v>263</v>
      </c>
      <c r="K1278" t="s">
        <v>264</v>
      </c>
      <c r="L1278">
        <v>10024</v>
      </c>
      <c r="M1278" t="s">
        <v>145</v>
      </c>
      <c r="N1278" t="s">
        <v>5245</v>
      </c>
      <c r="O1278" t="s">
        <v>45</v>
      </c>
      <c r="P1278" t="s">
        <v>77</v>
      </c>
      <c r="Q1278" t="s">
        <v>5246</v>
      </c>
      <c r="R1278">
        <v>121.94</v>
      </c>
      <c r="S1278">
        <v>2</v>
      </c>
      <c r="T1278">
        <v>0</v>
      </c>
      <c r="U1278">
        <v>35.3626</v>
      </c>
      <c r="V1278" t="str">
        <f t="shared" si="19"/>
        <v>Sally Knutson</v>
      </c>
      <c r="W1278">
        <f>Table2[Profit]/Table2[Sales]</f>
        <v>0.29000000000000004</v>
      </c>
    </row>
    <row r="1279" spans="1:23" x14ac:dyDescent="0.25">
      <c r="A1279">
        <v>1278</v>
      </c>
      <c r="B1279" t="s">
        <v>5591</v>
      </c>
      <c r="C1279" s="1">
        <v>42525</v>
      </c>
      <c r="D1279" s="1">
        <v>42525</v>
      </c>
      <c r="E1279" t="s">
        <v>1278</v>
      </c>
      <c r="F1279" t="s">
        <v>5592</v>
      </c>
      <c r="G1279" t="s">
        <v>5593</v>
      </c>
      <c r="H1279" t="s">
        <v>25</v>
      </c>
      <c r="I1279" t="s">
        <v>26</v>
      </c>
      <c r="J1279" t="s">
        <v>263</v>
      </c>
      <c r="K1279" t="s">
        <v>264</v>
      </c>
      <c r="L1279">
        <v>10035</v>
      </c>
      <c r="M1279" t="s">
        <v>145</v>
      </c>
      <c r="N1279" t="s">
        <v>3133</v>
      </c>
      <c r="O1279" t="s">
        <v>45</v>
      </c>
      <c r="P1279" t="s">
        <v>89</v>
      </c>
      <c r="Q1279" t="s">
        <v>183</v>
      </c>
      <c r="R1279">
        <v>14.94</v>
      </c>
      <c r="S1279">
        <v>3</v>
      </c>
      <c r="T1279">
        <v>0</v>
      </c>
      <c r="U1279">
        <v>7.0217999999999998</v>
      </c>
      <c r="V1279" t="str">
        <f t="shared" si="19"/>
        <v>Edward Nazzal</v>
      </c>
      <c r="W1279">
        <f>Table2[Profit]/Table2[Sales]</f>
        <v>0.47000000000000003</v>
      </c>
    </row>
    <row r="1280" spans="1:23" x14ac:dyDescent="0.25">
      <c r="A1280">
        <v>1279</v>
      </c>
      <c r="B1280" t="s">
        <v>5594</v>
      </c>
      <c r="C1280" s="1">
        <v>41989</v>
      </c>
      <c r="D1280" s="1">
        <v>41994</v>
      </c>
      <c r="E1280" t="s">
        <v>49</v>
      </c>
      <c r="F1280" t="s">
        <v>5595</v>
      </c>
      <c r="G1280" t="s">
        <v>5596</v>
      </c>
      <c r="H1280" t="s">
        <v>40</v>
      </c>
      <c r="I1280" t="s">
        <v>26</v>
      </c>
      <c r="J1280" t="s">
        <v>1507</v>
      </c>
      <c r="K1280" t="s">
        <v>53</v>
      </c>
      <c r="L1280">
        <v>32216</v>
      </c>
      <c r="M1280" t="s">
        <v>29</v>
      </c>
      <c r="N1280" t="s">
        <v>4147</v>
      </c>
      <c r="O1280" t="s">
        <v>45</v>
      </c>
      <c r="P1280" t="s">
        <v>74</v>
      </c>
      <c r="Q1280" t="s">
        <v>4148</v>
      </c>
      <c r="R1280">
        <v>1.167</v>
      </c>
      <c r="S1280">
        <v>1</v>
      </c>
      <c r="T1280">
        <v>0.7</v>
      </c>
      <c r="U1280">
        <v>-0.85580000000000001</v>
      </c>
      <c r="V1280" t="str">
        <f t="shared" si="19"/>
        <v>Kean Nguyen</v>
      </c>
      <c r="W1280">
        <f>Table2[Profit]/Table2[Sales]</f>
        <v>-0.73333333333333328</v>
      </c>
    </row>
    <row r="1281" spans="1:23" x14ac:dyDescent="0.25">
      <c r="A1281">
        <v>1280</v>
      </c>
      <c r="B1281" t="s">
        <v>5597</v>
      </c>
      <c r="C1281" s="1">
        <v>42433</v>
      </c>
      <c r="D1281" s="1">
        <v>42439</v>
      </c>
      <c r="E1281" t="s">
        <v>49</v>
      </c>
      <c r="F1281" t="s">
        <v>3692</v>
      </c>
      <c r="G1281" t="s">
        <v>3693</v>
      </c>
      <c r="H1281" t="s">
        <v>101</v>
      </c>
      <c r="I1281" t="s">
        <v>26</v>
      </c>
      <c r="J1281" t="s">
        <v>941</v>
      </c>
      <c r="K1281" t="s">
        <v>42</v>
      </c>
      <c r="L1281">
        <v>92024</v>
      </c>
      <c r="M1281" t="s">
        <v>43</v>
      </c>
      <c r="N1281" t="s">
        <v>5598</v>
      </c>
      <c r="O1281" t="s">
        <v>45</v>
      </c>
      <c r="P1281" t="s">
        <v>67</v>
      </c>
      <c r="Q1281" t="s">
        <v>5599</v>
      </c>
      <c r="R1281">
        <v>16.989999999999998</v>
      </c>
      <c r="S1281">
        <v>1</v>
      </c>
      <c r="T1281">
        <v>0</v>
      </c>
      <c r="U1281">
        <v>4.9271000000000003</v>
      </c>
      <c r="V1281" t="str">
        <f t="shared" si="19"/>
        <v>Michael Granlund</v>
      </c>
      <c r="W1281">
        <f>Table2[Profit]/Table2[Sales]</f>
        <v>0.29000000000000004</v>
      </c>
    </row>
    <row r="1282" spans="1:23" x14ac:dyDescent="0.25">
      <c r="A1282">
        <v>1281</v>
      </c>
      <c r="B1282" t="s">
        <v>5600</v>
      </c>
      <c r="C1282" s="1">
        <v>41968</v>
      </c>
      <c r="D1282" s="1">
        <v>41973</v>
      </c>
      <c r="E1282" t="s">
        <v>49</v>
      </c>
      <c r="F1282" t="s">
        <v>4821</v>
      </c>
      <c r="G1282" t="s">
        <v>4822</v>
      </c>
      <c r="H1282" t="s">
        <v>40</v>
      </c>
      <c r="I1282" t="s">
        <v>26</v>
      </c>
      <c r="J1282" t="s">
        <v>1119</v>
      </c>
      <c r="K1282" t="s">
        <v>103</v>
      </c>
      <c r="L1282">
        <v>76017</v>
      </c>
      <c r="M1282" t="s">
        <v>104</v>
      </c>
      <c r="N1282" t="s">
        <v>5601</v>
      </c>
      <c r="O1282" t="s">
        <v>70</v>
      </c>
      <c r="P1282" t="s">
        <v>158</v>
      </c>
      <c r="Q1282" t="s">
        <v>5602</v>
      </c>
      <c r="R1282">
        <v>24.672000000000001</v>
      </c>
      <c r="S1282">
        <v>3</v>
      </c>
      <c r="T1282">
        <v>0.2</v>
      </c>
      <c r="U1282">
        <v>0</v>
      </c>
      <c r="V1282" t="str">
        <f t="shared" si="19"/>
        <v>Matt Collister</v>
      </c>
      <c r="W1282">
        <f>Table2[Profit]/Table2[Sales]</f>
        <v>0</v>
      </c>
    </row>
    <row r="1283" spans="1:23" x14ac:dyDescent="0.25">
      <c r="A1283">
        <v>1282</v>
      </c>
      <c r="B1283" t="s">
        <v>5603</v>
      </c>
      <c r="C1283" s="1">
        <v>42488</v>
      </c>
      <c r="D1283" s="1">
        <v>42495</v>
      </c>
      <c r="E1283" t="s">
        <v>49</v>
      </c>
      <c r="F1283" t="s">
        <v>5604</v>
      </c>
      <c r="G1283" t="s">
        <v>5605</v>
      </c>
      <c r="H1283" t="s">
        <v>40</v>
      </c>
      <c r="I1283" t="s">
        <v>26</v>
      </c>
      <c r="J1283" t="s">
        <v>41</v>
      </c>
      <c r="K1283" t="s">
        <v>42</v>
      </c>
      <c r="L1283">
        <v>90045</v>
      </c>
      <c r="M1283" t="s">
        <v>43</v>
      </c>
      <c r="N1283" t="s">
        <v>3050</v>
      </c>
      <c r="O1283" t="s">
        <v>31</v>
      </c>
      <c r="P1283" t="s">
        <v>35</v>
      </c>
      <c r="Q1283" t="s">
        <v>3051</v>
      </c>
      <c r="R1283">
        <v>41.567999999999998</v>
      </c>
      <c r="S1283">
        <v>2</v>
      </c>
      <c r="T1283">
        <v>0.2</v>
      </c>
      <c r="U1283">
        <v>2.5979999999999999</v>
      </c>
      <c r="V1283" t="str">
        <f t="shared" ref="V1283:V1346" si="20">TRIM(G1283)</f>
        <v>Bill Overfelt</v>
      </c>
      <c r="W1283">
        <f>Table2[Profit]/Table2[Sales]</f>
        <v>6.25E-2</v>
      </c>
    </row>
    <row r="1284" spans="1:23" x14ac:dyDescent="0.25">
      <c r="A1284">
        <v>1283</v>
      </c>
      <c r="B1284" t="s">
        <v>5606</v>
      </c>
      <c r="C1284" s="1">
        <v>41755</v>
      </c>
      <c r="D1284" s="1">
        <v>41762</v>
      </c>
      <c r="E1284" t="s">
        <v>49</v>
      </c>
      <c r="F1284" t="s">
        <v>5607</v>
      </c>
      <c r="G1284" t="s">
        <v>5608</v>
      </c>
      <c r="H1284" t="s">
        <v>40</v>
      </c>
      <c r="I1284" t="s">
        <v>26</v>
      </c>
      <c r="J1284" t="s">
        <v>41</v>
      </c>
      <c r="K1284" t="s">
        <v>42</v>
      </c>
      <c r="L1284">
        <v>90049</v>
      </c>
      <c r="M1284" t="s">
        <v>43</v>
      </c>
      <c r="N1284" t="s">
        <v>1447</v>
      </c>
      <c r="O1284" t="s">
        <v>31</v>
      </c>
      <c r="P1284" t="s">
        <v>35</v>
      </c>
      <c r="Q1284" t="s">
        <v>1448</v>
      </c>
      <c r="R1284">
        <v>230.28</v>
      </c>
      <c r="S1284">
        <v>3</v>
      </c>
      <c r="T1284">
        <v>0.2</v>
      </c>
      <c r="U1284">
        <v>23.027999999999999</v>
      </c>
      <c r="V1284" t="str">
        <f t="shared" si="20"/>
        <v>Aleksandra Gannaway</v>
      </c>
      <c r="W1284">
        <f>Table2[Profit]/Table2[Sales]</f>
        <v>9.9999999999999992E-2</v>
      </c>
    </row>
    <row r="1285" spans="1:23" x14ac:dyDescent="0.25">
      <c r="A1285">
        <v>1284</v>
      </c>
      <c r="B1285" t="s">
        <v>5609</v>
      </c>
      <c r="C1285" s="1">
        <v>42826</v>
      </c>
      <c r="D1285" s="1">
        <v>42830</v>
      </c>
      <c r="E1285" t="s">
        <v>49</v>
      </c>
      <c r="F1285" t="s">
        <v>2721</v>
      </c>
      <c r="G1285" t="s">
        <v>2722</v>
      </c>
      <c r="H1285" t="s">
        <v>25</v>
      </c>
      <c r="I1285" t="s">
        <v>26</v>
      </c>
      <c r="J1285" t="s">
        <v>126</v>
      </c>
      <c r="K1285" t="s">
        <v>42</v>
      </c>
      <c r="L1285">
        <v>94110</v>
      </c>
      <c r="M1285" t="s">
        <v>43</v>
      </c>
      <c r="N1285" t="s">
        <v>5610</v>
      </c>
      <c r="O1285" t="s">
        <v>45</v>
      </c>
      <c r="P1285" t="s">
        <v>46</v>
      </c>
      <c r="Q1285" t="s">
        <v>5611</v>
      </c>
      <c r="R1285">
        <v>5.78</v>
      </c>
      <c r="S1285">
        <v>2</v>
      </c>
      <c r="T1285">
        <v>0</v>
      </c>
      <c r="U1285">
        <v>2.7166000000000001</v>
      </c>
      <c r="V1285" t="str">
        <f t="shared" si="20"/>
        <v>Maribeth Schnelling</v>
      </c>
      <c r="W1285">
        <f>Table2[Profit]/Table2[Sales]</f>
        <v>0.47000000000000003</v>
      </c>
    </row>
    <row r="1286" spans="1:23" x14ac:dyDescent="0.25">
      <c r="A1286">
        <v>1285</v>
      </c>
      <c r="B1286" t="s">
        <v>5612</v>
      </c>
      <c r="C1286" s="1">
        <v>43091</v>
      </c>
      <c r="D1286" s="1">
        <v>43095</v>
      </c>
      <c r="E1286" t="s">
        <v>49</v>
      </c>
      <c r="F1286" t="s">
        <v>4000</v>
      </c>
      <c r="G1286" t="s">
        <v>4001</v>
      </c>
      <c r="H1286" t="s">
        <v>40</v>
      </c>
      <c r="I1286" t="s">
        <v>26</v>
      </c>
      <c r="J1286" t="s">
        <v>659</v>
      </c>
      <c r="K1286" t="s">
        <v>660</v>
      </c>
      <c r="L1286">
        <v>88220</v>
      </c>
      <c r="M1286" t="s">
        <v>43</v>
      </c>
      <c r="N1286" t="s">
        <v>1491</v>
      </c>
      <c r="O1286" t="s">
        <v>45</v>
      </c>
      <c r="P1286" t="s">
        <v>67</v>
      </c>
      <c r="Q1286" t="s">
        <v>1492</v>
      </c>
      <c r="R1286">
        <v>4.17</v>
      </c>
      <c r="S1286">
        <v>3</v>
      </c>
      <c r="T1286">
        <v>0</v>
      </c>
      <c r="U1286">
        <v>1.0842000000000001</v>
      </c>
      <c r="V1286" t="str">
        <f t="shared" si="20"/>
        <v>Jim Mitchum</v>
      </c>
      <c r="W1286">
        <f>Table2[Profit]/Table2[Sales]</f>
        <v>0.26</v>
      </c>
    </row>
    <row r="1287" spans="1:23" x14ac:dyDescent="0.25">
      <c r="A1287">
        <v>1286</v>
      </c>
      <c r="B1287" t="s">
        <v>5613</v>
      </c>
      <c r="C1287" s="1">
        <v>41976</v>
      </c>
      <c r="D1287" s="1">
        <v>41979</v>
      </c>
      <c r="E1287" t="s">
        <v>22</v>
      </c>
      <c r="F1287" t="s">
        <v>5614</v>
      </c>
      <c r="G1287" t="s">
        <v>5615</v>
      </c>
      <c r="H1287" t="s">
        <v>40</v>
      </c>
      <c r="I1287" t="s">
        <v>26</v>
      </c>
      <c r="J1287" t="s">
        <v>4980</v>
      </c>
      <c r="K1287" t="s">
        <v>590</v>
      </c>
      <c r="L1287">
        <v>63116</v>
      </c>
      <c r="M1287" t="s">
        <v>104</v>
      </c>
      <c r="N1287" t="s">
        <v>4685</v>
      </c>
      <c r="O1287" t="s">
        <v>45</v>
      </c>
      <c r="P1287" t="s">
        <v>89</v>
      </c>
      <c r="Q1287" t="s">
        <v>4686</v>
      </c>
      <c r="R1287">
        <v>25.92</v>
      </c>
      <c r="S1287">
        <v>4</v>
      </c>
      <c r="T1287">
        <v>0</v>
      </c>
      <c r="U1287">
        <v>12.441599999999999</v>
      </c>
      <c r="V1287" t="str">
        <f t="shared" si="20"/>
        <v>Matthew Clasen</v>
      </c>
      <c r="W1287">
        <f>Table2[Profit]/Table2[Sales]</f>
        <v>0.47999999999999993</v>
      </c>
    </row>
    <row r="1288" spans="1:23" x14ac:dyDescent="0.25">
      <c r="A1288">
        <v>1287</v>
      </c>
      <c r="B1288" t="s">
        <v>5616</v>
      </c>
      <c r="C1288" s="1">
        <v>43030</v>
      </c>
      <c r="D1288" s="1">
        <v>43032</v>
      </c>
      <c r="E1288" t="s">
        <v>185</v>
      </c>
      <c r="F1288" t="s">
        <v>5617</v>
      </c>
      <c r="G1288" t="s">
        <v>5618</v>
      </c>
      <c r="H1288" t="s">
        <v>101</v>
      </c>
      <c r="I1288" t="s">
        <v>26</v>
      </c>
      <c r="J1288" t="s">
        <v>263</v>
      </c>
      <c r="K1288" t="s">
        <v>264</v>
      </c>
      <c r="L1288">
        <v>10024</v>
      </c>
      <c r="M1288" t="s">
        <v>145</v>
      </c>
      <c r="N1288" t="s">
        <v>5619</v>
      </c>
      <c r="O1288" t="s">
        <v>70</v>
      </c>
      <c r="P1288" t="s">
        <v>1204</v>
      </c>
      <c r="Q1288" t="s">
        <v>5620</v>
      </c>
      <c r="R1288">
        <v>11199.968000000001</v>
      </c>
      <c r="S1288">
        <v>4</v>
      </c>
      <c r="T1288">
        <v>0.2</v>
      </c>
      <c r="U1288">
        <v>3919.9888000000001</v>
      </c>
      <c r="V1288" t="str">
        <f t="shared" si="20"/>
        <v>Tom Ashbrook</v>
      </c>
      <c r="W1288">
        <f>Table2[Profit]/Table2[Sales]</f>
        <v>0.35</v>
      </c>
    </row>
    <row r="1289" spans="1:23" x14ac:dyDescent="0.25">
      <c r="A1289">
        <v>1288</v>
      </c>
      <c r="B1289" t="s">
        <v>5621</v>
      </c>
      <c r="C1289" s="1">
        <v>43052</v>
      </c>
      <c r="D1289" s="1">
        <v>43054</v>
      </c>
      <c r="E1289" t="s">
        <v>185</v>
      </c>
      <c r="F1289" t="s">
        <v>973</v>
      </c>
      <c r="G1289" t="s">
        <v>974</v>
      </c>
      <c r="H1289" t="s">
        <v>40</v>
      </c>
      <c r="I1289" t="s">
        <v>26</v>
      </c>
      <c r="J1289" t="s">
        <v>311</v>
      </c>
      <c r="K1289" t="s">
        <v>491</v>
      </c>
      <c r="L1289">
        <v>45503</v>
      </c>
      <c r="M1289" t="s">
        <v>145</v>
      </c>
      <c r="N1289" t="s">
        <v>1726</v>
      </c>
      <c r="O1289" t="s">
        <v>70</v>
      </c>
      <c r="P1289" t="s">
        <v>158</v>
      </c>
      <c r="Q1289" t="s">
        <v>1727</v>
      </c>
      <c r="R1289">
        <v>60.863999999999997</v>
      </c>
      <c r="S1289">
        <v>4</v>
      </c>
      <c r="T1289">
        <v>0.2</v>
      </c>
      <c r="U1289">
        <v>9.1295999999999999</v>
      </c>
      <c r="V1289" t="str">
        <f t="shared" si="20"/>
        <v>Sean Braxton</v>
      </c>
      <c r="W1289">
        <f>Table2[Profit]/Table2[Sales]</f>
        <v>0.15</v>
      </c>
    </row>
    <row r="1290" spans="1:23" x14ac:dyDescent="0.25">
      <c r="A1290">
        <v>1289</v>
      </c>
      <c r="B1290" t="s">
        <v>5626</v>
      </c>
      <c r="C1290" s="1">
        <v>42257</v>
      </c>
      <c r="D1290" s="1">
        <v>42262</v>
      </c>
      <c r="E1290" t="s">
        <v>49</v>
      </c>
      <c r="F1290" t="s">
        <v>4040</v>
      </c>
      <c r="G1290" t="s">
        <v>4041</v>
      </c>
      <c r="H1290" t="s">
        <v>25</v>
      </c>
      <c r="I1290" t="s">
        <v>26</v>
      </c>
      <c r="J1290" t="s">
        <v>4454</v>
      </c>
      <c r="K1290" t="s">
        <v>641</v>
      </c>
      <c r="L1290">
        <v>74133</v>
      </c>
      <c r="M1290" t="s">
        <v>104</v>
      </c>
      <c r="N1290" t="s">
        <v>4839</v>
      </c>
      <c r="O1290" t="s">
        <v>45</v>
      </c>
      <c r="P1290" t="s">
        <v>89</v>
      </c>
      <c r="Q1290" t="s">
        <v>4840</v>
      </c>
      <c r="R1290">
        <v>14.94</v>
      </c>
      <c r="S1290">
        <v>3</v>
      </c>
      <c r="T1290">
        <v>0</v>
      </c>
      <c r="U1290">
        <v>7.0217999999999998</v>
      </c>
      <c r="V1290" t="str">
        <f t="shared" si="20"/>
        <v>Aimee Bixby</v>
      </c>
      <c r="W1290">
        <f>Table2[Profit]/Table2[Sales]</f>
        <v>0.47000000000000003</v>
      </c>
    </row>
    <row r="1291" spans="1:23" x14ac:dyDescent="0.25">
      <c r="A1291">
        <v>1290</v>
      </c>
      <c r="B1291" t="s">
        <v>5627</v>
      </c>
      <c r="C1291" s="1">
        <v>42870</v>
      </c>
      <c r="D1291" s="1">
        <v>42875</v>
      </c>
      <c r="E1291" t="s">
        <v>49</v>
      </c>
      <c r="F1291" t="s">
        <v>5628</v>
      </c>
      <c r="G1291" t="s">
        <v>5629</v>
      </c>
      <c r="H1291" t="s">
        <v>25</v>
      </c>
      <c r="I1291" t="s">
        <v>26</v>
      </c>
      <c r="J1291" t="s">
        <v>94</v>
      </c>
      <c r="K1291" t="s">
        <v>95</v>
      </c>
      <c r="L1291">
        <v>98103</v>
      </c>
      <c r="M1291" t="s">
        <v>43</v>
      </c>
      <c r="N1291" t="s">
        <v>3393</v>
      </c>
      <c r="O1291" t="s">
        <v>31</v>
      </c>
      <c r="P1291" t="s">
        <v>64</v>
      </c>
      <c r="Q1291" t="s">
        <v>3394</v>
      </c>
      <c r="R1291">
        <v>39.96</v>
      </c>
      <c r="S1291">
        <v>2</v>
      </c>
      <c r="T1291">
        <v>0</v>
      </c>
      <c r="U1291">
        <v>17.1828</v>
      </c>
      <c r="V1291" t="str">
        <f t="shared" si="20"/>
        <v>Jason Fortune-</v>
      </c>
      <c r="W1291">
        <f>Table2[Profit]/Table2[Sales]</f>
        <v>0.43</v>
      </c>
    </row>
    <row r="1292" spans="1:23" x14ac:dyDescent="0.25">
      <c r="A1292">
        <v>1291</v>
      </c>
      <c r="B1292" t="s">
        <v>5632</v>
      </c>
      <c r="C1292" s="1">
        <v>42190</v>
      </c>
      <c r="D1292" s="1">
        <v>42195</v>
      </c>
      <c r="E1292" t="s">
        <v>22</v>
      </c>
      <c r="F1292" t="s">
        <v>4517</v>
      </c>
      <c r="G1292" t="s">
        <v>4518</v>
      </c>
      <c r="H1292" t="s">
        <v>40</v>
      </c>
      <c r="I1292" t="s">
        <v>26</v>
      </c>
      <c r="J1292" t="s">
        <v>1682</v>
      </c>
      <c r="K1292" t="s">
        <v>87</v>
      </c>
      <c r="L1292">
        <v>28314</v>
      </c>
      <c r="M1292" t="s">
        <v>29</v>
      </c>
      <c r="N1292" t="s">
        <v>5633</v>
      </c>
      <c r="O1292" t="s">
        <v>31</v>
      </c>
      <c r="P1292" t="s">
        <v>64</v>
      </c>
      <c r="Q1292" t="s">
        <v>5634</v>
      </c>
      <c r="R1292">
        <v>4.9279999999999999</v>
      </c>
      <c r="S1292">
        <v>2</v>
      </c>
      <c r="T1292">
        <v>0.2</v>
      </c>
      <c r="U1292">
        <v>0.73919999999999997</v>
      </c>
      <c r="V1292" t="str">
        <f t="shared" si="20"/>
        <v>Barbara Fisher</v>
      </c>
      <c r="W1292">
        <f>Table2[Profit]/Table2[Sales]</f>
        <v>0.15</v>
      </c>
    </row>
    <row r="1293" spans="1:23" x14ac:dyDescent="0.25">
      <c r="A1293">
        <v>1292</v>
      </c>
      <c r="B1293" t="s">
        <v>5635</v>
      </c>
      <c r="C1293" s="1">
        <v>42231</v>
      </c>
      <c r="D1293" s="1">
        <v>42235</v>
      </c>
      <c r="E1293" t="s">
        <v>49</v>
      </c>
      <c r="F1293" t="s">
        <v>5636</v>
      </c>
      <c r="G1293" t="s">
        <v>5637</v>
      </c>
      <c r="H1293" t="s">
        <v>40</v>
      </c>
      <c r="I1293" t="s">
        <v>26</v>
      </c>
      <c r="J1293" t="s">
        <v>41</v>
      </c>
      <c r="K1293" t="s">
        <v>42</v>
      </c>
      <c r="L1293">
        <v>90045</v>
      </c>
      <c r="M1293" t="s">
        <v>43</v>
      </c>
      <c r="N1293" t="s">
        <v>2951</v>
      </c>
      <c r="O1293" t="s">
        <v>45</v>
      </c>
      <c r="P1293" t="s">
        <v>58</v>
      </c>
      <c r="Q1293" t="s">
        <v>2952</v>
      </c>
      <c r="R1293">
        <v>323.10000000000002</v>
      </c>
      <c r="S1293">
        <v>2</v>
      </c>
      <c r="T1293">
        <v>0</v>
      </c>
      <c r="U1293">
        <v>61.389000000000003</v>
      </c>
      <c r="V1293" t="str">
        <f t="shared" si="20"/>
        <v>Tim Taslimi</v>
      </c>
      <c r="W1293">
        <f>Table2[Profit]/Table2[Sales]</f>
        <v>0.19</v>
      </c>
    </row>
    <row r="1294" spans="1:23" x14ac:dyDescent="0.25">
      <c r="A1294">
        <v>1293</v>
      </c>
      <c r="B1294" t="s">
        <v>5638</v>
      </c>
      <c r="C1294" s="1">
        <v>42898</v>
      </c>
      <c r="D1294" s="1">
        <v>42904</v>
      </c>
      <c r="E1294" t="s">
        <v>49</v>
      </c>
      <c r="F1294" t="s">
        <v>5639</v>
      </c>
      <c r="G1294" t="s">
        <v>5640</v>
      </c>
      <c r="H1294" t="s">
        <v>25</v>
      </c>
      <c r="I1294" t="s">
        <v>26</v>
      </c>
      <c r="J1294" t="s">
        <v>263</v>
      </c>
      <c r="K1294" t="s">
        <v>264</v>
      </c>
      <c r="L1294">
        <v>10035</v>
      </c>
      <c r="M1294" t="s">
        <v>145</v>
      </c>
      <c r="N1294" t="s">
        <v>5641</v>
      </c>
      <c r="O1294" t="s">
        <v>45</v>
      </c>
      <c r="P1294" t="s">
        <v>89</v>
      </c>
      <c r="Q1294" t="s">
        <v>5642</v>
      </c>
      <c r="R1294">
        <v>19.04</v>
      </c>
      <c r="S1294">
        <v>4</v>
      </c>
      <c r="T1294">
        <v>0</v>
      </c>
      <c r="U1294">
        <v>9.3295999999999992</v>
      </c>
      <c r="V1294" t="str">
        <f t="shared" si="20"/>
        <v>Sarah Bern</v>
      </c>
      <c r="W1294">
        <f>Table2[Profit]/Table2[Sales]</f>
        <v>0.49</v>
      </c>
    </row>
    <row r="1295" spans="1:23" x14ac:dyDescent="0.25">
      <c r="A1295">
        <v>1294</v>
      </c>
      <c r="B1295" t="s">
        <v>5643</v>
      </c>
      <c r="C1295" s="1">
        <v>42055</v>
      </c>
      <c r="D1295" s="1">
        <v>42060</v>
      </c>
      <c r="E1295" t="s">
        <v>49</v>
      </c>
      <c r="F1295" t="s">
        <v>1827</v>
      </c>
      <c r="G1295" t="s">
        <v>1828</v>
      </c>
      <c r="H1295" t="s">
        <v>25</v>
      </c>
      <c r="I1295" t="s">
        <v>26</v>
      </c>
      <c r="J1295" t="s">
        <v>5644</v>
      </c>
      <c r="K1295" t="s">
        <v>1683</v>
      </c>
      <c r="L1295">
        <v>71901</v>
      </c>
      <c r="M1295" t="s">
        <v>29</v>
      </c>
      <c r="N1295" t="s">
        <v>2702</v>
      </c>
      <c r="O1295" t="s">
        <v>70</v>
      </c>
      <c r="P1295" t="s">
        <v>158</v>
      </c>
      <c r="Q1295" t="s">
        <v>2703</v>
      </c>
      <c r="R1295">
        <v>29.99</v>
      </c>
      <c r="S1295">
        <v>1</v>
      </c>
      <c r="T1295">
        <v>0</v>
      </c>
      <c r="U1295">
        <v>2.9990000000000001</v>
      </c>
      <c r="V1295" t="str">
        <f t="shared" si="20"/>
        <v>Liz MacKendrick</v>
      </c>
      <c r="W1295">
        <f>Table2[Profit]/Table2[Sales]</f>
        <v>0.1</v>
      </c>
    </row>
    <row r="1296" spans="1:23" x14ac:dyDescent="0.25">
      <c r="A1296">
        <v>1295</v>
      </c>
      <c r="B1296" t="s">
        <v>5645</v>
      </c>
      <c r="C1296" s="1">
        <v>42733</v>
      </c>
      <c r="D1296" s="1">
        <v>42734</v>
      </c>
      <c r="E1296" t="s">
        <v>185</v>
      </c>
      <c r="F1296" t="s">
        <v>4852</v>
      </c>
      <c r="G1296" t="s">
        <v>4853</v>
      </c>
      <c r="H1296" t="s">
        <v>25</v>
      </c>
      <c r="I1296" t="s">
        <v>26</v>
      </c>
      <c r="J1296" t="s">
        <v>449</v>
      </c>
      <c r="K1296" t="s">
        <v>208</v>
      </c>
      <c r="L1296">
        <v>60505</v>
      </c>
      <c r="M1296" t="s">
        <v>104</v>
      </c>
      <c r="N1296" t="s">
        <v>3717</v>
      </c>
      <c r="O1296" t="s">
        <v>45</v>
      </c>
      <c r="P1296" t="s">
        <v>89</v>
      </c>
      <c r="Q1296" t="s">
        <v>3718</v>
      </c>
      <c r="R1296">
        <v>186.048</v>
      </c>
      <c r="S1296">
        <v>6</v>
      </c>
      <c r="T1296">
        <v>0.2</v>
      </c>
      <c r="U1296">
        <v>67.442400000000006</v>
      </c>
      <c r="V1296" t="str">
        <f t="shared" si="20"/>
        <v>Kelly Andreada</v>
      </c>
      <c r="W1296">
        <f>Table2[Profit]/Table2[Sales]</f>
        <v>0.36250000000000004</v>
      </c>
    </row>
    <row r="1297" spans="1:23" x14ac:dyDescent="0.25">
      <c r="A1297">
        <v>1296</v>
      </c>
      <c r="B1297" t="s">
        <v>5646</v>
      </c>
      <c r="C1297" s="1">
        <v>42477</v>
      </c>
      <c r="D1297" s="1">
        <v>42481</v>
      </c>
      <c r="E1297" t="s">
        <v>22</v>
      </c>
      <c r="F1297" t="s">
        <v>3369</v>
      </c>
      <c r="G1297" t="s">
        <v>3370</v>
      </c>
      <c r="H1297" t="s">
        <v>101</v>
      </c>
      <c r="I1297" t="s">
        <v>26</v>
      </c>
      <c r="J1297" t="s">
        <v>4494</v>
      </c>
      <c r="K1297" t="s">
        <v>87</v>
      </c>
      <c r="L1297">
        <v>27604</v>
      </c>
      <c r="M1297" t="s">
        <v>29</v>
      </c>
      <c r="N1297" t="s">
        <v>1990</v>
      </c>
      <c r="O1297" t="s">
        <v>70</v>
      </c>
      <c r="P1297" t="s">
        <v>71</v>
      </c>
      <c r="Q1297" t="s">
        <v>1991</v>
      </c>
      <c r="R1297">
        <v>36.792000000000002</v>
      </c>
      <c r="S1297">
        <v>1</v>
      </c>
      <c r="T1297">
        <v>0.2</v>
      </c>
      <c r="U1297">
        <v>4.1391</v>
      </c>
      <c r="V1297" t="str">
        <f t="shared" si="20"/>
        <v>Ben Ferrer</v>
      </c>
      <c r="W1297">
        <f>Table2[Profit]/Table2[Sales]</f>
        <v>0.11249999999999999</v>
      </c>
    </row>
    <row r="1298" spans="1:23" x14ac:dyDescent="0.25">
      <c r="A1298">
        <v>1297</v>
      </c>
      <c r="B1298" t="s">
        <v>5647</v>
      </c>
      <c r="C1298" s="1">
        <v>41889</v>
      </c>
      <c r="D1298" s="1">
        <v>41894</v>
      </c>
      <c r="E1298" t="s">
        <v>22</v>
      </c>
      <c r="F1298" t="s">
        <v>3963</v>
      </c>
      <c r="G1298" t="s">
        <v>3964</v>
      </c>
      <c r="H1298" t="s">
        <v>25</v>
      </c>
      <c r="I1298" t="s">
        <v>26</v>
      </c>
      <c r="J1298" t="s">
        <v>4454</v>
      </c>
      <c r="K1298" t="s">
        <v>641</v>
      </c>
      <c r="L1298">
        <v>74133</v>
      </c>
      <c r="M1298" t="s">
        <v>104</v>
      </c>
      <c r="N1298" t="s">
        <v>3872</v>
      </c>
      <c r="O1298" t="s">
        <v>31</v>
      </c>
      <c r="P1298" t="s">
        <v>64</v>
      </c>
      <c r="Q1298" t="s">
        <v>5648</v>
      </c>
      <c r="R1298">
        <v>57.69</v>
      </c>
      <c r="S1298">
        <v>3</v>
      </c>
      <c r="T1298">
        <v>0</v>
      </c>
      <c r="U1298">
        <v>23.652899999999999</v>
      </c>
      <c r="V1298" t="str">
        <f t="shared" si="20"/>
        <v>Tom Boeckenhauer</v>
      </c>
      <c r="W1298">
        <f>Table2[Profit]/Table2[Sales]</f>
        <v>0.41</v>
      </c>
    </row>
    <row r="1299" spans="1:23" x14ac:dyDescent="0.25">
      <c r="A1299">
        <v>1298</v>
      </c>
      <c r="B1299" t="s">
        <v>5653</v>
      </c>
      <c r="C1299" s="1">
        <v>42639</v>
      </c>
      <c r="D1299" s="1">
        <v>42644</v>
      </c>
      <c r="E1299" t="s">
        <v>49</v>
      </c>
      <c r="F1299" t="s">
        <v>578</v>
      </c>
      <c r="G1299" t="s">
        <v>579</v>
      </c>
      <c r="H1299" t="s">
        <v>40</v>
      </c>
      <c r="I1299" t="s">
        <v>26</v>
      </c>
      <c r="J1299" t="s">
        <v>1167</v>
      </c>
      <c r="K1299" t="s">
        <v>42</v>
      </c>
      <c r="L1299">
        <v>92345</v>
      </c>
      <c r="M1299" t="s">
        <v>43</v>
      </c>
      <c r="N1299" t="s">
        <v>3422</v>
      </c>
      <c r="O1299" t="s">
        <v>31</v>
      </c>
      <c r="P1299" t="s">
        <v>32</v>
      </c>
      <c r="Q1299" t="s">
        <v>3423</v>
      </c>
      <c r="R1299">
        <v>424.95749999999998</v>
      </c>
      <c r="S1299">
        <v>5</v>
      </c>
      <c r="T1299">
        <v>0.15</v>
      </c>
      <c r="U1299">
        <v>19.998000000000001</v>
      </c>
      <c r="V1299" t="str">
        <f t="shared" si="20"/>
        <v>Sally Hughsby</v>
      </c>
      <c r="W1299">
        <f>Table2[Profit]/Table2[Sales]</f>
        <v>4.7058823529411771E-2</v>
      </c>
    </row>
    <row r="1300" spans="1:23" x14ac:dyDescent="0.25">
      <c r="A1300">
        <v>1299</v>
      </c>
      <c r="B1300" t="s">
        <v>5654</v>
      </c>
      <c r="C1300" s="1">
        <v>42995</v>
      </c>
      <c r="D1300" s="1">
        <v>42999</v>
      </c>
      <c r="E1300" t="s">
        <v>22</v>
      </c>
      <c r="F1300" t="s">
        <v>1100</v>
      </c>
      <c r="G1300" t="s">
        <v>1101</v>
      </c>
      <c r="H1300" t="s">
        <v>40</v>
      </c>
      <c r="I1300" t="s">
        <v>26</v>
      </c>
      <c r="J1300" t="s">
        <v>3698</v>
      </c>
      <c r="K1300" t="s">
        <v>120</v>
      </c>
      <c r="L1300">
        <v>84604</v>
      </c>
      <c r="M1300" t="s">
        <v>43</v>
      </c>
      <c r="N1300" t="s">
        <v>5505</v>
      </c>
      <c r="O1300" t="s">
        <v>45</v>
      </c>
      <c r="P1300" t="s">
        <v>74</v>
      </c>
      <c r="Q1300" t="s">
        <v>1207</v>
      </c>
      <c r="R1300">
        <v>10.776</v>
      </c>
      <c r="S1300">
        <v>3</v>
      </c>
      <c r="T1300">
        <v>0.2</v>
      </c>
      <c r="U1300">
        <v>3.5022000000000002</v>
      </c>
      <c r="V1300" t="str">
        <f t="shared" si="20"/>
        <v>Alan Schoenberger</v>
      </c>
      <c r="W1300">
        <f>Table2[Profit]/Table2[Sales]</f>
        <v>0.32500000000000001</v>
      </c>
    </row>
    <row r="1301" spans="1:23" x14ac:dyDescent="0.25">
      <c r="A1301">
        <v>1300</v>
      </c>
      <c r="B1301" t="s">
        <v>5659</v>
      </c>
      <c r="C1301" s="1">
        <v>42598</v>
      </c>
      <c r="D1301" s="1">
        <v>42602</v>
      </c>
      <c r="E1301" t="s">
        <v>49</v>
      </c>
      <c r="F1301" t="s">
        <v>110</v>
      </c>
      <c r="G1301" t="s">
        <v>111</v>
      </c>
      <c r="H1301" t="s">
        <v>25</v>
      </c>
      <c r="I1301" t="s">
        <v>26</v>
      </c>
      <c r="J1301" t="s">
        <v>126</v>
      </c>
      <c r="K1301" t="s">
        <v>42</v>
      </c>
      <c r="L1301">
        <v>94110</v>
      </c>
      <c r="M1301" t="s">
        <v>43</v>
      </c>
      <c r="N1301" t="s">
        <v>582</v>
      </c>
      <c r="O1301" t="s">
        <v>45</v>
      </c>
      <c r="P1301" t="s">
        <v>170</v>
      </c>
      <c r="Q1301" t="s">
        <v>583</v>
      </c>
      <c r="R1301">
        <v>10.86</v>
      </c>
      <c r="S1301">
        <v>3</v>
      </c>
      <c r="T1301">
        <v>0</v>
      </c>
      <c r="U1301">
        <v>5.1041999999999996</v>
      </c>
      <c r="V1301" t="str">
        <f t="shared" si="20"/>
        <v>Pete Kriz</v>
      </c>
      <c r="W1301">
        <f>Table2[Profit]/Table2[Sales]</f>
        <v>0.47</v>
      </c>
    </row>
    <row r="1302" spans="1:23" x14ac:dyDescent="0.25">
      <c r="A1302">
        <v>1301</v>
      </c>
      <c r="B1302" t="s">
        <v>5660</v>
      </c>
      <c r="C1302" s="1">
        <v>42362</v>
      </c>
      <c r="D1302" s="1">
        <v>42366</v>
      </c>
      <c r="E1302" t="s">
        <v>49</v>
      </c>
      <c r="F1302" t="s">
        <v>3326</v>
      </c>
      <c r="G1302" t="s">
        <v>3327</v>
      </c>
      <c r="H1302" t="s">
        <v>40</v>
      </c>
      <c r="I1302" t="s">
        <v>26</v>
      </c>
      <c r="J1302" t="s">
        <v>302</v>
      </c>
      <c r="K1302" t="s">
        <v>303</v>
      </c>
      <c r="L1302">
        <v>85234</v>
      </c>
      <c r="M1302" t="s">
        <v>43</v>
      </c>
      <c r="N1302" t="s">
        <v>679</v>
      </c>
      <c r="O1302" t="s">
        <v>31</v>
      </c>
      <c r="P1302" t="s">
        <v>35</v>
      </c>
      <c r="Q1302" t="s">
        <v>680</v>
      </c>
      <c r="R1302">
        <v>883.84</v>
      </c>
      <c r="S1302">
        <v>4</v>
      </c>
      <c r="T1302">
        <v>0.2</v>
      </c>
      <c r="U1302">
        <v>99.432000000000002</v>
      </c>
      <c r="V1302" t="str">
        <f t="shared" si="20"/>
        <v>Harold Ryan</v>
      </c>
      <c r="W1302">
        <f>Table2[Profit]/Table2[Sales]</f>
        <v>0.1125</v>
      </c>
    </row>
    <row r="1303" spans="1:23" x14ac:dyDescent="0.25">
      <c r="A1303">
        <v>1302</v>
      </c>
      <c r="B1303" t="s">
        <v>5661</v>
      </c>
      <c r="C1303" s="1">
        <v>43067</v>
      </c>
      <c r="D1303" s="1">
        <v>43071</v>
      </c>
      <c r="E1303" t="s">
        <v>49</v>
      </c>
      <c r="F1303" t="s">
        <v>3055</v>
      </c>
      <c r="G1303" t="s">
        <v>3056</v>
      </c>
      <c r="H1303" t="s">
        <v>40</v>
      </c>
      <c r="I1303" t="s">
        <v>26</v>
      </c>
      <c r="J1303" t="s">
        <v>263</v>
      </c>
      <c r="K1303" t="s">
        <v>264</v>
      </c>
      <c r="L1303">
        <v>10035</v>
      </c>
      <c r="M1303" t="s">
        <v>145</v>
      </c>
      <c r="N1303" t="s">
        <v>5662</v>
      </c>
      <c r="O1303" t="s">
        <v>70</v>
      </c>
      <c r="P1303" t="s">
        <v>71</v>
      </c>
      <c r="Q1303" t="s">
        <v>5663</v>
      </c>
      <c r="R1303">
        <v>1979.89</v>
      </c>
      <c r="S1303">
        <v>11</v>
      </c>
      <c r="T1303">
        <v>0</v>
      </c>
      <c r="U1303">
        <v>494.97250000000003</v>
      </c>
      <c r="V1303" t="str">
        <f t="shared" si="20"/>
        <v>Deirdre Greer</v>
      </c>
      <c r="W1303">
        <f>Table2[Profit]/Table2[Sales]</f>
        <v>0.25</v>
      </c>
    </row>
    <row r="1304" spans="1:23" x14ac:dyDescent="0.25">
      <c r="A1304">
        <v>1303</v>
      </c>
      <c r="B1304" t="s">
        <v>5664</v>
      </c>
      <c r="C1304" s="1">
        <v>42839</v>
      </c>
      <c r="D1304" s="1">
        <v>42840</v>
      </c>
      <c r="E1304" t="s">
        <v>185</v>
      </c>
      <c r="F1304" t="s">
        <v>5665</v>
      </c>
      <c r="G1304" t="s">
        <v>5666</v>
      </c>
      <c r="H1304" t="s">
        <v>101</v>
      </c>
      <c r="I1304" t="s">
        <v>26</v>
      </c>
      <c r="J1304" t="s">
        <v>311</v>
      </c>
      <c r="K1304" t="s">
        <v>590</v>
      </c>
      <c r="L1304">
        <v>65807</v>
      </c>
      <c r="M1304" t="s">
        <v>104</v>
      </c>
      <c r="N1304" t="s">
        <v>965</v>
      </c>
      <c r="O1304" t="s">
        <v>45</v>
      </c>
      <c r="P1304" t="s">
        <v>74</v>
      </c>
      <c r="Q1304" t="s">
        <v>966</v>
      </c>
      <c r="R1304">
        <v>8.76</v>
      </c>
      <c r="S1304">
        <v>2</v>
      </c>
      <c r="T1304">
        <v>0</v>
      </c>
      <c r="U1304">
        <v>4.2047999999999996</v>
      </c>
      <c r="V1304" t="str">
        <f t="shared" si="20"/>
        <v>Craig Leslie</v>
      </c>
      <c r="W1304">
        <f>Table2[Profit]/Table2[Sales]</f>
        <v>0.48</v>
      </c>
    </row>
    <row r="1305" spans="1:23" x14ac:dyDescent="0.25">
      <c r="A1305">
        <v>1304</v>
      </c>
      <c r="B1305" t="s">
        <v>5667</v>
      </c>
      <c r="C1305" s="1">
        <v>42491</v>
      </c>
      <c r="D1305" s="1">
        <v>42494</v>
      </c>
      <c r="E1305" t="s">
        <v>185</v>
      </c>
      <c r="F1305" t="s">
        <v>4286</v>
      </c>
      <c r="G1305" t="s">
        <v>4287</v>
      </c>
      <c r="H1305" t="s">
        <v>25</v>
      </c>
      <c r="I1305" t="s">
        <v>26</v>
      </c>
      <c r="J1305" t="s">
        <v>327</v>
      </c>
      <c r="K1305" t="s">
        <v>328</v>
      </c>
      <c r="L1305">
        <v>38109</v>
      </c>
      <c r="M1305" t="s">
        <v>29</v>
      </c>
      <c r="N1305" t="s">
        <v>2461</v>
      </c>
      <c r="O1305" t="s">
        <v>45</v>
      </c>
      <c r="P1305" t="s">
        <v>46</v>
      </c>
      <c r="Q1305" t="s">
        <v>2462</v>
      </c>
      <c r="R1305">
        <v>3.984</v>
      </c>
      <c r="S1305">
        <v>1</v>
      </c>
      <c r="T1305">
        <v>0.2</v>
      </c>
      <c r="U1305">
        <v>1.2948</v>
      </c>
      <c r="V1305" t="str">
        <f t="shared" si="20"/>
        <v>Herbert Flentye</v>
      </c>
      <c r="W1305">
        <f>Table2[Profit]/Table2[Sales]</f>
        <v>0.32500000000000001</v>
      </c>
    </row>
    <row r="1306" spans="1:23" x14ac:dyDescent="0.25">
      <c r="A1306">
        <v>1305</v>
      </c>
      <c r="B1306" t="s">
        <v>5668</v>
      </c>
      <c r="C1306" s="1">
        <v>42644</v>
      </c>
      <c r="D1306" s="1">
        <v>42644</v>
      </c>
      <c r="E1306" t="s">
        <v>1278</v>
      </c>
      <c r="F1306" t="s">
        <v>5669</v>
      </c>
      <c r="G1306" t="s">
        <v>5670</v>
      </c>
      <c r="H1306" t="s">
        <v>25</v>
      </c>
      <c r="I1306" t="s">
        <v>26</v>
      </c>
      <c r="J1306" t="s">
        <v>1590</v>
      </c>
      <c r="K1306" t="s">
        <v>103</v>
      </c>
      <c r="L1306">
        <v>79109</v>
      </c>
      <c r="M1306" t="s">
        <v>104</v>
      </c>
      <c r="N1306" t="s">
        <v>900</v>
      </c>
      <c r="O1306" t="s">
        <v>70</v>
      </c>
      <c r="P1306" t="s">
        <v>158</v>
      </c>
      <c r="Q1306" t="s">
        <v>1760</v>
      </c>
      <c r="R1306">
        <v>79.512</v>
      </c>
      <c r="S1306">
        <v>3</v>
      </c>
      <c r="T1306">
        <v>0.2</v>
      </c>
      <c r="U1306">
        <v>20.8719</v>
      </c>
      <c r="V1306" t="str">
        <f t="shared" si="20"/>
        <v>Hunter Glantz</v>
      </c>
      <c r="W1306">
        <f>Table2[Profit]/Table2[Sales]</f>
        <v>0.26250000000000001</v>
      </c>
    </row>
    <row r="1307" spans="1:23" x14ac:dyDescent="0.25">
      <c r="A1307">
        <v>1306</v>
      </c>
      <c r="B1307" t="s">
        <v>5671</v>
      </c>
      <c r="C1307" s="1">
        <v>42241</v>
      </c>
      <c r="D1307" s="1">
        <v>42246</v>
      </c>
      <c r="E1307" t="s">
        <v>49</v>
      </c>
      <c r="F1307" t="s">
        <v>5672</v>
      </c>
      <c r="G1307" t="s">
        <v>5673</v>
      </c>
      <c r="H1307" t="s">
        <v>101</v>
      </c>
      <c r="I1307" t="s">
        <v>26</v>
      </c>
      <c r="J1307" t="s">
        <v>41</v>
      </c>
      <c r="K1307" t="s">
        <v>42</v>
      </c>
      <c r="L1307">
        <v>90045</v>
      </c>
      <c r="M1307" t="s">
        <v>43</v>
      </c>
      <c r="N1307" t="s">
        <v>146</v>
      </c>
      <c r="O1307" t="s">
        <v>31</v>
      </c>
      <c r="P1307" t="s">
        <v>35</v>
      </c>
      <c r="Q1307" t="s">
        <v>147</v>
      </c>
      <c r="R1307">
        <v>40.783999999999999</v>
      </c>
      <c r="S1307">
        <v>1</v>
      </c>
      <c r="T1307">
        <v>0.2</v>
      </c>
      <c r="U1307">
        <v>4.5881999999999996</v>
      </c>
      <c r="V1307" t="str">
        <f t="shared" si="20"/>
        <v>Nancy Lomonaco</v>
      </c>
      <c r="W1307">
        <f>Table2[Profit]/Table2[Sales]</f>
        <v>0.11249999999999999</v>
      </c>
    </row>
    <row r="1308" spans="1:23" x14ac:dyDescent="0.25">
      <c r="A1308">
        <v>1307</v>
      </c>
      <c r="B1308" t="s">
        <v>5674</v>
      </c>
      <c r="C1308" s="1">
        <v>41891</v>
      </c>
      <c r="D1308" s="1">
        <v>41894</v>
      </c>
      <c r="E1308" t="s">
        <v>22</v>
      </c>
      <c r="F1308" t="s">
        <v>5675</v>
      </c>
      <c r="G1308" t="s">
        <v>5676</v>
      </c>
      <c r="H1308" t="s">
        <v>40</v>
      </c>
      <c r="I1308" t="s">
        <v>26</v>
      </c>
      <c r="J1308" t="s">
        <v>1232</v>
      </c>
      <c r="K1308" t="s">
        <v>1233</v>
      </c>
      <c r="L1308">
        <v>1852</v>
      </c>
      <c r="M1308" t="s">
        <v>145</v>
      </c>
      <c r="N1308" t="s">
        <v>692</v>
      </c>
      <c r="O1308" t="s">
        <v>45</v>
      </c>
      <c r="P1308" t="s">
        <v>89</v>
      </c>
      <c r="Q1308" t="s">
        <v>693</v>
      </c>
      <c r="R1308">
        <v>166.44</v>
      </c>
      <c r="S1308">
        <v>3</v>
      </c>
      <c r="T1308">
        <v>0</v>
      </c>
      <c r="U1308">
        <v>79.891199999999998</v>
      </c>
      <c r="V1308" t="str">
        <f t="shared" si="20"/>
        <v>Rick Reed</v>
      </c>
      <c r="W1308">
        <f>Table2[Profit]/Table2[Sales]</f>
        <v>0.48</v>
      </c>
    </row>
    <row r="1309" spans="1:23" x14ac:dyDescent="0.25">
      <c r="A1309">
        <v>1308</v>
      </c>
      <c r="B1309" t="s">
        <v>5681</v>
      </c>
      <c r="C1309" s="1">
        <v>43072</v>
      </c>
      <c r="D1309" s="1">
        <v>43072</v>
      </c>
      <c r="E1309" t="s">
        <v>1278</v>
      </c>
      <c r="F1309" t="s">
        <v>5682</v>
      </c>
      <c r="G1309" t="s">
        <v>5683</v>
      </c>
      <c r="H1309" t="s">
        <v>25</v>
      </c>
      <c r="I1309" t="s">
        <v>26</v>
      </c>
      <c r="J1309" t="s">
        <v>941</v>
      </c>
      <c r="K1309" t="s">
        <v>42</v>
      </c>
      <c r="L1309">
        <v>92024</v>
      </c>
      <c r="M1309" t="s">
        <v>43</v>
      </c>
      <c r="N1309" t="s">
        <v>1706</v>
      </c>
      <c r="O1309" t="s">
        <v>45</v>
      </c>
      <c r="P1309" t="s">
        <v>89</v>
      </c>
      <c r="Q1309" t="s">
        <v>4903</v>
      </c>
      <c r="R1309">
        <v>166.44</v>
      </c>
      <c r="S1309">
        <v>3</v>
      </c>
      <c r="T1309">
        <v>0</v>
      </c>
      <c r="U1309">
        <v>79.891199999999998</v>
      </c>
      <c r="V1309" t="str">
        <f t="shared" si="20"/>
        <v>Toby Carlisle</v>
      </c>
      <c r="W1309">
        <f>Table2[Profit]/Table2[Sales]</f>
        <v>0.48</v>
      </c>
    </row>
    <row r="1310" spans="1:23" x14ac:dyDescent="0.25">
      <c r="A1310">
        <v>1309</v>
      </c>
      <c r="B1310" t="s">
        <v>5684</v>
      </c>
      <c r="C1310" s="1">
        <v>43066</v>
      </c>
      <c r="D1310" s="1">
        <v>43071</v>
      </c>
      <c r="E1310" t="s">
        <v>49</v>
      </c>
      <c r="F1310" t="s">
        <v>1199</v>
      </c>
      <c r="G1310" t="s">
        <v>1200</v>
      </c>
      <c r="H1310" t="s">
        <v>25</v>
      </c>
      <c r="I1310" t="s">
        <v>26</v>
      </c>
      <c r="J1310" t="s">
        <v>2455</v>
      </c>
      <c r="K1310" t="s">
        <v>87</v>
      </c>
      <c r="L1310">
        <v>28806</v>
      </c>
      <c r="M1310" t="s">
        <v>29</v>
      </c>
      <c r="N1310" t="s">
        <v>3461</v>
      </c>
      <c r="O1310" t="s">
        <v>45</v>
      </c>
      <c r="P1310" t="s">
        <v>67</v>
      </c>
      <c r="Q1310" t="s">
        <v>3462</v>
      </c>
      <c r="R1310">
        <v>8.76</v>
      </c>
      <c r="S1310">
        <v>5</v>
      </c>
      <c r="T1310">
        <v>0.2</v>
      </c>
      <c r="U1310">
        <v>0.76649999999999996</v>
      </c>
      <c r="V1310" t="str">
        <f t="shared" si="20"/>
        <v>Doug Bickford</v>
      </c>
      <c r="W1310">
        <f>Table2[Profit]/Table2[Sales]</f>
        <v>8.7499999999999994E-2</v>
      </c>
    </row>
    <row r="1311" spans="1:23" x14ac:dyDescent="0.25">
      <c r="A1311">
        <v>1310</v>
      </c>
      <c r="B1311" t="s">
        <v>5685</v>
      </c>
      <c r="C1311" s="1">
        <v>41811</v>
      </c>
      <c r="D1311" s="1">
        <v>41811</v>
      </c>
      <c r="E1311" t="s">
        <v>1278</v>
      </c>
      <c r="F1311" t="s">
        <v>5686</v>
      </c>
      <c r="G1311" t="s">
        <v>5687</v>
      </c>
      <c r="H1311" t="s">
        <v>25</v>
      </c>
      <c r="I1311" t="s">
        <v>26</v>
      </c>
      <c r="J1311" t="s">
        <v>3524</v>
      </c>
      <c r="K1311" t="s">
        <v>450</v>
      </c>
      <c r="L1311">
        <v>81001</v>
      </c>
      <c r="M1311" t="s">
        <v>43</v>
      </c>
      <c r="N1311" t="s">
        <v>4229</v>
      </c>
      <c r="O1311" t="s">
        <v>45</v>
      </c>
      <c r="P1311" t="s">
        <v>74</v>
      </c>
      <c r="Q1311" t="s">
        <v>4230</v>
      </c>
      <c r="R1311">
        <v>11.087999999999999</v>
      </c>
      <c r="S1311">
        <v>7</v>
      </c>
      <c r="T1311">
        <v>0.7</v>
      </c>
      <c r="U1311">
        <v>-8.1311999999999998</v>
      </c>
      <c r="V1311" t="str">
        <f t="shared" si="20"/>
        <v>Stewart Visinsky</v>
      </c>
      <c r="W1311">
        <f>Table2[Profit]/Table2[Sales]</f>
        <v>-0.73333333333333339</v>
      </c>
    </row>
    <row r="1312" spans="1:23" x14ac:dyDescent="0.25">
      <c r="A1312">
        <v>1311</v>
      </c>
      <c r="B1312" t="s">
        <v>5688</v>
      </c>
      <c r="C1312" s="1">
        <v>42756</v>
      </c>
      <c r="D1312" s="1">
        <v>42762</v>
      </c>
      <c r="E1312" t="s">
        <v>49</v>
      </c>
      <c r="F1312" t="s">
        <v>3434</v>
      </c>
      <c r="G1312" t="s">
        <v>3435</v>
      </c>
      <c r="H1312" t="s">
        <v>101</v>
      </c>
      <c r="I1312" t="s">
        <v>26</v>
      </c>
      <c r="J1312" t="s">
        <v>321</v>
      </c>
      <c r="K1312" t="s">
        <v>235</v>
      </c>
      <c r="L1312">
        <v>49201</v>
      </c>
      <c r="M1312" t="s">
        <v>104</v>
      </c>
      <c r="N1312" t="s">
        <v>2359</v>
      </c>
      <c r="O1312" t="s">
        <v>45</v>
      </c>
      <c r="P1312" t="s">
        <v>74</v>
      </c>
      <c r="Q1312" t="s">
        <v>2360</v>
      </c>
      <c r="R1312">
        <v>14.4</v>
      </c>
      <c r="S1312">
        <v>5</v>
      </c>
      <c r="T1312">
        <v>0</v>
      </c>
      <c r="U1312">
        <v>7.056</v>
      </c>
      <c r="V1312" t="str">
        <f t="shared" si="20"/>
        <v>Mick Hernandez</v>
      </c>
      <c r="W1312">
        <f>Table2[Profit]/Table2[Sales]</f>
        <v>0.49</v>
      </c>
    </row>
    <row r="1313" spans="1:23" x14ac:dyDescent="0.25">
      <c r="A1313">
        <v>1312</v>
      </c>
      <c r="B1313" t="s">
        <v>5693</v>
      </c>
      <c r="C1313" s="1">
        <v>42915</v>
      </c>
      <c r="D1313" s="1">
        <v>42922</v>
      </c>
      <c r="E1313" t="s">
        <v>49</v>
      </c>
      <c r="F1313" t="s">
        <v>4808</v>
      </c>
      <c r="G1313" t="s">
        <v>4809</v>
      </c>
      <c r="H1313" t="s">
        <v>25</v>
      </c>
      <c r="I1313" t="s">
        <v>26</v>
      </c>
      <c r="J1313" t="s">
        <v>41</v>
      </c>
      <c r="K1313" t="s">
        <v>42</v>
      </c>
      <c r="L1313">
        <v>90004</v>
      </c>
      <c r="M1313" t="s">
        <v>43</v>
      </c>
      <c r="N1313" t="s">
        <v>5264</v>
      </c>
      <c r="O1313" t="s">
        <v>45</v>
      </c>
      <c r="P1313" t="s">
        <v>74</v>
      </c>
      <c r="Q1313" t="s">
        <v>5265</v>
      </c>
      <c r="R1313">
        <v>312.55200000000002</v>
      </c>
      <c r="S1313">
        <v>9</v>
      </c>
      <c r="T1313">
        <v>0.2</v>
      </c>
      <c r="U1313">
        <v>101.57940000000001</v>
      </c>
      <c r="V1313" t="str">
        <f t="shared" si="20"/>
        <v>Carol Triggs</v>
      </c>
      <c r="W1313">
        <f>Table2[Profit]/Table2[Sales]</f>
        <v>0.32500000000000001</v>
      </c>
    </row>
    <row r="1314" spans="1:23" x14ac:dyDescent="0.25">
      <c r="A1314">
        <v>1313</v>
      </c>
      <c r="B1314" t="s">
        <v>5694</v>
      </c>
      <c r="C1314" s="1">
        <v>42619</v>
      </c>
      <c r="D1314" s="1">
        <v>42624</v>
      </c>
      <c r="E1314" t="s">
        <v>49</v>
      </c>
      <c r="F1314" t="s">
        <v>400</v>
      </c>
      <c r="G1314" t="s">
        <v>401</v>
      </c>
      <c r="H1314" t="s">
        <v>25</v>
      </c>
      <c r="I1314" t="s">
        <v>26</v>
      </c>
      <c r="J1314" t="s">
        <v>3886</v>
      </c>
      <c r="K1314" t="s">
        <v>87</v>
      </c>
      <c r="L1314">
        <v>27360</v>
      </c>
      <c r="M1314" t="s">
        <v>29</v>
      </c>
      <c r="N1314" t="s">
        <v>3384</v>
      </c>
      <c r="O1314" t="s">
        <v>45</v>
      </c>
      <c r="P1314" t="s">
        <v>170</v>
      </c>
      <c r="Q1314" t="s">
        <v>3385</v>
      </c>
      <c r="R1314">
        <v>95.951999999999998</v>
      </c>
      <c r="S1314">
        <v>3</v>
      </c>
      <c r="T1314">
        <v>0.2</v>
      </c>
      <c r="U1314">
        <v>29.984999999999999</v>
      </c>
      <c r="V1314" t="str">
        <f t="shared" si="20"/>
        <v>Karl Braun</v>
      </c>
      <c r="W1314">
        <f>Table2[Profit]/Table2[Sales]</f>
        <v>0.3125</v>
      </c>
    </row>
    <row r="1315" spans="1:23" x14ac:dyDescent="0.25">
      <c r="A1315">
        <v>1314</v>
      </c>
      <c r="B1315" t="s">
        <v>5695</v>
      </c>
      <c r="C1315" s="1">
        <v>42586</v>
      </c>
      <c r="D1315" s="1">
        <v>42587</v>
      </c>
      <c r="E1315" t="s">
        <v>185</v>
      </c>
      <c r="F1315" t="s">
        <v>2198</v>
      </c>
      <c r="G1315" t="s">
        <v>2199</v>
      </c>
      <c r="H1315" t="s">
        <v>25</v>
      </c>
      <c r="I1315" t="s">
        <v>26</v>
      </c>
      <c r="J1315" t="s">
        <v>1374</v>
      </c>
      <c r="K1315" t="s">
        <v>208</v>
      </c>
      <c r="L1315">
        <v>61604</v>
      </c>
      <c r="M1315" t="s">
        <v>104</v>
      </c>
      <c r="N1315" t="s">
        <v>5696</v>
      </c>
      <c r="O1315" t="s">
        <v>45</v>
      </c>
      <c r="P1315" t="s">
        <v>74</v>
      </c>
      <c r="Q1315" t="s">
        <v>5697</v>
      </c>
      <c r="R1315">
        <v>3.98</v>
      </c>
      <c r="S1315">
        <v>5</v>
      </c>
      <c r="T1315">
        <v>0.8</v>
      </c>
      <c r="U1315">
        <v>-6.5670000000000002</v>
      </c>
      <c r="V1315" t="str">
        <f t="shared" si="20"/>
        <v>Ralph Arnett</v>
      </c>
      <c r="W1315">
        <f>Table2[Profit]/Table2[Sales]</f>
        <v>-1.6500000000000001</v>
      </c>
    </row>
    <row r="1316" spans="1:23" x14ac:dyDescent="0.25">
      <c r="A1316">
        <v>1315</v>
      </c>
      <c r="B1316" t="s">
        <v>5698</v>
      </c>
      <c r="C1316" s="1">
        <v>42320</v>
      </c>
      <c r="D1316" s="1">
        <v>42322</v>
      </c>
      <c r="E1316" t="s">
        <v>185</v>
      </c>
      <c r="F1316" t="s">
        <v>2362</v>
      </c>
      <c r="G1316" t="s">
        <v>2363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5699</v>
      </c>
      <c r="O1316" t="s">
        <v>45</v>
      </c>
      <c r="P1316" t="s">
        <v>89</v>
      </c>
      <c r="Q1316" t="s">
        <v>5700</v>
      </c>
      <c r="R1316">
        <v>15.7</v>
      </c>
      <c r="S1316">
        <v>5</v>
      </c>
      <c r="T1316">
        <v>0</v>
      </c>
      <c r="U1316">
        <v>7.0650000000000004</v>
      </c>
      <c r="V1316" t="str">
        <f t="shared" si="20"/>
        <v>Yoseph Carroll</v>
      </c>
      <c r="W1316">
        <f>Table2[Profit]/Table2[Sales]</f>
        <v>0.45000000000000007</v>
      </c>
    </row>
    <row r="1317" spans="1:23" x14ac:dyDescent="0.25">
      <c r="A1317">
        <v>1316</v>
      </c>
      <c r="B1317" t="s">
        <v>5701</v>
      </c>
      <c r="C1317" s="1">
        <v>41820</v>
      </c>
      <c r="D1317" s="1">
        <v>41822</v>
      </c>
      <c r="E1317" t="s">
        <v>185</v>
      </c>
      <c r="F1317" t="s">
        <v>1318</v>
      </c>
      <c r="G1317" t="s">
        <v>1319</v>
      </c>
      <c r="H1317" t="s">
        <v>25</v>
      </c>
      <c r="I1317" t="s">
        <v>26</v>
      </c>
      <c r="J1317" t="s">
        <v>296</v>
      </c>
      <c r="K1317" t="s">
        <v>208</v>
      </c>
      <c r="L1317">
        <v>60653</v>
      </c>
      <c r="M1317" t="s">
        <v>104</v>
      </c>
      <c r="N1317" t="s">
        <v>4710</v>
      </c>
      <c r="O1317" t="s">
        <v>45</v>
      </c>
      <c r="P1317" t="s">
        <v>67</v>
      </c>
      <c r="Q1317" t="s">
        <v>4711</v>
      </c>
      <c r="R1317">
        <v>5.2480000000000002</v>
      </c>
      <c r="S1317">
        <v>4</v>
      </c>
      <c r="T1317">
        <v>0.2</v>
      </c>
      <c r="U1317">
        <v>1.64</v>
      </c>
      <c r="V1317" t="str">
        <f t="shared" si="20"/>
        <v>Russell Applegate</v>
      </c>
      <c r="W1317">
        <f>Table2[Profit]/Table2[Sales]</f>
        <v>0.31249999999999994</v>
      </c>
    </row>
    <row r="1318" spans="1:23" x14ac:dyDescent="0.25">
      <c r="A1318">
        <v>1317</v>
      </c>
      <c r="B1318" t="s">
        <v>5702</v>
      </c>
      <c r="C1318" s="1">
        <v>43073</v>
      </c>
      <c r="D1318" s="1">
        <v>43077</v>
      </c>
      <c r="E1318" t="s">
        <v>49</v>
      </c>
      <c r="F1318" t="s">
        <v>3098</v>
      </c>
      <c r="G1318" t="s">
        <v>3099</v>
      </c>
      <c r="H1318" t="s">
        <v>25</v>
      </c>
      <c r="I1318" t="s">
        <v>26</v>
      </c>
      <c r="J1318" t="s">
        <v>143</v>
      </c>
      <c r="K1318" t="s">
        <v>144</v>
      </c>
      <c r="L1318">
        <v>19134</v>
      </c>
      <c r="M1318" t="s">
        <v>145</v>
      </c>
      <c r="N1318" t="s">
        <v>3799</v>
      </c>
      <c r="O1318" t="s">
        <v>45</v>
      </c>
      <c r="P1318" t="s">
        <v>74</v>
      </c>
      <c r="Q1318" t="s">
        <v>1202</v>
      </c>
      <c r="R1318">
        <v>5.3460000000000001</v>
      </c>
      <c r="S1318">
        <v>3</v>
      </c>
      <c r="T1318">
        <v>0.7</v>
      </c>
      <c r="U1318">
        <v>-4.4550000000000001</v>
      </c>
      <c r="V1318" t="str">
        <f t="shared" si="20"/>
        <v>Charles McCrossin</v>
      </c>
      <c r="W1318">
        <f>Table2[Profit]/Table2[Sales]</f>
        <v>-0.83333333333333337</v>
      </c>
    </row>
    <row r="1319" spans="1:23" x14ac:dyDescent="0.25">
      <c r="A1319">
        <v>1318</v>
      </c>
      <c r="B1319" t="s">
        <v>5703</v>
      </c>
      <c r="C1319" s="1">
        <v>42610</v>
      </c>
      <c r="D1319" s="1">
        <v>42615</v>
      </c>
      <c r="E1319" t="s">
        <v>49</v>
      </c>
      <c r="F1319" t="s">
        <v>688</v>
      </c>
      <c r="G1319" t="s">
        <v>689</v>
      </c>
      <c r="H1319" t="s">
        <v>25</v>
      </c>
      <c r="I1319" t="s">
        <v>26</v>
      </c>
      <c r="J1319" t="s">
        <v>5704</v>
      </c>
      <c r="K1319" t="s">
        <v>450</v>
      </c>
      <c r="L1319">
        <v>80112</v>
      </c>
      <c r="M1319" t="s">
        <v>43</v>
      </c>
      <c r="N1319" t="s">
        <v>5705</v>
      </c>
      <c r="O1319" t="s">
        <v>45</v>
      </c>
      <c r="P1319" t="s">
        <v>89</v>
      </c>
      <c r="Q1319" t="s">
        <v>5706</v>
      </c>
      <c r="R1319">
        <v>15.48</v>
      </c>
      <c r="S1319">
        <v>3</v>
      </c>
      <c r="T1319">
        <v>0.2</v>
      </c>
      <c r="U1319">
        <v>5.6115000000000004</v>
      </c>
      <c r="V1319" t="str">
        <f t="shared" si="20"/>
        <v>Chad Sievert</v>
      </c>
      <c r="W1319">
        <f>Table2[Profit]/Table2[Sales]</f>
        <v>0.36249999999999999</v>
      </c>
    </row>
    <row r="1320" spans="1:23" x14ac:dyDescent="0.25">
      <c r="A1320">
        <v>1319</v>
      </c>
      <c r="B1320" t="s">
        <v>5709</v>
      </c>
      <c r="C1320" s="1">
        <v>42391</v>
      </c>
      <c r="D1320" s="1">
        <v>42397</v>
      </c>
      <c r="E1320" t="s">
        <v>49</v>
      </c>
      <c r="F1320" t="s">
        <v>2400</v>
      </c>
      <c r="G1320" t="s">
        <v>2401</v>
      </c>
      <c r="H1320" t="s">
        <v>40</v>
      </c>
      <c r="I1320" t="s">
        <v>26</v>
      </c>
      <c r="J1320" t="s">
        <v>94</v>
      </c>
      <c r="K1320" t="s">
        <v>95</v>
      </c>
      <c r="L1320">
        <v>98115</v>
      </c>
      <c r="M1320" t="s">
        <v>43</v>
      </c>
      <c r="N1320" t="s">
        <v>1926</v>
      </c>
      <c r="O1320" t="s">
        <v>31</v>
      </c>
      <c r="P1320" t="s">
        <v>64</v>
      </c>
      <c r="Q1320" t="s">
        <v>1927</v>
      </c>
      <c r="R1320">
        <v>109.9</v>
      </c>
      <c r="S1320">
        <v>5</v>
      </c>
      <c r="T1320">
        <v>0</v>
      </c>
      <c r="U1320">
        <v>37.366</v>
      </c>
      <c r="V1320" t="str">
        <f t="shared" si="20"/>
        <v>Anthony Johnson</v>
      </c>
      <c r="W1320">
        <f>Table2[Profit]/Table2[Sales]</f>
        <v>0.33999999999999997</v>
      </c>
    </row>
    <row r="1321" spans="1:23" x14ac:dyDescent="0.25">
      <c r="A1321">
        <v>1320</v>
      </c>
      <c r="B1321" t="s">
        <v>5710</v>
      </c>
      <c r="C1321" s="1">
        <v>41927</v>
      </c>
      <c r="D1321" s="1">
        <v>41932</v>
      </c>
      <c r="E1321" t="s">
        <v>49</v>
      </c>
      <c r="F1321" t="s">
        <v>2419</v>
      </c>
      <c r="G1321" t="s">
        <v>2420</v>
      </c>
      <c r="H1321" t="s">
        <v>25</v>
      </c>
      <c r="I1321" t="s">
        <v>26</v>
      </c>
      <c r="J1321" t="s">
        <v>2298</v>
      </c>
      <c r="K1321" t="s">
        <v>53</v>
      </c>
      <c r="L1321">
        <v>33012</v>
      </c>
      <c r="M1321" t="s">
        <v>29</v>
      </c>
      <c r="N1321" t="s">
        <v>3872</v>
      </c>
      <c r="O1321" t="s">
        <v>31</v>
      </c>
      <c r="P1321" t="s">
        <v>64</v>
      </c>
      <c r="Q1321" t="s">
        <v>5648</v>
      </c>
      <c r="R1321">
        <v>15.384</v>
      </c>
      <c r="S1321">
        <v>1</v>
      </c>
      <c r="T1321">
        <v>0.2</v>
      </c>
      <c r="U1321">
        <v>4.0382999999999996</v>
      </c>
      <c r="V1321" t="str">
        <f t="shared" si="20"/>
        <v>Dan Lawera</v>
      </c>
      <c r="W1321">
        <f>Table2[Profit]/Table2[Sales]</f>
        <v>0.26249999999999996</v>
      </c>
    </row>
    <row r="1322" spans="1:23" x14ac:dyDescent="0.25">
      <c r="A1322">
        <v>1321</v>
      </c>
      <c r="B1322" t="s">
        <v>5711</v>
      </c>
      <c r="C1322" s="1">
        <v>42407</v>
      </c>
      <c r="D1322" s="1">
        <v>42409</v>
      </c>
      <c r="E1322" t="s">
        <v>185</v>
      </c>
      <c r="F1322" t="s">
        <v>5712</v>
      </c>
      <c r="G1322" t="s">
        <v>5713</v>
      </c>
      <c r="H1322" t="s">
        <v>25</v>
      </c>
      <c r="I1322" t="s">
        <v>26</v>
      </c>
      <c r="J1322" t="s">
        <v>2439</v>
      </c>
      <c r="K1322" t="s">
        <v>491</v>
      </c>
      <c r="L1322">
        <v>43130</v>
      </c>
      <c r="M1322" t="s">
        <v>145</v>
      </c>
      <c r="N1322" t="s">
        <v>1615</v>
      </c>
      <c r="O1322" t="s">
        <v>45</v>
      </c>
      <c r="P1322" t="s">
        <v>89</v>
      </c>
      <c r="Q1322" t="s">
        <v>1616</v>
      </c>
      <c r="R1322">
        <v>30.352</v>
      </c>
      <c r="S1322">
        <v>2</v>
      </c>
      <c r="T1322">
        <v>0.2</v>
      </c>
      <c r="U1322">
        <v>10.623200000000001</v>
      </c>
      <c r="V1322" t="str">
        <f t="shared" si="20"/>
        <v>Bobby Elias</v>
      </c>
      <c r="W1322">
        <f>Table2[Profit]/Table2[Sales]</f>
        <v>0.35000000000000003</v>
      </c>
    </row>
    <row r="1323" spans="1:23" x14ac:dyDescent="0.25">
      <c r="A1323">
        <v>1322</v>
      </c>
      <c r="B1323" t="s">
        <v>5714</v>
      </c>
      <c r="C1323" s="1">
        <v>41716</v>
      </c>
      <c r="D1323" s="1">
        <v>41721</v>
      </c>
      <c r="E1323" t="s">
        <v>49</v>
      </c>
      <c r="F1323" t="s">
        <v>5146</v>
      </c>
      <c r="G1323" t="s">
        <v>5147</v>
      </c>
      <c r="H1323" t="s">
        <v>101</v>
      </c>
      <c r="I1323" t="s">
        <v>26</v>
      </c>
      <c r="J1323" t="s">
        <v>1507</v>
      </c>
      <c r="K1323" t="s">
        <v>53</v>
      </c>
      <c r="L1323">
        <v>32216</v>
      </c>
      <c r="M1323" t="s">
        <v>29</v>
      </c>
      <c r="N1323" t="s">
        <v>5715</v>
      </c>
      <c r="O1323" t="s">
        <v>70</v>
      </c>
      <c r="P1323" t="s">
        <v>675</v>
      </c>
      <c r="Q1323" t="s">
        <v>5716</v>
      </c>
      <c r="R1323">
        <v>821.3</v>
      </c>
      <c r="S1323">
        <v>4</v>
      </c>
      <c r="T1323">
        <v>0.5</v>
      </c>
      <c r="U1323">
        <v>-16.425999999999998</v>
      </c>
      <c r="V1323" t="str">
        <f t="shared" si="20"/>
        <v>Sean Miller</v>
      </c>
      <c r="W1323">
        <f>Table2[Profit]/Table2[Sales]</f>
        <v>-0.02</v>
      </c>
    </row>
    <row r="1324" spans="1:23" x14ac:dyDescent="0.25">
      <c r="A1324">
        <v>1323</v>
      </c>
      <c r="B1324" t="s">
        <v>5719</v>
      </c>
      <c r="C1324" s="1">
        <v>41783</v>
      </c>
      <c r="D1324" s="1">
        <v>41789</v>
      </c>
      <c r="E1324" t="s">
        <v>49</v>
      </c>
      <c r="F1324" t="s">
        <v>2146</v>
      </c>
      <c r="G1324" t="s">
        <v>2147</v>
      </c>
      <c r="H1324" t="s">
        <v>25</v>
      </c>
      <c r="I1324" t="s">
        <v>26</v>
      </c>
      <c r="J1324" t="s">
        <v>4400</v>
      </c>
      <c r="K1324" t="s">
        <v>2699</v>
      </c>
      <c r="L1324">
        <v>21215</v>
      </c>
      <c r="M1324" t="s">
        <v>145</v>
      </c>
      <c r="N1324" t="s">
        <v>5720</v>
      </c>
      <c r="O1324" t="s">
        <v>45</v>
      </c>
      <c r="P1324" t="s">
        <v>89</v>
      </c>
      <c r="Q1324" t="s">
        <v>5721</v>
      </c>
      <c r="R1324">
        <v>116.28</v>
      </c>
      <c r="S1324">
        <v>3</v>
      </c>
      <c r="T1324">
        <v>0</v>
      </c>
      <c r="U1324">
        <v>56.977200000000003</v>
      </c>
      <c r="V1324" t="str">
        <f t="shared" si="20"/>
        <v>Resi Pölking</v>
      </c>
      <c r="W1324">
        <f>Table2[Profit]/Table2[Sales]</f>
        <v>0.49000000000000005</v>
      </c>
    </row>
    <row r="1325" spans="1:23" x14ac:dyDescent="0.25">
      <c r="A1325">
        <v>1324</v>
      </c>
      <c r="B1325" t="s">
        <v>5722</v>
      </c>
      <c r="C1325" s="1">
        <v>42927</v>
      </c>
      <c r="D1325" s="1">
        <v>42929</v>
      </c>
      <c r="E1325" t="s">
        <v>22</v>
      </c>
      <c r="F1325" t="s">
        <v>4730</v>
      </c>
      <c r="G1325" t="s">
        <v>4731</v>
      </c>
      <c r="H1325" t="s">
        <v>25</v>
      </c>
      <c r="I1325" t="s">
        <v>26</v>
      </c>
      <c r="J1325" t="s">
        <v>263</v>
      </c>
      <c r="K1325" t="s">
        <v>264</v>
      </c>
      <c r="L1325">
        <v>10009</v>
      </c>
      <c r="M1325" t="s">
        <v>145</v>
      </c>
      <c r="N1325" t="s">
        <v>746</v>
      </c>
      <c r="O1325" t="s">
        <v>70</v>
      </c>
      <c r="P1325" t="s">
        <v>158</v>
      </c>
      <c r="Q1325" t="s">
        <v>747</v>
      </c>
      <c r="R1325">
        <v>132.6</v>
      </c>
      <c r="S1325">
        <v>6</v>
      </c>
      <c r="T1325">
        <v>0</v>
      </c>
      <c r="U1325">
        <v>17.238</v>
      </c>
      <c r="V1325" t="str">
        <f t="shared" si="20"/>
        <v>Joy Daniels</v>
      </c>
      <c r="W1325">
        <f>Table2[Profit]/Table2[Sales]</f>
        <v>0.13</v>
      </c>
    </row>
    <row r="1326" spans="1:23" x14ac:dyDescent="0.25">
      <c r="A1326">
        <v>1325</v>
      </c>
      <c r="B1326" t="s">
        <v>5723</v>
      </c>
      <c r="C1326" s="1">
        <v>42902</v>
      </c>
      <c r="D1326" s="1">
        <v>42907</v>
      </c>
      <c r="E1326" t="s">
        <v>49</v>
      </c>
      <c r="F1326" t="s">
        <v>3605</v>
      </c>
      <c r="G1326" t="s">
        <v>3606</v>
      </c>
      <c r="H1326" t="s">
        <v>101</v>
      </c>
      <c r="I1326" t="s">
        <v>26</v>
      </c>
      <c r="J1326" t="s">
        <v>659</v>
      </c>
      <c r="K1326" t="s">
        <v>660</v>
      </c>
      <c r="L1326">
        <v>88220</v>
      </c>
      <c r="M1326" t="s">
        <v>43</v>
      </c>
      <c r="N1326" t="s">
        <v>4131</v>
      </c>
      <c r="O1326" t="s">
        <v>45</v>
      </c>
      <c r="P1326" t="s">
        <v>572</v>
      </c>
      <c r="Q1326" t="s">
        <v>4132</v>
      </c>
      <c r="R1326">
        <v>16.68</v>
      </c>
      <c r="S1326">
        <v>2</v>
      </c>
      <c r="T1326">
        <v>0</v>
      </c>
      <c r="U1326">
        <v>4.3368000000000002</v>
      </c>
      <c r="V1326" t="str">
        <f t="shared" si="20"/>
        <v>Alejandro Ballentine</v>
      </c>
      <c r="W1326">
        <f>Table2[Profit]/Table2[Sales]</f>
        <v>0.26</v>
      </c>
    </row>
    <row r="1327" spans="1:23" x14ac:dyDescent="0.25">
      <c r="A1327">
        <v>1326</v>
      </c>
      <c r="B1327" t="s">
        <v>5728</v>
      </c>
      <c r="C1327" s="1">
        <v>42034</v>
      </c>
      <c r="D1327" s="1">
        <v>42041</v>
      </c>
      <c r="E1327" t="s">
        <v>49</v>
      </c>
      <c r="F1327" t="s">
        <v>1929</v>
      </c>
      <c r="G1327" t="s">
        <v>1930</v>
      </c>
      <c r="H1327" t="s">
        <v>25</v>
      </c>
      <c r="I1327" t="s">
        <v>26</v>
      </c>
      <c r="J1327" t="s">
        <v>41</v>
      </c>
      <c r="K1327" t="s">
        <v>42</v>
      </c>
      <c r="L1327">
        <v>90049</v>
      </c>
      <c r="M1327" t="s">
        <v>43</v>
      </c>
      <c r="N1327" t="s">
        <v>5729</v>
      </c>
      <c r="O1327" t="s">
        <v>31</v>
      </c>
      <c r="P1327" t="s">
        <v>64</v>
      </c>
      <c r="Q1327" t="s">
        <v>5730</v>
      </c>
      <c r="R1327">
        <v>227.36</v>
      </c>
      <c r="S1327">
        <v>7</v>
      </c>
      <c r="T1327">
        <v>0</v>
      </c>
      <c r="U1327">
        <v>81.849599999999995</v>
      </c>
      <c r="V1327" t="str">
        <f t="shared" si="20"/>
        <v>Charles Crestani</v>
      </c>
      <c r="W1327">
        <f>Table2[Profit]/Table2[Sales]</f>
        <v>0.35999999999999993</v>
      </c>
    </row>
    <row r="1328" spans="1:23" x14ac:dyDescent="0.25">
      <c r="A1328">
        <v>1327</v>
      </c>
      <c r="B1328" t="s">
        <v>5731</v>
      </c>
      <c r="C1328" s="1">
        <v>42349</v>
      </c>
      <c r="D1328" s="1">
        <v>42353</v>
      </c>
      <c r="E1328" t="s">
        <v>49</v>
      </c>
      <c r="F1328" t="s">
        <v>3972</v>
      </c>
      <c r="G1328" t="s">
        <v>3973</v>
      </c>
      <c r="H1328" t="s">
        <v>25</v>
      </c>
      <c r="I1328" t="s">
        <v>26</v>
      </c>
      <c r="J1328" t="s">
        <v>1507</v>
      </c>
      <c r="K1328" t="s">
        <v>53</v>
      </c>
      <c r="L1328">
        <v>32216</v>
      </c>
      <c r="M1328" t="s">
        <v>29</v>
      </c>
      <c r="N1328" t="s">
        <v>1574</v>
      </c>
      <c r="O1328" t="s">
        <v>45</v>
      </c>
      <c r="P1328" t="s">
        <v>74</v>
      </c>
      <c r="Q1328" t="s">
        <v>1575</v>
      </c>
      <c r="R1328">
        <v>12.827999999999999</v>
      </c>
      <c r="S1328">
        <v>2</v>
      </c>
      <c r="T1328">
        <v>0.7</v>
      </c>
      <c r="U1328">
        <v>-8.9795999999999996</v>
      </c>
      <c r="V1328" t="str">
        <f t="shared" si="20"/>
        <v>Gary Hwang</v>
      </c>
      <c r="W1328">
        <f>Table2[Profit]/Table2[Sales]</f>
        <v>-0.7</v>
      </c>
    </row>
    <row r="1329" spans="1:23" x14ac:dyDescent="0.25">
      <c r="A1329">
        <v>1328</v>
      </c>
      <c r="B1329" t="s">
        <v>5732</v>
      </c>
      <c r="C1329" s="1">
        <v>43017</v>
      </c>
      <c r="D1329" s="1">
        <v>43019</v>
      </c>
      <c r="E1329" t="s">
        <v>185</v>
      </c>
      <c r="F1329" t="s">
        <v>3594</v>
      </c>
      <c r="G1329" t="s">
        <v>3595</v>
      </c>
      <c r="H1329" t="s">
        <v>40</v>
      </c>
      <c r="I1329" t="s">
        <v>26</v>
      </c>
      <c r="J1329" t="s">
        <v>1111</v>
      </c>
      <c r="K1329" t="s">
        <v>491</v>
      </c>
      <c r="L1329">
        <v>44107</v>
      </c>
      <c r="M1329" t="s">
        <v>145</v>
      </c>
      <c r="N1329" t="s">
        <v>2357</v>
      </c>
      <c r="O1329" t="s">
        <v>31</v>
      </c>
      <c r="P1329" t="s">
        <v>64</v>
      </c>
      <c r="Q1329" t="s">
        <v>2358</v>
      </c>
      <c r="R1329">
        <v>45.887999999999998</v>
      </c>
      <c r="S1329">
        <v>4</v>
      </c>
      <c r="T1329">
        <v>0.2</v>
      </c>
      <c r="U1329">
        <v>9.1776</v>
      </c>
      <c r="V1329" t="str">
        <f t="shared" si="20"/>
        <v>Cathy Prescott</v>
      </c>
      <c r="W1329">
        <f>Table2[Profit]/Table2[Sales]</f>
        <v>0.2</v>
      </c>
    </row>
    <row r="1330" spans="1:23" x14ac:dyDescent="0.25">
      <c r="A1330">
        <v>1329</v>
      </c>
      <c r="B1330" t="s">
        <v>5733</v>
      </c>
      <c r="C1330" s="1">
        <v>42945</v>
      </c>
      <c r="D1330" s="1">
        <v>42948</v>
      </c>
      <c r="E1330" t="s">
        <v>22</v>
      </c>
      <c r="F1330" t="s">
        <v>2489</v>
      </c>
      <c r="G1330" t="s">
        <v>2490</v>
      </c>
      <c r="H1330" t="s">
        <v>25</v>
      </c>
      <c r="I1330" t="s">
        <v>26</v>
      </c>
      <c r="J1330" t="s">
        <v>271</v>
      </c>
      <c r="K1330" t="s">
        <v>264</v>
      </c>
      <c r="L1330">
        <v>12180</v>
      </c>
      <c r="M1330" t="s">
        <v>145</v>
      </c>
      <c r="N1330" t="s">
        <v>681</v>
      </c>
      <c r="O1330" t="s">
        <v>45</v>
      </c>
      <c r="P1330" t="s">
        <v>67</v>
      </c>
      <c r="Q1330" t="s">
        <v>682</v>
      </c>
      <c r="R1330">
        <v>60.12</v>
      </c>
      <c r="S1330">
        <v>9</v>
      </c>
      <c r="T1330">
        <v>0</v>
      </c>
      <c r="U1330">
        <v>22.244399999999999</v>
      </c>
      <c r="V1330" t="str">
        <f t="shared" si="20"/>
        <v>Gary McGarr</v>
      </c>
      <c r="W1330">
        <f>Table2[Profit]/Table2[Sales]</f>
        <v>0.37</v>
      </c>
    </row>
    <row r="1331" spans="1:23" x14ac:dyDescent="0.25">
      <c r="A1331">
        <v>1330</v>
      </c>
      <c r="B1331" t="s">
        <v>5734</v>
      </c>
      <c r="C1331" s="1">
        <v>41754</v>
      </c>
      <c r="D1331" s="1">
        <v>41758</v>
      </c>
      <c r="E1331" t="s">
        <v>49</v>
      </c>
      <c r="F1331" t="s">
        <v>558</v>
      </c>
      <c r="G1331" t="s">
        <v>559</v>
      </c>
      <c r="H1331" t="s">
        <v>25</v>
      </c>
      <c r="I1331" t="s">
        <v>26</v>
      </c>
      <c r="J1331" t="s">
        <v>514</v>
      </c>
      <c r="K1331" t="s">
        <v>87</v>
      </c>
      <c r="L1331">
        <v>28403</v>
      </c>
      <c r="M1331" t="s">
        <v>29</v>
      </c>
      <c r="N1331" t="s">
        <v>2779</v>
      </c>
      <c r="O1331" t="s">
        <v>70</v>
      </c>
      <c r="P1331" t="s">
        <v>71</v>
      </c>
      <c r="Q1331" t="s">
        <v>5735</v>
      </c>
      <c r="R1331">
        <v>302.37599999999998</v>
      </c>
      <c r="S1331">
        <v>3</v>
      </c>
      <c r="T1331">
        <v>0.2</v>
      </c>
      <c r="U1331">
        <v>37.796999999999997</v>
      </c>
      <c r="V1331" t="str">
        <f t="shared" si="20"/>
        <v>Lena Creighton</v>
      </c>
      <c r="W1331">
        <f>Table2[Profit]/Table2[Sales]</f>
        <v>0.125</v>
      </c>
    </row>
    <row r="1332" spans="1:23" x14ac:dyDescent="0.25">
      <c r="A1332">
        <v>1331</v>
      </c>
      <c r="B1332" t="s">
        <v>5736</v>
      </c>
      <c r="C1332" s="1">
        <v>42339</v>
      </c>
      <c r="D1332" s="1">
        <v>42344</v>
      </c>
      <c r="E1332" t="s">
        <v>49</v>
      </c>
      <c r="F1332" t="s">
        <v>3761</v>
      </c>
      <c r="G1332" t="s">
        <v>3762</v>
      </c>
      <c r="H1332" t="s">
        <v>101</v>
      </c>
      <c r="I1332" t="s">
        <v>26</v>
      </c>
      <c r="J1332" t="s">
        <v>94</v>
      </c>
      <c r="K1332" t="s">
        <v>95</v>
      </c>
      <c r="L1332">
        <v>98105</v>
      </c>
      <c r="M1332" t="s">
        <v>43</v>
      </c>
      <c r="N1332" t="s">
        <v>4137</v>
      </c>
      <c r="O1332" t="s">
        <v>45</v>
      </c>
      <c r="P1332" t="s">
        <v>67</v>
      </c>
      <c r="Q1332" t="s">
        <v>4138</v>
      </c>
      <c r="R1332">
        <v>13.9</v>
      </c>
      <c r="S1332">
        <v>5</v>
      </c>
      <c r="T1332">
        <v>0</v>
      </c>
      <c r="U1332">
        <v>5.56</v>
      </c>
      <c r="V1332" t="str">
        <f t="shared" si="20"/>
        <v>Beth Thompson</v>
      </c>
      <c r="W1332">
        <f>Table2[Profit]/Table2[Sales]</f>
        <v>0.39999999999999997</v>
      </c>
    </row>
    <row r="1333" spans="1:23" x14ac:dyDescent="0.25">
      <c r="A1333">
        <v>1332</v>
      </c>
      <c r="B1333" t="s">
        <v>5737</v>
      </c>
      <c r="C1333" s="1">
        <v>41977</v>
      </c>
      <c r="D1333" s="1">
        <v>41981</v>
      </c>
      <c r="E1333" t="s">
        <v>49</v>
      </c>
      <c r="F1333" t="s">
        <v>3594</v>
      </c>
      <c r="G1333" t="s">
        <v>3595</v>
      </c>
      <c r="H1333" t="s">
        <v>40</v>
      </c>
      <c r="I1333" t="s">
        <v>26</v>
      </c>
      <c r="J1333" t="s">
        <v>263</v>
      </c>
      <c r="K1333" t="s">
        <v>264</v>
      </c>
      <c r="L1333">
        <v>10024</v>
      </c>
      <c r="M1333" t="s">
        <v>145</v>
      </c>
      <c r="N1333" t="s">
        <v>5738</v>
      </c>
      <c r="O1333" t="s">
        <v>70</v>
      </c>
      <c r="P1333" t="s">
        <v>71</v>
      </c>
      <c r="Q1333" t="s">
        <v>5739</v>
      </c>
      <c r="R1333">
        <v>129.97999999999999</v>
      </c>
      <c r="S1333">
        <v>2</v>
      </c>
      <c r="T1333">
        <v>0</v>
      </c>
      <c r="U1333">
        <v>62.3904</v>
      </c>
      <c r="V1333" t="str">
        <f t="shared" si="20"/>
        <v>Cathy Prescott</v>
      </c>
      <c r="W1333">
        <f>Table2[Profit]/Table2[Sales]</f>
        <v>0.48000000000000004</v>
      </c>
    </row>
    <row r="1334" spans="1:23" x14ac:dyDescent="0.25">
      <c r="A1334">
        <v>1333</v>
      </c>
      <c r="B1334" t="s">
        <v>5740</v>
      </c>
      <c r="C1334" s="1">
        <v>42973</v>
      </c>
      <c r="D1334" s="1">
        <v>42979</v>
      </c>
      <c r="E1334" t="s">
        <v>49</v>
      </c>
      <c r="F1334" t="s">
        <v>5741</v>
      </c>
      <c r="G1334" t="s">
        <v>5742</v>
      </c>
      <c r="H1334" t="s">
        <v>101</v>
      </c>
      <c r="I1334" t="s">
        <v>26</v>
      </c>
      <c r="J1334" t="s">
        <v>490</v>
      </c>
      <c r="K1334" t="s">
        <v>1260</v>
      </c>
      <c r="L1334">
        <v>31907</v>
      </c>
      <c r="M1334" t="s">
        <v>29</v>
      </c>
      <c r="N1334" t="s">
        <v>1401</v>
      </c>
      <c r="O1334" t="s">
        <v>70</v>
      </c>
      <c r="P1334" t="s">
        <v>158</v>
      </c>
      <c r="Q1334" t="s">
        <v>1402</v>
      </c>
      <c r="R1334">
        <v>71.98</v>
      </c>
      <c r="S1334">
        <v>2</v>
      </c>
      <c r="T1334">
        <v>0</v>
      </c>
      <c r="U1334">
        <v>15.1158</v>
      </c>
      <c r="V1334" t="str">
        <f t="shared" si="20"/>
        <v>Steve Carroll</v>
      </c>
      <c r="W1334">
        <f>Table2[Profit]/Table2[Sales]</f>
        <v>0.21</v>
      </c>
    </row>
    <row r="1335" spans="1:23" x14ac:dyDescent="0.25">
      <c r="A1335">
        <v>1334</v>
      </c>
      <c r="B1335" t="s">
        <v>5743</v>
      </c>
      <c r="C1335" s="1">
        <v>41889</v>
      </c>
      <c r="D1335" s="1">
        <v>41895</v>
      </c>
      <c r="E1335" t="s">
        <v>49</v>
      </c>
      <c r="F1335" t="s">
        <v>5071</v>
      </c>
      <c r="G1335" t="s">
        <v>5072</v>
      </c>
      <c r="H1335" t="s">
        <v>25</v>
      </c>
      <c r="I1335" t="s">
        <v>26</v>
      </c>
      <c r="J1335" t="s">
        <v>263</v>
      </c>
      <c r="K1335" t="s">
        <v>264</v>
      </c>
      <c r="L1335">
        <v>10024</v>
      </c>
      <c r="M1335" t="s">
        <v>145</v>
      </c>
      <c r="N1335" t="s">
        <v>5744</v>
      </c>
      <c r="O1335" t="s">
        <v>70</v>
      </c>
      <c r="P1335" t="s">
        <v>71</v>
      </c>
      <c r="Q1335" t="s">
        <v>5745</v>
      </c>
      <c r="R1335">
        <v>377.97</v>
      </c>
      <c r="S1335">
        <v>3</v>
      </c>
      <c r="T1335">
        <v>0</v>
      </c>
      <c r="U1335">
        <v>109.6113</v>
      </c>
      <c r="V1335" t="str">
        <f t="shared" si="20"/>
        <v>Dennis Kane</v>
      </c>
      <c r="W1335">
        <f>Table2[Profit]/Table2[Sales]</f>
        <v>0.28999999999999998</v>
      </c>
    </row>
    <row r="1336" spans="1:23" x14ac:dyDescent="0.25">
      <c r="A1336">
        <v>1335</v>
      </c>
      <c r="B1336" t="s">
        <v>5746</v>
      </c>
      <c r="C1336" s="1">
        <v>43090</v>
      </c>
      <c r="D1336" s="1">
        <v>43096</v>
      </c>
      <c r="E1336" t="s">
        <v>49</v>
      </c>
      <c r="F1336" t="s">
        <v>2775</v>
      </c>
      <c r="G1336" t="s">
        <v>2776</v>
      </c>
      <c r="H1336" t="s">
        <v>25</v>
      </c>
      <c r="I1336" t="s">
        <v>26</v>
      </c>
      <c r="J1336" t="s">
        <v>1687</v>
      </c>
      <c r="K1336" t="s">
        <v>42</v>
      </c>
      <c r="L1336">
        <v>92627</v>
      </c>
      <c r="M1336" t="s">
        <v>43</v>
      </c>
      <c r="N1336" t="s">
        <v>3165</v>
      </c>
      <c r="O1336" t="s">
        <v>45</v>
      </c>
      <c r="P1336" t="s">
        <v>58</v>
      </c>
      <c r="Q1336" t="s">
        <v>3166</v>
      </c>
      <c r="R1336">
        <v>124.36</v>
      </c>
      <c r="S1336">
        <v>2</v>
      </c>
      <c r="T1336">
        <v>0</v>
      </c>
      <c r="U1336">
        <v>33.577199999999998</v>
      </c>
      <c r="V1336" t="str">
        <f t="shared" si="20"/>
        <v>Sanjit Engle</v>
      </c>
      <c r="W1336">
        <f>Table2[Profit]/Table2[Sales]</f>
        <v>0.26999999999999996</v>
      </c>
    </row>
    <row r="1337" spans="1:23" x14ac:dyDescent="0.25">
      <c r="A1337">
        <v>1336</v>
      </c>
      <c r="B1337" t="s">
        <v>5747</v>
      </c>
      <c r="C1337" s="1">
        <v>41979</v>
      </c>
      <c r="D1337" s="1">
        <v>41981</v>
      </c>
      <c r="E1337" t="s">
        <v>22</v>
      </c>
      <c r="F1337" t="s">
        <v>1404</v>
      </c>
      <c r="G1337" t="s">
        <v>1405</v>
      </c>
      <c r="H1337" t="s">
        <v>25</v>
      </c>
      <c r="I1337" t="s">
        <v>26</v>
      </c>
      <c r="J1337" t="s">
        <v>181</v>
      </c>
      <c r="K1337" t="s">
        <v>103</v>
      </c>
      <c r="L1337">
        <v>77095</v>
      </c>
      <c r="M1337" t="s">
        <v>104</v>
      </c>
      <c r="N1337" t="s">
        <v>2152</v>
      </c>
      <c r="O1337" t="s">
        <v>31</v>
      </c>
      <c r="P1337" t="s">
        <v>64</v>
      </c>
      <c r="Q1337" t="s">
        <v>2153</v>
      </c>
      <c r="R1337">
        <v>23.975999999999999</v>
      </c>
      <c r="S1337">
        <v>3</v>
      </c>
      <c r="T1337">
        <v>0.6</v>
      </c>
      <c r="U1337">
        <v>-14.3856</v>
      </c>
      <c r="V1337" t="str">
        <f t="shared" si="20"/>
        <v>Luke Foster</v>
      </c>
      <c r="W1337">
        <f>Table2[Profit]/Table2[Sales]</f>
        <v>-0.6</v>
      </c>
    </row>
    <row r="1338" spans="1:23" x14ac:dyDescent="0.25">
      <c r="A1338">
        <v>1337</v>
      </c>
      <c r="B1338" t="s">
        <v>5748</v>
      </c>
      <c r="C1338" s="1">
        <v>41947</v>
      </c>
      <c r="D1338" s="1">
        <v>41951</v>
      </c>
      <c r="E1338" t="s">
        <v>22</v>
      </c>
      <c r="F1338" t="s">
        <v>223</v>
      </c>
      <c r="G1338" t="s">
        <v>224</v>
      </c>
      <c r="H1338" t="s">
        <v>40</v>
      </c>
      <c r="I1338" t="s">
        <v>26</v>
      </c>
      <c r="J1338" t="s">
        <v>2241</v>
      </c>
      <c r="K1338" t="s">
        <v>87</v>
      </c>
      <c r="L1338">
        <v>27511</v>
      </c>
      <c r="M1338" t="s">
        <v>29</v>
      </c>
      <c r="N1338" t="s">
        <v>860</v>
      </c>
      <c r="O1338" t="s">
        <v>45</v>
      </c>
      <c r="P1338" t="s">
        <v>266</v>
      </c>
      <c r="Q1338" t="s">
        <v>861</v>
      </c>
      <c r="R1338">
        <v>8.3759999999999994</v>
      </c>
      <c r="S1338">
        <v>3</v>
      </c>
      <c r="T1338">
        <v>0.2</v>
      </c>
      <c r="U1338">
        <v>2.7222</v>
      </c>
      <c r="V1338" t="str">
        <f t="shared" si="20"/>
        <v>Odella Nelson</v>
      </c>
      <c r="W1338">
        <f>Table2[Profit]/Table2[Sales]</f>
        <v>0.32500000000000001</v>
      </c>
    </row>
    <row r="1339" spans="1:23" x14ac:dyDescent="0.25">
      <c r="A1339">
        <v>1338</v>
      </c>
      <c r="B1339" t="s">
        <v>5749</v>
      </c>
      <c r="C1339" s="1">
        <v>42474</v>
      </c>
      <c r="D1339" s="1">
        <v>42479</v>
      </c>
      <c r="E1339" t="s">
        <v>22</v>
      </c>
      <c r="F1339" t="s">
        <v>3963</v>
      </c>
      <c r="G1339" t="s">
        <v>3964</v>
      </c>
      <c r="H1339" t="s">
        <v>25</v>
      </c>
      <c r="I1339" t="s">
        <v>26</v>
      </c>
      <c r="J1339" t="s">
        <v>2773</v>
      </c>
      <c r="K1339" t="s">
        <v>312</v>
      </c>
      <c r="L1339">
        <v>22304</v>
      </c>
      <c r="M1339" t="s">
        <v>29</v>
      </c>
      <c r="N1339" t="s">
        <v>2770</v>
      </c>
      <c r="O1339" t="s">
        <v>45</v>
      </c>
      <c r="P1339" t="s">
        <v>58</v>
      </c>
      <c r="Q1339" t="s">
        <v>2771</v>
      </c>
      <c r="R1339">
        <v>81.2</v>
      </c>
      <c r="S1339">
        <v>5</v>
      </c>
      <c r="T1339">
        <v>0</v>
      </c>
      <c r="U1339">
        <v>12.18</v>
      </c>
      <c r="V1339" t="str">
        <f t="shared" si="20"/>
        <v>Tom Boeckenhauer</v>
      </c>
      <c r="W1339">
        <f>Table2[Profit]/Table2[Sales]</f>
        <v>0.15</v>
      </c>
    </row>
    <row r="1340" spans="1:23" x14ac:dyDescent="0.25">
      <c r="A1340">
        <v>1339</v>
      </c>
      <c r="B1340" t="s">
        <v>5750</v>
      </c>
      <c r="C1340" s="1">
        <v>41916</v>
      </c>
      <c r="D1340" s="1">
        <v>41920</v>
      </c>
      <c r="E1340" t="s">
        <v>49</v>
      </c>
      <c r="F1340" t="s">
        <v>5751</v>
      </c>
      <c r="G1340" t="s">
        <v>5752</v>
      </c>
      <c r="H1340" t="s">
        <v>25</v>
      </c>
      <c r="I1340" t="s">
        <v>26</v>
      </c>
      <c r="J1340" t="s">
        <v>2075</v>
      </c>
      <c r="K1340" t="s">
        <v>42</v>
      </c>
      <c r="L1340">
        <v>94591</v>
      </c>
      <c r="M1340" t="s">
        <v>43</v>
      </c>
      <c r="N1340" t="s">
        <v>1064</v>
      </c>
      <c r="O1340" t="s">
        <v>45</v>
      </c>
      <c r="P1340" t="s">
        <v>46</v>
      </c>
      <c r="Q1340" t="s">
        <v>1065</v>
      </c>
      <c r="R1340">
        <v>14.45</v>
      </c>
      <c r="S1340">
        <v>5</v>
      </c>
      <c r="T1340">
        <v>0</v>
      </c>
      <c r="U1340">
        <v>6.7915000000000001</v>
      </c>
      <c r="V1340" t="str">
        <f t="shared" si="20"/>
        <v>David Flashing</v>
      </c>
      <c r="W1340">
        <f>Table2[Profit]/Table2[Sales]</f>
        <v>0.47000000000000003</v>
      </c>
    </row>
    <row r="1341" spans="1:23" x14ac:dyDescent="0.25">
      <c r="A1341">
        <v>1340</v>
      </c>
      <c r="B1341" t="s">
        <v>5753</v>
      </c>
      <c r="C1341" s="1">
        <v>43046</v>
      </c>
      <c r="D1341" s="1">
        <v>43052</v>
      </c>
      <c r="E1341" t="s">
        <v>49</v>
      </c>
      <c r="F1341" t="s">
        <v>1803</v>
      </c>
      <c r="G1341" t="s">
        <v>1804</v>
      </c>
      <c r="H1341" t="s">
        <v>25</v>
      </c>
      <c r="I1341" t="s">
        <v>26</v>
      </c>
      <c r="J1341" t="s">
        <v>143</v>
      </c>
      <c r="K1341" t="s">
        <v>144</v>
      </c>
      <c r="L1341">
        <v>19120</v>
      </c>
      <c r="M1341" t="s">
        <v>145</v>
      </c>
      <c r="N1341" t="s">
        <v>4746</v>
      </c>
      <c r="O1341" t="s">
        <v>70</v>
      </c>
      <c r="P1341" t="s">
        <v>71</v>
      </c>
      <c r="Q1341" t="s">
        <v>4747</v>
      </c>
      <c r="R1341">
        <v>359.97</v>
      </c>
      <c r="S1341">
        <v>5</v>
      </c>
      <c r="T1341">
        <v>0.4</v>
      </c>
      <c r="U1341">
        <v>-71.994</v>
      </c>
      <c r="V1341" t="str">
        <f t="shared" si="20"/>
        <v>Emily Phan</v>
      </c>
      <c r="W1341">
        <f>Table2[Profit]/Table2[Sales]</f>
        <v>-0.19999999999999998</v>
      </c>
    </row>
    <row r="1342" spans="1:23" x14ac:dyDescent="0.25">
      <c r="A1342">
        <v>1341</v>
      </c>
      <c r="B1342" t="s">
        <v>5754</v>
      </c>
      <c r="C1342" s="1">
        <v>43091</v>
      </c>
      <c r="D1342" s="1">
        <v>43093</v>
      </c>
      <c r="E1342" t="s">
        <v>185</v>
      </c>
      <c r="F1342" t="s">
        <v>737</v>
      </c>
      <c r="G1342" t="s">
        <v>738</v>
      </c>
      <c r="H1342" t="s">
        <v>25</v>
      </c>
      <c r="I1342" t="s">
        <v>26</v>
      </c>
      <c r="J1342" t="s">
        <v>2797</v>
      </c>
      <c r="K1342" t="s">
        <v>491</v>
      </c>
      <c r="L1342">
        <v>43615</v>
      </c>
      <c r="M1342" t="s">
        <v>145</v>
      </c>
      <c r="N1342" t="s">
        <v>1988</v>
      </c>
      <c r="O1342" t="s">
        <v>45</v>
      </c>
      <c r="P1342" t="s">
        <v>74</v>
      </c>
      <c r="Q1342" t="s">
        <v>1989</v>
      </c>
      <c r="R1342">
        <v>1.641</v>
      </c>
      <c r="S1342">
        <v>1</v>
      </c>
      <c r="T1342">
        <v>0.7</v>
      </c>
      <c r="U1342">
        <v>-1.3128</v>
      </c>
      <c r="V1342" t="str">
        <f t="shared" si="20"/>
        <v>Sally Knutson</v>
      </c>
      <c r="W1342">
        <f>Table2[Profit]/Table2[Sales]</f>
        <v>-0.79999999999999993</v>
      </c>
    </row>
    <row r="1343" spans="1:23" x14ac:dyDescent="0.25">
      <c r="A1343">
        <v>1342</v>
      </c>
      <c r="B1343" t="s">
        <v>5755</v>
      </c>
      <c r="C1343" s="1">
        <v>42779</v>
      </c>
      <c r="D1343" s="1">
        <v>42785</v>
      </c>
      <c r="E1343" t="s">
        <v>49</v>
      </c>
      <c r="F1343" t="s">
        <v>5756</v>
      </c>
      <c r="G1343" t="s">
        <v>5757</v>
      </c>
      <c r="H1343" t="s">
        <v>25</v>
      </c>
      <c r="I1343" t="s">
        <v>26</v>
      </c>
      <c r="J1343" t="s">
        <v>94</v>
      </c>
      <c r="K1343" t="s">
        <v>95</v>
      </c>
      <c r="L1343">
        <v>98105</v>
      </c>
      <c r="M1343" t="s">
        <v>43</v>
      </c>
      <c r="N1343" t="s">
        <v>632</v>
      </c>
      <c r="O1343" t="s">
        <v>45</v>
      </c>
      <c r="P1343" t="s">
        <v>67</v>
      </c>
      <c r="Q1343" t="s">
        <v>633</v>
      </c>
      <c r="R1343">
        <v>6.63</v>
      </c>
      <c r="S1343">
        <v>3</v>
      </c>
      <c r="T1343">
        <v>0</v>
      </c>
      <c r="U1343">
        <v>1.7901</v>
      </c>
      <c r="V1343" t="str">
        <f t="shared" si="20"/>
        <v>Fred Harton</v>
      </c>
      <c r="W1343">
        <f>Table2[Profit]/Table2[Sales]</f>
        <v>0.27</v>
      </c>
    </row>
    <row r="1344" spans="1:23" x14ac:dyDescent="0.25">
      <c r="A1344">
        <v>1343</v>
      </c>
      <c r="B1344" t="s">
        <v>5758</v>
      </c>
      <c r="C1344" s="1">
        <v>41822</v>
      </c>
      <c r="D1344" s="1">
        <v>41826</v>
      </c>
      <c r="E1344" t="s">
        <v>49</v>
      </c>
      <c r="F1344" t="s">
        <v>153</v>
      </c>
      <c r="G1344" t="s">
        <v>154</v>
      </c>
      <c r="H1344" t="s">
        <v>25</v>
      </c>
      <c r="I1344" t="s">
        <v>26</v>
      </c>
      <c r="J1344" t="s">
        <v>2096</v>
      </c>
      <c r="K1344" t="s">
        <v>781</v>
      </c>
      <c r="L1344">
        <v>7060</v>
      </c>
      <c r="M1344" t="s">
        <v>145</v>
      </c>
      <c r="N1344" t="s">
        <v>2633</v>
      </c>
      <c r="O1344" t="s">
        <v>70</v>
      </c>
      <c r="P1344" t="s">
        <v>71</v>
      </c>
      <c r="Q1344" t="s">
        <v>2634</v>
      </c>
      <c r="R1344">
        <v>73.98</v>
      </c>
      <c r="S1344">
        <v>2</v>
      </c>
      <c r="T1344">
        <v>0</v>
      </c>
      <c r="U1344">
        <v>19.974599999999999</v>
      </c>
      <c r="V1344" t="str">
        <f t="shared" si="20"/>
        <v>Eric Hoffmann</v>
      </c>
      <c r="W1344">
        <f>Table2[Profit]/Table2[Sales]</f>
        <v>0.26999999999999996</v>
      </c>
    </row>
    <row r="1345" spans="1:23" x14ac:dyDescent="0.25">
      <c r="A1345">
        <v>1344</v>
      </c>
      <c r="B1345" t="s">
        <v>5759</v>
      </c>
      <c r="C1345" s="1">
        <v>42056</v>
      </c>
      <c r="D1345" s="1">
        <v>42058</v>
      </c>
      <c r="E1345" t="s">
        <v>22</v>
      </c>
      <c r="F1345" t="s">
        <v>4698</v>
      </c>
      <c r="G1345" t="s">
        <v>4699</v>
      </c>
      <c r="H1345" t="s">
        <v>25</v>
      </c>
      <c r="I1345" t="s">
        <v>26</v>
      </c>
      <c r="J1345" t="s">
        <v>5760</v>
      </c>
      <c r="K1345" t="s">
        <v>660</v>
      </c>
      <c r="L1345">
        <v>88001</v>
      </c>
      <c r="M1345" t="s">
        <v>43</v>
      </c>
      <c r="N1345" t="s">
        <v>182</v>
      </c>
      <c r="O1345" t="s">
        <v>45</v>
      </c>
      <c r="P1345" t="s">
        <v>89</v>
      </c>
      <c r="Q1345" t="s">
        <v>183</v>
      </c>
      <c r="R1345">
        <v>49.12</v>
      </c>
      <c r="S1345">
        <v>4</v>
      </c>
      <c r="T1345">
        <v>0</v>
      </c>
      <c r="U1345">
        <v>23.086400000000001</v>
      </c>
      <c r="V1345" t="str">
        <f t="shared" si="20"/>
        <v>Joe Elijah</v>
      </c>
      <c r="W1345">
        <f>Table2[Profit]/Table2[Sales]</f>
        <v>0.47000000000000003</v>
      </c>
    </row>
    <row r="1346" spans="1:23" x14ac:dyDescent="0.25">
      <c r="A1346">
        <v>1345</v>
      </c>
      <c r="B1346" t="s">
        <v>5761</v>
      </c>
      <c r="C1346" s="1">
        <v>42321</v>
      </c>
      <c r="D1346" s="1">
        <v>42327</v>
      </c>
      <c r="E1346" t="s">
        <v>49</v>
      </c>
      <c r="F1346" t="s">
        <v>909</v>
      </c>
      <c r="G1346" t="s">
        <v>910</v>
      </c>
      <c r="H1346" t="s">
        <v>25</v>
      </c>
      <c r="I1346" t="s">
        <v>26</v>
      </c>
      <c r="J1346" t="s">
        <v>600</v>
      </c>
      <c r="K1346" t="s">
        <v>242</v>
      </c>
      <c r="L1346">
        <v>19711</v>
      </c>
      <c r="M1346" t="s">
        <v>145</v>
      </c>
      <c r="N1346" t="s">
        <v>5762</v>
      </c>
      <c r="O1346" t="s">
        <v>70</v>
      </c>
      <c r="P1346" t="s">
        <v>71</v>
      </c>
      <c r="Q1346" t="s">
        <v>5763</v>
      </c>
      <c r="R1346">
        <v>377.97</v>
      </c>
      <c r="S1346">
        <v>3</v>
      </c>
      <c r="T1346">
        <v>0</v>
      </c>
      <c r="U1346">
        <v>94.492500000000007</v>
      </c>
      <c r="V1346" t="str">
        <f t="shared" si="20"/>
        <v>Ken Lonsdale</v>
      </c>
      <c r="W1346">
        <f>Table2[Profit]/Table2[Sales]</f>
        <v>0.25</v>
      </c>
    </row>
    <row r="1347" spans="1:23" x14ac:dyDescent="0.25">
      <c r="A1347">
        <v>1346</v>
      </c>
      <c r="B1347" t="s">
        <v>5764</v>
      </c>
      <c r="C1347" s="1">
        <v>42841</v>
      </c>
      <c r="D1347" s="1">
        <v>42843</v>
      </c>
      <c r="E1347" t="s">
        <v>185</v>
      </c>
      <c r="F1347" t="s">
        <v>4050</v>
      </c>
      <c r="G1347" t="s">
        <v>4051</v>
      </c>
      <c r="H1347" t="s">
        <v>40</v>
      </c>
      <c r="I1347" t="s">
        <v>26</v>
      </c>
      <c r="J1347" t="s">
        <v>5765</v>
      </c>
      <c r="K1347" t="s">
        <v>351</v>
      </c>
      <c r="L1347">
        <v>35244</v>
      </c>
      <c r="M1347" t="s">
        <v>29</v>
      </c>
      <c r="N1347" t="s">
        <v>5766</v>
      </c>
      <c r="O1347" t="s">
        <v>45</v>
      </c>
      <c r="P1347" t="s">
        <v>572</v>
      </c>
      <c r="Q1347" t="s">
        <v>5767</v>
      </c>
      <c r="R1347">
        <v>477.24</v>
      </c>
      <c r="S1347">
        <v>4</v>
      </c>
      <c r="T1347">
        <v>0</v>
      </c>
      <c r="U1347">
        <v>9.5448000000000004</v>
      </c>
      <c r="V1347" t="str">
        <f t="shared" ref="V1347:V1410" si="21">TRIM(G1347)</f>
        <v>Edward Becker</v>
      </c>
      <c r="W1347">
        <f>Table2[Profit]/Table2[Sales]</f>
        <v>0.02</v>
      </c>
    </row>
    <row r="1348" spans="1:23" x14ac:dyDescent="0.25">
      <c r="A1348">
        <v>1347</v>
      </c>
      <c r="B1348" t="s">
        <v>5770</v>
      </c>
      <c r="C1348" s="1">
        <v>42425</v>
      </c>
      <c r="D1348" s="1">
        <v>42427</v>
      </c>
      <c r="E1348" t="s">
        <v>22</v>
      </c>
      <c r="F1348" t="s">
        <v>1941</v>
      </c>
      <c r="G1348" t="s">
        <v>1942</v>
      </c>
      <c r="H1348" t="s">
        <v>25</v>
      </c>
      <c r="I1348" t="s">
        <v>26</v>
      </c>
      <c r="J1348" t="s">
        <v>600</v>
      </c>
      <c r="K1348" t="s">
        <v>491</v>
      </c>
      <c r="L1348">
        <v>43055</v>
      </c>
      <c r="M1348" t="s">
        <v>145</v>
      </c>
      <c r="N1348" t="s">
        <v>4045</v>
      </c>
      <c r="O1348" t="s">
        <v>45</v>
      </c>
      <c r="P1348" t="s">
        <v>170</v>
      </c>
      <c r="Q1348" t="s">
        <v>662</v>
      </c>
      <c r="R1348">
        <v>46.72</v>
      </c>
      <c r="S1348">
        <v>5</v>
      </c>
      <c r="T1348">
        <v>0.2</v>
      </c>
      <c r="U1348">
        <v>17.52</v>
      </c>
      <c r="V1348" t="str">
        <f t="shared" si="21"/>
        <v>Bruce Degenhardt</v>
      </c>
      <c r="W1348">
        <f>Table2[Profit]/Table2[Sales]</f>
        <v>0.375</v>
      </c>
    </row>
    <row r="1349" spans="1:23" x14ac:dyDescent="0.25">
      <c r="A1349">
        <v>1348</v>
      </c>
      <c r="B1349" t="s">
        <v>5771</v>
      </c>
      <c r="C1349" s="1">
        <v>41947</v>
      </c>
      <c r="D1349" s="1">
        <v>41951</v>
      </c>
      <c r="E1349" t="s">
        <v>49</v>
      </c>
      <c r="F1349" t="s">
        <v>5772</v>
      </c>
      <c r="G1349" t="s">
        <v>5773</v>
      </c>
      <c r="H1349" t="s">
        <v>25</v>
      </c>
      <c r="I1349" t="s">
        <v>26</v>
      </c>
      <c r="J1349" t="s">
        <v>941</v>
      </c>
      <c r="K1349" t="s">
        <v>42</v>
      </c>
      <c r="L1349">
        <v>92037</v>
      </c>
      <c r="M1349" t="s">
        <v>43</v>
      </c>
      <c r="N1349" t="s">
        <v>5580</v>
      </c>
      <c r="O1349" t="s">
        <v>31</v>
      </c>
      <c r="P1349" t="s">
        <v>64</v>
      </c>
      <c r="Q1349" t="s">
        <v>5581</v>
      </c>
      <c r="R1349">
        <v>35.340000000000003</v>
      </c>
      <c r="S1349">
        <v>2</v>
      </c>
      <c r="T1349">
        <v>0</v>
      </c>
      <c r="U1349">
        <v>13.4292</v>
      </c>
      <c r="V1349" t="str">
        <f t="shared" si="21"/>
        <v>MaryBeth Skach</v>
      </c>
      <c r="W1349">
        <f>Table2[Profit]/Table2[Sales]</f>
        <v>0.37999999999999995</v>
      </c>
    </row>
    <row r="1350" spans="1:23" x14ac:dyDescent="0.25">
      <c r="A1350">
        <v>1349</v>
      </c>
      <c r="B1350" t="s">
        <v>5774</v>
      </c>
      <c r="C1350" s="1">
        <v>42175</v>
      </c>
      <c r="D1350" s="1">
        <v>42180</v>
      </c>
      <c r="E1350" t="s">
        <v>22</v>
      </c>
      <c r="F1350" t="s">
        <v>348</v>
      </c>
      <c r="G1350" t="s">
        <v>349</v>
      </c>
      <c r="H1350" t="s">
        <v>40</v>
      </c>
      <c r="I1350" t="s">
        <v>26</v>
      </c>
      <c r="J1350" t="s">
        <v>126</v>
      </c>
      <c r="K1350" t="s">
        <v>42</v>
      </c>
      <c r="L1350">
        <v>94122</v>
      </c>
      <c r="M1350" t="s">
        <v>43</v>
      </c>
      <c r="N1350" t="s">
        <v>2275</v>
      </c>
      <c r="O1350" t="s">
        <v>31</v>
      </c>
      <c r="P1350" t="s">
        <v>64</v>
      </c>
      <c r="Q1350" t="s">
        <v>2276</v>
      </c>
      <c r="R1350">
        <v>257.64</v>
      </c>
      <c r="S1350">
        <v>6</v>
      </c>
      <c r="T1350">
        <v>0</v>
      </c>
      <c r="U1350">
        <v>100.4796</v>
      </c>
      <c r="V1350" t="str">
        <f t="shared" si="21"/>
        <v>Stewart Carmichael</v>
      </c>
      <c r="W1350">
        <f>Table2[Profit]/Table2[Sales]</f>
        <v>0.39</v>
      </c>
    </row>
    <row r="1351" spans="1:23" x14ac:dyDescent="0.25">
      <c r="A1351">
        <v>1350</v>
      </c>
      <c r="B1351" t="s">
        <v>5775</v>
      </c>
      <c r="C1351" s="1">
        <v>42954</v>
      </c>
      <c r="D1351" s="1">
        <v>42958</v>
      </c>
      <c r="E1351" t="s">
        <v>22</v>
      </c>
      <c r="F1351" t="s">
        <v>2050</v>
      </c>
      <c r="G1351" t="s">
        <v>2051</v>
      </c>
      <c r="H1351" t="s">
        <v>25</v>
      </c>
      <c r="I1351" t="s">
        <v>26</v>
      </c>
      <c r="J1351" t="s">
        <v>1507</v>
      </c>
      <c r="K1351" t="s">
        <v>87</v>
      </c>
      <c r="L1351">
        <v>28540</v>
      </c>
      <c r="M1351" t="s">
        <v>29</v>
      </c>
      <c r="N1351" t="s">
        <v>1572</v>
      </c>
      <c r="O1351" t="s">
        <v>70</v>
      </c>
      <c r="P1351" t="s">
        <v>158</v>
      </c>
      <c r="Q1351" t="s">
        <v>1573</v>
      </c>
      <c r="R1351">
        <v>79.992000000000004</v>
      </c>
      <c r="S1351">
        <v>1</v>
      </c>
      <c r="T1351">
        <v>0.2</v>
      </c>
      <c r="U1351">
        <v>21.997800000000002</v>
      </c>
      <c r="V1351" t="str">
        <f t="shared" si="21"/>
        <v>Fred McMath</v>
      </c>
      <c r="W1351">
        <f>Table2[Profit]/Table2[Sales]</f>
        <v>0.27500000000000002</v>
      </c>
    </row>
    <row r="1352" spans="1:23" x14ac:dyDescent="0.25">
      <c r="A1352">
        <v>1351</v>
      </c>
      <c r="B1352" t="s">
        <v>5776</v>
      </c>
      <c r="C1352" s="1">
        <v>41771</v>
      </c>
      <c r="D1352" s="1">
        <v>41776</v>
      </c>
      <c r="E1352" t="s">
        <v>49</v>
      </c>
      <c r="F1352" t="s">
        <v>3381</v>
      </c>
      <c r="G1352" t="s">
        <v>3382</v>
      </c>
      <c r="H1352" t="s">
        <v>25</v>
      </c>
      <c r="I1352" t="s">
        <v>26</v>
      </c>
      <c r="J1352" t="s">
        <v>606</v>
      </c>
      <c r="K1352" t="s">
        <v>1233</v>
      </c>
      <c r="L1352">
        <v>2038</v>
      </c>
      <c r="M1352" t="s">
        <v>145</v>
      </c>
      <c r="N1352" t="s">
        <v>2314</v>
      </c>
      <c r="O1352" t="s">
        <v>31</v>
      </c>
      <c r="P1352" t="s">
        <v>55</v>
      </c>
      <c r="Q1352" t="s">
        <v>2315</v>
      </c>
      <c r="R1352">
        <v>700.05600000000004</v>
      </c>
      <c r="S1352">
        <v>3</v>
      </c>
      <c r="T1352">
        <v>0.3</v>
      </c>
      <c r="U1352">
        <v>-130.0104</v>
      </c>
      <c r="V1352" t="str">
        <f t="shared" si="21"/>
        <v>Kean Thornton</v>
      </c>
      <c r="W1352">
        <f>Table2[Profit]/Table2[Sales]</f>
        <v>-0.18571428571428572</v>
      </c>
    </row>
    <row r="1353" spans="1:23" x14ac:dyDescent="0.25">
      <c r="A1353">
        <v>1352</v>
      </c>
      <c r="B1353" t="s">
        <v>5777</v>
      </c>
      <c r="C1353" s="1">
        <v>42330</v>
      </c>
      <c r="D1353" s="1">
        <v>42334</v>
      </c>
      <c r="E1353" t="s">
        <v>49</v>
      </c>
      <c r="F1353" t="s">
        <v>3276</v>
      </c>
      <c r="G1353" t="s">
        <v>3277</v>
      </c>
      <c r="H1353" t="s">
        <v>101</v>
      </c>
      <c r="I1353" t="s">
        <v>26</v>
      </c>
      <c r="J1353" t="s">
        <v>5778</v>
      </c>
      <c r="K1353" t="s">
        <v>103</v>
      </c>
      <c r="L1353">
        <v>75034</v>
      </c>
      <c r="M1353" t="s">
        <v>104</v>
      </c>
      <c r="N1353" t="s">
        <v>5779</v>
      </c>
      <c r="O1353" t="s">
        <v>70</v>
      </c>
      <c r="P1353" t="s">
        <v>158</v>
      </c>
      <c r="Q1353" t="s">
        <v>5780</v>
      </c>
      <c r="R1353">
        <v>27.167999999999999</v>
      </c>
      <c r="S1353">
        <v>4</v>
      </c>
      <c r="T1353">
        <v>0.2</v>
      </c>
      <c r="U1353">
        <v>-1.3584000000000001</v>
      </c>
      <c r="V1353" t="str">
        <f t="shared" si="21"/>
        <v>Anne Pryor</v>
      </c>
      <c r="W1353">
        <f>Table2[Profit]/Table2[Sales]</f>
        <v>-0.05</v>
      </c>
    </row>
    <row r="1354" spans="1:23" x14ac:dyDescent="0.25">
      <c r="A1354">
        <v>1353</v>
      </c>
      <c r="B1354" t="s">
        <v>5781</v>
      </c>
      <c r="C1354" s="1">
        <v>42342</v>
      </c>
      <c r="D1354" s="1">
        <v>42346</v>
      </c>
      <c r="E1354" t="s">
        <v>49</v>
      </c>
      <c r="F1354" t="s">
        <v>5782</v>
      </c>
      <c r="G1354" t="s">
        <v>5783</v>
      </c>
      <c r="H1354" t="s">
        <v>25</v>
      </c>
      <c r="I1354" t="s">
        <v>26</v>
      </c>
      <c r="J1354" t="s">
        <v>5531</v>
      </c>
      <c r="K1354" t="s">
        <v>53</v>
      </c>
      <c r="L1354">
        <v>32303</v>
      </c>
      <c r="M1354" t="s">
        <v>29</v>
      </c>
      <c r="N1354" t="s">
        <v>5275</v>
      </c>
      <c r="O1354" t="s">
        <v>45</v>
      </c>
      <c r="P1354" t="s">
        <v>74</v>
      </c>
      <c r="Q1354" t="s">
        <v>5276</v>
      </c>
      <c r="R1354">
        <v>8.2260000000000009</v>
      </c>
      <c r="S1354">
        <v>3</v>
      </c>
      <c r="T1354">
        <v>0.7</v>
      </c>
      <c r="U1354">
        <v>-6.0324</v>
      </c>
      <c r="V1354" t="str">
        <f t="shared" si="21"/>
        <v>Ritsa Hightower</v>
      </c>
      <c r="W1354">
        <f>Table2[Profit]/Table2[Sales]</f>
        <v>-0.73333333333333328</v>
      </c>
    </row>
    <row r="1355" spans="1:23" x14ac:dyDescent="0.25">
      <c r="A1355">
        <v>1354</v>
      </c>
      <c r="B1355" t="s">
        <v>5784</v>
      </c>
      <c r="C1355" s="1">
        <v>41798</v>
      </c>
      <c r="D1355" s="1">
        <v>41804</v>
      </c>
      <c r="E1355" t="s">
        <v>49</v>
      </c>
      <c r="F1355" t="s">
        <v>1924</v>
      </c>
      <c r="G1355" t="s">
        <v>1925</v>
      </c>
      <c r="H1355" t="s">
        <v>25</v>
      </c>
      <c r="I1355" t="s">
        <v>26</v>
      </c>
      <c r="J1355" t="s">
        <v>94</v>
      </c>
      <c r="K1355" t="s">
        <v>95</v>
      </c>
      <c r="L1355">
        <v>98115</v>
      </c>
      <c r="M1355" t="s">
        <v>43</v>
      </c>
      <c r="N1355" t="s">
        <v>5785</v>
      </c>
      <c r="O1355" t="s">
        <v>31</v>
      </c>
      <c r="P1355" t="s">
        <v>35</v>
      </c>
      <c r="Q1355" t="s">
        <v>5786</v>
      </c>
      <c r="R1355">
        <v>585.55200000000002</v>
      </c>
      <c r="S1355">
        <v>3</v>
      </c>
      <c r="T1355">
        <v>0.2</v>
      </c>
      <c r="U1355">
        <v>73.194000000000003</v>
      </c>
      <c r="V1355" t="str">
        <f t="shared" si="21"/>
        <v>Carlos Soltero</v>
      </c>
      <c r="W1355">
        <f>Table2[Profit]/Table2[Sales]</f>
        <v>0.125</v>
      </c>
    </row>
    <row r="1356" spans="1:23" x14ac:dyDescent="0.25">
      <c r="A1356">
        <v>1355</v>
      </c>
      <c r="B1356" t="s">
        <v>5787</v>
      </c>
      <c r="C1356" s="1">
        <v>41859</v>
      </c>
      <c r="D1356" s="1">
        <v>41862</v>
      </c>
      <c r="E1356" t="s">
        <v>22</v>
      </c>
      <c r="F1356" t="s">
        <v>5338</v>
      </c>
      <c r="G1356" t="s">
        <v>5339</v>
      </c>
      <c r="H1356" t="s">
        <v>25</v>
      </c>
      <c r="I1356" t="s">
        <v>26</v>
      </c>
      <c r="J1356" t="s">
        <v>5788</v>
      </c>
      <c r="K1356" t="s">
        <v>42</v>
      </c>
      <c r="L1356">
        <v>95687</v>
      </c>
      <c r="M1356" t="s">
        <v>43</v>
      </c>
      <c r="N1356" t="s">
        <v>5789</v>
      </c>
      <c r="O1356" t="s">
        <v>45</v>
      </c>
      <c r="P1356" t="s">
        <v>58</v>
      </c>
      <c r="Q1356" t="s">
        <v>5790</v>
      </c>
      <c r="R1356">
        <v>423.28</v>
      </c>
      <c r="S1356">
        <v>11</v>
      </c>
      <c r="T1356">
        <v>0</v>
      </c>
      <c r="U1356">
        <v>110.0528</v>
      </c>
      <c r="V1356" t="str">
        <f t="shared" si="21"/>
        <v>Tamara Manning</v>
      </c>
      <c r="W1356">
        <f>Table2[Profit]/Table2[Sales]</f>
        <v>0.26</v>
      </c>
    </row>
    <row r="1357" spans="1:23" x14ac:dyDescent="0.25">
      <c r="A1357">
        <v>1356</v>
      </c>
      <c r="B1357" t="s">
        <v>5791</v>
      </c>
      <c r="C1357" s="1">
        <v>41785</v>
      </c>
      <c r="D1357" s="1">
        <v>41789</v>
      </c>
      <c r="E1357" t="s">
        <v>49</v>
      </c>
      <c r="F1357" t="s">
        <v>4286</v>
      </c>
      <c r="G1357" t="s">
        <v>4287</v>
      </c>
      <c r="H1357" t="s">
        <v>25</v>
      </c>
      <c r="I1357" t="s">
        <v>26</v>
      </c>
      <c r="J1357" t="s">
        <v>41</v>
      </c>
      <c r="K1357" t="s">
        <v>42</v>
      </c>
      <c r="L1357">
        <v>90008</v>
      </c>
      <c r="M1357" t="s">
        <v>43</v>
      </c>
      <c r="N1357" t="s">
        <v>4525</v>
      </c>
      <c r="O1357" t="s">
        <v>31</v>
      </c>
      <c r="P1357" t="s">
        <v>35</v>
      </c>
      <c r="Q1357" t="s">
        <v>4526</v>
      </c>
      <c r="R1357">
        <v>225.29599999999999</v>
      </c>
      <c r="S1357">
        <v>2</v>
      </c>
      <c r="T1357">
        <v>0.2</v>
      </c>
      <c r="U1357">
        <v>22.529599999999999</v>
      </c>
      <c r="V1357" t="str">
        <f t="shared" si="21"/>
        <v>Herbert Flentye</v>
      </c>
      <c r="W1357">
        <f>Table2[Profit]/Table2[Sales]</f>
        <v>9.9999999999999992E-2</v>
      </c>
    </row>
    <row r="1358" spans="1:23" x14ac:dyDescent="0.25">
      <c r="A1358">
        <v>1357</v>
      </c>
      <c r="B1358" t="s">
        <v>5792</v>
      </c>
      <c r="C1358" s="1">
        <v>42111</v>
      </c>
      <c r="D1358" s="1">
        <v>42115</v>
      </c>
      <c r="E1358" t="s">
        <v>49</v>
      </c>
      <c r="F1358" t="s">
        <v>5793</v>
      </c>
      <c r="G1358" t="s">
        <v>5794</v>
      </c>
      <c r="H1358" t="s">
        <v>25</v>
      </c>
      <c r="I1358" t="s">
        <v>26</v>
      </c>
      <c r="J1358" t="s">
        <v>126</v>
      </c>
      <c r="K1358" t="s">
        <v>42</v>
      </c>
      <c r="L1358">
        <v>94122</v>
      </c>
      <c r="M1358" t="s">
        <v>43</v>
      </c>
      <c r="N1358" t="s">
        <v>4137</v>
      </c>
      <c r="O1358" t="s">
        <v>45</v>
      </c>
      <c r="P1358" t="s">
        <v>67</v>
      </c>
      <c r="Q1358" t="s">
        <v>4138</v>
      </c>
      <c r="R1358">
        <v>5.56</v>
      </c>
      <c r="S1358">
        <v>2</v>
      </c>
      <c r="T1358">
        <v>0</v>
      </c>
      <c r="U1358">
        <v>2.2240000000000002</v>
      </c>
      <c r="V1358" t="str">
        <f t="shared" si="21"/>
        <v>George Ashbrook</v>
      </c>
      <c r="W1358">
        <f>Table2[Profit]/Table2[Sales]</f>
        <v>0.40000000000000008</v>
      </c>
    </row>
    <row r="1359" spans="1:23" x14ac:dyDescent="0.25">
      <c r="A1359">
        <v>1358</v>
      </c>
      <c r="B1359" t="s">
        <v>5795</v>
      </c>
      <c r="C1359" s="1">
        <v>42532</v>
      </c>
      <c r="D1359" s="1">
        <v>42534</v>
      </c>
      <c r="E1359" t="s">
        <v>22</v>
      </c>
      <c r="F1359" t="s">
        <v>2459</v>
      </c>
      <c r="G1359" t="s">
        <v>2460</v>
      </c>
      <c r="H1359" t="s">
        <v>25</v>
      </c>
      <c r="I1359" t="s">
        <v>26</v>
      </c>
      <c r="J1359" t="s">
        <v>263</v>
      </c>
      <c r="K1359" t="s">
        <v>264</v>
      </c>
      <c r="L1359">
        <v>10035</v>
      </c>
      <c r="M1359" t="s">
        <v>145</v>
      </c>
      <c r="N1359" t="s">
        <v>2533</v>
      </c>
      <c r="O1359" t="s">
        <v>70</v>
      </c>
      <c r="P1359" t="s">
        <v>158</v>
      </c>
      <c r="Q1359" t="s">
        <v>2534</v>
      </c>
      <c r="R1359">
        <v>239.97</v>
      </c>
      <c r="S1359">
        <v>3</v>
      </c>
      <c r="T1359">
        <v>0</v>
      </c>
      <c r="U1359">
        <v>71.991</v>
      </c>
      <c r="V1359" t="str">
        <f t="shared" si="21"/>
        <v>Erica Smith</v>
      </c>
      <c r="W1359">
        <f>Table2[Profit]/Table2[Sales]</f>
        <v>0.3</v>
      </c>
    </row>
    <row r="1360" spans="1:23" x14ac:dyDescent="0.25">
      <c r="A1360">
        <v>1359</v>
      </c>
      <c r="B1360" t="s">
        <v>5796</v>
      </c>
      <c r="C1360" s="1">
        <v>42440</v>
      </c>
      <c r="D1360" s="1">
        <v>42444</v>
      </c>
      <c r="E1360" t="s">
        <v>49</v>
      </c>
      <c r="F1360" t="s">
        <v>5797</v>
      </c>
      <c r="G1360" t="s">
        <v>5798</v>
      </c>
      <c r="H1360" t="s">
        <v>101</v>
      </c>
      <c r="I1360" t="s">
        <v>26</v>
      </c>
      <c r="J1360" t="s">
        <v>490</v>
      </c>
      <c r="K1360" t="s">
        <v>1260</v>
      </c>
      <c r="L1360">
        <v>31907</v>
      </c>
      <c r="M1360" t="s">
        <v>29</v>
      </c>
      <c r="N1360" t="s">
        <v>3872</v>
      </c>
      <c r="O1360" t="s">
        <v>31</v>
      </c>
      <c r="P1360" t="s">
        <v>64</v>
      </c>
      <c r="Q1360" t="s">
        <v>5648</v>
      </c>
      <c r="R1360">
        <v>76.92</v>
      </c>
      <c r="S1360">
        <v>4</v>
      </c>
      <c r="T1360">
        <v>0</v>
      </c>
      <c r="U1360">
        <v>31.537199999999999</v>
      </c>
      <c r="V1360" t="str">
        <f t="shared" si="21"/>
        <v>Julie Prescott</v>
      </c>
      <c r="W1360">
        <f>Table2[Profit]/Table2[Sales]</f>
        <v>0.41</v>
      </c>
    </row>
    <row r="1361" spans="1:23" x14ac:dyDescent="0.25">
      <c r="A1361">
        <v>1360</v>
      </c>
      <c r="B1361" t="s">
        <v>5799</v>
      </c>
      <c r="C1361" s="1">
        <v>41785</v>
      </c>
      <c r="D1361" s="1">
        <v>41788</v>
      </c>
      <c r="E1361" t="s">
        <v>185</v>
      </c>
      <c r="F1361" t="s">
        <v>5800</v>
      </c>
      <c r="G1361" t="s">
        <v>5801</v>
      </c>
      <c r="H1361" t="s">
        <v>101</v>
      </c>
      <c r="I1361" t="s">
        <v>26</v>
      </c>
      <c r="J1361" t="s">
        <v>3578</v>
      </c>
      <c r="K1361" t="s">
        <v>120</v>
      </c>
      <c r="L1361">
        <v>84107</v>
      </c>
      <c r="M1361" t="s">
        <v>43</v>
      </c>
      <c r="N1361" t="s">
        <v>1424</v>
      </c>
      <c r="O1361" t="s">
        <v>45</v>
      </c>
      <c r="P1361" t="s">
        <v>89</v>
      </c>
      <c r="Q1361" t="s">
        <v>1425</v>
      </c>
      <c r="R1361">
        <v>48.4</v>
      </c>
      <c r="S1361">
        <v>5</v>
      </c>
      <c r="T1361">
        <v>0</v>
      </c>
      <c r="U1361">
        <v>23.231999999999999</v>
      </c>
      <c r="V1361" t="str">
        <f t="shared" si="21"/>
        <v>Dean percer</v>
      </c>
      <c r="W1361">
        <f>Table2[Profit]/Table2[Sales]</f>
        <v>0.48</v>
      </c>
    </row>
    <row r="1362" spans="1:23" x14ac:dyDescent="0.25">
      <c r="A1362">
        <v>1361</v>
      </c>
      <c r="B1362" t="s">
        <v>5802</v>
      </c>
      <c r="C1362" s="1">
        <v>43020</v>
      </c>
      <c r="D1362" s="1">
        <v>43022</v>
      </c>
      <c r="E1362" t="s">
        <v>185</v>
      </c>
      <c r="F1362" t="s">
        <v>630</v>
      </c>
      <c r="G1362" t="s">
        <v>631</v>
      </c>
      <c r="H1362" t="s">
        <v>101</v>
      </c>
      <c r="I1362" t="s">
        <v>26</v>
      </c>
      <c r="J1362" t="s">
        <v>126</v>
      </c>
      <c r="K1362" t="s">
        <v>42</v>
      </c>
      <c r="L1362">
        <v>94110</v>
      </c>
      <c r="M1362" t="s">
        <v>43</v>
      </c>
      <c r="N1362" t="s">
        <v>5803</v>
      </c>
      <c r="O1362" t="s">
        <v>70</v>
      </c>
      <c r="P1362" t="s">
        <v>158</v>
      </c>
      <c r="Q1362" t="s">
        <v>5804</v>
      </c>
      <c r="R1362">
        <v>0.99</v>
      </c>
      <c r="S1362">
        <v>1</v>
      </c>
      <c r="T1362">
        <v>0</v>
      </c>
      <c r="U1362">
        <v>0.43559999999999999</v>
      </c>
      <c r="V1362" t="str">
        <f t="shared" si="21"/>
        <v>Neil Knudson</v>
      </c>
      <c r="W1362">
        <f>Table2[Profit]/Table2[Sales]</f>
        <v>0.44</v>
      </c>
    </row>
    <row r="1363" spans="1:23" x14ac:dyDescent="0.25">
      <c r="A1363">
        <v>1362</v>
      </c>
      <c r="B1363" t="s">
        <v>5805</v>
      </c>
      <c r="C1363" s="1">
        <v>42908</v>
      </c>
      <c r="D1363" s="1">
        <v>42914</v>
      </c>
      <c r="E1363" t="s">
        <v>49</v>
      </c>
      <c r="F1363" t="s">
        <v>3967</v>
      </c>
      <c r="G1363" t="s">
        <v>3968</v>
      </c>
      <c r="H1363" t="s">
        <v>101</v>
      </c>
      <c r="I1363" t="s">
        <v>26</v>
      </c>
      <c r="J1363" t="s">
        <v>143</v>
      </c>
      <c r="K1363" t="s">
        <v>144</v>
      </c>
      <c r="L1363">
        <v>19140</v>
      </c>
      <c r="M1363" t="s">
        <v>145</v>
      </c>
      <c r="N1363" t="s">
        <v>5806</v>
      </c>
      <c r="O1363" t="s">
        <v>45</v>
      </c>
      <c r="P1363" t="s">
        <v>74</v>
      </c>
      <c r="Q1363" t="s">
        <v>5807</v>
      </c>
      <c r="R1363">
        <v>10.332000000000001</v>
      </c>
      <c r="S1363">
        <v>3</v>
      </c>
      <c r="T1363">
        <v>0.7</v>
      </c>
      <c r="U1363">
        <v>-7.5768000000000004</v>
      </c>
      <c r="V1363" t="str">
        <f t="shared" si="21"/>
        <v>Paul Lucas</v>
      </c>
      <c r="W1363">
        <f>Table2[Profit]/Table2[Sales]</f>
        <v>-0.73333333333333328</v>
      </c>
    </row>
    <row r="1364" spans="1:23" x14ac:dyDescent="0.25">
      <c r="A1364">
        <v>1363</v>
      </c>
      <c r="B1364" t="s">
        <v>5810</v>
      </c>
      <c r="C1364" s="1">
        <v>42750</v>
      </c>
      <c r="D1364" s="1">
        <v>42753</v>
      </c>
      <c r="E1364" t="s">
        <v>185</v>
      </c>
      <c r="F1364" t="s">
        <v>2898</v>
      </c>
      <c r="G1364" t="s">
        <v>2899</v>
      </c>
      <c r="H1364" t="s">
        <v>25</v>
      </c>
      <c r="I1364" t="s">
        <v>26</v>
      </c>
      <c r="J1364" t="s">
        <v>143</v>
      </c>
      <c r="K1364" t="s">
        <v>144</v>
      </c>
      <c r="L1364">
        <v>19134</v>
      </c>
      <c r="M1364" t="s">
        <v>145</v>
      </c>
      <c r="N1364" t="s">
        <v>5811</v>
      </c>
      <c r="O1364" t="s">
        <v>45</v>
      </c>
      <c r="P1364" t="s">
        <v>77</v>
      </c>
      <c r="Q1364" t="s">
        <v>5812</v>
      </c>
      <c r="R1364">
        <v>34.384</v>
      </c>
      <c r="S1364">
        <v>1</v>
      </c>
      <c r="T1364">
        <v>0.2</v>
      </c>
      <c r="U1364">
        <v>3.8681999999999999</v>
      </c>
      <c r="V1364" t="str">
        <f t="shared" si="21"/>
        <v>Robert Waldorf</v>
      </c>
      <c r="W1364">
        <f>Table2[Profit]/Table2[Sales]</f>
        <v>0.11249999999999999</v>
      </c>
    </row>
    <row r="1365" spans="1:23" x14ac:dyDescent="0.25">
      <c r="A1365">
        <v>1364</v>
      </c>
      <c r="B1365" t="s">
        <v>5813</v>
      </c>
      <c r="C1365" s="1">
        <v>42096</v>
      </c>
      <c r="D1365" s="1">
        <v>42101</v>
      </c>
      <c r="E1365" t="s">
        <v>49</v>
      </c>
      <c r="F1365" t="s">
        <v>5814</v>
      </c>
      <c r="G1365" t="s">
        <v>5815</v>
      </c>
      <c r="H1365" t="s">
        <v>25</v>
      </c>
      <c r="I1365" t="s">
        <v>26</v>
      </c>
      <c r="J1365" t="s">
        <v>808</v>
      </c>
      <c r="K1365" t="s">
        <v>103</v>
      </c>
      <c r="L1365">
        <v>75220</v>
      </c>
      <c r="M1365" t="s">
        <v>104</v>
      </c>
      <c r="N1365" t="s">
        <v>5816</v>
      </c>
      <c r="O1365" t="s">
        <v>45</v>
      </c>
      <c r="P1365" t="s">
        <v>77</v>
      </c>
      <c r="Q1365" t="s">
        <v>5817</v>
      </c>
      <c r="R1365">
        <v>32.192</v>
      </c>
      <c r="S1365">
        <v>2</v>
      </c>
      <c r="T1365">
        <v>0.8</v>
      </c>
      <c r="U1365">
        <v>-80.48</v>
      </c>
      <c r="V1365" t="str">
        <f t="shared" si="21"/>
        <v>Michael Oakman</v>
      </c>
      <c r="W1365">
        <f>Table2[Profit]/Table2[Sales]</f>
        <v>-2.5</v>
      </c>
    </row>
    <row r="1366" spans="1:23" x14ac:dyDescent="0.25">
      <c r="A1366">
        <v>1365</v>
      </c>
      <c r="B1366" t="s">
        <v>5818</v>
      </c>
      <c r="C1366" s="1">
        <v>42616</v>
      </c>
      <c r="D1366" s="1">
        <v>42623</v>
      </c>
      <c r="E1366" t="s">
        <v>49</v>
      </c>
      <c r="F1366" t="s">
        <v>3023</v>
      </c>
      <c r="G1366" t="s">
        <v>3024</v>
      </c>
      <c r="H1366" t="s">
        <v>25</v>
      </c>
      <c r="I1366" t="s">
        <v>26</v>
      </c>
      <c r="J1366" t="s">
        <v>5819</v>
      </c>
      <c r="K1366" t="s">
        <v>113</v>
      </c>
      <c r="L1366">
        <v>53186</v>
      </c>
      <c r="M1366" t="s">
        <v>104</v>
      </c>
      <c r="N1366" t="s">
        <v>1468</v>
      </c>
      <c r="O1366" t="s">
        <v>45</v>
      </c>
      <c r="P1366" t="s">
        <v>58</v>
      </c>
      <c r="Q1366" t="s">
        <v>1469</v>
      </c>
      <c r="R1366">
        <v>54.5</v>
      </c>
      <c r="S1366">
        <v>5</v>
      </c>
      <c r="T1366">
        <v>0</v>
      </c>
      <c r="U1366">
        <v>14.17</v>
      </c>
      <c r="V1366" t="str">
        <f t="shared" si="21"/>
        <v>Jennifer Jackson</v>
      </c>
      <c r="W1366">
        <f>Table2[Profit]/Table2[Sales]</f>
        <v>0.26</v>
      </c>
    </row>
    <row r="1367" spans="1:23" x14ac:dyDescent="0.25">
      <c r="A1367">
        <v>1366</v>
      </c>
      <c r="B1367" t="s">
        <v>5820</v>
      </c>
      <c r="C1367" s="1">
        <v>43079</v>
      </c>
      <c r="D1367" s="1">
        <v>43081</v>
      </c>
      <c r="E1367" t="s">
        <v>185</v>
      </c>
      <c r="F1367" t="s">
        <v>4464</v>
      </c>
      <c r="G1367" t="s">
        <v>4465</v>
      </c>
      <c r="H1367" t="s">
        <v>25</v>
      </c>
      <c r="I1367" t="s">
        <v>26</v>
      </c>
      <c r="J1367" t="s">
        <v>52</v>
      </c>
      <c r="K1367" t="s">
        <v>53</v>
      </c>
      <c r="L1367">
        <v>33311</v>
      </c>
      <c r="M1367" t="s">
        <v>29</v>
      </c>
      <c r="N1367" t="s">
        <v>2849</v>
      </c>
      <c r="O1367" t="s">
        <v>31</v>
      </c>
      <c r="P1367" t="s">
        <v>64</v>
      </c>
      <c r="Q1367" t="s">
        <v>916</v>
      </c>
      <c r="R1367">
        <v>19.103999999999999</v>
      </c>
      <c r="S1367">
        <v>3</v>
      </c>
      <c r="T1367">
        <v>0.2</v>
      </c>
      <c r="U1367">
        <v>5.7312000000000003</v>
      </c>
      <c r="V1367" t="str">
        <f t="shared" si="21"/>
        <v>Brian Thompson</v>
      </c>
      <c r="W1367">
        <f>Table2[Profit]/Table2[Sales]</f>
        <v>0.30000000000000004</v>
      </c>
    </row>
    <row r="1368" spans="1:23" x14ac:dyDescent="0.25">
      <c r="A1368">
        <v>1367</v>
      </c>
      <c r="B1368" t="s">
        <v>5821</v>
      </c>
      <c r="C1368" s="1">
        <v>42696</v>
      </c>
      <c r="D1368" s="1">
        <v>42700</v>
      </c>
      <c r="E1368" t="s">
        <v>49</v>
      </c>
      <c r="F1368" t="s">
        <v>2935</v>
      </c>
      <c r="G1368" t="s">
        <v>2936</v>
      </c>
      <c r="H1368" t="s">
        <v>25</v>
      </c>
      <c r="I1368" t="s">
        <v>26</v>
      </c>
      <c r="J1368" t="s">
        <v>873</v>
      </c>
      <c r="K1368" t="s">
        <v>235</v>
      </c>
      <c r="L1368">
        <v>48205</v>
      </c>
      <c r="M1368" t="s">
        <v>104</v>
      </c>
      <c r="N1368" t="s">
        <v>407</v>
      </c>
      <c r="O1368" t="s">
        <v>45</v>
      </c>
      <c r="P1368" t="s">
        <v>74</v>
      </c>
      <c r="Q1368" t="s">
        <v>408</v>
      </c>
      <c r="R1368">
        <v>49.44</v>
      </c>
      <c r="S1368">
        <v>3</v>
      </c>
      <c r="T1368">
        <v>0</v>
      </c>
      <c r="U1368">
        <v>24.2256</v>
      </c>
      <c r="V1368" t="str">
        <f t="shared" si="21"/>
        <v>Rob Dowd</v>
      </c>
      <c r="W1368">
        <f>Table2[Profit]/Table2[Sales]</f>
        <v>0.49000000000000005</v>
      </c>
    </row>
    <row r="1369" spans="1:23" x14ac:dyDescent="0.25">
      <c r="A1369">
        <v>1368</v>
      </c>
      <c r="B1369" t="s">
        <v>5822</v>
      </c>
      <c r="C1369" s="1">
        <v>43050</v>
      </c>
      <c r="D1369" s="1">
        <v>43057</v>
      </c>
      <c r="E1369" t="s">
        <v>49</v>
      </c>
      <c r="F1369" t="s">
        <v>4387</v>
      </c>
      <c r="G1369" t="s">
        <v>4388</v>
      </c>
      <c r="H1369" t="s">
        <v>101</v>
      </c>
      <c r="I1369" t="s">
        <v>26</v>
      </c>
      <c r="J1369" t="s">
        <v>311</v>
      </c>
      <c r="K1369" t="s">
        <v>491</v>
      </c>
      <c r="L1369">
        <v>45503</v>
      </c>
      <c r="M1369" t="s">
        <v>145</v>
      </c>
      <c r="N1369" t="s">
        <v>1903</v>
      </c>
      <c r="O1369" t="s">
        <v>45</v>
      </c>
      <c r="P1369" t="s">
        <v>89</v>
      </c>
      <c r="Q1369" t="s">
        <v>1904</v>
      </c>
      <c r="R1369">
        <v>10.368</v>
      </c>
      <c r="S1369">
        <v>2</v>
      </c>
      <c r="T1369">
        <v>0.2</v>
      </c>
      <c r="U1369">
        <v>3.6288</v>
      </c>
      <c r="V1369" t="str">
        <f t="shared" si="21"/>
        <v>Max Ludwig</v>
      </c>
      <c r="W1369">
        <f>Table2[Profit]/Table2[Sales]</f>
        <v>0.35</v>
      </c>
    </row>
    <row r="1370" spans="1:23" x14ac:dyDescent="0.25">
      <c r="A1370">
        <v>1369</v>
      </c>
      <c r="B1370" t="s">
        <v>5823</v>
      </c>
      <c r="C1370" s="1">
        <v>42664</v>
      </c>
      <c r="D1370" s="1">
        <v>42668</v>
      </c>
      <c r="E1370" t="s">
        <v>49</v>
      </c>
      <c r="F1370" t="s">
        <v>325</v>
      </c>
      <c r="G1370" t="s">
        <v>326</v>
      </c>
      <c r="H1370" t="s">
        <v>25</v>
      </c>
      <c r="I1370" t="s">
        <v>26</v>
      </c>
      <c r="J1370" t="s">
        <v>941</v>
      </c>
      <c r="K1370" t="s">
        <v>42</v>
      </c>
      <c r="L1370">
        <v>92037</v>
      </c>
      <c r="M1370" t="s">
        <v>43</v>
      </c>
      <c r="N1370" t="s">
        <v>954</v>
      </c>
      <c r="O1370" t="s">
        <v>45</v>
      </c>
      <c r="P1370" t="s">
        <v>58</v>
      </c>
      <c r="Q1370" t="s">
        <v>955</v>
      </c>
      <c r="R1370">
        <v>154.44</v>
      </c>
      <c r="S1370">
        <v>3</v>
      </c>
      <c r="T1370">
        <v>0</v>
      </c>
      <c r="U1370">
        <v>1.5444</v>
      </c>
      <c r="V1370" t="str">
        <f t="shared" si="21"/>
        <v>Joel Eaton</v>
      </c>
      <c r="W1370">
        <f>Table2[Profit]/Table2[Sales]</f>
        <v>0.01</v>
      </c>
    </row>
    <row r="1371" spans="1:23" x14ac:dyDescent="0.25">
      <c r="A1371">
        <v>1370</v>
      </c>
      <c r="B1371" t="s">
        <v>5824</v>
      </c>
      <c r="C1371" s="1">
        <v>42359</v>
      </c>
      <c r="D1371" s="1">
        <v>42363</v>
      </c>
      <c r="E1371" t="s">
        <v>49</v>
      </c>
      <c r="F1371" t="s">
        <v>427</v>
      </c>
      <c r="G1371" t="s">
        <v>428</v>
      </c>
      <c r="H1371" t="s">
        <v>40</v>
      </c>
      <c r="I1371" t="s">
        <v>26</v>
      </c>
      <c r="J1371" t="s">
        <v>1073</v>
      </c>
      <c r="K1371" t="s">
        <v>450</v>
      </c>
      <c r="L1371">
        <v>80906</v>
      </c>
      <c r="M1371" t="s">
        <v>43</v>
      </c>
      <c r="N1371" t="s">
        <v>3548</v>
      </c>
      <c r="O1371" t="s">
        <v>45</v>
      </c>
      <c r="P1371" t="s">
        <v>77</v>
      </c>
      <c r="Q1371" t="s">
        <v>3549</v>
      </c>
      <c r="R1371">
        <v>60.984000000000002</v>
      </c>
      <c r="S1371">
        <v>7</v>
      </c>
      <c r="T1371">
        <v>0.2</v>
      </c>
      <c r="U1371">
        <v>4.5738000000000003</v>
      </c>
      <c r="V1371" t="str">
        <f t="shared" si="21"/>
        <v>Elpida Rittenbach</v>
      </c>
      <c r="W1371">
        <f>Table2[Profit]/Table2[Sales]</f>
        <v>7.4999999999999997E-2</v>
      </c>
    </row>
    <row r="1372" spans="1:23" x14ac:dyDescent="0.25">
      <c r="A1372">
        <v>1371</v>
      </c>
      <c r="B1372" t="s">
        <v>5825</v>
      </c>
      <c r="C1372" s="1">
        <v>42202</v>
      </c>
      <c r="D1372" s="1">
        <v>42204</v>
      </c>
      <c r="E1372" t="s">
        <v>22</v>
      </c>
      <c r="F1372" t="s">
        <v>2787</v>
      </c>
      <c r="G1372" t="s">
        <v>2788</v>
      </c>
      <c r="H1372" t="s">
        <v>25</v>
      </c>
      <c r="I1372" t="s">
        <v>26</v>
      </c>
      <c r="J1372" t="s">
        <v>5826</v>
      </c>
      <c r="K1372" t="s">
        <v>42</v>
      </c>
      <c r="L1372">
        <v>93309</v>
      </c>
      <c r="M1372" t="s">
        <v>43</v>
      </c>
      <c r="N1372" t="s">
        <v>4384</v>
      </c>
      <c r="O1372" t="s">
        <v>31</v>
      </c>
      <c r="P1372" t="s">
        <v>32</v>
      </c>
      <c r="Q1372" t="s">
        <v>4385</v>
      </c>
      <c r="R1372">
        <v>195.46600000000001</v>
      </c>
      <c r="S1372">
        <v>2</v>
      </c>
      <c r="T1372">
        <v>0.15</v>
      </c>
      <c r="U1372">
        <v>-13.797599999999999</v>
      </c>
      <c r="V1372" t="str">
        <f t="shared" si="21"/>
        <v>Jessica Myrick</v>
      </c>
      <c r="W1372">
        <f>Table2[Profit]/Table2[Sales]</f>
        <v>-7.0588235294117646E-2</v>
      </c>
    </row>
    <row r="1373" spans="1:23" x14ac:dyDescent="0.25">
      <c r="A1373">
        <v>1372</v>
      </c>
      <c r="B1373" t="s">
        <v>5827</v>
      </c>
      <c r="C1373" s="1">
        <v>42855</v>
      </c>
      <c r="D1373" s="1">
        <v>42860</v>
      </c>
      <c r="E1373" t="s">
        <v>49</v>
      </c>
      <c r="F1373" t="s">
        <v>1385</v>
      </c>
      <c r="G1373" t="s">
        <v>1386</v>
      </c>
      <c r="H1373" t="s">
        <v>40</v>
      </c>
      <c r="I1373" t="s">
        <v>26</v>
      </c>
      <c r="J1373" t="s">
        <v>5828</v>
      </c>
      <c r="K1373" t="s">
        <v>53</v>
      </c>
      <c r="L1373">
        <v>33068</v>
      </c>
      <c r="M1373" t="s">
        <v>29</v>
      </c>
      <c r="N1373" t="s">
        <v>1351</v>
      </c>
      <c r="O1373" t="s">
        <v>31</v>
      </c>
      <c r="P1373" t="s">
        <v>64</v>
      </c>
      <c r="Q1373" t="s">
        <v>1352</v>
      </c>
      <c r="R1373">
        <v>23.68</v>
      </c>
      <c r="S1373">
        <v>8</v>
      </c>
      <c r="T1373">
        <v>0.2</v>
      </c>
      <c r="U1373">
        <v>6.2160000000000002</v>
      </c>
      <c r="V1373" t="str">
        <f t="shared" si="21"/>
        <v>Saphhira Shifley</v>
      </c>
      <c r="W1373">
        <f>Table2[Profit]/Table2[Sales]</f>
        <v>0.26250000000000001</v>
      </c>
    </row>
    <row r="1374" spans="1:23" x14ac:dyDescent="0.25">
      <c r="A1374">
        <v>1373</v>
      </c>
      <c r="B1374" t="s">
        <v>5831</v>
      </c>
      <c r="C1374" s="1">
        <v>42861</v>
      </c>
      <c r="D1374" s="1">
        <v>42863</v>
      </c>
      <c r="E1374" t="s">
        <v>185</v>
      </c>
      <c r="F1374" t="s">
        <v>5682</v>
      </c>
      <c r="G1374" t="s">
        <v>5683</v>
      </c>
      <c r="H1374" t="s">
        <v>25</v>
      </c>
      <c r="I1374" t="s">
        <v>26</v>
      </c>
      <c r="J1374" t="s">
        <v>263</v>
      </c>
      <c r="K1374" t="s">
        <v>264</v>
      </c>
      <c r="L1374">
        <v>10035</v>
      </c>
      <c r="M1374" t="s">
        <v>145</v>
      </c>
      <c r="N1374" t="s">
        <v>843</v>
      </c>
      <c r="O1374" t="s">
        <v>45</v>
      </c>
      <c r="P1374" t="s">
        <v>46</v>
      </c>
      <c r="Q1374" t="s">
        <v>844</v>
      </c>
      <c r="R1374">
        <v>59.2</v>
      </c>
      <c r="S1374">
        <v>4</v>
      </c>
      <c r="T1374">
        <v>0</v>
      </c>
      <c r="U1374">
        <v>29.6</v>
      </c>
      <c r="V1374" t="str">
        <f t="shared" si="21"/>
        <v>Toby Carlisle</v>
      </c>
      <c r="W1374">
        <f>Table2[Profit]/Table2[Sales]</f>
        <v>0.5</v>
      </c>
    </row>
    <row r="1375" spans="1:23" x14ac:dyDescent="0.25">
      <c r="A1375">
        <v>1374</v>
      </c>
      <c r="B1375" t="s">
        <v>5832</v>
      </c>
      <c r="C1375" s="1">
        <v>43059</v>
      </c>
      <c r="D1375" s="1">
        <v>43066</v>
      </c>
      <c r="E1375" t="s">
        <v>49</v>
      </c>
      <c r="F1375" t="s">
        <v>5669</v>
      </c>
      <c r="G1375" t="s">
        <v>5670</v>
      </c>
      <c r="H1375" t="s">
        <v>25</v>
      </c>
      <c r="I1375" t="s">
        <v>26</v>
      </c>
      <c r="J1375" t="s">
        <v>926</v>
      </c>
      <c r="K1375" t="s">
        <v>226</v>
      </c>
      <c r="L1375">
        <v>55044</v>
      </c>
      <c r="M1375" t="s">
        <v>104</v>
      </c>
      <c r="N1375" t="s">
        <v>874</v>
      </c>
      <c r="O1375" t="s">
        <v>45</v>
      </c>
      <c r="P1375" t="s">
        <v>67</v>
      </c>
      <c r="Q1375" t="s">
        <v>875</v>
      </c>
      <c r="R1375">
        <v>22</v>
      </c>
      <c r="S1375">
        <v>10</v>
      </c>
      <c r="T1375">
        <v>0</v>
      </c>
      <c r="U1375">
        <v>9.68</v>
      </c>
      <c r="V1375" t="str">
        <f t="shared" si="21"/>
        <v>Hunter Glantz</v>
      </c>
      <c r="W1375">
        <f>Table2[Profit]/Table2[Sales]</f>
        <v>0.44</v>
      </c>
    </row>
    <row r="1376" spans="1:23" x14ac:dyDescent="0.25">
      <c r="A1376">
        <v>1375</v>
      </c>
      <c r="B1376" t="s">
        <v>5833</v>
      </c>
      <c r="C1376" s="1">
        <v>42685</v>
      </c>
      <c r="D1376" s="1">
        <v>42690</v>
      </c>
      <c r="E1376" t="s">
        <v>49</v>
      </c>
      <c r="F1376" t="s">
        <v>3602</v>
      </c>
      <c r="G1376" t="s">
        <v>3603</v>
      </c>
      <c r="H1376" t="s">
        <v>25</v>
      </c>
      <c r="I1376" t="s">
        <v>26</v>
      </c>
      <c r="J1376" t="s">
        <v>873</v>
      </c>
      <c r="K1376" t="s">
        <v>235</v>
      </c>
      <c r="L1376">
        <v>48234</v>
      </c>
      <c r="M1376" t="s">
        <v>104</v>
      </c>
      <c r="N1376" t="s">
        <v>3677</v>
      </c>
      <c r="O1376" t="s">
        <v>70</v>
      </c>
      <c r="P1376" t="s">
        <v>71</v>
      </c>
      <c r="Q1376" t="s">
        <v>3678</v>
      </c>
      <c r="R1376">
        <v>257.98</v>
      </c>
      <c r="S1376">
        <v>2</v>
      </c>
      <c r="T1376">
        <v>0</v>
      </c>
      <c r="U1376">
        <v>74.8142</v>
      </c>
      <c r="V1376" t="str">
        <f t="shared" si="21"/>
        <v>Lisa DeCherney</v>
      </c>
      <c r="W1376">
        <f>Table2[Profit]/Table2[Sales]</f>
        <v>0.28999999999999998</v>
      </c>
    </row>
    <row r="1377" spans="1:23" x14ac:dyDescent="0.25">
      <c r="A1377">
        <v>1376</v>
      </c>
      <c r="B1377" t="s">
        <v>5834</v>
      </c>
      <c r="C1377" s="1">
        <v>42679</v>
      </c>
      <c r="D1377" s="1">
        <v>42684</v>
      </c>
      <c r="E1377" t="s">
        <v>49</v>
      </c>
      <c r="F1377" t="s">
        <v>1327</v>
      </c>
      <c r="G1377" t="s">
        <v>1328</v>
      </c>
      <c r="H1377" t="s">
        <v>40</v>
      </c>
      <c r="I1377" t="s">
        <v>26</v>
      </c>
      <c r="J1377" t="s">
        <v>143</v>
      </c>
      <c r="K1377" t="s">
        <v>144</v>
      </c>
      <c r="L1377">
        <v>19134</v>
      </c>
      <c r="M1377" t="s">
        <v>145</v>
      </c>
      <c r="N1377" t="s">
        <v>5835</v>
      </c>
      <c r="O1377" t="s">
        <v>70</v>
      </c>
      <c r="P1377" t="s">
        <v>71</v>
      </c>
      <c r="Q1377" t="s">
        <v>5836</v>
      </c>
      <c r="R1377">
        <v>23.988</v>
      </c>
      <c r="S1377">
        <v>2</v>
      </c>
      <c r="T1377">
        <v>0.4</v>
      </c>
      <c r="U1377">
        <v>-15.992000000000001</v>
      </c>
      <c r="V1377" t="str">
        <f t="shared" si="21"/>
        <v>Alejandro Savely</v>
      </c>
      <c r="W1377">
        <f>Table2[Profit]/Table2[Sales]</f>
        <v>-0.66666666666666674</v>
      </c>
    </row>
    <row r="1378" spans="1:23" x14ac:dyDescent="0.25">
      <c r="A1378">
        <v>1377</v>
      </c>
      <c r="B1378" t="s">
        <v>5837</v>
      </c>
      <c r="C1378" s="1">
        <v>42652</v>
      </c>
      <c r="D1378" s="1">
        <v>42658</v>
      </c>
      <c r="E1378" t="s">
        <v>49</v>
      </c>
      <c r="F1378" t="s">
        <v>1463</v>
      </c>
      <c r="G1378" t="s">
        <v>1464</v>
      </c>
      <c r="H1378" t="s">
        <v>40</v>
      </c>
      <c r="I1378" t="s">
        <v>26</v>
      </c>
      <c r="J1378" t="s">
        <v>271</v>
      </c>
      <c r="K1378" t="s">
        <v>491</v>
      </c>
      <c r="L1378">
        <v>45373</v>
      </c>
      <c r="M1378" t="s">
        <v>145</v>
      </c>
      <c r="N1378" t="s">
        <v>4455</v>
      </c>
      <c r="O1378" t="s">
        <v>70</v>
      </c>
      <c r="P1378" t="s">
        <v>71</v>
      </c>
      <c r="Q1378" t="s">
        <v>4456</v>
      </c>
      <c r="R1378">
        <v>23.975999999999999</v>
      </c>
      <c r="S1378">
        <v>4</v>
      </c>
      <c r="T1378">
        <v>0.4</v>
      </c>
      <c r="U1378">
        <v>-15.5844</v>
      </c>
      <c r="V1378" t="str">
        <f t="shared" si="21"/>
        <v>Michael Paige</v>
      </c>
      <c r="W1378">
        <f>Table2[Profit]/Table2[Sales]</f>
        <v>-0.65</v>
      </c>
    </row>
    <row r="1379" spans="1:23" x14ac:dyDescent="0.25">
      <c r="A1379">
        <v>1378</v>
      </c>
      <c r="B1379" t="s">
        <v>5838</v>
      </c>
      <c r="C1379" s="1">
        <v>42268</v>
      </c>
      <c r="D1379" s="1">
        <v>42270</v>
      </c>
      <c r="E1379" t="s">
        <v>185</v>
      </c>
      <c r="F1379" t="s">
        <v>4303</v>
      </c>
      <c r="G1379" t="s">
        <v>4304</v>
      </c>
      <c r="H1379" t="s">
        <v>101</v>
      </c>
      <c r="I1379" t="s">
        <v>26</v>
      </c>
      <c r="J1379" t="s">
        <v>41</v>
      </c>
      <c r="K1379" t="s">
        <v>42</v>
      </c>
      <c r="L1379">
        <v>90036</v>
      </c>
      <c r="M1379" t="s">
        <v>43</v>
      </c>
      <c r="N1379" t="s">
        <v>1905</v>
      </c>
      <c r="O1379" t="s">
        <v>31</v>
      </c>
      <c r="P1379" t="s">
        <v>35</v>
      </c>
      <c r="Q1379" t="s">
        <v>1906</v>
      </c>
      <c r="R1379">
        <v>601.53599999999994</v>
      </c>
      <c r="S1379">
        <v>4</v>
      </c>
      <c r="T1379">
        <v>0.2</v>
      </c>
      <c r="U1379">
        <v>0</v>
      </c>
      <c r="V1379" t="str">
        <f t="shared" si="21"/>
        <v>Cynthia Delaney</v>
      </c>
      <c r="W1379">
        <f>Table2[Profit]/Table2[Sales]</f>
        <v>0</v>
      </c>
    </row>
    <row r="1380" spans="1:23" x14ac:dyDescent="0.25">
      <c r="A1380">
        <v>1379</v>
      </c>
      <c r="B1380" t="s">
        <v>5841</v>
      </c>
      <c r="C1380" s="1">
        <v>41975</v>
      </c>
      <c r="D1380" s="1">
        <v>41979</v>
      </c>
      <c r="E1380" t="s">
        <v>49</v>
      </c>
      <c r="F1380" t="s">
        <v>4635</v>
      </c>
      <c r="G1380" t="s">
        <v>4636</v>
      </c>
      <c r="H1380" t="s">
        <v>40</v>
      </c>
      <c r="I1380" t="s">
        <v>26</v>
      </c>
      <c r="J1380" t="s">
        <v>5842</v>
      </c>
      <c r="K1380" t="s">
        <v>103</v>
      </c>
      <c r="L1380">
        <v>78415</v>
      </c>
      <c r="M1380" t="s">
        <v>104</v>
      </c>
      <c r="N1380" t="s">
        <v>1136</v>
      </c>
      <c r="O1380" t="s">
        <v>31</v>
      </c>
      <c r="P1380" t="s">
        <v>64</v>
      </c>
      <c r="Q1380" t="s">
        <v>1137</v>
      </c>
      <c r="R1380">
        <v>58.36</v>
      </c>
      <c r="S1380">
        <v>5</v>
      </c>
      <c r="T1380">
        <v>0.6</v>
      </c>
      <c r="U1380">
        <v>-24.803000000000001</v>
      </c>
      <c r="V1380" t="str">
        <f t="shared" si="21"/>
        <v>Michael Dominguez</v>
      </c>
      <c r="W1380">
        <f>Table2[Profit]/Table2[Sales]</f>
        <v>-0.42500000000000004</v>
      </c>
    </row>
    <row r="1381" spans="1:23" x14ac:dyDescent="0.25">
      <c r="A1381">
        <v>1380</v>
      </c>
      <c r="B1381" t="s">
        <v>5843</v>
      </c>
      <c r="C1381" s="1">
        <v>41903</v>
      </c>
      <c r="D1381" s="1">
        <v>41904</v>
      </c>
      <c r="E1381" t="s">
        <v>185</v>
      </c>
      <c r="F1381" t="s">
        <v>2570</v>
      </c>
      <c r="G1381" t="s">
        <v>2571</v>
      </c>
      <c r="H1381" t="s">
        <v>40</v>
      </c>
      <c r="I1381" t="s">
        <v>26</v>
      </c>
      <c r="J1381" t="s">
        <v>2499</v>
      </c>
      <c r="K1381" t="s">
        <v>135</v>
      </c>
      <c r="L1381">
        <v>68104</v>
      </c>
      <c r="M1381" t="s">
        <v>104</v>
      </c>
      <c r="N1381" t="s">
        <v>430</v>
      </c>
      <c r="O1381" t="s">
        <v>45</v>
      </c>
      <c r="P1381" t="s">
        <v>77</v>
      </c>
      <c r="Q1381" t="s">
        <v>431</v>
      </c>
      <c r="R1381">
        <v>25.96</v>
      </c>
      <c r="S1381">
        <v>2</v>
      </c>
      <c r="T1381">
        <v>0</v>
      </c>
      <c r="U1381">
        <v>7.5284000000000004</v>
      </c>
      <c r="V1381" t="str">
        <f t="shared" si="21"/>
        <v>Brian Moss</v>
      </c>
      <c r="W1381">
        <f>Table2[Profit]/Table2[Sales]</f>
        <v>0.28999999999999998</v>
      </c>
    </row>
    <row r="1382" spans="1:23" x14ac:dyDescent="0.25">
      <c r="A1382">
        <v>1381</v>
      </c>
      <c r="B1382" t="s">
        <v>5844</v>
      </c>
      <c r="C1382" s="1">
        <v>41741</v>
      </c>
      <c r="D1382" s="1">
        <v>41746</v>
      </c>
      <c r="E1382" t="s">
        <v>49</v>
      </c>
      <c r="F1382" t="s">
        <v>5595</v>
      </c>
      <c r="G1382" t="s">
        <v>5596</v>
      </c>
      <c r="H1382" t="s">
        <v>40</v>
      </c>
      <c r="I1382" t="s">
        <v>26</v>
      </c>
      <c r="J1382" t="s">
        <v>5845</v>
      </c>
      <c r="K1382" t="s">
        <v>42</v>
      </c>
      <c r="L1382">
        <v>90278</v>
      </c>
      <c r="M1382" t="s">
        <v>43</v>
      </c>
      <c r="N1382" t="s">
        <v>2551</v>
      </c>
      <c r="O1382" t="s">
        <v>70</v>
      </c>
      <c r="P1382" t="s">
        <v>71</v>
      </c>
      <c r="Q1382" t="s">
        <v>2552</v>
      </c>
      <c r="R1382">
        <v>1075.088</v>
      </c>
      <c r="S1382">
        <v>14</v>
      </c>
      <c r="T1382">
        <v>0.2</v>
      </c>
      <c r="U1382">
        <v>94.0702</v>
      </c>
      <c r="V1382" t="str">
        <f t="shared" si="21"/>
        <v>Kean Nguyen</v>
      </c>
      <c r="W1382">
        <f>Table2[Profit]/Table2[Sales]</f>
        <v>8.7500000000000008E-2</v>
      </c>
    </row>
    <row r="1383" spans="1:23" x14ac:dyDescent="0.25">
      <c r="A1383">
        <v>1382</v>
      </c>
      <c r="B1383" t="s">
        <v>5846</v>
      </c>
      <c r="C1383" s="1">
        <v>43028</v>
      </c>
      <c r="D1383" s="1">
        <v>43035</v>
      </c>
      <c r="E1383" t="s">
        <v>49</v>
      </c>
      <c r="F1383" t="s">
        <v>4026</v>
      </c>
      <c r="G1383" t="s">
        <v>4027</v>
      </c>
      <c r="H1383" t="s">
        <v>25</v>
      </c>
      <c r="I1383" t="s">
        <v>26</v>
      </c>
      <c r="J1383" t="s">
        <v>5036</v>
      </c>
      <c r="K1383" t="s">
        <v>1683</v>
      </c>
      <c r="L1383">
        <v>72209</v>
      </c>
      <c r="M1383" t="s">
        <v>29</v>
      </c>
      <c r="N1383" t="s">
        <v>4761</v>
      </c>
      <c r="O1383" t="s">
        <v>45</v>
      </c>
      <c r="P1383" t="s">
        <v>67</v>
      </c>
      <c r="Q1383" t="s">
        <v>4762</v>
      </c>
      <c r="R1383">
        <v>13.36</v>
      </c>
      <c r="S1383">
        <v>4</v>
      </c>
      <c r="T1383">
        <v>0</v>
      </c>
      <c r="U1383">
        <v>4.1416000000000004</v>
      </c>
      <c r="V1383" t="str">
        <f t="shared" si="21"/>
        <v>Ivan Gibson</v>
      </c>
      <c r="W1383">
        <f>Table2[Profit]/Table2[Sales]</f>
        <v>0.31000000000000005</v>
      </c>
    </row>
    <row r="1384" spans="1:23" x14ac:dyDescent="0.25">
      <c r="A1384">
        <v>1383</v>
      </c>
      <c r="B1384" t="s">
        <v>5847</v>
      </c>
      <c r="C1384" s="1">
        <v>42668</v>
      </c>
      <c r="D1384" s="1">
        <v>42671</v>
      </c>
      <c r="E1384" t="s">
        <v>185</v>
      </c>
      <c r="F1384" t="s">
        <v>2689</v>
      </c>
      <c r="G1384" t="s">
        <v>2690</v>
      </c>
      <c r="H1384" t="s">
        <v>40</v>
      </c>
      <c r="I1384" t="s">
        <v>26</v>
      </c>
      <c r="J1384" t="s">
        <v>1406</v>
      </c>
      <c r="K1384" t="s">
        <v>53</v>
      </c>
      <c r="L1384">
        <v>33180</v>
      </c>
      <c r="M1384" t="s">
        <v>29</v>
      </c>
      <c r="N1384" t="s">
        <v>1794</v>
      </c>
      <c r="O1384" t="s">
        <v>70</v>
      </c>
      <c r="P1384" t="s">
        <v>71</v>
      </c>
      <c r="Q1384" t="s">
        <v>1795</v>
      </c>
      <c r="R1384">
        <v>783.96</v>
      </c>
      <c r="S1384">
        <v>5</v>
      </c>
      <c r="T1384">
        <v>0.2</v>
      </c>
      <c r="U1384">
        <v>78.396000000000001</v>
      </c>
      <c r="V1384" t="str">
        <f t="shared" si="21"/>
        <v>Jill Stevenson</v>
      </c>
      <c r="W1384">
        <f>Table2[Profit]/Table2[Sales]</f>
        <v>9.9999999999999992E-2</v>
      </c>
    </row>
    <row r="1385" spans="1:23" x14ac:dyDescent="0.25">
      <c r="A1385">
        <v>1384</v>
      </c>
      <c r="B1385" t="s">
        <v>5848</v>
      </c>
      <c r="C1385" s="1">
        <v>42309</v>
      </c>
      <c r="D1385" s="1">
        <v>42312</v>
      </c>
      <c r="E1385" t="s">
        <v>185</v>
      </c>
      <c r="F1385" t="s">
        <v>2589</v>
      </c>
      <c r="G1385" t="s">
        <v>2590</v>
      </c>
      <c r="H1385" t="s">
        <v>25</v>
      </c>
      <c r="I1385" t="s">
        <v>26</v>
      </c>
      <c r="J1385" t="s">
        <v>1948</v>
      </c>
      <c r="K1385" t="s">
        <v>413</v>
      </c>
      <c r="L1385">
        <v>97301</v>
      </c>
      <c r="M1385" t="s">
        <v>43</v>
      </c>
      <c r="N1385" t="s">
        <v>176</v>
      </c>
      <c r="O1385" t="s">
        <v>45</v>
      </c>
      <c r="P1385" t="s">
        <v>67</v>
      </c>
      <c r="Q1385" t="s">
        <v>177</v>
      </c>
      <c r="R1385">
        <v>7.88</v>
      </c>
      <c r="S1385">
        <v>1</v>
      </c>
      <c r="T1385">
        <v>0.2</v>
      </c>
      <c r="U1385">
        <v>1.7729999999999999</v>
      </c>
      <c r="V1385" t="str">
        <f t="shared" si="21"/>
        <v>Guy Armstrong</v>
      </c>
      <c r="W1385">
        <f>Table2[Profit]/Table2[Sales]</f>
        <v>0.22499999999999998</v>
      </c>
    </row>
    <row r="1386" spans="1:23" x14ac:dyDescent="0.25">
      <c r="A1386">
        <v>1385</v>
      </c>
      <c r="B1386" t="s">
        <v>5849</v>
      </c>
      <c r="C1386" s="1">
        <v>43042</v>
      </c>
      <c r="D1386" s="1">
        <v>43047</v>
      </c>
      <c r="E1386" t="s">
        <v>49</v>
      </c>
      <c r="F1386" t="s">
        <v>5850</v>
      </c>
      <c r="G1386" t="s">
        <v>5851</v>
      </c>
      <c r="H1386" t="s">
        <v>25</v>
      </c>
      <c r="I1386" t="s">
        <v>26</v>
      </c>
      <c r="J1386" t="s">
        <v>5760</v>
      </c>
      <c r="K1386" t="s">
        <v>660</v>
      </c>
      <c r="L1386">
        <v>88001</v>
      </c>
      <c r="M1386" t="s">
        <v>43</v>
      </c>
      <c r="N1386" t="s">
        <v>419</v>
      </c>
      <c r="O1386" t="s">
        <v>31</v>
      </c>
      <c r="P1386" t="s">
        <v>64</v>
      </c>
      <c r="Q1386" t="s">
        <v>420</v>
      </c>
      <c r="R1386">
        <v>41.37</v>
      </c>
      <c r="S1386">
        <v>3</v>
      </c>
      <c r="T1386">
        <v>0</v>
      </c>
      <c r="U1386">
        <v>17.375399999999999</v>
      </c>
      <c r="V1386" t="str">
        <f t="shared" si="21"/>
        <v>Denise Leinenbach</v>
      </c>
      <c r="W1386">
        <f>Table2[Profit]/Table2[Sales]</f>
        <v>0.42</v>
      </c>
    </row>
    <row r="1387" spans="1:23" x14ac:dyDescent="0.25">
      <c r="A1387">
        <v>1386</v>
      </c>
      <c r="B1387" t="s">
        <v>5852</v>
      </c>
      <c r="C1387" s="1">
        <v>42136</v>
      </c>
      <c r="D1387" s="1">
        <v>42140</v>
      </c>
      <c r="E1387" t="s">
        <v>49</v>
      </c>
      <c r="F1387" t="s">
        <v>3884</v>
      </c>
      <c r="G1387" t="s">
        <v>3885</v>
      </c>
      <c r="H1387" t="s">
        <v>25</v>
      </c>
      <c r="I1387" t="s">
        <v>26</v>
      </c>
      <c r="J1387" t="s">
        <v>126</v>
      </c>
      <c r="K1387" t="s">
        <v>42</v>
      </c>
      <c r="L1387">
        <v>94122</v>
      </c>
      <c r="M1387" t="s">
        <v>43</v>
      </c>
      <c r="N1387" t="s">
        <v>4371</v>
      </c>
      <c r="O1387" t="s">
        <v>45</v>
      </c>
      <c r="P1387" t="s">
        <v>89</v>
      </c>
      <c r="Q1387" t="s">
        <v>4372</v>
      </c>
      <c r="R1387">
        <v>12.84</v>
      </c>
      <c r="S1387">
        <v>3</v>
      </c>
      <c r="T1387">
        <v>0</v>
      </c>
      <c r="U1387">
        <v>5.7779999999999996</v>
      </c>
      <c r="V1387" t="str">
        <f t="shared" si="21"/>
        <v>Cindy Stewart</v>
      </c>
      <c r="W1387">
        <f>Table2[Profit]/Table2[Sales]</f>
        <v>0.44999999999999996</v>
      </c>
    </row>
    <row r="1388" spans="1:23" x14ac:dyDescent="0.25">
      <c r="A1388">
        <v>1387</v>
      </c>
      <c r="B1388" t="s">
        <v>5855</v>
      </c>
      <c r="C1388" s="1">
        <v>42254</v>
      </c>
      <c r="D1388" s="1">
        <v>42258</v>
      </c>
      <c r="E1388" t="s">
        <v>49</v>
      </c>
      <c r="F1388" t="s">
        <v>1929</v>
      </c>
      <c r="G1388" t="s">
        <v>1930</v>
      </c>
      <c r="H1388" t="s">
        <v>25</v>
      </c>
      <c r="I1388" t="s">
        <v>26</v>
      </c>
      <c r="J1388" t="s">
        <v>4086</v>
      </c>
      <c r="K1388" t="s">
        <v>103</v>
      </c>
      <c r="L1388">
        <v>79907</v>
      </c>
      <c r="M1388" t="s">
        <v>104</v>
      </c>
      <c r="N1388" t="s">
        <v>5060</v>
      </c>
      <c r="O1388" t="s">
        <v>31</v>
      </c>
      <c r="P1388" t="s">
        <v>35</v>
      </c>
      <c r="Q1388" t="s">
        <v>5061</v>
      </c>
      <c r="R1388">
        <v>47.515999999999998</v>
      </c>
      <c r="S1388">
        <v>2</v>
      </c>
      <c r="T1388">
        <v>0.3</v>
      </c>
      <c r="U1388">
        <v>-2.0364</v>
      </c>
      <c r="V1388" t="str">
        <f t="shared" si="21"/>
        <v>Charles Crestani</v>
      </c>
      <c r="W1388">
        <f>Table2[Profit]/Table2[Sales]</f>
        <v>-4.2857142857142858E-2</v>
      </c>
    </row>
    <row r="1389" spans="1:23" x14ac:dyDescent="0.25">
      <c r="A1389">
        <v>1388</v>
      </c>
      <c r="B1389" t="s">
        <v>5856</v>
      </c>
      <c r="C1389" s="1">
        <v>42210</v>
      </c>
      <c r="D1389" s="1">
        <v>42212</v>
      </c>
      <c r="E1389" t="s">
        <v>22</v>
      </c>
      <c r="F1389" t="s">
        <v>5857</v>
      </c>
      <c r="G1389" t="s">
        <v>5858</v>
      </c>
      <c r="H1389" t="s">
        <v>25</v>
      </c>
      <c r="I1389" t="s">
        <v>26</v>
      </c>
      <c r="J1389" t="s">
        <v>94</v>
      </c>
      <c r="K1389" t="s">
        <v>95</v>
      </c>
      <c r="L1389">
        <v>98115</v>
      </c>
      <c r="M1389" t="s">
        <v>43</v>
      </c>
      <c r="N1389" t="s">
        <v>4763</v>
      </c>
      <c r="O1389" t="s">
        <v>45</v>
      </c>
      <c r="P1389" t="s">
        <v>266</v>
      </c>
      <c r="Q1389" t="s">
        <v>4764</v>
      </c>
      <c r="R1389">
        <v>9.42</v>
      </c>
      <c r="S1389">
        <v>2</v>
      </c>
      <c r="T1389">
        <v>0</v>
      </c>
      <c r="U1389">
        <v>0.47099999999999997</v>
      </c>
      <c r="V1389" t="str">
        <f t="shared" si="21"/>
        <v>Michelle Huthwaite</v>
      </c>
      <c r="W1389">
        <f>Table2[Profit]/Table2[Sales]</f>
        <v>4.9999999999999996E-2</v>
      </c>
    </row>
    <row r="1390" spans="1:23" x14ac:dyDescent="0.25">
      <c r="A1390">
        <v>1389</v>
      </c>
      <c r="B1390" t="s">
        <v>5861</v>
      </c>
      <c r="C1390" s="1">
        <v>42324</v>
      </c>
      <c r="D1390" s="1">
        <v>42326</v>
      </c>
      <c r="E1390" t="s">
        <v>22</v>
      </c>
      <c r="F1390" t="s">
        <v>3996</v>
      </c>
      <c r="G1390" t="s">
        <v>3997</v>
      </c>
      <c r="H1390" t="s">
        <v>101</v>
      </c>
      <c r="I1390" t="s">
        <v>26</v>
      </c>
      <c r="J1390" t="s">
        <v>2517</v>
      </c>
      <c r="K1390" t="s">
        <v>113</v>
      </c>
      <c r="L1390">
        <v>53209</v>
      </c>
      <c r="M1390" t="s">
        <v>104</v>
      </c>
      <c r="N1390" t="s">
        <v>1436</v>
      </c>
      <c r="O1390" t="s">
        <v>45</v>
      </c>
      <c r="P1390" t="s">
        <v>89</v>
      </c>
      <c r="Q1390" t="s">
        <v>1437</v>
      </c>
      <c r="R1390">
        <v>179.82</v>
      </c>
      <c r="S1390">
        <v>9</v>
      </c>
      <c r="T1390">
        <v>0</v>
      </c>
      <c r="U1390">
        <v>84.5154</v>
      </c>
      <c r="V1390" t="str">
        <f t="shared" si="21"/>
        <v>Mike Pelletier</v>
      </c>
      <c r="W1390">
        <f>Table2[Profit]/Table2[Sales]</f>
        <v>0.47000000000000003</v>
      </c>
    </row>
    <row r="1391" spans="1:23" x14ac:dyDescent="0.25">
      <c r="A1391">
        <v>1390</v>
      </c>
      <c r="B1391" t="s">
        <v>5864</v>
      </c>
      <c r="C1391" s="1">
        <v>42248</v>
      </c>
      <c r="D1391" s="1">
        <v>42255</v>
      </c>
      <c r="E1391" t="s">
        <v>49</v>
      </c>
      <c r="F1391" t="s">
        <v>5865</v>
      </c>
      <c r="G1391" t="s">
        <v>5866</v>
      </c>
      <c r="H1391" t="s">
        <v>101</v>
      </c>
      <c r="I1391" t="s">
        <v>26</v>
      </c>
      <c r="J1391" t="s">
        <v>606</v>
      </c>
      <c r="K1391" t="s">
        <v>1233</v>
      </c>
      <c r="L1391">
        <v>2038</v>
      </c>
      <c r="M1391" t="s">
        <v>145</v>
      </c>
      <c r="N1391" t="s">
        <v>2737</v>
      </c>
      <c r="O1391" t="s">
        <v>45</v>
      </c>
      <c r="P1391" t="s">
        <v>74</v>
      </c>
      <c r="Q1391" t="s">
        <v>2738</v>
      </c>
      <c r="R1391">
        <v>114.6</v>
      </c>
      <c r="S1391">
        <v>5</v>
      </c>
      <c r="T1391">
        <v>0</v>
      </c>
      <c r="U1391">
        <v>51.57</v>
      </c>
      <c r="V1391" t="str">
        <f t="shared" si="21"/>
        <v>Daniel Raglin</v>
      </c>
      <c r="W1391">
        <f>Table2[Profit]/Table2[Sales]</f>
        <v>0.45</v>
      </c>
    </row>
    <row r="1392" spans="1:23" x14ac:dyDescent="0.25">
      <c r="A1392">
        <v>1391</v>
      </c>
      <c r="B1392" t="s">
        <v>5867</v>
      </c>
      <c r="C1392" s="1">
        <v>42495</v>
      </c>
      <c r="D1392" s="1">
        <v>42498</v>
      </c>
      <c r="E1392" t="s">
        <v>185</v>
      </c>
      <c r="F1392" t="s">
        <v>5868</v>
      </c>
      <c r="G1392" t="s">
        <v>5869</v>
      </c>
      <c r="H1392" t="s">
        <v>25</v>
      </c>
      <c r="I1392" t="s">
        <v>26</v>
      </c>
      <c r="J1392" t="s">
        <v>3196</v>
      </c>
      <c r="K1392" t="s">
        <v>42</v>
      </c>
      <c r="L1392">
        <v>92024</v>
      </c>
      <c r="M1392" t="s">
        <v>43</v>
      </c>
      <c r="N1392" t="s">
        <v>5371</v>
      </c>
      <c r="O1392" t="s">
        <v>45</v>
      </c>
      <c r="P1392" t="s">
        <v>74</v>
      </c>
      <c r="Q1392" t="s">
        <v>5372</v>
      </c>
      <c r="R1392">
        <v>6.72</v>
      </c>
      <c r="S1392">
        <v>5</v>
      </c>
      <c r="T1392">
        <v>0.2</v>
      </c>
      <c r="U1392">
        <v>2.3519999999999999</v>
      </c>
      <c r="V1392" t="str">
        <f t="shared" si="21"/>
        <v>Darrin Martin</v>
      </c>
      <c r="W1392">
        <f>Table2[Profit]/Table2[Sales]</f>
        <v>0.35</v>
      </c>
    </row>
    <row r="1393" spans="1:23" x14ac:dyDescent="0.25">
      <c r="A1393">
        <v>1392</v>
      </c>
      <c r="B1393" t="s">
        <v>5870</v>
      </c>
      <c r="C1393" s="1">
        <v>42735</v>
      </c>
      <c r="D1393" s="1">
        <v>42740</v>
      </c>
      <c r="E1393" t="s">
        <v>49</v>
      </c>
      <c r="F1393" t="s">
        <v>3095</v>
      </c>
      <c r="G1393" t="s">
        <v>3096</v>
      </c>
      <c r="H1393" t="s">
        <v>25</v>
      </c>
      <c r="I1393" t="s">
        <v>26</v>
      </c>
      <c r="J1393" t="s">
        <v>1857</v>
      </c>
      <c r="K1393" t="s">
        <v>42</v>
      </c>
      <c r="L1393">
        <v>92804</v>
      </c>
      <c r="M1393" t="s">
        <v>43</v>
      </c>
      <c r="N1393" t="s">
        <v>854</v>
      </c>
      <c r="O1393" t="s">
        <v>70</v>
      </c>
      <c r="P1393" t="s">
        <v>71</v>
      </c>
      <c r="Q1393" t="s">
        <v>855</v>
      </c>
      <c r="R1393">
        <v>302.37599999999998</v>
      </c>
      <c r="S1393">
        <v>3</v>
      </c>
      <c r="T1393">
        <v>0.2</v>
      </c>
      <c r="U1393">
        <v>22.6782</v>
      </c>
      <c r="V1393" t="str">
        <f t="shared" si="21"/>
        <v>Brian DeCherney</v>
      </c>
      <c r="W1393">
        <f>Table2[Profit]/Table2[Sales]</f>
        <v>7.5000000000000011E-2</v>
      </c>
    </row>
    <row r="1394" spans="1:23" x14ac:dyDescent="0.25">
      <c r="A1394">
        <v>1393</v>
      </c>
      <c r="B1394" t="s">
        <v>5871</v>
      </c>
      <c r="C1394" s="1">
        <v>42996</v>
      </c>
      <c r="D1394" s="1">
        <v>42998</v>
      </c>
      <c r="E1394" t="s">
        <v>185</v>
      </c>
      <c r="F1394" t="s">
        <v>3466</v>
      </c>
      <c r="G1394" t="s">
        <v>3467</v>
      </c>
      <c r="H1394" t="s">
        <v>25</v>
      </c>
      <c r="I1394" t="s">
        <v>26</v>
      </c>
      <c r="J1394" t="s">
        <v>1119</v>
      </c>
      <c r="K1394" t="s">
        <v>103</v>
      </c>
      <c r="L1394">
        <v>76017</v>
      </c>
      <c r="M1394" t="s">
        <v>104</v>
      </c>
      <c r="N1394" t="s">
        <v>1220</v>
      </c>
      <c r="O1394" t="s">
        <v>45</v>
      </c>
      <c r="P1394" t="s">
        <v>67</v>
      </c>
      <c r="Q1394" t="s">
        <v>1221</v>
      </c>
      <c r="R1394">
        <v>8.9280000000000008</v>
      </c>
      <c r="S1394">
        <v>2</v>
      </c>
      <c r="T1394">
        <v>0.2</v>
      </c>
      <c r="U1394">
        <v>0.55800000000000005</v>
      </c>
      <c r="V1394" t="str">
        <f t="shared" si="21"/>
        <v>Dan Campbell</v>
      </c>
      <c r="W1394">
        <f>Table2[Profit]/Table2[Sales]</f>
        <v>6.25E-2</v>
      </c>
    </row>
    <row r="1395" spans="1:23" x14ac:dyDescent="0.25">
      <c r="A1395">
        <v>1394</v>
      </c>
      <c r="B1395" t="s">
        <v>5872</v>
      </c>
      <c r="C1395" s="1">
        <v>41907</v>
      </c>
      <c r="D1395" s="1">
        <v>41912</v>
      </c>
      <c r="E1395" t="s">
        <v>49</v>
      </c>
      <c r="F1395" t="s">
        <v>1641</v>
      </c>
      <c r="G1395" t="s">
        <v>1642</v>
      </c>
      <c r="H1395" t="s">
        <v>101</v>
      </c>
      <c r="I1395" t="s">
        <v>26</v>
      </c>
      <c r="J1395" t="s">
        <v>181</v>
      </c>
      <c r="K1395" t="s">
        <v>103</v>
      </c>
      <c r="L1395">
        <v>77041</v>
      </c>
      <c r="M1395" t="s">
        <v>104</v>
      </c>
      <c r="N1395" t="s">
        <v>5873</v>
      </c>
      <c r="O1395" t="s">
        <v>45</v>
      </c>
      <c r="P1395" t="s">
        <v>89</v>
      </c>
      <c r="Q1395" t="s">
        <v>5874</v>
      </c>
      <c r="R1395">
        <v>33.792000000000002</v>
      </c>
      <c r="S1395">
        <v>8</v>
      </c>
      <c r="T1395">
        <v>0.2</v>
      </c>
      <c r="U1395">
        <v>10.56</v>
      </c>
      <c r="V1395" t="str">
        <f t="shared" si="21"/>
        <v>Michelle Tran</v>
      </c>
      <c r="W1395">
        <f>Table2[Profit]/Table2[Sales]</f>
        <v>0.3125</v>
      </c>
    </row>
    <row r="1396" spans="1:23" x14ac:dyDescent="0.25">
      <c r="A1396">
        <v>1395</v>
      </c>
      <c r="B1396" t="s">
        <v>5875</v>
      </c>
      <c r="C1396" s="1">
        <v>42483</v>
      </c>
      <c r="D1396" s="1">
        <v>42486</v>
      </c>
      <c r="E1396" t="s">
        <v>185</v>
      </c>
      <c r="F1396" t="s">
        <v>664</v>
      </c>
      <c r="G1396" t="s">
        <v>665</v>
      </c>
      <c r="H1396" t="s">
        <v>25</v>
      </c>
      <c r="I1396" t="s">
        <v>26</v>
      </c>
      <c r="J1396" t="s">
        <v>2439</v>
      </c>
      <c r="K1396" t="s">
        <v>491</v>
      </c>
      <c r="L1396">
        <v>43130</v>
      </c>
      <c r="M1396" t="s">
        <v>145</v>
      </c>
      <c r="N1396" t="s">
        <v>5876</v>
      </c>
      <c r="O1396" t="s">
        <v>45</v>
      </c>
      <c r="P1396" t="s">
        <v>89</v>
      </c>
      <c r="Q1396" t="s">
        <v>5877</v>
      </c>
      <c r="R1396">
        <v>108.336</v>
      </c>
      <c r="S1396">
        <v>6</v>
      </c>
      <c r="T1396">
        <v>0.2</v>
      </c>
      <c r="U1396">
        <v>37.9176</v>
      </c>
      <c r="V1396" t="str">
        <f t="shared" si="21"/>
        <v>Max Jones</v>
      </c>
      <c r="W1396">
        <f>Table2[Profit]/Table2[Sales]</f>
        <v>0.35000000000000003</v>
      </c>
    </row>
    <row r="1397" spans="1:23" x14ac:dyDescent="0.25">
      <c r="A1397">
        <v>1396</v>
      </c>
      <c r="B1397" t="s">
        <v>5878</v>
      </c>
      <c r="C1397" s="1">
        <v>41944</v>
      </c>
      <c r="D1397" s="1">
        <v>41948</v>
      </c>
      <c r="E1397" t="s">
        <v>49</v>
      </c>
      <c r="F1397" t="s">
        <v>3660</v>
      </c>
      <c r="G1397" t="s">
        <v>3661</v>
      </c>
      <c r="H1397" t="s">
        <v>25</v>
      </c>
      <c r="I1397" t="s">
        <v>26</v>
      </c>
      <c r="J1397" t="s">
        <v>412</v>
      </c>
      <c r="K1397" t="s">
        <v>413</v>
      </c>
      <c r="L1397">
        <v>97206</v>
      </c>
      <c r="M1397" t="s">
        <v>43</v>
      </c>
      <c r="N1397" t="s">
        <v>5879</v>
      </c>
      <c r="O1397" t="s">
        <v>45</v>
      </c>
      <c r="P1397" t="s">
        <v>58</v>
      </c>
      <c r="Q1397" t="s">
        <v>5880</v>
      </c>
      <c r="R1397">
        <v>443.92</v>
      </c>
      <c r="S1397">
        <v>5</v>
      </c>
      <c r="T1397">
        <v>0.2</v>
      </c>
      <c r="U1397">
        <v>-94.332999999999998</v>
      </c>
      <c r="V1397" t="str">
        <f t="shared" si="21"/>
        <v>Natalie DeCherney</v>
      </c>
      <c r="W1397">
        <f>Table2[Profit]/Table2[Sales]</f>
        <v>-0.21249999999999999</v>
      </c>
    </row>
    <row r="1398" spans="1:23" x14ac:dyDescent="0.25">
      <c r="A1398">
        <v>1397</v>
      </c>
      <c r="B1398" t="s">
        <v>5881</v>
      </c>
      <c r="C1398" s="1">
        <v>42761</v>
      </c>
      <c r="D1398" s="1">
        <v>42766</v>
      </c>
      <c r="E1398" t="s">
        <v>22</v>
      </c>
      <c r="F1398" t="s">
        <v>5882</v>
      </c>
      <c r="G1398" t="s">
        <v>5883</v>
      </c>
      <c r="H1398" t="s">
        <v>40</v>
      </c>
      <c r="I1398" t="s">
        <v>26</v>
      </c>
      <c r="J1398" t="s">
        <v>5765</v>
      </c>
      <c r="K1398" t="s">
        <v>351</v>
      </c>
      <c r="L1398">
        <v>35244</v>
      </c>
      <c r="M1398" t="s">
        <v>29</v>
      </c>
      <c r="N1398" t="s">
        <v>632</v>
      </c>
      <c r="O1398" t="s">
        <v>45</v>
      </c>
      <c r="P1398" t="s">
        <v>67</v>
      </c>
      <c r="Q1398" t="s">
        <v>633</v>
      </c>
      <c r="R1398">
        <v>15.47</v>
      </c>
      <c r="S1398">
        <v>7</v>
      </c>
      <c r="T1398">
        <v>0</v>
      </c>
      <c r="U1398">
        <v>4.1768999999999998</v>
      </c>
      <c r="V1398" t="str">
        <f t="shared" si="21"/>
        <v>Carol Adams</v>
      </c>
      <c r="W1398">
        <f>Table2[Profit]/Table2[Sales]</f>
        <v>0.26999999999999996</v>
      </c>
    </row>
    <row r="1399" spans="1:23" x14ac:dyDescent="0.25">
      <c r="A1399">
        <v>1398</v>
      </c>
      <c r="B1399" t="s">
        <v>5884</v>
      </c>
      <c r="C1399" s="1">
        <v>43050</v>
      </c>
      <c r="D1399" s="1">
        <v>43055</v>
      </c>
      <c r="E1399" t="s">
        <v>49</v>
      </c>
      <c r="F1399" t="s">
        <v>2589</v>
      </c>
      <c r="G1399" t="s">
        <v>2590</v>
      </c>
      <c r="H1399" t="s">
        <v>25</v>
      </c>
      <c r="I1399" t="s">
        <v>26</v>
      </c>
      <c r="J1399" t="s">
        <v>41</v>
      </c>
      <c r="K1399" t="s">
        <v>42</v>
      </c>
      <c r="L1399">
        <v>90036</v>
      </c>
      <c r="M1399" t="s">
        <v>43</v>
      </c>
      <c r="N1399" t="s">
        <v>3548</v>
      </c>
      <c r="O1399" t="s">
        <v>45</v>
      </c>
      <c r="P1399" t="s">
        <v>77</v>
      </c>
      <c r="Q1399" t="s">
        <v>3549</v>
      </c>
      <c r="R1399">
        <v>10.89</v>
      </c>
      <c r="S1399">
        <v>1</v>
      </c>
      <c r="T1399">
        <v>0</v>
      </c>
      <c r="U1399">
        <v>2.8313999999999999</v>
      </c>
      <c r="V1399" t="str">
        <f t="shared" si="21"/>
        <v>Guy Armstrong</v>
      </c>
      <c r="W1399">
        <f>Table2[Profit]/Table2[Sales]</f>
        <v>0.25999999999999995</v>
      </c>
    </row>
    <row r="1400" spans="1:23" x14ac:dyDescent="0.25">
      <c r="A1400">
        <v>1399</v>
      </c>
      <c r="B1400" t="s">
        <v>5887</v>
      </c>
      <c r="C1400" s="1">
        <v>42530</v>
      </c>
      <c r="D1400" s="1">
        <v>42533</v>
      </c>
      <c r="E1400" t="s">
        <v>185</v>
      </c>
      <c r="F1400" t="s">
        <v>5682</v>
      </c>
      <c r="G1400" t="s">
        <v>5683</v>
      </c>
      <c r="H1400" t="s">
        <v>25</v>
      </c>
      <c r="I1400" t="s">
        <v>26</v>
      </c>
      <c r="J1400" t="s">
        <v>5531</v>
      </c>
      <c r="K1400" t="s">
        <v>53</v>
      </c>
      <c r="L1400">
        <v>32303</v>
      </c>
      <c r="M1400" t="s">
        <v>29</v>
      </c>
      <c r="N1400" t="s">
        <v>3634</v>
      </c>
      <c r="O1400" t="s">
        <v>70</v>
      </c>
      <c r="P1400" t="s">
        <v>675</v>
      </c>
      <c r="Q1400" t="s">
        <v>3635</v>
      </c>
      <c r="R1400">
        <v>695.7</v>
      </c>
      <c r="S1400">
        <v>2</v>
      </c>
      <c r="T1400">
        <v>0.5</v>
      </c>
      <c r="U1400">
        <v>-27.827999999999999</v>
      </c>
      <c r="V1400" t="str">
        <f t="shared" si="21"/>
        <v>Toby Carlisle</v>
      </c>
      <c r="W1400">
        <f>Table2[Profit]/Table2[Sales]</f>
        <v>-3.9999999999999994E-2</v>
      </c>
    </row>
    <row r="1401" spans="1:23" x14ac:dyDescent="0.25">
      <c r="A1401">
        <v>1400</v>
      </c>
      <c r="B1401" t="s">
        <v>5888</v>
      </c>
      <c r="C1401" s="1">
        <v>42250</v>
      </c>
      <c r="D1401" s="1">
        <v>42255</v>
      </c>
      <c r="E1401" t="s">
        <v>22</v>
      </c>
      <c r="F1401" t="s">
        <v>697</v>
      </c>
      <c r="G1401" t="s">
        <v>698</v>
      </c>
      <c r="H1401" t="s">
        <v>40</v>
      </c>
      <c r="I1401" t="s">
        <v>26</v>
      </c>
      <c r="J1401" t="s">
        <v>263</v>
      </c>
      <c r="K1401" t="s">
        <v>264</v>
      </c>
      <c r="L1401">
        <v>10009</v>
      </c>
      <c r="M1401" t="s">
        <v>145</v>
      </c>
      <c r="N1401" t="s">
        <v>2983</v>
      </c>
      <c r="O1401" t="s">
        <v>45</v>
      </c>
      <c r="P1401" t="s">
        <v>58</v>
      </c>
      <c r="Q1401" t="s">
        <v>2984</v>
      </c>
      <c r="R1401">
        <v>120.33</v>
      </c>
      <c r="S1401">
        <v>1</v>
      </c>
      <c r="T1401">
        <v>0</v>
      </c>
      <c r="U1401">
        <v>31.285799999999998</v>
      </c>
      <c r="V1401" t="str">
        <f t="shared" si="21"/>
        <v>Jennifer Braxton</v>
      </c>
      <c r="W1401">
        <f>Table2[Profit]/Table2[Sales]</f>
        <v>0.26</v>
      </c>
    </row>
    <row r="1402" spans="1:23" x14ac:dyDescent="0.25">
      <c r="A1402">
        <v>1401</v>
      </c>
      <c r="B1402" t="s">
        <v>5889</v>
      </c>
      <c r="C1402" s="1">
        <v>41712</v>
      </c>
      <c r="D1402" s="1">
        <v>41717</v>
      </c>
      <c r="E1402" t="s">
        <v>49</v>
      </c>
      <c r="F1402" t="s">
        <v>2278</v>
      </c>
      <c r="G1402" t="s">
        <v>2279</v>
      </c>
      <c r="H1402" t="s">
        <v>101</v>
      </c>
      <c r="I1402" t="s">
        <v>26</v>
      </c>
      <c r="J1402" t="s">
        <v>4771</v>
      </c>
      <c r="K1402" t="s">
        <v>312</v>
      </c>
      <c r="L1402">
        <v>23320</v>
      </c>
      <c r="M1402" t="s">
        <v>29</v>
      </c>
      <c r="N1402" t="s">
        <v>1769</v>
      </c>
      <c r="O1402" t="s">
        <v>31</v>
      </c>
      <c r="P1402" t="s">
        <v>35</v>
      </c>
      <c r="Q1402" t="s">
        <v>1770</v>
      </c>
      <c r="R1402">
        <v>1139.92</v>
      </c>
      <c r="S1402">
        <v>4</v>
      </c>
      <c r="T1402">
        <v>0</v>
      </c>
      <c r="U1402">
        <v>284.98</v>
      </c>
      <c r="V1402" t="str">
        <f t="shared" si="21"/>
        <v>Christine Kargatis</v>
      </c>
      <c r="W1402">
        <f>Table2[Profit]/Table2[Sales]</f>
        <v>0.25</v>
      </c>
    </row>
    <row r="1403" spans="1:23" x14ac:dyDescent="0.25">
      <c r="A1403">
        <v>1402</v>
      </c>
      <c r="B1403" t="s">
        <v>5890</v>
      </c>
      <c r="C1403" s="1">
        <v>42978</v>
      </c>
      <c r="D1403" s="1">
        <v>42982</v>
      </c>
      <c r="E1403" t="s">
        <v>22</v>
      </c>
      <c r="F1403" t="s">
        <v>1791</v>
      </c>
      <c r="G1403" t="s">
        <v>1792</v>
      </c>
      <c r="H1403" t="s">
        <v>25</v>
      </c>
      <c r="I1403" t="s">
        <v>26</v>
      </c>
      <c r="J1403" t="s">
        <v>1682</v>
      </c>
      <c r="K1403" t="s">
        <v>87</v>
      </c>
      <c r="L1403">
        <v>28314</v>
      </c>
      <c r="M1403" t="s">
        <v>29</v>
      </c>
      <c r="N1403" t="s">
        <v>3217</v>
      </c>
      <c r="O1403" t="s">
        <v>45</v>
      </c>
      <c r="P1403" t="s">
        <v>89</v>
      </c>
      <c r="Q1403" t="s">
        <v>3218</v>
      </c>
      <c r="R1403">
        <v>229.54400000000001</v>
      </c>
      <c r="S1403">
        <v>7</v>
      </c>
      <c r="T1403">
        <v>0.2</v>
      </c>
      <c r="U1403">
        <v>83.209699999999998</v>
      </c>
      <c r="V1403" t="str">
        <f t="shared" si="21"/>
        <v>Rob Lucas</v>
      </c>
      <c r="W1403">
        <f>Table2[Profit]/Table2[Sales]</f>
        <v>0.36249999999999999</v>
      </c>
    </row>
    <row r="1404" spans="1:23" x14ac:dyDescent="0.25">
      <c r="A1404">
        <v>1403</v>
      </c>
      <c r="B1404" t="s">
        <v>5891</v>
      </c>
      <c r="C1404" s="1">
        <v>42817</v>
      </c>
      <c r="D1404" s="1">
        <v>42821</v>
      </c>
      <c r="E1404" t="s">
        <v>49</v>
      </c>
      <c r="F1404" t="s">
        <v>5892</v>
      </c>
      <c r="G1404" t="s">
        <v>5893</v>
      </c>
      <c r="H1404" t="s">
        <v>25</v>
      </c>
      <c r="I1404" t="s">
        <v>26</v>
      </c>
      <c r="J1404" t="s">
        <v>1657</v>
      </c>
      <c r="K1404" t="s">
        <v>103</v>
      </c>
      <c r="L1404">
        <v>77340</v>
      </c>
      <c r="M1404" t="s">
        <v>104</v>
      </c>
      <c r="N1404" t="s">
        <v>1665</v>
      </c>
      <c r="O1404" t="s">
        <v>45</v>
      </c>
      <c r="P1404" t="s">
        <v>58</v>
      </c>
      <c r="Q1404" t="s">
        <v>1666</v>
      </c>
      <c r="R1404">
        <v>143.72800000000001</v>
      </c>
      <c r="S1404">
        <v>2</v>
      </c>
      <c r="T1404">
        <v>0.2</v>
      </c>
      <c r="U1404">
        <v>-32.338799999999999</v>
      </c>
      <c r="V1404" t="str">
        <f t="shared" si="21"/>
        <v>Anna Chung</v>
      </c>
      <c r="W1404">
        <f>Table2[Profit]/Table2[Sales]</f>
        <v>-0.22499999999999998</v>
      </c>
    </row>
    <row r="1405" spans="1:23" x14ac:dyDescent="0.25">
      <c r="A1405">
        <v>1404</v>
      </c>
      <c r="B1405" t="s">
        <v>5894</v>
      </c>
      <c r="C1405" s="1">
        <v>42873</v>
      </c>
      <c r="D1405" s="1">
        <v>42877</v>
      </c>
      <c r="E1405" t="s">
        <v>49</v>
      </c>
      <c r="F1405" t="s">
        <v>61</v>
      </c>
      <c r="G1405" t="s">
        <v>62</v>
      </c>
      <c r="H1405" t="s">
        <v>25</v>
      </c>
      <c r="I1405" t="s">
        <v>26</v>
      </c>
      <c r="J1405" t="s">
        <v>143</v>
      </c>
      <c r="K1405" t="s">
        <v>144</v>
      </c>
      <c r="L1405">
        <v>19140</v>
      </c>
      <c r="M1405" t="s">
        <v>145</v>
      </c>
      <c r="N1405" t="s">
        <v>5547</v>
      </c>
      <c r="O1405" t="s">
        <v>70</v>
      </c>
      <c r="P1405" t="s">
        <v>158</v>
      </c>
      <c r="Q1405" t="s">
        <v>5548</v>
      </c>
      <c r="R1405">
        <v>36.048000000000002</v>
      </c>
      <c r="S1405">
        <v>3</v>
      </c>
      <c r="T1405">
        <v>0.2</v>
      </c>
      <c r="U1405">
        <v>-0.9012</v>
      </c>
      <c r="V1405" t="str">
        <f t="shared" si="21"/>
        <v>Brosina Hoffman</v>
      </c>
      <c r="W1405">
        <f>Table2[Profit]/Table2[Sales]</f>
        <v>-2.4999999999999998E-2</v>
      </c>
    </row>
    <row r="1406" spans="1:23" x14ac:dyDescent="0.25">
      <c r="A1406">
        <v>1405</v>
      </c>
      <c r="B1406" t="s">
        <v>5895</v>
      </c>
      <c r="C1406" s="1">
        <v>42731</v>
      </c>
      <c r="D1406" s="1">
        <v>42735</v>
      </c>
      <c r="E1406" t="s">
        <v>49</v>
      </c>
      <c r="F1406" t="s">
        <v>3387</v>
      </c>
      <c r="G1406" t="s">
        <v>3388</v>
      </c>
      <c r="H1406" t="s">
        <v>40</v>
      </c>
      <c r="I1406" t="s">
        <v>26</v>
      </c>
      <c r="J1406" t="s">
        <v>5559</v>
      </c>
      <c r="K1406" t="s">
        <v>208</v>
      </c>
      <c r="L1406">
        <v>60098</v>
      </c>
      <c r="M1406" t="s">
        <v>104</v>
      </c>
      <c r="N1406" t="s">
        <v>2030</v>
      </c>
      <c r="O1406" t="s">
        <v>31</v>
      </c>
      <c r="P1406" t="s">
        <v>35</v>
      </c>
      <c r="Q1406" t="s">
        <v>2031</v>
      </c>
      <c r="R1406">
        <v>845.48800000000006</v>
      </c>
      <c r="S1406">
        <v>8</v>
      </c>
      <c r="T1406">
        <v>0.3</v>
      </c>
      <c r="U1406">
        <v>-12.0784</v>
      </c>
      <c r="V1406" t="str">
        <f t="shared" si="21"/>
        <v>Brooke Gillingham</v>
      </c>
      <c r="W1406">
        <f>Table2[Profit]/Table2[Sales]</f>
        <v>-1.4285714285714285E-2</v>
      </c>
    </row>
    <row r="1407" spans="1:23" x14ac:dyDescent="0.25">
      <c r="A1407">
        <v>1406</v>
      </c>
      <c r="B1407" t="s">
        <v>5896</v>
      </c>
      <c r="C1407" s="1">
        <v>43056</v>
      </c>
      <c r="D1407" s="1">
        <v>43059</v>
      </c>
      <c r="E1407" t="s">
        <v>185</v>
      </c>
      <c r="F1407" t="s">
        <v>1631</v>
      </c>
      <c r="G1407" t="s">
        <v>1632</v>
      </c>
      <c r="H1407" t="s">
        <v>25</v>
      </c>
      <c r="I1407" t="s">
        <v>26</v>
      </c>
      <c r="J1407" t="s">
        <v>4010</v>
      </c>
      <c r="K1407" t="s">
        <v>1233</v>
      </c>
      <c r="L1407">
        <v>2149</v>
      </c>
      <c r="M1407" t="s">
        <v>145</v>
      </c>
      <c r="N1407" t="s">
        <v>868</v>
      </c>
      <c r="O1407" t="s">
        <v>45</v>
      </c>
      <c r="P1407" t="s">
        <v>67</v>
      </c>
      <c r="Q1407" t="s">
        <v>869</v>
      </c>
      <c r="R1407">
        <v>50.94</v>
      </c>
      <c r="S1407">
        <v>3</v>
      </c>
      <c r="T1407">
        <v>0</v>
      </c>
      <c r="U1407">
        <v>14.263199999999999</v>
      </c>
      <c r="V1407" t="str">
        <f t="shared" si="21"/>
        <v>Xylona Preis</v>
      </c>
      <c r="W1407">
        <f>Table2[Profit]/Table2[Sales]</f>
        <v>0.28000000000000003</v>
      </c>
    </row>
    <row r="1408" spans="1:23" x14ac:dyDescent="0.25">
      <c r="A1408">
        <v>1407</v>
      </c>
      <c r="B1408" t="s">
        <v>5897</v>
      </c>
      <c r="C1408" s="1">
        <v>42988</v>
      </c>
      <c r="D1408" s="1">
        <v>42993</v>
      </c>
      <c r="E1408" t="s">
        <v>49</v>
      </c>
      <c r="F1408" t="s">
        <v>3103</v>
      </c>
      <c r="G1408" t="s">
        <v>3104</v>
      </c>
      <c r="H1408" t="s">
        <v>101</v>
      </c>
      <c r="I1408" t="s">
        <v>26</v>
      </c>
      <c r="J1408" t="s">
        <v>296</v>
      </c>
      <c r="K1408" t="s">
        <v>208</v>
      </c>
      <c r="L1408">
        <v>60653</v>
      </c>
      <c r="M1408" t="s">
        <v>104</v>
      </c>
      <c r="N1408" t="s">
        <v>1718</v>
      </c>
      <c r="O1408" t="s">
        <v>45</v>
      </c>
      <c r="P1408" t="s">
        <v>74</v>
      </c>
      <c r="Q1408" t="s">
        <v>1719</v>
      </c>
      <c r="R1408">
        <v>762.59400000000005</v>
      </c>
      <c r="S1408">
        <v>3</v>
      </c>
      <c r="T1408">
        <v>0.8</v>
      </c>
      <c r="U1408">
        <v>-1143.8910000000001</v>
      </c>
      <c r="V1408" t="str">
        <f t="shared" si="21"/>
        <v>Skye Norling</v>
      </c>
      <c r="W1408">
        <f>Table2[Profit]/Table2[Sales]</f>
        <v>-1.5</v>
      </c>
    </row>
    <row r="1409" spans="1:23" x14ac:dyDescent="0.25">
      <c r="A1409">
        <v>1408</v>
      </c>
      <c r="B1409" t="s">
        <v>5898</v>
      </c>
      <c r="C1409" s="1">
        <v>42833</v>
      </c>
      <c r="D1409" s="1">
        <v>42840</v>
      </c>
      <c r="E1409" t="s">
        <v>49</v>
      </c>
      <c r="F1409" t="s">
        <v>5899</v>
      </c>
      <c r="G1409" t="s">
        <v>5900</v>
      </c>
      <c r="H1409" t="s">
        <v>40</v>
      </c>
      <c r="I1409" t="s">
        <v>26</v>
      </c>
      <c r="J1409" t="s">
        <v>3203</v>
      </c>
      <c r="K1409" t="s">
        <v>1260</v>
      </c>
      <c r="L1409">
        <v>30076</v>
      </c>
      <c r="M1409" t="s">
        <v>29</v>
      </c>
      <c r="N1409" t="s">
        <v>5901</v>
      </c>
      <c r="O1409" t="s">
        <v>31</v>
      </c>
      <c r="P1409" t="s">
        <v>64</v>
      </c>
      <c r="Q1409" t="s">
        <v>5902</v>
      </c>
      <c r="R1409">
        <v>56.28</v>
      </c>
      <c r="S1409">
        <v>6</v>
      </c>
      <c r="T1409">
        <v>0</v>
      </c>
      <c r="U1409">
        <v>15.7584</v>
      </c>
      <c r="V1409" t="str">
        <f t="shared" si="21"/>
        <v>Denise Monton</v>
      </c>
      <c r="W1409">
        <f>Table2[Profit]/Table2[Sales]</f>
        <v>0.27999999999999997</v>
      </c>
    </row>
    <row r="1410" spans="1:23" x14ac:dyDescent="0.25">
      <c r="A1410">
        <v>1409</v>
      </c>
      <c r="B1410" t="s">
        <v>5903</v>
      </c>
      <c r="C1410" s="1">
        <v>42702</v>
      </c>
      <c r="D1410" s="1">
        <v>42707</v>
      </c>
      <c r="E1410" t="s">
        <v>49</v>
      </c>
      <c r="F1410" t="s">
        <v>2636</v>
      </c>
      <c r="G1410" t="s">
        <v>2637</v>
      </c>
      <c r="H1410" t="s">
        <v>40</v>
      </c>
      <c r="I1410" t="s">
        <v>26</v>
      </c>
      <c r="J1410" t="s">
        <v>2257</v>
      </c>
      <c r="K1410" t="s">
        <v>53</v>
      </c>
      <c r="L1410">
        <v>32137</v>
      </c>
      <c r="M1410" t="s">
        <v>29</v>
      </c>
      <c r="N1410" t="s">
        <v>3298</v>
      </c>
      <c r="O1410" t="s">
        <v>45</v>
      </c>
      <c r="P1410" t="s">
        <v>74</v>
      </c>
      <c r="Q1410" t="s">
        <v>3299</v>
      </c>
      <c r="R1410">
        <v>7.4340000000000002</v>
      </c>
      <c r="S1410">
        <v>6</v>
      </c>
      <c r="T1410">
        <v>0.7</v>
      </c>
      <c r="U1410">
        <v>-5.6993999999999998</v>
      </c>
      <c r="V1410" t="str">
        <f t="shared" si="21"/>
        <v>Anthony Jacobs</v>
      </c>
      <c r="W1410">
        <f>Table2[Profit]/Table2[Sales]</f>
        <v>-0.76666666666666661</v>
      </c>
    </row>
    <row r="1411" spans="1:23" x14ac:dyDescent="0.25">
      <c r="A1411">
        <v>1410</v>
      </c>
      <c r="B1411" t="s">
        <v>5904</v>
      </c>
      <c r="C1411" s="1">
        <v>42523</v>
      </c>
      <c r="D1411" s="1">
        <v>42526</v>
      </c>
      <c r="E1411" t="s">
        <v>185</v>
      </c>
      <c r="F1411" t="s">
        <v>2823</v>
      </c>
      <c r="G1411" t="s">
        <v>2824</v>
      </c>
      <c r="H1411" t="s">
        <v>40</v>
      </c>
      <c r="I1411" t="s">
        <v>26</v>
      </c>
      <c r="J1411" t="s">
        <v>143</v>
      </c>
      <c r="K1411" t="s">
        <v>144</v>
      </c>
      <c r="L1411">
        <v>19120</v>
      </c>
      <c r="M1411" t="s">
        <v>145</v>
      </c>
      <c r="N1411" t="s">
        <v>1750</v>
      </c>
      <c r="O1411" t="s">
        <v>45</v>
      </c>
      <c r="P1411" t="s">
        <v>58</v>
      </c>
      <c r="Q1411" t="s">
        <v>1751</v>
      </c>
      <c r="R1411">
        <v>64.784000000000006</v>
      </c>
      <c r="S1411">
        <v>1</v>
      </c>
      <c r="T1411">
        <v>0.2</v>
      </c>
      <c r="U1411">
        <v>-12.956799999999999</v>
      </c>
      <c r="V1411" t="str">
        <f t="shared" ref="V1411:V1474" si="22">TRIM(G1411)</f>
        <v>Karen Carlisle</v>
      </c>
      <c r="W1411">
        <f>Table2[Profit]/Table2[Sales]</f>
        <v>-0.19999999999999998</v>
      </c>
    </row>
    <row r="1412" spans="1:23" x14ac:dyDescent="0.25">
      <c r="A1412">
        <v>1411</v>
      </c>
      <c r="B1412" t="s">
        <v>5905</v>
      </c>
      <c r="C1412" s="1">
        <v>43086</v>
      </c>
      <c r="D1412" s="1">
        <v>43091</v>
      </c>
      <c r="E1412" t="s">
        <v>49</v>
      </c>
      <c r="F1412" t="s">
        <v>5906</v>
      </c>
      <c r="G1412" t="s">
        <v>5907</v>
      </c>
      <c r="H1412" t="s">
        <v>101</v>
      </c>
      <c r="I1412" t="s">
        <v>26</v>
      </c>
      <c r="J1412" t="s">
        <v>490</v>
      </c>
      <c r="K1412" t="s">
        <v>251</v>
      </c>
      <c r="L1412">
        <v>47201</v>
      </c>
      <c r="M1412" t="s">
        <v>104</v>
      </c>
      <c r="N1412" t="s">
        <v>2808</v>
      </c>
      <c r="O1412" t="s">
        <v>45</v>
      </c>
      <c r="P1412" t="s">
        <v>89</v>
      </c>
      <c r="Q1412" t="s">
        <v>2809</v>
      </c>
      <c r="R1412">
        <v>28.16</v>
      </c>
      <c r="S1412">
        <v>4</v>
      </c>
      <c r="T1412">
        <v>0</v>
      </c>
      <c r="U1412">
        <v>13.235200000000001</v>
      </c>
      <c r="V1412" t="str">
        <f t="shared" si="22"/>
        <v>Vicky Freymann</v>
      </c>
      <c r="W1412">
        <f>Table2[Profit]/Table2[Sales]</f>
        <v>0.47000000000000003</v>
      </c>
    </row>
    <row r="1413" spans="1:23" x14ac:dyDescent="0.25">
      <c r="A1413">
        <v>1412</v>
      </c>
      <c r="B1413" t="s">
        <v>5908</v>
      </c>
      <c r="C1413" s="1">
        <v>42448</v>
      </c>
      <c r="D1413" s="1">
        <v>42450</v>
      </c>
      <c r="E1413" t="s">
        <v>22</v>
      </c>
      <c r="F1413" t="s">
        <v>5207</v>
      </c>
      <c r="G1413" t="s">
        <v>5208</v>
      </c>
      <c r="H1413" t="s">
        <v>25</v>
      </c>
      <c r="I1413" t="s">
        <v>26</v>
      </c>
      <c r="J1413" t="s">
        <v>2311</v>
      </c>
      <c r="K1413" t="s">
        <v>264</v>
      </c>
      <c r="L1413">
        <v>11572</v>
      </c>
      <c r="M1413" t="s">
        <v>145</v>
      </c>
      <c r="N1413" t="s">
        <v>5909</v>
      </c>
      <c r="O1413" t="s">
        <v>31</v>
      </c>
      <c r="P1413" t="s">
        <v>64</v>
      </c>
      <c r="Q1413" t="s">
        <v>5910</v>
      </c>
      <c r="R1413">
        <v>14.98</v>
      </c>
      <c r="S1413">
        <v>1</v>
      </c>
      <c r="T1413">
        <v>0</v>
      </c>
      <c r="U1413">
        <v>6.8907999999999996</v>
      </c>
      <c r="V1413" t="str">
        <f t="shared" si="22"/>
        <v>Susan Vittorini</v>
      </c>
      <c r="W1413">
        <f>Table2[Profit]/Table2[Sales]</f>
        <v>0.45999999999999996</v>
      </c>
    </row>
    <row r="1414" spans="1:23" x14ac:dyDescent="0.25">
      <c r="A1414">
        <v>1413</v>
      </c>
      <c r="B1414" t="s">
        <v>5911</v>
      </c>
      <c r="C1414" s="1">
        <v>42967</v>
      </c>
      <c r="D1414" s="1">
        <v>42967</v>
      </c>
      <c r="E1414" t="s">
        <v>1278</v>
      </c>
      <c r="F1414" t="s">
        <v>5345</v>
      </c>
      <c r="G1414" t="s">
        <v>5346</v>
      </c>
      <c r="H1414" t="s">
        <v>40</v>
      </c>
      <c r="I1414" t="s">
        <v>26</v>
      </c>
      <c r="J1414" t="s">
        <v>606</v>
      </c>
      <c r="K1414" t="s">
        <v>1233</v>
      </c>
      <c r="L1414">
        <v>2038</v>
      </c>
      <c r="M1414" t="s">
        <v>145</v>
      </c>
      <c r="N1414" t="s">
        <v>3990</v>
      </c>
      <c r="O1414" t="s">
        <v>45</v>
      </c>
      <c r="P1414" t="s">
        <v>58</v>
      </c>
      <c r="Q1414" t="s">
        <v>3991</v>
      </c>
      <c r="R1414">
        <v>40.29</v>
      </c>
      <c r="S1414">
        <v>3</v>
      </c>
      <c r="T1414">
        <v>0</v>
      </c>
      <c r="U1414">
        <v>10.4754</v>
      </c>
      <c r="V1414" t="str">
        <f t="shared" si="22"/>
        <v>Eleni McCrary</v>
      </c>
      <c r="W1414">
        <f>Table2[Profit]/Table2[Sales]</f>
        <v>0.26</v>
      </c>
    </row>
    <row r="1415" spans="1:23" x14ac:dyDescent="0.25">
      <c r="A1415">
        <v>1414</v>
      </c>
      <c r="B1415" t="s">
        <v>5912</v>
      </c>
      <c r="C1415" s="1">
        <v>42941</v>
      </c>
      <c r="D1415" s="1">
        <v>42947</v>
      </c>
      <c r="E1415" t="s">
        <v>49</v>
      </c>
      <c r="F1415" t="s">
        <v>1538</v>
      </c>
      <c r="G1415" t="s">
        <v>1539</v>
      </c>
      <c r="H1415" t="s">
        <v>25</v>
      </c>
      <c r="I1415" t="s">
        <v>26</v>
      </c>
      <c r="J1415" t="s">
        <v>5215</v>
      </c>
      <c r="K1415" t="s">
        <v>5216</v>
      </c>
      <c r="L1415">
        <v>57103</v>
      </c>
      <c r="M1415" t="s">
        <v>104</v>
      </c>
      <c r="N1415" t="s">
        <v>5610</v>
      </c>
      <c r="O1415" t="s">
        <v>45</v>
      </c>
      <c r="P1415" t="s">
        <v>46</v>
      </c>
      <c r="Q1415" t="s">
        <v>5611</v>
      </c>
      <c r="R1415">
        <v>20.23</v>
      </c>
      <c r="S1415">
        <v>7</v>
      </c>
      <c r="T1415">
        <v>0</v>
      </c>
      <c r="U1415">
        <v>9.5081000000000007</v>
      </c>
      <c r="V1415" t="str">
        <f t="shared" si="22"/>
        <v>Raymond Buch</v>
      </c>
      <c r="W1415">
        <f>Table2[Profit]/Table2[Sales]</f>
        <v>0.47000000000000003</v>
      </c>
    </row>
    <row r="1416" spans="1:23" x14ac:dyDescent="0.25">
      <c r="A1416">
        <v>1415</v>
      </c>
      <c r="B1416" t="s">
        <v>5913</v>
      </c>
      <c r="C1416" s="1">
        <v>42608</v>
      </c>
      <c r="D1416" s="1">
        <v>42611</v>
      </c>
      <c r="E1416" t="s">
        <v>185</v>
      </c>
      <c r="F1416" t="s">
        <v>1171</v>
      </c>
      <c r="G1416" t="s">
        <v>1172</v>
      </c>
      <c r="H1416" t="s">
        <v>40</v>
      </c>
      <c r="I1416" t="s">
        <v>26</v>
      </c>
      <c r="J1416" t="s">
        <v>941</v>
      </c>
      <c r="K1416" t="s">
        <v>42</v>
      </c>
      <c r="L1416">
        <v>92037</v>
      </c>
      <c r="M1416" t="s">
        <v>43</v>
      </c>
      <c r="N1416" t="s">
        <v>1702</v>
      </c>
      <c r="O1416" t="s">
        <v>31</v>
      </c>
      <c r="P1416" t="s">
        <v>35</v>
      </c>
      <c r="Q1416" t="s">
        <v>1703</v>
      </c>
      <c r="R1416">
        <v>1603.136</v>
      </c>
      <c r="S1416">
        <v>4</v>
      </c>
      <c r="T1416">
        <v>0.2</v>
      </c>
      <c r="U1416">
        <v>100.196</v>
      </c>
      <c r="V1416" t="str">
        <f t="shared" si="22"/>
        <v>Don Jones</v>
      </c>
      <c r="W1416">
        <f>Table2[Profit]/Table2[Sales]</f>
        <v>6.25E-2</v>
      </c>
    </row>
    <row r="1417" spans="1:23" x14ac:dyDescent="0.25">
      <c r="A1417">
        <v>1416</v>
      </c>
      <c r="B1417" t="s">
        <v>5914</v>
      </c>
      <c r="C1417" s="1">
        <v>42597</v>
      </c>
      <c r="D1417" s="1">
        <v>42599</v>
      </c>
      <c r="E1417" t="s">
        <v>22</v>
      </c>
      <c r="F1417" t="s">
        <v>5915</v>
      </c>
      <c r="G1417" t="s">
        <v>5916</v>
      </c>
      <c r="H1417" t="s">
        <v>25</v>
      </c>
      <c r="I1417" t="s">
        <v>26</v>
      </c>
      <c r="J1417" t="s">
        <v>1682</v>
      </c>
      <c r="K1417" t="s">
        <v>87</v>
      </c>
      <c r="L1417">
        <v>28314</v>
      </c>
      <c r="M1417" t="s">
        <v>29</v>
      </c>
      <c r="N1417" t="s">
        <v>4525</v>
      </c>
      <c r="O1417" t="s">
        <v>31</v>
      </c>
      <c r="P1417" t="s">
        <v>35</v>
      </c>
      <c r="Q1417" t="s">
        <v>4526</v>
      </c>
      <c r="R1417">
        <v>225.29599999999999</v>
      </c>
      <c r="S1417">
        <v>2</v>
      </c>
      <c r="T1417">
        <v>0.2</v>
      </c>
      <c r="U1417">
        <v>22.529599999999999</v>
      </c>
      <c r="V1417" t="str">
        <f t="shared" si="22"/>
        <v>Christopher Conant</v>
      </c>
      <c r="W1417">
        <f>Table2[Profit]/Table2[Sales]</f>
        <v>9.9999999999999992E-2</v>
      </c>
    </row>
    <row r="1418" spans="1:23" x14ac:dyDescent="0.25">
      <c r="A1418">
        <v>1417</v>
      </c>
      <c r="B1418" t="s">
        <v>5917</v>
      </c>
      <c r="C1418" s="1">
        <v>42874</v>
      </c>
      <c r="D1418" s="1">
        <v>42878</v>
      </c>
      <c r="E1418" t="s">
        <v>49</v>
      </c>
      <c r="F1418" t="s">
        <v>5407</v>
      </c>
      <c r="G1418" t="s">
        <v>5408</v>
      </c>
      <c r="H1418" t="s">
        <v>25</v>
      </c>
      <c r="I1418" t="s">
        <v>26</v>
      </c>
      <c r="J1418" t="s">
        <v>1712</v>
      </c>
      <c r="K1418" t="s">
        <v>1260</v>
      </c>
      <c r="L1418">
        <v>30318</v>
      </c>
      <c r="M1418" t="s">
        <v>29</v>
      </c>
      <c r="N1418" t="s">
        <v>2538</v>
      </c>
      <c r="O1418" t="s">
        <v>70</v>
      </c>
      <c r="P1418" t="s">
        <v>158</v>
      </c>
      <c r="Q1418" t="s">
        <v>2539</v>
      </c>
      <c r="R1418">
        <v>67.8</v>
      </c>
      <c r="S1418">
        <v>4</v>
      </c>
      <c r="T1418">
        <v>0</v>
      </c>
      <c r="U1418">
        <v>4.0679999999999996</v>
      </c>
      <c r="V1418" t="str">
        <f t="shared" si="22"/>
        <v>Shahid Collister</v>
      </c>
      <c r="W1418">
        <f>Table2[Profit]/Table2[Sales]</f>
        <v>0.06</v>
      </c>
    </row>
    <row r="1419" spans="1:23" x14ac:dyDescent="0.25">
      <c r="A1419">
        <v>1418</v>
      </c>
      <c r="B1419" t="s">
        <v>5920</v>
      </c>
      <c r="C1419" s="1">
        <v>42959</v>
      </c>
      <c r="D1419" s="1">
        <v>42964</v>
      </c>
      <c r="E1419" t="s">
        <v>49</v>
      </c>
      <c r="F1419" t="s">
        <v>2464</v>
      </c>
      <c r="G1419" t="s">
        <v>2465</v>
      </c>
      <c r="H1419" t="s">
        <v>25</v>
      </c>
      <c r="I1419" t="s">
        <v>26</v>
      </c>
      <c r="J1419" t="s">
        <v>5921</v>
      </c>
      <c r="K1419" t="s">
        <v>53</v>
      </c>
      <c r="L1419">
        <v>32839</v>
      </c>
      <c r="M1419" t="s">
        <v>29</v>
      </c>
      <c r="N1419" t="s">
        <v>5651</v>
      </c>
      <c r="O1419" t="s">
        <v>45</v>
      </c>
      <c r="P1419" t="s">
        <v>89</v>
      </c>
      <c r="Q1419" t="s">
        <v>5652</v>
      </c>
      <c r="R1419">
        <v>20.736000000000001</v>
      </c>
      <c r="S1419">
        <v>4</v>
      </c>
      <c r="T1419">
        <v>0.2</v>
      </c>
      <c r="U1419">
        <v>7.2576000000000001</v>
      </c>
      <c r="V1419" t="str">
        <f t="shared" si="22"/>
        <v>Rick Hansen</v>
      </c>
      <c r="W1419">
        <f>Table2[Profit]/Table2[Sales]</f>
        <v>0.35</v>
      </c>
    </row>
    <row r="1420" spans="1:23" x14ac:dyDescent="0.25">
      <c r="A1420">
        <v>1419</v>
      </c>
      <c r="B1420" t="s">
        <v>5922</v>
      </c>
      <c r="C1420" s="1">
        <v>42960</v>
      </c>
      <c r="D1420" s="1">
        <v>42960</v>
      </c>
      <c r="E1420" t="s">
        <v>1278</v>
      </c>
      <c r="F1420" t="s">
        <v>2234</v>
      </c>
      <c r="G1420" t="s">
        <v>2235</v>
      </c>
      <c r="H1420" t="s">
        <v>25</v>
      </c>
      <c r="I1420" t="s">
        <v>26</v>
      </c>
      <c r="J1420" t="s">
        <v>126</v>
      </c>
      <c r="K1420" t="s">
        <v>42</v>
      </c>
      <c r="L1420">
        <v>94122</v>
      </c>
      <c r="M1420" t="s">
        <v>43</v>
      </c>
      <c r="N1420" t="s">
        <v>1800</v>
      </c>
      <c r="O1420" t="s">
        <v>45</v>
      </c>
      <c r="P1420" t="s">
        <v>58</v>
      </c>
      <c r="Q1420" t="s">
        <v>1801</v>
      </c>
      <c r="R1420">
        <v>31.44</v>
      </c>
      <c r="S1420">
        <v>3</v>
      </c>
      <c r="T1420">
        <v>0</v>
      </c>
      <c r="U1420">
        <v>8.4887999999999995</v>
      </c>
      <c r="V1420" t="str">
        <f t="shared" si="22"/>
        <v>Jay Kimmel</v>
      </c>
      <c r="W1420">
        <f>Table2[Profit]/Table2[Sales]</f>
        <v>0.26999999999999996</v>
      </c>
    </row>
    <row r="1421" spans="1:23" x14ac:dyDescent="0.25">
      <c r="A1421">
        <v>1420</v>
      </c>
      <c r="B1421" t="s">
        <v>5923</v>
      </c>
      <c r="C1421" s="1">
        <v>42684</v>
      </c>
      <c r="D1421" s="1">
        <v>42686</v>
      </c>
      <c r="E1421" t="s">
        <v>22</v>
      </c>
      <c r="F1421" t="s">
        <v>2586</v>
      </c>
      <c r="G1421" t="s">
        <v>2587</v>
      </c>
      <c r="H1421" t="s">
        <v>25</v>
      </c>
      <c r="I1421" t="s">
        <v>26</v>
      </c>
      <c r="J1421" t="s">
        <v>2797</v>
      </c>
      <c r="K1421" t="s">
        <v>491</v>
      </c>
      <c r="L1421">
        <v>43615</v>
      </c>
      <c r="M1421" t="s">
        <v>145</v>
      </c>
      <c r="N1421" t="s">
        <v>1284</v>
      </c>
      <c r="O1421" t="s">
        <v>45</v>
      </c>
      <c r="P1421" t="s">
        <v>572</v>
      </c>
      <c r="Q1421" t="s">
        <v>1285</v>
      </c>
      <c r="R1421">
        <v>14.72</v>
      </c>
      <c r="S1421">
        <v>5</v>
      </c>
      <c r="T1421">
        <v>0.2</v>
      </c>
      <c r="U1421">
        <v>-3.3119999999999998</v>
      </c>
      <c r="V1421" t="str">
        <f t="shared" si="22"/>
        <v>Art Foster</v>
      </c>
      <c r="W1421">
        <f>Table2[Profit]/Table2[Sales]</f>
        <v>-0.22499999999999998</v>
      </c>
    </row>
    <row r="1422" spans="1:23" x14ac:dyDescent="0.25">
      <c r="A1422">
        <v>1421</v>
      </c>
      <c r="B1422" t="s">
        <v>5924</v>
      </c>
      <c r="C1422" s="1">
        <v>42898</v>
      </c>
      <c r="D1422" s="1">
        <v>42905</v>
      </c>
      <c r="E1422" t="s">
        <v>49</v>
      </c>
      <c r="F1422" t="s">
        <v>558</v>
      </c>
      <c r="G1422" t="s">
        <v>559</v>
      </c>
      <c r="H1422" t="s">
        <v>25</v>
      </c>
      <c r="I1422" t="s">
        <v>26</v>
      </c>
      <c r="J1422" t="s">
        <v>1141</v>
      </c>
      <c r="K1422" t="s">
        <v>53</v>
      </c>
      <c r="L1422">
        <v>33710</v>
      </c>
      <c r="M1422" t="s">
        <v>29</v>
      </c>
      <c r="N1422" t="s">
        <v>5925</v>
      </c>
      <c r="O1422" t="s">
        <v>31</v>
      </c>
      <c r="P1422" t="s">
        <v>64</v>
      </c>
      <c r="Q1422" t="s">
        <v>5926</v>
      </c>
      <c r="R1422">
        <v>17.088000000000001</v>
      </c>
      <c r="S1422">
        <v>2</v>
      </c>
      <c r="T1422">
        <v>0.2</v>
      </c>
      <c r="U1422">
        <v>1.0680000000000001</v>
      </c>
      <c r="V1422" t="str">
        <f t="shared" si="22"/>
        <v>Lena Creighton</v>
      </c>
      <c r="W1422">
        <f>Table2[Profit]/Table2[Sales]</f>
        <v>6.25E-2</v>
      </c>
    </row>
    <row r="1423" spans="1:23" x14ac:dyDescent="0.25">
      <c r="A1423">
        <v>1422</v>
      </c>
      <c r="B1423" t="s">
        <v>5927</v>
      </c>
      <c r="C1423" s="1">
        <v>41720</v>
      </c>
      <c r="D1423" s="1">
        <v>41724</v>
      </c>
      <c r="E1423" t="s">
        <v>49</v>
      </c>
      <c r="F1423" t="s">
        <v>5928</v>
      </c>
      <c r="G1423" t="s">
        <v>5929</v>
      </c>
      <c r="H1423" t="s">
        <v>40</v>
      </c>
      <c r="I1423" t="s">
        <v>26</v>
      </c>
      <c r="J1423" t="s">
        <v>1299</v>
      </c>
      <c r="K1423" t="s">
        <v>303</v>
      </c>
      <c r="L1423">
        <v>85705</v>
      </c>
      <c r="M1423" t="s">
        <v>43</v>
      </c>
      <c r="N1423" t="s">
        <v>5301</v>
      </c>
      <c r="O1423" t="s">
        <v>45</v>
      </c>
      <c r="P1423" t="s">
        <v>89</v>
      </c>
      <c r="Q1423" t="s">
        <v>5302</v>
      </c>
      <c r="R1423">
        <v>74.352000000000004</v>
      </c>
      <c r="S1423">
        <v>3</v>
      </c>
      <c r="T1423">
        <v>0.2</v>
      </c>
      <c r="U1423">
        <v>23.234999999999999</v>
      </c>
      <c r="V1423" t="str">
        <f t="shared" si="22"/>
        <v>Beth Fritzler</v>
      </c>
      <c r="W1423">
        <f>Table2[Profit]/Table2[Sales]</f>
        <v>0.3125</v>
      </c>
    </row>
    <row r="1424" spans="1:23" x14ac:dyDescent="0.25">
      <c r="A1424">
        <v>1423</v>
      </c>
      <c r="B1424" t="s">
        <v>5930</v>
      </c>
      <c r="C1424" s="1">
        <v>42901</v>
      </c>
      <c r="D1424" s="1">
        <v>42906</v>
      </c>
      <c r="E1424" t="s">
        <v>49</v>
      </c>
      <c r="F1424" t="s">
        <v>4785</v>
      </c>
      <c r="G1424" t="s">
        <v>4786</v>
      </c>
      <c r="H1424" t="s">
        <v>25</v>
      </c>
      <c r="I1424" t="s">
        <v>26</v>
      </c>
      <c r="J1424" t="s">
        <v>41</v>
      </c>
      <c r="K1424" t="s">
        <v>42</v>
      </c>
      <c r="L1424">
        <v>90036</v>
      </c>
      <c r="M1424" t="s">
        <v>43</v>
      </c>
      <c r="N1424" t="s">
        <v>1252</v>
      </c>
      <c r="O1424" t="s">
        <v>45</v>
      </c>
      <c r="P1424" t="s">
        <v>67</v>
      </c>
      <c r="Q1424" t="s">
        <v>1253</v>
      </c>
      <c r="R1424">
        <v>4.26</v>
      </c>
      <c r="S1424">
        <v>1</v>
      </c>
      <c r="T1424">
        <v>0</v>
      </c>
      <c r="U1424">
        <v>1.7465999999999999</v>
      </c>
      <c r="V1424" t="str">
        <f t="shared" si="22"/>
        <v>Stuart Calhoun</v>
      </c>
      <c r="W1424">
        <f>Table2[Profit]/Table2[Sales]</f>
        <v>0.41000000000000003</v>
      </c>
    </row>
    <row r="1425" spans="1:23" x14ac:dyDescent="0.25">
      <c r="A1425">
        <v>1424</v>
      </c>
      <c r="B1425" t="s">
        <v>5931</v>
      </c>
      <c r="C1425" s="1">
        <v>43055</v>
      </c>
      <c r="D1425" s="1">
        <v>43061</v>
      </c>
      <c r="E1425" t="s">
        <v>49</v>
      </c>
      <c r="F1425" t="s">
        <v>2855</v>
      </c>
      <c r="G1425" t="s">
        <v>2856</v>
      </c>
      <c r="H1425" t="s">
        <v>25</v>
      </c>
      <c r="I1425" t="s">
        <v>26</v>
      </c>
      <c r="J1425" t="s">
        <v>941</v>
      </c>
      <c r="K1425" t="s">
        <v>42</v>
      </c>
      <c r="L1425">
        <v>92105</v>
      </c>
      <c r="M1425" t="s">
        <v>43</v>
      </c>
      <c r="N1425" t="s">
        <v>2052</v>
      </c>
      <c r="O1425" t="s">
        <v>45</v>
      </c>
      <c r="P1425" t="s">
        <v>58</v>
      </c>
      <c r="Q1425" t="s">
        <v>2053</v>
      </c>
      <c r="R1425">
        <v>811.28</v>
      </c>
      <c r="S1425">
        <v>8</v>
      </c>
      <c r="T1425">
        <v>0</v>
      </c>
      <c r="U1425">
        <v>24.3384</v>
      </c>
      <c r="V1425" t="str">
        <f t="shared" si="22"/>
        <v>Scott Williamson</v>
      </c>
      <c r="W1425">
        <f>Table2[Profit]/Table2[Sales]</f>
        <v>3.0000000000000002E-2</v>
      </c>
    </row>
    <row r="1426" spans="1:23" x14ac:dyDescent="0.25">
      <c r="A1426">
        <v>1425</v>
      </c>
      <c r="B1426" t="s">
        <v>5932</v>
      </c>
      <c r="C1426" s="1">
        <v>43098</v>
      </c>
      <c r="D1426" s="1">
        <v>43100</v>
      </c>
      <c r="E1426" t="s">
        <v>185</v>
      </c>
      <c r="F1426" t="s">
        <v>2193</v>
      </c>
      <c r="G1426" t="s">
        <v>2194</v>
      </c>
      <c r="H1426" t="s">
        <v>25</v>
      </c>
      <c r="I1426" t="s">
        <v>26</v>
      </c>
      <c r="J1426" t="s">
        <v>263</v>
      </c>
      <c r="K1426" t="s">
        <v>264</v>
      </c>
      <c r="L1426">
        <v>10035</v>
      </c>
      <c r="M1426" t="s">
        <v>145</v>
      </c>
      <c r="N1426" t="s">
        <v>567</v>
      </c>
      <c r="O1426" t="s">
        <v>45</v>
      </c>
      <c r="P1426" t="s">
        <v>266</v>
      </c>
      <c r="Q1426" t="s">
        <v>568</v>
      </c>
      <c r="R1426">
        <v>6.03</v>
      </c>
      <c r="S1426">
        <v>3</v>
      </c>
      <c r="T1426">
        <v>0</v>
      </c>
      <c r="U1426">
        <v>2.9546999999999999</v>
      </c>
      <c r="V1426" t="str">
        <f t="shared" si="22"/>
        <v>Michael Chen</v>
      </c>
      <c r="W1426">
        <f>Table2[Profit]/Table2[Sales]</f>
        <v>0.48999999999999994</v>
      </c>
    </row>
    <row r="1427" spans="1:23" x14ac:dyDescent="0.25">
      <c r="A1427">
        <v>1426</v>
      </c>
      <c r="B1427" t="s">
        <v>5933</v>
      </c>
      <c r="C1427" s="1">
        <v>42390</v>
      </c>
      <c r="D1427" s="1">
        <v>42392</v>
      </c>
      <c r="E1427" t="s">
        <v>22</v>
      </c>
      <c r="F1427" t="s">
        <v>1230</v>
      </c>
      <c r="G1427" t="s">
        <v>1231</v>
      </c>
      <c r="H1427" t="s">
        <v>25</v>
      </c>
      <c r="I1427" t="s">
        <v>26</v>
      </c>
      <c r="J1427" t="s">
        <v>941</v>
      </c>
      <c r="K1427" t="s">
        <v>42</v>
      </c>
      <c r="L1427">
        <v>92037</v>
      </c>
      <c r="M1427" t="s">
        <v>43</v>
      </c>
      <c r="N1427" t="s">
        <v>3811</v>
      </c>
      <c r="O1427" t="s">
        <v>31</v>
      </c>
      <c r="P1427" t="s">
        <v>35</v>
      </c>
      <c r="Q1427" t="s">
        <v>3812</v>
      </c>
      <c r="R1427">
        <v>153.56800000000001</v>
      </c>
      <c r="S1427">
        <v>2</v>
      </c>
      <c r="T1427">
        <v>0.2</v>
      </c>
      <c r="U1427">
        <v>-5.7587999999999999</v>
      </c>
      <c r="V1427" t="str">
        <f t="shared" si="22"/>
        <v>Tamara Dahlen</v>
      </c>
      <c r="W1427">
        <f>Table2[Profit]/Table2[Sales]</f>
        <v>-3.7499999999999999E-2</v>
      </c>
    </row>
    <row r="1428" spans="1:23" x14ac:dyDescent="0.25">
      <c r="A1428">
        <v>1427</v>
      </c>
      <c r="B1428" t="s">
        <v>5934</v>
      </c>
      <c r="C1428" s="1">
        <v>42384</v>
      </c>
      <c r="D1428" s="1">
        <v>42388</v>
      </c>
      <c r="E1428" t="s">
        <v>49</v>
      </c>
      <c r="F1428" t="s">
        <v>5800</v>
      </c>
      <c r="G1428" t="s">
        <v>5801</v>
      </c>
      <c r="H1428" t="s">
        <v>101</v>
      </c>
      <c r="I1428" t="s">
        <v>26</v>
      </c>
      <c r="J1428" t="s">
        <v>780</v>
      </c>
      <c r="K1428" t="s">
        <v>781</v>
      </c>
      <c r="L1428">
        <v>7090</v>
      </c>
      <c r="M1428" t="s">
        <v>145</v>
      </c>
      <c r="N1428" t="s">
        <v>4930</v>
      </c>
      <c r="O1428" t="s">
        <v>45</v>
      </c>
      <c r="P1428" t="s">
        <v>170</v>
      </c>
      <c r="Q1428" t="s">
        <v>4931</v>
      </c>
      <c r="R1428">
        <v>52.34</v>
      </c>
      <c r="S1428">
        <v>2</v>
      </c>
      <c r="T1428">
        <v>0</v>
      </c>
      <c r="U1428">
        <v>24.599799999999998</v>
      </c>
      <c r="V1428" t="str">
        <f t="shared" si="22"/>
        <v>Dean percer</v>
      </c>
      <c r="W1428">
        <f>Table2[Profit]/Table2[Sales]</f>
        <v>0.46999999999999992</v>
      </c>
    </row>
    <row r="1429" spans="1:23" x14ac:dyDescent="0.25">
      <c r="A1429">
        <v>1428</v>
      </c>
      <c r="B1429" t="s">
        <v>5935</v>
      </c>
      <c r="C1429" s="1">
        <v>42632</v>
      </c>
      <c r="D1429" s="1">
        <v>42636</v>
      </c>
      <c r="E1429" t="s">
        <v>22</v>
      </c>
      <c r="F1429" t="s">
        <v>1483</v>
      </c>
      <c r="G1429" t="s">
        <v>1484</v>
      </c>
      <c r="H1429" t="s">
        <v>101</v>
      </c>
      <c r="I1429" t="s">
        <v>26</v>
      </c>
      <c r="J1429" t="s">
        <v>5936</v>
      </c>
      <c r="K1429" t="s">
        <v>781</v>
      </c>
      <c r="L1429">
        <v>7050</v>
      </c>
      <c r="M1429" t="s">
        <v>145</v>
      </c>
      <c r="N1429" t="s">
        <v>107</v>
      </c>
      <c r="O1429" t="s">
        <v>45</v>
      </c>
      <c r="P1429" t="s">
        <v>74</v>
      </c>
      <c r="Q1429" t="s">
        <v>108</v>
      </c>
      <c r="R1429">
        <v>25.44</v>
      </c>
      <c r="S1429">
        <v>6</v>
      </c>
      <c r="T1429">
        <v>0</v>
      </c>
      <c r="U1429">
        <v>12.72</v>
      </c>
      <c r="V1429" t="str">
        <f t="shared" si="22"/>
        <v>Shirley Daniels</v>
      </c>
      <c r="W1429">
        <f>Table2[Profit]/Table2[Sales]</f>
        <v>0.5</v>
      </c>
    </row>
    <row r="1430" spans="1:23" x14ac:dyDescent="0.25">
      <c r="A1430">
        <v>1429</v>
      </c>
      <c r="B1430" t="s">
        <v>5937</v>
      </c>
      <c r="C1430" s="1">
        <v>41691</v>
      </c>
      <c r="D1430" s="1">
        <v>41695</v>
      </c>
      <c r="E1430" t="s">
        <v>49</v>
      </c>
      <c r="F1430" t="s">
        <v>5338</v>
      </c>
      <c r="G1430" t="s">
        <v>5339</v>
      </c>
      <c r="H1430" t="s">
        <v>25</v>
      </c>
      <c r="I1430" t="s">
        <v>26</v>
      </c>
      <c r="J1430" t="s">
        <v>5559</v>
      </c>
      <c r="K1430" t="s">
        <v>208</v>
      </c>
      <c r="L1430">
        <v>60098</v>
      </c>
      <c r="M1430" t="s">
        <v>104</v>
      </c>
      <c r="N1430" t="s">
        <v>2335</v>
      </c>
      <c r="O1430" t="s">
        <v>45</v>
      </c>
      <c r="P1430" t="s">
        <v>74</v>
      </c>
      <c r="Q1430" t="s">
        <v>2336</v>
      </c>
      <c r="R1430">
        <v>8.85</v>
      </c>
      <c r="S1430">
        <v>5</v>
      </c>
      <c r="T1430">
        <v>0.8</v>
      </c>
      <c r="U1430">
        <v>-13.717499999999999</v>
      </c>
      <c r="V1430" t="str">
        <f t="shared" si="22"/>
        <v>Tamara Manning</v>
      </c>
      <c r="W1430">
        <f>Table2[Profit]/Table2[Sales]</f>
        <v>-1.55</v>
      </c>
    </row>
    <row r="1431" spans="1:23" x14ac:dyDescent="0.25">
      <c r="A1431">
        <v>1430</v>
      </c>
      <c r="B1431" t="s">
        <v>5938</v>
      </c>
      <c r="C1431" s="1">
        <v>42685</v>
      </c>
      <c r="D1431" s="1">
        <v>42690</v>
      </c>
      <c r="E1431" t="s">
        <v>22</v>
      </c>
      <c r="F1431" t="s">
        <v>2611</v>
      </c>
      <c r="G1431" t="s">
        <v>2612</v>
      </c>
      <c r="H1431" t="s">
        <v>25</v>
      </c>
      <c r="I1431" t="s">
        <v>26</v>
      </c>
      <c r="J1431" t="s">
        <v>126</v>
      </c>
      <c r="K1431" t="s">
        <v>42</v>
      </c>
      <c r="L1431">
        <v>94110</v>
      </c>
      <c r="M1431" t="s">
        <v>43</v>
      </c>
      <c r="N1431" t="s">
        <v>3252</v>
      </c>
      <c r="O1431" t="s">
        <v>31</v>
      </c>
      <c r="P1431" t="s">
        <v>64</v>
      </c>
      <c r="Q1431" t="s">
        <v>3253</v>
      </c>
      <c r="R1431">
        <v>6.96</v>
      </c>
      <c r="S1431">
        <v>4</v>
      </c>
      <c r="T1431">
        <v>0</v>
      </c>
      <c r="U1431">
        <v>2.2271999999999998</v>
      </c>
      <c r="V1431" t="str">
        <f t="shared" si="22"/>
        <v>Berenike Kampe</v>
      </c>
      <c r="W1431">
        <f>Table2[Profit]/Table2[Sales]</f>
        <v>0.32</v>
      </c>
    </row>
    <row r="1432" spans="1:23" x14ac:dyDescent="0.25">
      <c r="A1432">
        <v>1431</v>
      </c>
      <c r="B1432" t="s">
        <v>5939</v>
      </c>
      <c r="C1432" s="1">
        <v>42399</v>
      </c>
      <c r="D1432" s="1">
        <v>42403</v>
      </c>
      <c r="E1432" t="s">
        <v>49</v>
      </c>
      <c r="F1432" t="s">
        <v>1887</v>
      </c>
      <c r="G1432" t="s">
        <v>1888</v>
      </c>
      <c r="H1432" t="s">
        <v>25</v>
      </c>
      <c r="I1432" t="s">
        <v>26</v>
      </c>
      <c r="J1432" t="s">
        <v>126</v>
      </c>
      <c r="K1432" t="s">
        <v>42</v>
      </c>
      <c r="L1432">
        <v>94122</v>
      </c>
      <c r="M1432" t="s">
        <v>43</v>
      </c>
      <c r="N1432" t="s">
        <v>2440</v>
      </c>
      <c r="O1432" t="s">
        <v>45</v>
      </c>
      <c r="P1432" t="s">
        <v>74</v>
      </c>
      <c r="Q1432" t="s">
        <v>2441</v>
      </c>
      <c r="R1432">
        <v>17.456</v>
      </c>
      <c r="S1432">
        <v>2</v>
      </c>
      <c r="T1432">
        <v>0.2</v>
      </c>
      <c r="U1432">
        <v>5.8914</v>
      </c>
      <c r="V1432" t="str">
        <f t="shared" si="22"/>
        <v>Jeremy Farry</v>
      </c>
      <c r="W1432">
        <f>Table2[Profit]/Table2[Sales]</f>
        <v>0.33750000000000002</v>
      </c>
    </row>
    <row r="1433" spans="1:23" x14ac:dyDescent="0.25">
      <c r="A1433">
        <v>1432</v>
      </c>
      <c r="B1433" t="s">
        <v>5940</v>
      </c>
      <c r="C1433" s="1">
        <v>42661</v>
      </c>
      <c r="D1433" s="1">
        <v>42665</v>
      </c>
      <c r="E1433" t="s">
        <v>49</v>
      </c>
      <c r="F1433" t="s">
        <v>1803</v>
      </c>
      <c r="G1433" t="s">
        <v>1804</v>
      </c>
      <c r="H1433" t="s">
        <v>25</v>
      </c>
      <c r="I1433" t="s">
        <v>26</v>
      </c>
      <c r="J1433" t="s">
        <v>3989</v>
      </c>
      <c r="K1433" t="s">
        <v>303</v>
      </c>
      <c r="L1433">
        <v>85281</v>
      </c>
      <c r="M1433" t="s">
        <v>43</v>
      </c>
      <c r="N1433" t="s">
        <v>1521</v>
      </c>
      <c r="O1433" t="s">
        <v>31</v>
      </c>
      <c r="P1433" t="s">
        <v>35</v>
      </c>
      <c r="Q1433" t="s">
        <v>1522</v>
      </c>
      <c r="R1433">
        <v>307.92</v>
      </c>
      <c r="S1433">
        <v>5</v>
      </c>
      <c r="T1433">
        <v>0.2</v>
      </c>
      <c r="U1433">
        <v>-34.640999999999998</v>
      </c>
      <c r="V1433" t="str">
        <f t="shared" si="22"/>
        <v>Emily Phan</v>
      </c>
      <c r="W1433">
        <f>Table2[Profit]/Table2[Sales]</f>
        <v>-0.11249999999999999</v>
      </c>
    </row>
    <row r="1434" spans="1:23" x14ac:dyDescent="0.25">
      <c r="A1434">
        <v>1433</v>
      </c>
      <c r="B1434" t="s">
        <v>5941</v>
      </c>
      <c r="C1434" s="1">
        <v>43087</v>
      </c>
      <c r="D1434" s="1">
        <v>43088</v>
      </c>
      <c r="E1434" t="s">
        <v>185</v>
      </c>
      <c r="F1434" t="s">
        <v>1803</v>
      </c>
      <c r="G1434" t="s">
        <v>1804</v>
      </c>
      <c r="H1434" t="s">
        <v>25</v>
      </c>
      <c r="I1434" t="s">
        <v>26</v>
      </c>
      <c r="J1434" t="s">
        <v>41</v>
      </c>
      <c r="K1434" t="s">
        <v>42</v>
      </c>
      <c r="L1434">
        <v>90008</v>
      </c>
      <c r="M1434" t="s">
        <v>43</v>
      </c>
      <c r="N1434" t="s">
        <v>1732</v>
      </c>
      <c r="O1434" t="s">
        <v>45</v>
      </c>
      <c r="P1434" t="s">
        <v>67</v>
      </c>
      <c r="Q1434" t="s">
        <v>1733</v>
      </c>
      <c r="R1434">
        <v>6.63</v>
      </c>
      <c r="S1434">
        <v>3</v>
      </c>
      <c r="T1434">
        <v>0</v>
      </c>
      <c r="U1434">
        <v>1.7901</v>
      </c>
      <c r="V1434" t="str">
        <f t="shared" si="22"/>
        <v>Emily Phan</v>
      </c>
      <c r="W1434">
        <f>Table2[Profit]/Table2[Sales]</f>
        <v>0.27</v>
      </c>
    </row>
    <row r="1435" spans="1:23" x14ac:dyDescent="0.25">
      <c r="A1435">
        <v>1434</v>
      </c>
      <c r="B1435" t="s">
        <v>5942</v>
      </c>
      <c r="C1435" s="1">
        <v>43041</v>
      </c>
      <c r="D1435" s="1">
        <v>43045</v>
      </c>
      <c r="E1435" t="s">
        <v>49</v>
      </c>
      <c r="F1435" t="s">
        <v>1489</v>
      </c>
      <c r="G1435" t="s">
        <v>1490</v>
      </c>
      <c r="H1435" t="s">
        <v>40</v>
      </c>
      <c r="I1435" t="s">
        <v>26</v>
      </c>
      <c r="J1435" t="s">
        <v>94</v>
      </c>
      <c r="K1435" t="s">
        <v>95</v>
      </c>
      <c r="L1435">
        <v>98105</v>
      </c>
      <c r="M1435" t="s">
        <v>43</v>
      </c>
      <c r="N1435" t="s">
        <v>5943</v>
      </c>
      <c r="O1435" t="s">
        <v>45</v>
      </c>
      <c r="P1435" t="s">
        <v>89</v>
      </c>
      <c r="Q1435" t="s">
        <v>5944</v>
      </c>
      <c r="R1435">
        <v>23.85</v>
      </c>
      <c r="S1435">
        <v>5</v>
      </c>
      <c r="T1435">
        <v>0</v>
      </c>
      <c r="U1435">
        <v>10.7325</v>
      </c>
      <c r="V1435" t="str">
        <f t="shared" si="22"/>
        <v>Ken Heidel</v>
      </c>
      <c r="W1435">
        <f>Table2[Profit]/Table2[Sales]</f>
        <v>0.44999999999999996</v>
      </c>
    </row>
    <row r="1436" spans="1:23" x14ac:dyDescent="0.25">
      <c r="A1436">
        <v>1435</v>
      </c>
      <c r="B1436" t="s">
        <v>5945</v>
      </c>
      <c r="C1436" s="1">
        <v>41758</v>
      </c>
      <c r="D1436" s="1">
        <v>41760</v>
      </c>
      <c r="E1436" t="s">
        <v>22</v>
      </c>
      <c r="F1436" t="s">
        <v>5946</v>
      </c>
      <c r="G1436" t="s">
        <v>5947</v>
      </c>
      <c r="H1436" t="s">
        <v>25</v>
      </c>
      <c r="I1436" t="s">
        <v>26</v>
      </c>
      <c r="J1436" t="s">
        <v>5948</v>
      </c>
      <c r="K1436" t="s">
        <v>729</v>
      </c>
      <c r="L1436">
        <v>70601</v>
      </c>
      <c r="M1436" t="s">
        <v>29</v>
      </c>
      <c r="N1436" t="s">
        <v>3050</v>
      </c>
      <c r="O1436" t="s">
        <v>31</v>
      </c>
      <c r="P1436" t="s">
        <v>35</v>
      </c>
      <c r="Q1436" t="s">
        <v>3051</v>
      </c>
      <c r="R1436">
        <v>51.96</v>
      </c>
      <c r="S1436">
        <v>2</v>
      </c>
      <c r="T1436">
        <v>0</v>
      </c>
      <c r="U1436">
        <v>12.99</v>
      </c>
      <c r="V1436" t="str">
        <f t="shared" si="22"/>
        <v>Harry Greene</v>
      </c>
      <c r="W1436">
        <f>Table2[Profit]/Table2[Sales]</f>
        <v>0.25</v>
      </c>
    </row>
    <row r="1437" spans="1:23" x14ac:dyDescent="0.25">
      <c r="A1437">
        <v>1436</v>
      </c>
      <c r="B1437" t="s">
        <v>5949</v>
      </c>
      <c r="C1437" s="1">
        <v>43031</v>
      </c>
      <c r="D1437" s="1">
        <v>43037</v>
      </c>
      <c r="E1437" t="s">
        <v>49</v>
      </c>
      <c r="F1437" t="s">
        <v>364</v>
      </c>
      <c r="G1437" t="s">
        <v>365</v>
      </c>
      <c r="H1437" t="s">
        <v>40</v>
      </c>
      <c r="I1437" t="s">
        <v>26</v>
      </c>
      <c r="J1437" t="s">
        <v>382</v>
      </c>
      <c r="K1437" t="s">
        <v>264</v>
      </c>
      <c r="L1437">
        <v>14609</v>
      </c>
      <c r="M1437" t="s">
        <v>145</v>
      </c>
      <c r="N1437" t="s">
        <v>5950</v>
      </c>
      <c r="O1437" t="s">
        <v>45</v>
      </c>
      <c r="P1437" t="s">
        <v>89</v>
      </c>
      <c r="Q1437" t="s">
        <v>5951</v>
      </c>
      <c r="R1437">
        <v>11.56</v>
      </c>
      <c r="S1437">
        <v>2</v>
      </c>
      <c r="T1437">
        <v>0</v>
      </c>
      <c r="U1437">
        <v>5.6643999999999997</v>
      </c>
      <c r="V1437" t="str">
        <f t="shared" si="22"/>
        <v>Julie Creighton</v>
      </c>
      <c r="W1437">
        <f>Table2[Profit]/Table2[Sales]</f>
        <v>0.48999999999999994</v>
      </c>
    </row>
    <row r="1438" spans="1:23" x14ac:dyDescent="0.25">
      <c r="A1438">
        <v>1437</v>
      </c>
      <c r="B1438" t="s">
        <v>5954</v>
      </c>
      <c r="C1438" s="1">
        <v>41728</v>
      </c>
      <c r="D1438" s="1">
        <v>41732</v>
      </c>
      <c r="E1438" t="s">
        <v>49</v>
      </c>
      <c r="F1438" t="s">
        <v>283</v>
      </c>
      <c r="G1438" t="s">
        <v>284</v>
      </c>
      <c r="H1438" t="s">
        <v>25</v>
      </c>
      <c r="I1438" t="s">
        <v>26</v>
      </c>
      <c r="J1438" t="s">
        <v>1161</v>
      </c>
      <c r="K1438" t="s">
        <v>264</v>
      </c>
      <c r="L1438">
        <v>11561</v>
      </c>
      <c r="M1438" t="s">
        <v>145</v>
      </c>
      <c r="N1438" t="s">
        <v>4159</v>
      </c>
      <c r="O1438" t="s">
        <v>45</v>
      </c>
      <c r="P1438" t="s">
        <v>67</v>
      </c>
      <c r="Q1438" t="s">
        <v>4160</v>
      </c>
      <c r="R1438">
        <v>49.65</v>
      </c>
      <c r="S1438">
        <v>5</v>
      </c>
      <c r="T1438">
        <v>0</v>
      </c>
      <c r="U1438">
        <v>20.853000000000002</v>
      </c>
      <c r="V1438" t="str">
        <f t="shared" si="22"/>
        <v>Kunst Miller</v>
      </c>
      <c r="W1438">
        <f>Table2[Profit]/Table2[Sales]</f>
        <v>0.42000000000000004</v>
      </c>
    </row>
    <row r="1439" spans="1:23" x14ac:dyDescent="0.25">
      <c r="A1439">
        <v>1438</v>
      </c>
      <c r="B1439" t="s">
        <v>5955</v>
      </c>
      <c r="C1439" s="1">
        <v>42373</v>
      </c>
      <c r="D1439" s="1">
        <v>42378</v>
      </c>
      <c r="E1439" t="s">
        <v>49</v>
      </c>
      <c r="F1439" t="s">
        <v>3526</v>
      </c>
      <c r="G1439" t="s">
        <v>3527</v>
      </c>
      <c r="H1439" t="s">
        <v>40</v>
      </c>
      <c r="I1439" t="s">
        <v>26</v>
      </c>
      <c r="J1439" t="s">
        <v>460</v>
      </c>
      <c r="K1439" t="s">
        <v>87</v>
      </c>
      <c r="L1439">
        <v>28205</v>
      </c>
      <c r="M1439" t="s">
        <v>29</v>
      </c>
      <c r="N1439" t="s">
        <v>5312</v>
      </c>
      <c r="O1439" t="s">
        <v>70</v>
      </c>
      <c r="P1439" t="s">
        <v>1204</v>
      </c>
      <c r="Q1439" t="s">
        <v>5313</v>
      </c>
      <c r="R1439">
        <v>959.96799999999996</v>
      </c>
      <c r="S1439">
        <v>4</v>
      </c>
      <c r="T1439">
        <v>0.2</v>
      </c>
      <c r="U1439">
        <v>119.996</v>
      </c>
      <c r="V1439" t="str">
        <f t="shared" si="22"/>
        <v>Erica Bern</v>
      </c>
      <c r="W1439">
        <f>Table2[Profit]/Table2[Sales]</f>
        <v>0.125</v>
      </c>
    </row>
    <row r="1440" spans="1:23" x14ac:dyDescent="0.25">
      <c r="A1440">
        <v>1439</v>
      </c>
      <c r="B1440" t="s">
        <v>5956</v>
      </c>
      <c r="C1440" s="1">
        <v>42120</v>
      </c>
      <c r="D1440" s="1">
        <v>42124</v>
      </c>
      <c r="E1440" t="s">
        <v>49</v>
      </c>
      <c r="F1440" t="s">
        <v>5386</v>
      </c>
      <c r="G1440" t="s">
        <v>5387</v>
      </c>
      <c r="H1440" t="s">
        <v>25</v>
      </c>
      <c r="I1440" t="s">
        <v>26</v>
      </c>
      <c r="J1440" t="s">
        <v>181</v>
      </c>
      <c r="K1440" t="s">
        <v>103</v>
      </c>
      <c r="L1440">
        <v>77036</v>
      </c>
      <c r="M1440" t="s">
        <v>104</v>
      </c>
      <c r="N1440" t="s">
        <v>1128</v>
      </c>
      <c r="O1440" t="s">
        <v>31</v>
      </c>
      <c r="P1440" t="s">
        <v>35</v>
      </c>
      <c r="Q1440" t="s">
        <v>1129</v>
      </c>
      <c r="R1440">
        <v>408.42200000000003</v>
      </c>
      <c r="S1440">
        <v>2</v>
      </c>
      <c r="T1440">
        <v>0.3</v>
      </c>
      <c r="U1440">
        <v>-5.8346</v>
      </c>
      <c r="V1440" t="str">
        <f t="shared" si="22"/>
        <v>Pierre Wener</v>
      </c>
      <c r="W1440">
        <f>Table2[Profit]/Table2[Sales]</f>
        <v>-1.4285714285714285E-2</v>
      </c>
    </row>
    <row r="1441" spans="1:23" x14ac:dyDescent="0.25">
      <c r="A1441">
        <v>1440</v>
      </c>
      <c r="B1441" t="s">
        <v>5957</v>
      </c>
      <c r="C1441" s="1">
        <v>42259</v>
      </c>
      <c r="D1441" s="1">
        <v>42264</v>
      </c>
      <c r="E1441" t="s">
        <v>49</v>
      </c>
      <c r="F1441" t="s">
        <v>380</v>
      </c>
      <c r="G1441" t="s">
        <v>381</v>
      </c>
      <c r="H1441" t="s">
        <v>25</v>
      </c>
      <c r="I1441" t="s">
        <v>26</v>
      </c>
      <c r="J1441" t="s">
        <v>263</v>
      </c>
      <c r="K1441" t="s">
        <v>264</v>
      </c>
      <c r="L1441">
        <v>10035</v>
      </c>
      <c r="M1441" t="s">
        <v>145</v>
      </c>
      <c r="N1441" t="s">
        <v>5312</v>
      </c>
      <c r="O1441" t="s">
        <v>70</v>
      </c>
      <c r="P1441" t="s">
        <v>1204</v>
      </c>
      <c r="Q1441" t="s">
        <v>5313</v>
      </c>
      <c r="R1441">
        <v>479.98399999999998</v>
      </c>
      <c r="S1441">
        <v>2</v>
      </c>
      <c r="T1441">
        <v>0.2</v>
      </c>
      <c r="U1441">
        <v>59.997999999999998</v>
      </c>
      <c r="V1441" t="str">
        <f t="shared" si="22"/>
        <v>Paul Gonzalez</v>
      </c>
      <c r="W1441">
        <f>Table2[Profit]/Table2[Sales]</f>
        <v>0.125</v>
      </c>
    </row>
    <row r="1442" spans="1:23" x14ac:dyDescent="0.25">
      <c r="A1442">
        <v>1441</v>
      </c>
      <c r="B1442" t="s">
        <v>5958</v>
      </c>
      <c r="C1442" s="1">
        <v>42989</v>
      </c>
      <c r="D1442" s="1">
        <v>42993</v>
      </c>
      <c r="E1442" t="s">
        <v>49</v>
      </c>
      <c r="F1442" t="s">
        <v>5487</v>
      </c>
      <c r="G1442" t="s">
        <v>5488</v>
      </c>
      <c r="H1442" t="s">
        <v>101</v>
      </c>
      <c r="I1442" t="s">
        <v>26</v>
      </c>
      <c r="J1442" t="s">
        <v>490</v>
      </c>
      <c r="K1442" t="s">
        <v>1260</v>
      </c>
      <c r="L1442">
        <v>31907</v>
      </c>
      <c r="M1442" t="s">
        <v>29</v>
      </c>
      <c r="N1442" t="s">
        <v>3004</v>
      </c>
      <c r="O1442" t="s">
        <v>45</v>
      </c>
      <c r="P1442" t="s">
        <v>89</v>
      </c>
      <c r="Q1442" t="s">
        <v>3005</v>
      </c>
      <c r="R1442">
        <v>184.66</v>
      </c>
      <c r="S1442">
        <v>7</v>
      </c>
      <c r="T1442">
        <v>0</v>
      </c>
      <c r="U1442">
        <v>84.943600000000004</v>
      </c>
      <c r="V1442" t="str">
        <f t="shared" si="22"/>
        <v>Daniel Byrd</v>
      </c>
      <c r="W1442">
        <f>Table2[Profit]/Table2[Sales]</f>
        <v>0.46</v>
      </c>
    </row>
    <row r="1443" spans="1:23" x14ac:dyDescent="0.25">
      <c r="A1443">
        <v>1442</v>
      </c>
      <c r="B1443" t="s">
        <v>5959</v>
      </c>
      <c r="C1443" s="1">
        <v>42533</v>
      </c>
      <c r="D1443" s="1">
        <v>42538</v>
      </c>
      <c r="E1443" t="s">
        <v>49</v>
      </c>
      <c r="F1443" t="s">
        <v>2120</v>
      </c>
      <c r="G1443" t="s">
        <v>2121</v>
      </c>
      <c r="H1443" t="s">
        <v>25</v>
      </c>
      <c r="I1443" t="s">
        <v>26</v>
      </c>
      <c r="J1443" t="s">
        <v>296</v>
      </c>
      <c r="K1443" t="s">
        <v>208</v>
      </c>
      <c r="L1443">
        <v>60610</v>
      </c>
      <c r="M1443" t="s">
        <v>104</v>
      </c>
      <c r="N1443" t="s">
        <v>4757</v>
      </c>
      <c r="O1443" t="s">
        <v>45</v>
      </c>
      <c r="P1443" t="s">
        <v>89</v>
      </c>
      <c r="Q1443" t="s">
        <v>4758</v>
      </c>
      <c r="R1443">
        <v>23.12</v>
      </c>
      <c r="S1443">
        <v>5</v>
      </c>
      <c r="T1443">
        <v>0.2</v>
      </c>
      <c r="U1443">
        <v>8.3810000000000002</v>
      </c>
      <c r="V1443" t="str">
        <f t="shared" si="22"/>
        <v>Craig Reiter</v>
      </c>
      <c r="W1443">
        <f>Table2[Profit]/Table2[Sales]</f>
        <v>0.36249999999999999</v>
      </c>
    </row>
    <row r="1444" spans="1:23" x14ac:dyDescent="0.25">
      <c r="A1444">
        <v>1443</v>
      </c>
      <c r="B1444" t="s">
        <v>5960</v>
      </c>
      <c r="C1444" s="1">
        <v>42548</v>
      </c>
      <c r="D1444" s="1">
        <v>42552</v>
      </c>
      <c r="E1444" t="s">
        <v>49</v>
      </c>
      <c r="F1444" t="s">
        <v>4522</v>
      </c>
      <c r="G1444" t="s">
        <v>4523</v>
      </c>
      <c r="H1444" t="s">
        <v>40</v>
      </c>
      <c r="I1444" t="s">
        <v>26</v>
      </c>
      <c r="J1444" t="s">
        <v>5961</v>
      </c>
      <c r="K1444" t="s">
        <v>208</v>
      </c>
      <c r="L1444">
        <v>60035</v>
      </c>
      <c r="M1444" t="s">
        <v>104</v>
      </c>
      <c r="N1444" t="s">
        <v>4164</v>
      </c>
      <c r="O1444" t="s">
        <v>45</v>
      </c>
      <c r="P1444" t="s">
        <v>89</v>
      </c>
      <c r="Q1444" t="s">
        <v>4165</v>
      </c>
      <c r="R1444">
        <v>37.463999999999999</v>
      </c>
      <c r="S1444">
        <v>7</v>
      </c>
      <c r="T1444">
        <v>0.2</v>
      </c>
      <c r="U1444">
        <v>12.175800000000001</v>
      </c>
      <c r="V1444" t="str">
        <f t="shared" si="22"/>
        <v>Katharine Harms</v>
      </c>
      <c r="W1444">
        <f>Table2[Profit]/Table2[Sales]</f>
        <v>0.32500000000000001</v>
      </c>
    </row>
    <row r="1445" spans="1:23" x14ac:dyDescent="0.25">
      <c r="A1445">
        <v>1444</v>
      </c>
      <c r="B1445" t="s">
        <v>5962</v>
      </c>
      <c r="C1445" s="1">
        <v>41908</v>
      </c>
      <c r="D1445" s="1">
        <v>41912</v>
      </c>
      <c r="E1445" t="s">
        <v>49</v>
      </c>
      <c r="F1445" t="s">
        <v>370</v>
      </c>
      <c r="G1445" t="s">
        <v>371</v>
      </c>
      <c r="H1445" t="s">
        <v>101</v>
      </c>
      <c r="I1445" t="s">
        <v>26</v>
      </c>
      <c r="J1445" t="s">
        <v>94</v>
      </c>
      <c r="K1445" t="s">
        <v>95</v>
      </c>
      <c r="L1445">
        <v>98115</v>
      </c>
      <c r="M1445" t="s">
        <v>43</v>
      </c>
      <c r="N1445" t="s">
        <v>5963</v>
      </c>
      <c r="O1445" t="s">
        <v>45</v>
      </c>
      <c r="P1445" t="s">
        <v>58</v>
      </c>
      <c r="Q1445" t="s">
        <v>5964</v>
      </c>
      <c r="R1445">
        <v>310.12</v>
      </c>
      <c r="S1445">
        <v>2</v>
      </c>
      <c r="T1445">
        <v>0</v>
      </c>
      <c r="U1445">
        <v>80.631200000000007</v>
      </c>
      <c r="V1445" t="str">
        <f t="shared" si="22"/>
        <v>Christopher Schild</v>
      </c>
      <c r="W1445">
        <f>Table2[Profit]/Table2[Sales]</f>
        <v>0.26</v>
      </c>
    </row>
    <row r="1446" spans="1:23" x14ac:dyDescent="0.25">
      <c r="A1446">
        <v>1445</v>
      </c>
      <c r="B1446" t="s">
        <v>5965</v>
      </c>
      <c r="C1446" s="1">
        <v>43042</v>
      </c>
      <c r="D1446" s="1">
        <v>43048</v>
      </c>
      <c r="E1446" t="s">
        <v>49</v>
      </c>
      <c r="F1446" t="s">
        <v>2863</v>
      </c>
      <c r="G1446" t="s">
        <v>2864</v>
      </c>
      <c r="H1446" t="s">
        <v>25</v>
      </c>
      <c r="I1446" t="s">
        <v>26</v>
      </c>
      <c r="J1446" t="s">
        <v>225</v>
      </c>
      <c r="K1446" t="s">
        <v>226</v>
      </c>
      <c r="L1446">
        <v>55122</v>
      </c>
      <c r="M1446" t="s">
        <v>104</v>
      </c>
      <c r="N1446" t="s">
        <v>5966</v>
      </c>
      <c r="O1446" t="s">
        <v>45</v>
      </c>
      <c r="P1446" t="s">
        <v>89</v>
      </c>
      <c r="Q1446" t="s">
        <v>5967</v>
      </c>
      <c r="R1446">
        <v>8.56</v>
      </c>
      <c r="S1446">
        <v>2</v>
      </c>
      <c r="T1446">
        <v>0</v>
      </c>
      <c r="U1446">
        <v>3.8519999999999999</v>
      </c>
      <c r="V1446" t="str">
        <f t="shared" si="22"/>
        <v>Daniel Lacy</v>
      </c>
      <c r="W1446">
        <f>Table2[Profit]/Table2[Sales]</f>
        <v>0.44999999999999996</v>
      </c>
    </row>
    <row r="1447" spans="1:23" x14ac:dyDescent="0.25">
      <c r="A1447">
        <v>1446</v>
      </c>
      <c r="B1447" t="s">
        <v>5968</v>
      </c>
      <c r="C1447" s="1">
        <v>42785</v>
      </c>
      <c r="D1447" s="1">
        <v>42789</v>
      </c>
      <c r="E1447" t="s">
        <v>49</v>
      </c>
      <c r="F1447" t="s">
        <v>2068</v>
      </c>
      <c r="G1447" t="s">
        <v>2069</v>
      </c>
      <c r="H1447" t="s">
        <v>25</v>
      </c>
      <c r="I1447" t="s">
        <v>26</v>
      </c>
      <c r="J1447" t="s">
        <v>94</v>
      </c>
      <c r="K1447" t="s">
        <v>95</v>
      </c>
      <c r="L1447">
        <v>98103</v>
      </c>
      <c r="M1447" t="s">
        <v>43</v>
      </c>
      <c r="N1447" t="s">
        <v>3983</v>
      </c>
      <c r="O1447" t="s">
        <v>45</v>
      </c>
      <c r="P1447" t="s">
        <v>266</v>
      </c>
      <c r="Q1447" t="s">
        <v>3984</v>
      </c>
      <c r="R1447">
        <v>11.22</v>
      </c>
      <c r="S1447">
        <v>3</v>
      </c>
      <c r="T1447">
        <v>0</v>
      </c>
      <c r="U1447">
        <v>0.22439999999999999</v>
      </c>
      <c r="V1447" t="str">
        <f t="shared" si="22"/>
        <v>Max Engle</v>
      </c>
      <c r="W1447">
        <f>Table2[Profit]/Table2[Sales]</f>
        <v>1.9999999999999997E-2</v>
      </c>
    </row>
    <row r="1448" spans="1:23" x14ac:dyDescent="0.25">
      <c r="A1448">
        <v>1447</v>
      </c>
      <c r="B1448" t="s">
        <v>5969</v>
      </c>
      <c r="C1448" s="1">
        <v>42313</v>
      </c>
      <c r="D1448" s="1">
        <v>42317</v>
      </c>
      <c r="E1448" t="s">
        <v>49</v>
      </c>
      <c r="F1448" t="s">
        <v>881</v>
      </c>
      <c r="G1448" t="s">
        <v>882</v>
      </c>
      <c r="H1448" t="s">
        <v>25</v>
      </c>
      <c r="I1448" t="s">
        <v>26</v>
      </c>
      <c r="J1448" t="s">
        <v>3340</v>
      </c>
      <c r="K1448" t="s">
        <v>53</v>
      </c>
      <c r="L1448">
        <v>33065</v>
      </c>
      <c r="M1448" t="s">
        <v>29</v>
      </c>
      <c r="N1448" t="s">
        <v>2481</v>
      </c>
      <c r="O1448" t="s">
        <v>45</v>
      </c>
      <c r="P1448" t="s">
        <v>77</v>
      </c>
      <c r="Q1448" t="s">
        <v>3270</v>
      </c>
      <c r="R1448">
        <v>387.13600000000002</v>
      </c>
      <c r="S1448">
        <v>4</v>
      </c>
      <c r="T1448">
        <v>0.2</v>
      </c>
      <c r="U1448">
        <v>24.196000000000002</v>
      </c>
      <c r="V1448" t="str">
        <f t="shared" si="22"/>
        <v>Valerie Dominguez</v>
      </c>
      <c r="W1448">
        <f>Table2[Profit]/Table2[Sales]</f>
        <v>6.25E-2</v>
      </c>
    </row>
    <row r="1449" spans="1:23" x14ac:dyDescent="0.25">
      <c r="A1449">
        <v>1448</v>
      </c>
      <c r="B1449" t="s">
        <v>5970</v>
      </c>
      <c r="C1449" s="1">
        <v>41806</v>
      </c>
      <c r="D1449" s="1">
        <v>41811</v>
      </c>
      <c r="E1449" t="s">
        <v>49</v>
      </c>
      <c r="F1449" t="s">
        <v>1974</v>
      </c>
      <c r="G1449" t="s">
        <v>1975</v>
      </c>
      <c r="H1449" t="s">
        <v>25</v>
      </c>
      <c r="I1449" t="s">
        <v>26</v>
      </c>
      <c r="J1449" t="s">
        <v>5971</v>
      </c>
      <c r="K1449" t="s">
        <v>264</v>
      </c>
      <c r="L1449">
        <v>11550</v>
      </c>
      <c r="M1449" t="s">
        <v>145</v>
      </c>
      <c r="N1449" t="s">
        <v>5972</v>
      </c>
      <c r="O1449" t="s">
        <v>45</v>
      </c>
      <c r="P1449" t="s">
        <v>170</v>
      </c>
      <c r="Q1449" t="s">
        <v>662</v>
      </c>
      <c r="R1449">
        <v>41.4</v>
      </c>
      <c r="S1449">
        <v>5</v>
      </c>
      <c r="T1449">
        <v>0</v>
      </c>
      <c r="U1449">
        <v>19.457999999999998</v>
      </c>
      <c r="V1449" t="str">
        <f t="shared" si="22"/>
        <v>Chloris Kastensmidt</v>
      </c>
      <c r="W1449">
        <f>Table2[Profit]/Table2[Sales]</f>
        <v>0.47</v>
      </c>
    </row>
    <row r="1450" spans="1:23" x14ac:dyDescent="0.25">
      <c r="A1450">
        <v>1449</v>
      </c>
      <c r="B1450" t="s">
        <v>5973</v>
      </c>
      <c r="C1450" s="1">
        <v>42289</v>
      </c>
      <c r="D1450" s="1">
        <v>42294</v>
      </c>
      <c r="E1450" t="s">
        <v>22</v>
      </c>
      <c r="F1450" t="s">
        <v>2863</v>
      </c>
      <c r="G1450" t="s">
        <v>2864</v>
      </c>
      <c r="H1450" t="s">
        <v>25</v>
      </c>
      <c r="I1450" t="s">
        <v>26</v>
      </c>
      <c r="J1450" t="s">
        <v>5974</v>
      </c>
      <c r="K1450" t="s">
        <v>251</v>
      </c>
      <c r="L1450">
        <v>46060</v>
      </c>
      <c r="M1450" t="s">
        <v>104</v>
      </c>
      <c r="N1450" t="s">
        <v>5707</v>
      </c>
      <c r="O1450" t="s">
        <v>70</v>
      </c>
      <c r="P1450" t="s">
        <v>71</v>
      </c>
      <c r="Q1450" t="s">
        <v>5708</v>
      </c>
      <c r="R1450">
        <v>135.72</v>
      </c>
      <c r="S1450">
        <v>3</v>
      </c>
      <c r="T1450">
        <v>0</v>
      </c>
      <c r="U1450">
        <v>35.287199999999999</v>
      </c>
      <c r="V1450" t="str">
        <f t="shared" si="22"/>
        <v>Daniel Lacy</v>
      </c>
      <c r="W1450">
        <f>Table2[Profit]/Table2[Sales]</f>
        <v>0.26</v>
      </c>
    </row>
    <row r="1451" spans="1:23" x14ac:dyDescent="0.25">
      <c r="A1451">
        <v>1450</v>
      </c>
      <c r="B1451" t="s">
        <v>5975</v>
      </c>
      <c r="C1451" s="1">
        <v>42974</v>
      </c>
      <c r="D1451" s="1">
        <v>42977</v>
      </c>
      <c r="E1451" t="s">
        <v>185</v>
      </c>
      <c r="F1451" t="s">
        <v>2775</v>
      </c>
      <c r="G1451" t="s">
        <v>2776</v>
      </c>
      <c r="H1451" t="s">
        <v>25</v>
      </c>
      <c r="I1451" t="s">
        <v>26</v>
      </c>
      <c r="J1451" t="s">
        <v>808</v>
      </c>
      <c r="K1451" t="s">
        <v>103</v>
      </c>
      <c r="L1451">
        <v>75220</v>
      </c>
      <c r="M1451" t="s">
        <v>104</v>
      </c>
      <c r="N1451" t="s">
        <v>5976</v>
      </c>
      <c r="O1451" t="s">
        <v>45</v>
      </c>
      <c r="P1451" t="s">
        <v>67</v>
      </c>
      <c r="Q1451" t="s">
        <v>5977</v>
      </c>
      <c r="R1451">
        <v>5.952</v>
      </c>
      <c r="S1451">
        <v>1</v>
      </c>
      <c r="T1451">
        <v>0.2</v>
      </c>
      <c r="U1451">
        <v>0.372</v>
      </c>
      <c r="V1451" t="str">
        <f t="shared" si="22"/>
        <v>Sanjit Engle</v>
      </c>
      <c r="W1451">
        <f>Table2[Profit]/Table2[Sales]</f>
        <v>6.25E-2</v>
      </c>
    </row>
    <row r="1452" spans="1:23" x14ac:dyDescent="0.25">
      <c r="A1452">
        <v>1451</v>
      </c>
      <c r="B1452" t="s">
        <v>5978</v>
      </c>
      <c r="C1452" s="1">
        <v>42697</v>
      </c>
      <c r="D1452" s="1">
        <v>42697</v>
      </c>
      <c r="E1452" t="s">
        <v>1278</v>
      </c>
      <c r="F1452" t="s">
        <v>5468</v>
      </c>
      <c r="G1452" t="s">
        <v>5469</v>
      </c>
      <c r="H1452" t="s">
        <v>40</v>
      </c>
      <c r="I1452" t="s">
        <v>26</v>
      </c>
      <c r="J1452" t="s">
        <v>143</v>
      </c>
      <c r="K1452" t="s">
        <v>144</v>
      </c>
      <c r="L1452">
        <v>19140</v>
      </c>
      <c r="M1452" t="s">
        <v>145</v>
      </c>
      <c r="N1452" t="s">
        <v>5839</v>
      </c>
      <c r="O1452" t="s">
        <v>45</v>
      </c>
      <c r="P1452" t="s">
        <v>266</v>
      </c>
      <c r="Q1452" t="s">
        <v>5840</v>
      </c>
      <c r="R1452">
        <v>15.8</v>
      </c>
      <c r="S1452">
        <v>5</v>
      </c>
      <c r="T1452">
        <v>0.2</v>
      </c>
      <c r="U1452">
        <v>2.37</v>
      </c>
      <c r="V1452" t="str">
        <f t="shared" si="22"/>
        <v>Luke Schmidt</v>
      </c>
      <c r="W1452">
        <f>Table2[Profit]/Table2[Sales]</f>
        <v>0.15</v>
      </c>
    </row>
    <row r="1453" spans="1:23" x14ac:dyDescent="0.25">
      <c r="A1453">
        <v>1452</v>
      </c>
      <c r="B1453" t="s">
        <v>5979</v>
      </c>
      <c r="C1453" s="1">
        <v>42765</v>
      </c>
      <c r="D1453" s="1">
        <v>42765</v>
      </c>
      <c r="E1453" t="s">
        <v>1278</v>
      </c>
      <c r="F1453" t="s">
        <v>3801</v>
      </c>
      <c r="G1453" t="s">
        <v>3802</v>
      </c>
      <c r="H1453" t="s">
        <v>25</v>
      </c>
      <c r="I1453" t="s">
        <v>26</v>
      </c>
      <c r="J1453" t="s">
        <v>126</v>
      </c>
      <c r="K1453" t="s">
        <v>42</v>
      </c>
      <c r="L1453">
        <v>94109</v>
      </c>
      <c r="M1453" t="s">
        <v>43</v>
      </c>
      <c r="N1453" t="s">
        <v>2132</v>
      </c>
      <c r="O1453" t="s">
        <v>45</v>
      </c>
      <c r="P1453" t="s">
        <v>58</v>
      </c>
      <c r="Q1453" t="s">
        <v>2133</v>
      </c>
      <c r="R1453">
        <v>129.30000000000001</v>
      </c>
      <c r="S1453">
        <v>2</v>
      </c>
      <c r="T1453">
        <v>0</v>
      </c>
      <c r="U1453">
        <v>6.4649999999999999</v>
      </c>
      <c r="V1453" t="str">
        <f t="shared" si="22"/>
        <v>Michael Moore</v>
      </c>
      <c r="W1453">
        <f>Table2[Profit]/Table2[Sales]</f>
        <v>4.9999999999999996E-2</v>
      </c>
    </row>
    <row r="1454" spans="1:23" x14ac:dyDescent="0.25">
      <c r="A1454">
        <v>1453</v>
      </c>
      <c r="B1454" t="s">
        <v>5980</v>
      </c>
      <c r="C1454" s="1">
        <v>42338</v>
      </c>
      <c r="D1454" s="1">
        <v>42341</v>
      </c>
      <c r="E1454" t="s">
        <v>22</v>
      </c>
      <c r="F1454" t="s">
        <v>4014</v>
      </c>
      <c r="G1454" t="s">
        <v>4015</v>
      </c>
      <c r="H1454" t="s">
        <v>101</v>
      </c>
      <c r="I1454" t="s">
        <v>26</v>
      </c>
      <c r="J1454" t="s">
        <v>1225</v>
      </c>
      <c r="K1454" t="s">
        <v>103</v>
      </c>
      <c r="L1454">
        <v>78745</v>
      </c>
      <c r="M1454" t="s">
        <v>104</v>
      </c>
      <c r="N1454" t="s">
        <v>2412</v>
      </c>
      <c r="O1454" t="s">
        <v>45</v>
      </c>
      <c r="P1454" t="s">
        <v>74</v>
      </c>
      <c r="Q1454" t="s">
        <v>2413</v>
      </c>
      <c r="R1454">
        <v>3.8820000000000001</v>
      </c>
      <c r="S1454">
        <v>3</v>
      </c>
      <c r="T1454">
        <v>0.8</v>
      </c>
      <c r="U1454">
        <v>-5.8230000000000004</v>
      </c>
      <c r="V1454" t="str">
        <f t="shared" si="22"/>
        <v>Deborah Brumfield</v>
      </c>
      <c r="W1454">
        <f>Table2[Profit]/Table2[Sales]</f>
        <v>-1.5</v>
      </c>
    </row>
    <row r="1455" spans="1:23" x14ac:dyDescent="0.25">
      <c r="A1455">
        <v>1454</v>
      </c>
      <c r="B1455" t="s">
        <v>5981</v>
      </c>
      <c r="C1455" s="1">
        <v>41818</v>
      </c>
      <c r="D1455" s="1">
        <v>41824</v>
      </c>
      <c r="E1455" t="s">
        <v>49</v>
      </c>
      <c r="F1455" t="s">
        <v>2768</v>
      </c>
      <c r="G1455" t="s">
        <v>2769</v>
      </c>
      <c r="H1455" t="s">
        <v>40</v>
      </c>
      <c r="I1455" t="s">
        <v>26</v>
      </c>
      <c r="J1455" t="s">
        <v>873</v>
      </c>
      <c r="K1455" t="s">
        <v>235</v>
      </c>
      <c r="L1455">
        <v>48234</v>
      </c>
      <c r="M1455" t="s">
        <v>104</v>
      </c>
      <c r="N1455" t="s">
        <v>3190</v>
      </c>
      <c r="O1455" t="s">
        <v>45</v>
      </c>
      <c r="P1455" t="s">
        <v>266</v>
      </c>
      <c r="Q1455" t="s">
        <v>556</v>
      </c>
      <c r="R1455">
        <v>6.08</v>
      </c>
      <c r="S1455">
        <v>1</v>
      </c>
      <c r="T1455">
        <v>0</v>
      </c>
      <c r="U1455">
        <v>3.04</v>
      </c>
      <c r="V1455" t="str">
        <f t="shared" si="22"/>
        <v>Rob Williams</v>
      </c>
      <c r="W1455">
        <f>Table2[Profit]/Table2[Sales]</f>
        <v>0.5</v>
      </c>
    </row>
    <row r="1456" spans="1:23" x14ac:dyDescent="0.25">
      <c r="A1456">
        <v>1455</v>
      </c>
      <c r="B1456" t="s">
        <v>5982</v>
      </c>
      <c r="C1456" s="1">
        <v>41884</v>
      </c>
      <c r="D1456" s="1">
        <v>41887</v>
      </c>
      <c r="E1456" t="s">
        <v>185</v>
      </c>
      <c r="F1456" t="s">
        <v>5118</v>
      </c>
      <c r="G1456" t="s">
        <v>5119</v>
      </c>
      <c r="H1456" t="s">
        <v>25</v>
      </c>
      <c r="I1456" t="s">
        <v>26</v>
      </c>
      <c r="J1456" t="s">
        <v>4017</v>
      </c>
      <c r="K1456" t="s">
        <v>264</v>
      </c>
      <c r="L1456">
        <v>13601</v>
      </c>
      <c r="M1456" t="s">
        <v>145</v>
      </c>
      <c r="N1456" t="s">
        <v>3610</v>
      </c>
      <c r="O1456" t="s">
        <v>45</v>
      </c>
      <c r="P1456" t="s">
        <v>77</v>
      </c>
      <c r="Q1456" t="s">
        <v>3611</v>
      </c>
      <c r="R1456">
        <v>19.899999999999999</v>
      </c>
      <c r="S1456">
        <v>1</v>
      </c>
      <c r="T1456">
        <v>0</v>
      </c>
      <c r="U1456">
        <v>8.9550000000000001</v>
      </c>
      <c r="V1456" t="str">
        <f t="shared" si="22"/>
        <v>Justin MacKendrick</v>
      </c>
      <c r="W1456">
        <f>Table2[Profit]/Table2[Sales]</f>
        <v>0.45</v>
      </c>
    </row>
    <row r="1457" spans="1:23" x14ac:dyDescent="0.25">
      <c r="A1457">
        <v>1456</v>
      </c>
      <c r="B1457" t="s">
        <v>5985</v>
      </c>
      <c r="C1457" s="1">
        <v>42926</v>
      </c>
      <c r="D1457" s="1">
        <v>42930</v>
      </c>
      <c r="E1457" t="s">
        <v>22</v>
      </c>
      <c r="F1457" t="s">
        <v>5986</v>
      </c>
      <c r="G1457" t="s">
        <v>5987</v>
      </c>
      <c r="H1457" t="s">
        <v>25</v>
      </c>
      <c r="I1457" t="s">
        <v>26</v>
      </c>
      <c r="J1457" t="s">
        <v>490</v>
      </c>
      <c r="K1457" t="s">
        <v>1260</v>
      </c>
      <c r="L1457">
        <v>31907</v>
      </c>
      <c r="M1457" t="s">
        <v>29</v>
      </c>
      <c r="N1457" t="s">
        <v>5952</v>
      </c>
      <c r="O1457" t="s">
        <v>31</v>
      </c>
      <c r="P1457" t="s">
        <v>64</v>
      </c>
      <c r="Q1457" t="s">
        <v>5953</v>
      </c>
      <c r="R1457">
        <v>18.84</v>
      </c>
      <c r="S1457">
        <v>3</v>
      </c>
      <c r="T1457">
        <v>0</v>
      </c>
      <c r="U1457">
        <v>7.9127999999999998</v>
      </c>
      <c r="V1457" t="str">
        <f t="shared" si="22"/>
        <v>Becky Pak</v>
      </c>
      <c r="W1457">
        <f>Table2[Profit]/Table2[Sales]</f>
        <v>0.42</v>
      </c>
    </row>
    <row r="1458" spans="1:23" x14ac:dyDescent="0.25">
      <c r="A1458">
        <v>1457</v>
      </c>
      <c r="B1458" t="s">
        <v>5988</v>
      </c>
      <c r="C1458" s="1">
        <v>42890</v>
      </c>
      <c r="D1458" s="1">
        <v>42896</v>
      </c>
      <c r="E1458" t="s">
        <v>49</v>
      </c>
      <c r="F1458" t="s">
        <v>4808</v>
      </c>
      <c r="G1458" t="s">
        <v>4809</v>
      </c>
      <c r="H1458" t="s">
        <v>25</v>
      </c>
      <c r="I1458" t="s">
        <v>26</v>
      </c>
      <c r="J1458" t="s">
        <v>5989</v>
      </c>
      <c r="K1458" t="s">
        <v>226</v>
      </c>
      <c r="L1458">
        <v>55124</v>
      </c>
      <c r="M1458" t="s">
        <v>104</v>
      </c>
      <c r="N1458" t="s">
        <v>3179</v>
      </c>
      <c r="O1458" t="s">
        <v>45</v>
      </c>
      <c r="P1458" t="s">
        <v>67</v>
      </c>
      <c r="Q1458" t="s">
        <v>3180</v>
      </c>
      <c r="R1458">
        <v>8.64</v>
      </c>
      <c r="S1458">
        <v>3</v>
      </c>
      <c r="T1458">
        <v>0</v>
      </c>
      <c r="U1458">
        <v>2.5055999999999998</v>
      </c>
      <c r="V1458" t="str">
        <f t="shared" si="22"/>
        <v>Carol Triggs</v>
      </c>
      <c r="W1458">
        <f>Table2[Profit]/Table2[Sales]</f>
        <v>0.28999999999999998</v>
      </c>
    </row>
    <row r="1459" spans="1:23" x14ac:dyDescent="0.25">
      <c r="A1459">
        <v>1458</v>
      </c>
      <c r="B1459" t="s">
        <v>5990</v>
      </c>
      <c r="C1459" s="1">
        <v>43027</v>
      </c>
      <c r="D1459" s="1">
        <v>43034</v>
      </c>
      <c r="E1459" t="s">
        <v>49</v>
      </c>
      <c r="F1459" t="s">
        <v>2252</v>
      </c>
      <c r="G1459" t="s">
        <v>2253</v>
      </c>
      <c r="H1459" t="s">
        <v>101</v>
      </c>
      <c r="I1459" t="s">
        <v>26</v>
      </c>
      <c r="J1459" t="s">
        <v>2189</v>
      </c>
      <c r="K1459" t="s">
        <v>87</v>
      </c>
      <c r="L1459">
        <v>27217</v>
      </c>
      <c r="M1459" t="s">
        <v>29</v>
      </c>
      <c r="N1459" t="s">
        <v>1243</v>
      </c>
      <c r="O1459" t="s">
        <v>45</v>
      </c>
      <c r="P1459" t="s">
        <v>74</v>
      </c>
      <c r="Q1459" t="s">
        <v>1244</v>
      </c>
      <c r="R1459">
        <v>1633.1880000000001</v>
      </c>
      <c r="S1459">
        <v>4</v>
      </c>
      <c r="T1459">
        <v>0.7</v>
      </c>
      <c r="U1459">
        <v>-1306.5504000000001</v>
      </c>
      <c r="V1459" t="str">
        <f t="shared" si="22"/>
        <v>Tracy Hopkins</v>
      </c>
      <c r="W1459">
        <f>Table2[Profit]/Table2[Sales]</f>
        <v>-0.8</v>
      </c>
    </row>
    <row r="1460" spans="1:23" x14ac:dyDescent="0.25">
      <c r="A1460">
        <v>1459</v>
      </c>
      <c r="B1460" t="s">
        <v>5991</v>
      </c>
      <c r="C1460" s="1">
        <v>43057</v>
      </c>
      <c r="D1460" s="1">
        <v>43063</v>
      </c>
      <c r="E1460" t="s">
        <v>49</v>
      </c>
      <c r="F1460" t="s">
        <v>3833</v>
      </c>
      <c r="G1460" t="s">
        <v>3834</v>
      </c>
      <c r="H1460" t="s">
        <v>101</v>
      </c>
      <c r="I1460" t="s">
        <v>26</v>
      </c>
      <c r="J1460" t="s">
        <v>825</v>
      </c>
      <c r="K1460" t="s">
        <v>235</v>
      </c>
      <c r="L1460">
        <v>48601</v>
      </c>
      <c r="M1460" t="s">
        <v>104</v>
      </c>
      <c r="N1460" t="s">
        <v>2416</v>
      </c>
      <c r="O1460" t="s">
        <v>31</v>
      </c>
      <c r="P1460" t="s">
        <v>64</v>
      </c>
      <c r="Q1460" t="s">
        <v>2417</v>
      </c>
      <c r="R1460">
        <v>19.760000000000002</v>
      </c>
      <c r="S1460">
        <v>4</v>
      </c>
      <c r="T1460">
        <v>0</v>
      </c>
      <c r="U1460">
        <v>8.2992000000000008</v>
      </c>
      <c r="V1460" t="str">
        <f t="shared" si="22"/>
        <v>Maria Etezadi</v>
      </c>
      <c r="W1460">
        <f>Table2[Profit]/Table2[Sales]</f>
        <v>0.42</v>
      </c>
    </row>
    <row r="1461" spans="1:23" x14ac:dyDescent="0.25">
      <c r="A1461">
        <v>1460</v>
      </c>
      <c r="B1461" t="s">
        <v>5992</v>
      </c>
      <c r="C1461" s="1">
        <v>42224</v>
      </c>
      <c r="D1461" s="1">
        <v>42224</v>
      </c>
      <c r="E1461" t="s">
        <v>1278</v>
      </c>
      <c r="F1461" t="s">
        <v>5499</v>
      </c>
      <c r="G1461" t="s">
        <v>5500</v>
      </c>
      <c r="H1461" t="s">
        <v>25</v>
      </c>
      <c r="I1461" t="s">
        <v>26</v>
      </c>
      <c r="J1461" t="s">
        <v>126</v>
      </c>
      <c r="K1461" t="s">
        <v>42</v>
      </c>
      <c r="L1461">
        <v>94109</v>
      </c>
      <c r="M1461" t="s">
        <v>43</v>
      </c>
      <c r="N1461" t="s">
        <v>3518</v>
      </c>
      <c r="O1461" t="s">
        <v>45</v>
      </c>
      <c r="P1461" t="s">
        <v>74</v>
      </c>
      <c r="Q1461" t="s">
        <v>3519</v>
      </c>
      <c r="R1461">
        <v>6.6079999999999997</v>
      </c>
      <c r="S1461">
        <v>2</v>
      </c>
      <c r="T1461">
        <v>0.2</v>
      </c>
      <c r="U1461">
        <v>2.2302</v>
      </c>
      <c r="V1461" t="str">
        <f t="shared" si="22"/>
        <v>Thomas Thornton</v>
      </c>
      <c r="W1461">
        <f>Table2[Profit]/Table2[Sales]</f>
        <v>0.33750000000000002</v>
      </c>
    </row>
    <row r="1462" spans="1:23" x14ac:dyDescent="0.25">
      <c r="A1462">
        <v>1461</v>
      </c>
      <c r="B1462" t="s">
        <v>5993</v>
      </c>
      <c r="C1462" s="1">
        <v>42710</v>
      </c>
      <c r="D1462" s="1">
        <v>42716</v>
      </c>
      <c r="E1462" t="s">
        <v>49</v>
      </c>
      <c r="F1462" t="s">
        <v>1852</v>
      </c>
      <c r="G1462" t="s">
        <v>1853</v>
      </c>
      <c r="H1462" t="s">
        <v>25</v>
      </c>
      <c r="I1462" t="s">
        <v>26</v>
      </c>
      <c r="J1462" t="s">
        <v>94</v>
      </c>
      <c r="K1462" t="s">
        <v>95</v>
      </c>
      <c r="L1462">
        <v>98105</v>
      </c>
      <c r="M1462" t="s">
        <v>43</v>
      </c>
      <c r="N1462" t="s">
        <v>3707</v>
      </c>
      <c r="O1462" t="s">
        <v>70</v>
      </c>
      <c r="P1462" t="s">
        <v>71</v>
      </c>
      <c r="Q1462" t="s">
        <v>5587</v>
      </c>
      <c r="R1462">
        <v>156.792</v>
      </c>
      <c r="S1462">
        <v>1</v>
      </c>
      <c r="T1462">
        <v>0.2</v>
      </c>
      <c r="U1462">
        <v>13.7193</v>
      </c>
      <c r="V1462" t="str">
        <f t="shared" si="22"/>
        <v>Greg Tran</v>
      </c>
      <c r="W1462">
        <f>Table2[Profit]/Table2[Sales]</f>
        <v>8.7500000000000008E-2</v>
      </c>
    </row>
    <row r="1463" spans="1:23" x14ac:dyDescent="0.25">
      <c r="A1463">
        <v>1462</v>
      </c>
      <c r="B1463" t="s">
        <v>5994</v>
      </c>
      <c r="C1463" s="1">
        <v>42819</v>
      </c>
      <c r="D1463" s="1">
        <v>42825</v>
      </c>
      <c r="E1463" t="s">
        <v>49</v>
      </c>
      <c r="F1463" t="s">
        <v>2079</v>
      </c>
      <c r="G1463" t="s">
        <v>2080</v>
      </c>
      <c r="H1463" t="s">
        <v>40</v>
      </c>
      <c r="I1463" t="s">
        <v>26</v>
      </c>
      <c r="J1463" t="s">
        <v>2517</v>
      </c>
      <c r="K1463" t="s">
        <v>113</v>
      </c>
      <c r="L1463">
        <v>53209</v>
      </c>
      <c r="M1463" t="s">
        <v>104</v>
      </c>
      <c r="N1463" t="s">
        <v>5995</v>
      </c>
      <c r="O1463" t="s">
        <v>31</v>
      </c>
      <c r="P1463" t="s">
        <v>35</v>
      </c>
      <c r="Q1463" t="s">
        <v>5996</v>
      </c>
      <c r="R1463">
        <v>90.99</v>
      </c>
      <c r="S1463">
        <v>1</v>
      </c>
      <c r="T1463">
        <v>0</v>
      </c>
      <c r="U1463">
        <v>14.558400000000001</v>
      </c>
      <c r="V1463" t="str">
        <f t="shared" si="22"/>
        <v>Justin Deggeller</v>
      </c>
      <c r="W1463">
        <f>Table2[Profit]/Table2[Sales]</f>
        <v>0.16</v>
      </c>
    </row>
    <row r="1464" spans="1:23" x14ac:dyDescent="0.25">
      <c r="A1464">
        <v>1463</v>
      </c>
      <c r="B1464" t="s">
        <v>5997</v>
      </c>
      <c r="C1464" s="1">
        <v>43058</v>
      </c>
      <c r="D1464" s="1">
        <v>43063</v>
      </c>
      <c r="E1464" t="s">
        <v>49</v>
      </c>
      <c r="F1464" t="s">
        <v>4084</v>
      </c>
      <c r="G1464" t="s">
        <v>4085</v>
      </c>
      <c r="H1464" t="s">
        <v>25</v>
      </c>
      <c r="I1464" t="s">
        <v>26</v>
      </c>
      <c r="J1464" t="s">
        <v>41</v>
      </c>
      <c r="K1464" t="s">
        <v>42</v>
      </c>
      <c r="L1464">
        <v>90049</v>
      </c>
      <c r="M1464" t="s">
        <v>43</v>
      </c>
      <c r="N1464" t="s">
        <v>1181</v>
      </c>
      <c r="O1464" t="s">
        <v>45</v>
      </c>
      <c r="P1464" t="s">
        <v>58</v>
      </c>
      <c r="Q1464" t="s">
        <v>1182</v>
      </c>
      <c r="R1464">
        <v>305.01</v>
      </c>
      <c r="S1464">
        <v>9</v>
      </c>
      <c r="T1464">
        <v>0</v>
      </c>
      <c r="U1464">
        <v>76.252499999999998</v>
      </c>
      <c r="V1464" t="str">
        <f t="shared" si="22"/>
        <v>Mick Crebagga</v>
      </c>
      <c r="W1464">
        <f>Table2[Profit]/Table2[Sales]</f>
        <v>0.25</v>
      </c>
    </row>
    <row r="1465" spans="1:23" x14ac:dyDescent="0.25">
      <c r="A1465">
        <v>1464</v>
      </c>
      <c r="B1465" t="s">
        <v>5998</v>
      </c>
      <c r="C1465" s="1">
        <v>42678</v>
      </c>
      <c r="D1465" s="1">
        <v>42679</v>
      </c>
      <c r="E1465" t="s">
        <v>185</v>
      </c>
      <c r="F1465" t="s">
        <v>2385</v>
      </c>
      <c r="G1465" t="s">
        <v>2386</v>
      </c>
      <c r="H1465" t="s">
        <v>25</v>
      </c>
      <c r="I1465" t="s">
        <v>26</v>
      </c>
      <c r="J1465" t="s">
        <v>126</v>
      </c>
      <c r="K1465" t="s">
        <v>42</v>
      </c>
      <c r="L1465">
        <v>94122</v>
      </c>
      <c r="M1465" t="s">
        <v>43</v>
      </c>
      <c r="N1465" t="s">
        <v>1884</v>
      </c>
      <c r="O1465" t="s">
        <v>31</v>
      </c>
      <c r="P1465" t="s">
        <v>64</v>
      </c>
      <c r="Q1465" t="s">
        <v>1885</v>
      </c>
      <c r="R1465">
        <v>38.29</v>
      </c>
      <c r="S1465">
        <v>7</v>
      </c>
      <c r="T1465">
        <v>0</v>
      </c>
      <c r="U1465">
        <v>16.464700000000001</v>
      </c>
      <c r="V1465" t="str">
        <f t="shared" si="22"/>
        <v>Lisa Hazard</v>
      </c>
      <c r="W1465">
        <f>Table2[Profit]/Table2[Sales]</f>
        <v>0.43000000000000005</v>
      </c>
    </row>
    <row r="1466" spans="1:23" x14ac:dyDescent="0.25">
      <c r="A1466">
        <v>1465</v>
      </c>
      <c r="B1466" t="s">
        <v>5999</v>
      </c>
      <c r="C1466" s="1">
        <v>43083</v>
      </c>
      <c r="D1466" s="1">
        <v>43087</v>
      </c>
      <c r="E1466" t="s">
        <v>49</v>
      </c>
      <c r="F1466" t="s">
        <v>3996</v>
      </c>
      <c r="G1466" t="s">
        <v>3997</v>
      </c>
      <c r="H1466" t="s">
        <v>101</v>
      </c>
      <c r="I1466" t="s">
        <v>26</v>
      </c>
      <c r="J1466" t="s">
        <v>941</v>
      </c>
      <c r="K1466" t="s">
        <v>42</v>
      </c>
      <c r="L1466">
        <v>92024</v>
      </c>
      <c r="M1466" t="s">
        <v>43</v>
      </c>
      <c r="N1466" t="s">
        <v>6000</v>
      </c>
      <c r="O1466" t="s">
        <v>31</v>
      </c>
      <c r="P1466" t="s">
        <v>64</v>
      </c>
      <c r="Q1466" t="s">
        <v>6001</v>
      </c>
      <c r="R1466">
        <v>26.25</v>
      </c>
      <c r="S1466">
        <v>3</v>
      </c>
      <c r="T1466">
        <v>0</v>
      </c>
      <c r="U1466">
        <v>11.025</v>
      </c>
      <c r="V1466" t="str">
        <f t="shared" si="22"/>
        <v>Mike Pelletier</v>
      </c>
      <c r="W1466">
        <f>Table2[Profit]/Table2[Sales]</f>
        <v>0.42000000000000004</v>
      </c>
    </row>
    <row r="1467" spans="1:23" x14ac:dyDescent="0.25">
      <c r="A1467">
        <v>1466</v>
      </c>
      <c r="B1467" t="s">
        <v>6004</v>
      </c>
      <c r="C1467" s="1">
        <v>43051</v>
      </c>
      <c r="D1467" s="1">
        <v>43051</v>
      </c>
      <c r="E1467" t="s">
        <v>1278</v>
      </c>
      <c r="F1467" t="s">
        <v>6005</v>
      </c>
      <c r="G1467" t="s">
        <v>6006</v>
      </c>
      <c r="H1467" t="s">
        <v>101</v>
      </c>
      <c r="I1467" t="s">
        <v>26</v>
      </c>
      <c r="J1467" t="s">
        <v>3860</v>
      </c>
      <c r="K1467" t="s">
        <v>303</v>
      </c>
      <c r="L1467">
        <v>85301</v>
      </c>
      <c r="M1467" t="s">
        <v>43</v>
      </c>
      <c r="N1467" t="s">
        <v>837</v>
      </c>
      <c r="O1467" t="s">
        <v>70</v>
      </c>
      <c r="P1467" t="s">
        <v>158</v>
      </c>
      <c r="Q1467" t="s">
        <v>838</v>
      </c>
      <c r="R1467">
        <v>41.6</v>
      </c>
      <c r="S1467">
        <v>4</v>
      </c>
      <c r="T1467">
        <v>0.2</v>
      </c>
      <c r="U1467">
        <v>13</v>
      </c>
      <c r="V1467" t="str">
        <f t="shared" si="22"/>
        <v>Eugene Moren</v>
      </c>
      <c r="W1467">
        <f>Table2[Profit]/Table2[Sales]</f>
        <v>0.3125</v>
      </c>
    </row>
    <row r="1468" spans="1:23" x14ac:dyDescent="0.25">
      <c r="A1468">
        <v>1467</v>
      </c>
      <c r="B1468" t="s">
        <v>6013</v>
      </c>
      <c r="C1468" s="1">
        <v>42600</v>
      </c>
      <c r="D1468" s="1">
        <v>42606</v>
      </c>
      <c r="E1468" t="s">
        <v>49</v>
      </c>
      <c r="F1468" t="s">
        <v>506</v>
      </c>
      <c r="G1468" t="s">
        <v>507</v>
      </c>
      <c r="H1468" t="s">
        <v>40</v>
      </c>
      <c r="I1468" t="s">
        <v>26</v>
      </c>
      <c r="J1468" t="s">
        <v>263</v>
      </c>
      <c r="K1468" t="s">
        <v>264</v>
      </c>
      <c r="L1468">
        <v>10035</v>
      </c>
      <c r="M1468" t="s">
        <v>145</v>
      </c>
      <c r="N1468" t="s">
        <v>3371</v>
      </c>
      <c r="O1468" t="s">
        <v>70</v>
      </c>
      <c r="P1468" t="s">
        <v>71</v>
      </c>
      <c r="Q1468" t="s">
        <v>3372</v>
      </c>
      <c r="R1468">
        <v>39.99</v>
      </c>
      <c r="S1468">
        <v>1</v>
      </c>
      <c r="T1468">
        <v>0</v>
      </c>
      <c r="U1468">
        <v>11.597099999999999</v>
      </c>
      <c r="V1468" t="str">
        <f t="shared" si="22"/>
        <v>Greg Guthrie</v>
      </c>
      <c r="W1468">
        <f>Table2[Profit]/Table2[Sales]</f>
        <v>0.28999999999999998</v>
      </c>
    </row>
    <row r="1469" spans="1:23" x14ac:dyDescent="0.25">
      <c r="A1469">
        <v>1468</v>
      </c>
      <c r="B1469" t="s">
        <v>6014</v>
      </c>
      <c r="C1469" s="1">
        <v>42913</v>
      </c>
      <c r="D1469" s="1">
        <v>42920</v>
      </c>
      <c r="E1469" t="s">
        <v>49</v>
      </c>
      <c r="F1469" t="s">
        <v>6015</v>
      </c>
      <c r="G1469" t="s">
        <v>6016</v>
      </c>
      <c r="H1469" t="s">
        <v>101</v>
      </c>
      <c r="I1469" t="s">
        <v>26</v>
      </c>
      <c r="J1469" t="s">
        <v>4017</v>
      </c>
      <c r="K1469" t="s">
        <v>264</v>
      </c>
      <c r="L1469">
        <v>13601</v>
      </c>
      <c r="M1469" t="s">
        <v>145</v>
      </c>
      <c r="N1469" t="s">
        <v>1815</v>
      </c>
      <c r="O1469" t="s">
        <v>31</v>
      </c>
      <c r="P1469" t="s">
        <v>35</v>
      </c>
      <c r="Q1469" t="s">
        <v>1816</v>
      </c>
      <c r="R1469">
        <v>191.64599999999999</v>
      </c>
      <c r="S1469">
        <v>3</v>
      </c>
      <c r="T1469">
        <v>0.1</v>
      </c>
      <c r="U1469">
        <v>31.940999999999999</v>
      </c>
      <c r="V1469" t="str">
        <f t="shared" si="22"/>
        <v>Michelle Arnett</v>
      </c>
      <c r="W1469">
        <f>Table2[Profit]/Table2[Sales]</f>
        <v>0.16666666666666669</v>
      </c>
    </row>
    <row r="1470" spans="1:23" x14ac:dyDescent="0.25">
      <c r="A1470">
        <v>1469</v>
      </c>
      <c r="B1470" t="s">
        <v>6017</v>
      </c>
      <c r="C1470" s="1">
        <v>42859</v>
      </c>
      <c r="D1470" s="1">
        <v>42864</v>
      </c>
      <c r="E1470" t="s">
        <v>49</v>
      </c>
      <c r="F1470" t="s">
        <v>1117</v>
      </c>
      <c r="G1470" t="s">
        <v>1118</v>
      </c>
      <c r="H1470" t="s">
        <v>25</v>
      </c>
      <c r="I1470" t="s">
        <v>26</v>
      </c>
      <c r="J1470" t="s">
        <v>311</v>
      </c>
      <c r="K1470" t="s">
        <v>491</v>
      </c>
      <c r="L1470">
        <v>45503</v>
      </c>
      <c r="M1470" t="s">
        <v>145</v>
      </c>
      <c r="N1470" t="s">
        <v>73</v>
      </c>
      <c r="O1470" t="s">
        <v>45</v>
      </c>
      <c r="P1470" t="s">
        <v>74</v>
      </c>
      <c r="Q1470" t="s">
        <v>75</v>
      </c>
      <c r="R1470">
        <v>2.3130000000000002</v>
      </c>
      <c r="S1470">
        <v>1</v>
      </c>
      <c r="T1470">
        <v>0.7</v>
      </c>
      <c r="U1470">
        <v>-1.9275</v>
      </c>
      <c r="V1470" t="str">
        <f t="shared" si="22"/>
        <v>Shahid Hopkins</v>
      </c>
      <c r="W1470">
        <f>Table2[Profit]/Table2[Sales]</f>
        <v>-0.83333333333333326</v>
      </c>
    </row>
    <row r="1471" spans="1:23" x14ac:dyDescent="0.25">
      <c r="A1471">
        <v>1470</v>
      </c>
      <c r="B1471" t="s">
        <v>6018</v>
      </c>
      <c r="C1471" s="1">
        <v>42362</v>
      </c>
      <c r="D1471" s="1">
        <v>42367</v>
      </c>
      <c r="E1471" t="s">
        <v>49</v>
      </c>
      <c r="F1471" t="s">
        <v>3668</v>
      </c>
      <c r="G1471" t="s">
        <v>3669</v>
      </c>
      <c r="H1471" t="s">
        <v>25</v>
      </c>
      <c r="I1471" t="s">
        <v>26</v>
      </c>
      <c r="J1471" t="s">
        <v>41</v>
      </c>
      <c r="K1471" t="s">
        <v>42</v>
      </c>
      <c r="L1471">
        <v>90032</v>
      </c>
      <c r="M1471" t="s">
        <v>43</v>
      </c>
      <c r="N1471" t="s">
        <v>3073</v>
      </c>
      <c r="O1471" t="s">
        <v>45</v>
      </c>
      <c r="P1471" t="s">
        <v>74</v>
      </c>
      <c r="Q1471" t="s">
        <v>3074</v>
      </c>
      <c r="R1471">
        <v>19.936</v>
      </c>
      <c r="S1471">
        <v>4</v>
      </c>
      <c r="T1471">
        <v>0.2</v>
      </c>
      <c r="U1471">
        <v>7.2267999999999999</v>
      </c>
      <c r="V1471" t="str">
        <f t="shared" si="22"/>
        <v>Kean Takahito</v>
      </c>
      <c r="W1471">
        <f>Table2[Profit]/Table2[Sales]</f>
        <v>0.36249999999999999</v>
      </c>
    </row>
    <row r="1472" spans="1:23" x14ac:dyDescent="0.25">
      <c r="A1472">
        <v>1471</v>
      </c>
      <c r="B1472" t="s">
        <v>6019</v>
      </c>
      <c r="C1472" s="1">
        <v>42851</v>
      </c>
      <c r="D1472" s="1">
        <v>42856</v>
      </c>
      <c r="E1472" t="s">
        <v>49</v>
      </c>
      <c r="F1472" t="s">
        <v>1511</v>
      </c>
      <c r="G1472" t="s">
        <v>1512</v>
      </c>
      <c r="H1472" t="s">
        <v>101</v>
      </c>
      <c r="I1472" t="s">
        <v>26</v>
      </c>
      <c r="J1472" t="s">
        <v>94</v>
      </c>
      <c r="K1472" t="s">
        <v>95</v>
      </c>
      <c r="L1472">
        <v>98115</v>
      </c>
      <c r="M1472" t="s">
        <v>43</v>
      </c>
      <c r="N1472" t="s">
        <v>3787</v>
      </c>
      <c r="O1472" t="s">
        <v>45</v>
      </c>
      <c r="P1472" t="s">
        <v>89</v>
      </c>
      <c r="Q1472" t="s">
        <v>3788</v>
      </c>
      <c r="R1472">
        <v>20.34</v>
      </c>
      <c r="S1472">
        <v>3</v>
      </c>
      <c r="T1472">
        <v>0</v>
      </c>
      <c r="U1472">
        <v>9.3564000000000007</v>
      </c>
      <c r="V1472" t="str">
        <f t="shared" si="22"/>
        <v>Philisse Overcash</v>
      </c>
      <c r="W1472">
        <f>Table2[Profit]/Table2[Sales]</f>
        <v>0.46</v>
      </c>
    </row>
    <row r="1473" spans="1:23" x14ac:dyDescent="0.25">
      <c r="A1473">
        <v>1472</v>
      </c>
      <c r="B1473" t="s">
        <v>6020</v>
      </c>
      <c r="C1473" s="1">
        <v>43085</v>
      </c>
      <c r="D1473" s="1">
        <v>43090</v>
      </c>
      <c r="E1473" t="s">
        <v>22</v>
      </c>
      <c r="F1473" t="s">
        <v>6021</v>
      </c>
      <c r="G1473" t="s">
        <v>6022</v>
      </c>
      <c r="H1473" t="s">
        <v>40</v>
      </c>
      <c r="I1473" t="s">
        <v>26</v>
      </c>
      <c r="J1473" t="s">
        <v>2311</v>
      </c>
      <c r="K1473" t="s">
        <v>42</v>
      </c>
      <c r="L1473">
        <v>92054</v>
      </c>
      <c r="M1473" t="s">
        <v>43</v>
      </c>
      <c r="N1473" t="s">
        <v>146</v>
      </c>
      <c r="O1473" t="s">
        <v>31</v>
      </c>
      <c r="P1473" t="s">
        <v>35</v>
      </c>
      <c r="Q1473" t="s">
        <v>147</v>
      </c>
      <c r="R1473">
        <v>81.567999999999998</v>
      </c>
      <c r="S1473">
        <v>2</v>
      </c>
      <c r="T1473">
        <v>0.2</v>
      </c>
      <c r="U1473">
        <v>9.1763999999999992</v>
      </c>
      <c r="V1473" t="str">
        <f t="shared" si="22"/>
        <v>Andy Yotov</v>
      </c>
      <c r="W1473">
        <f>Table2[Profit]/Table2[Sales]</f>
        <v>0.11249999999999999</v>
      </c>
    </row>
    <row r="1474" spans="1:23" x14ac:dyDescent="0.25">
      <c r="A1474">
        <v>1473</v>
      </c>
      <c r="B1474" t="s">
        <v>6025</v>
      </c>
      <c r="C1474" s="1">
        <v>42000</v>
      </c>
      <c r="D1474" s="1">
        <v>42004</v>
      </c>
      <c r="E1474" t="s">
        <v>49</v>
      </c>
      <c r="F1474" t="s">
        <v>3914</v>
      </c>
      <c r="G1474" t="s">
        <v>3915</v>
      </c>
      <c r="H1474" t="s">
        <v>25</v>
      </c>
      <c r="I1474" t="s">
        <v>26</v>
      </c>
      <c r="J1474" t="s">
        <v>4203</v>
      </c>
      <c r="K1474" t="s">
        <v>208</v>
      </c>
      <c r="L1474">
        <v>60076</v>
      </c>
      <c r="M1474" t="s">
        <v>104</v>
      </c>
      <c r="N1474" t="s">
        <v>3846</v>
      </c>
      <c r="O1474" t="s">
        <v>31</v>
      </c>
      <c r="P1474" t="s">
        <v>64</v>
      </c>
      <c r="Q1474" t="s">
        <v>3847</v>
      </c>
      <c r="R1474">
        <v>32.951999999999998</v>
      </c>
      <c r="S1474">
        <v>6</v>
      </c>
      <c r="T1474">
        <v>0.6</v>
      </c>
      <c r="U1474">
        <v>-19.7712</v>
      </c>
      <c r="V1474" t="str">
        <f t="shared" si="22"/>
        <v>Corey-Lock</v>
      </c>
      <c r="W1474">
        <f>Table2[Profit]/Table2[Sales]</f>
        <v>-0.60000000000000009</v>
      </c>
    </row>
    <row r="1475" spans="1:23" x14ac:dyDescent="0.25">
      <c r="A1475">
        <v>1474</v>
      </c>
      <c r="B1475" t="s">
        <v>6026</v>
      </c>
      <c r="C1475" s="1">
        <v>43045</v>
      </c>
      <c r="D1475" s="1">
        <v>43048</v>
      </c>
      <c r="E1475" t="s">
        <v>22</v>
      </c>
      <c r="F1475" t="s">
        <v>4442</v>
      </c>
      <c r="G1475" t="s">
        <v>4443</v>
      </c>
      <c r="H1475" t="s">
        <v>25</v>
      </c>
      <c r="I1475" t="s">
        <v>26</v>
      </c>
      <c r="J1475" t="s">
        <v>1682</v>
      </c>
      <c r="K1475" t="s">
        <v>87</v>
      </c>
      <c r="L1475">
        <v>28314</v>
      </c>
      <c r="M1475" t="s">
        <v>29</v>
      </c>
      <c r="N1475" t="s">
        <v>352</v>
      </c>
      <c r="O1475" t="s">
        <v>45</v>
      </c>
      <c r="P1475" t="s">
        <v>77</v>
      </c>
      <c r="Q1475" t="s">
        <v>353</v>
      </c>
      <c r="R1475">
        <v>499.584</v>
      </c>
      <c r="S1475">
        <v>3</v>
      </c>
      <c r="T1475">
        <v>0.2</v>
      </c>
      <c r="U1475">
        <v>43.7136</v>
      </c>
      <c r="V1475" t="str">
        <f t="shared" ref="V1475:V1538" si="23">TRIM(G1475)</f>
        <v>Jill Fjeld</v>
      </c>
      <c r="W1475">
        <f>Table2[Profit]/Table2[Sales]</f>
        <v>8.7499999999999994E-2</v>
      </c>
    </row>
    <row r="1476" spans="1:23" x14ac:dyDescent="0.25">
      <c r="A1476">
        <v>1475</v>
      </c>
      <c r="B1476" t="s">
        <v>6027</v>
      </c>
      <c r="C1476" s="1">
        <v>43085</v>
      </c>
      <c r="D1476" s="1">
        <v>43089</v>
      </c>
      <c r="E1476" t="s">
        <v>49</v>
      </c>
      <c r="F1476" t="s">
        <v>1986</v>
      </c>
      <c r="G1476" t="s">
        <v>1987</v>
      </c>
      <c r="H1476" t="s">
        <v>25</v>
      </c>
      <c r="I1476" t="s">
        <v>26</v>
      </c>
      <c r="J1476" t="s">
        <v>4454</v>
      </c>
      <c r="K1476" t="s">
        <v>641</v>
      </c>
      <c r="L1476">
        <v>74133</v>
      </c>
      <c r="M1476" t="s">
        <v>104</v>
      </c>
      <c r="N1476" t="s">
        <v>3328</v>
      </c>
      <c r="O1476" t="s">
        <v>45</v>
      </c>
      <c r="P1476" t="s">
        <v>74</v>
      </c>
      <c r="Q1476" t="s">
        <v>3329</v>
      </c>
      <c r="R1476">
        <v>10.8</v>
      </c>
      <c r="S1476">
        <v>5</v>
      </c>
      <c r="T1476">
        <v>0</v>
      </c>
      <c r="U1476">
        <v>5.1840000000000002</v>
      </c>
      <c r="V1476" t="str">
        <f t="shared" si="23"/>
        <v>Andrew Roberts</v>
      </c>
      <c r="W1476">
        <f>Table2[Profit]/Table2[Sales]</f>
        <v>0.48</v>
      </c>
    </row>
    <row r="1477" spans="1:23" x14ac:dyDescent="0.25">
      <c r="A1477">
        <v>1476</v>
      </c>
      <c r="B1477" t="s">
        <v>6028</v>
      </c>
      <c r="C1477" s="1">
        <v>42131</v>
      </c>
      <c r="D1477" s="1">
        <v>42136</v>
      </c>
      <c r="E1477" t="s">
        <v>49</v>
      </c>
      <c r="F1477" t="s">
        <v>1397</v>
      </c>
      <c r="G1477" t="s">
        <v>1398</v>
      </c>
      <c r="H1477" t="s">
        <v>25</v>
      </c>
      <c r="I1477" t="s">
        <v>26</v>
      </c>
      <c r="J1477" t="s">
        <v>4069</v>
      </c>
      <c r="K1477" t="s">
        <v>103</v>
      </c>
      <c r="L1477">
        <v>75002</v>
      </c>
      <c r="M1477" t="s">
        <v>104</v>
      </c>
      <c r="N1477" t="s">
        <v>2368</v>
      </c>
      <c r="O1477" t="s">
        <v>31</v>
      </c>
      <c r="P1477" t="s">
        <v>55</v>
      </c>
      <c r="Q1477" t="s">
        <v>2369</v>
      </c>
      <c r="R1477">
        <v>244.006</v>
      </c>
      <c r="S1477">
        <v>2</v>
      </c>
      <c r="T1477">
        <v>0.3</v>
      </c>
      <c r="U1477">
        <v>-31.372199999999999</v>
      </c>
      <c r="V1477" t="str">
        <f t="shared" si="23"/>
        <v>Anna Gayman</v>
      </c>
      <c r="W1477">
        <f>Table2[Profit]/Table2[Sales]</f>
        <v>-0.12857142857142856</v>
      </c>
    </row>
    <row r="1478" spans="1:23" x14ac:dyDescent="0.25">
      <c r="A1478">
        <v>1477</v>
      </c>
      <c r="B1478" t="s">
        <v>6029</v>
      </c>
      <c r="C1478" s="1">
        <v>43073</v>
      </c>
      <c r="D1478" s="1">
        <v>43073</v>
      </c>
      <c r="E1478" t="s">
        <v>1278</v>
      </c>
      <c r="F1478" t="s">
        <v>38</v>
      </c>
      <c r="G1478" t="s">
        <v>39</v>
      </c>
      <c r="H1478" t="s">
        <v>40</v>
      </c>
      <c r="I1478" t="s">
        <v>26</v>
      </c>
      <c r="J1478" t="s">
        <v>143</v>
      </c>
      <c r="K1478" t="s">
        <v>144</v>
      </c>
      <c r="L1478">
        <v>19143</v>
      </c>
      <c r="M1478" t="s">
        <v>145</v>
      </c>
      <c r="N1478" t="s">
        <v>6030</v>
      </c>
      <c r="O1478" t="s">
        <v>31</v>
      </c>
      <c r="P1478" t="s">
        <v>35</v>
      </c>
      <c r="Q1478" t="s">
        <v>6031</v>
      </c>
      <c r="R1478">
        <v>188.55199999999999</v>
      </c>
      <c r="S1478">
        <v>7</v>
      </c>
      <c r="T1478">
        <v>0.3</v>
      </c>
      <c r="U1478">
        <v>-2.6936</v>
      </c>
      <c r="V1478" t="str">
        <f t="shared" si="23"/>
        <v>Darrin Van Huff</v>
      </c>
      <c r="W1478">
        <f>Table2[Profit]/Table2[Sales]</f>
        <v>-1.4285714285714287E-2</v>
      </c>
    </row>
    <row r="1479" spans="1:23" x14ac:dyDescent="0.25">
      <c r="A1479">
        <v>1478</v>
      </c>
      <c r="B1479" t="s">
        <v>6032</v>
      </c>
      <c r="C1479" s="1">
        <v>43011</v>
      </c>
      <c r="D1479" s="1">
        <v>43016</v>
      </c>
      <c r="E1479" t="s">
        <v>22</v>
      </c>
      <c r="F1479" t="s">
        <v>2717</v>
      </c>
      <c r="G1479" t="s">
        <v>2718</v>
      </c>
      <c r="H1479" t="s">
        <v>25</v>
      </c>
      <c r="I1479" t="s">
        <v>26</v>
      </c>
      <c r="J1479" t="s">
        <v>382</v>
      </c>
      <c r="K1479" t="s">
        <v>264</v>
      </c>
      <c r="L1479">
        <v>14609</v>
      </c>
      <c r="M1479" t="s">
        <v>145</v>
      </c>
      <c r="N1479" t="s">
        <v>3894</v>
      </c>
      <c r="O1479" t="s">
        <v>45</v>
      </c>
      <c r="P1479" t="s">
        <v>58</v>
      </c>
      <c r="Q1479" t="s">
        <v>3895</v>
      </c>
      <c r="R1479">
        <v>22.58</v>
      </c>
      <c r="S1479">
        <v>2</v>
      </c>
      <c r="T1479">
        <v>0</v>
      </c>
      <c r="U1479">
        <v>5.8708</v>
      </c>
      <c r="V1479" t="str">
        <f t="shared" si="23"/>
        <v>Hunter Lopez</v>
      </c>
      <c r="W1479">
        <f>Table2[Profit]/Table2[Sales]</f>
        <v>0.26</v>
      </c>
    </row>
    <row r="1480" spans="1:23" x14ac:dyDescent="0.25">
      <c r="A1480">
        <v>1479</v>
      </c>
      <c r="B1480" t="s">
        <v>6033</v>
      </c>
      <c r="C1480" s="1">
        <v>41652</v>
      </c>
      <c r="D1480" s="1">
        <v>41655</v>
      </c>
      <c r="E1480" t="s">
        <v>22</v>
      </c>
      <c r="F1480" t="s">
        <v>3660</v>
      </c>
      <c r="G1480" t="s">
        <v>3661</v>
      </c>
      <c r="H1480" t="s">
        <v>25</v>
      </c>
      <c r="I1480" t="s">
        <v>26</v>
      </c>
      <c r="J1480" t="s">
        <v>6034</v>
      </c>
      <c r="K1480" t="s">
        <v>376</v>
      </c>
      <c r="L1480">
        <v>29464</v>
      </c>
      <c r="M1480" t="s">
        <v>29</v>
      </c>
      <c r="N1480" t="s">
        <v>5995</v>
      </c>
      <c r="O1480" t="s">
        <v>31</v>
      </c>
      <c r="P1480" t="s">
        <v>35</v>
      </c>
      <c r="Q1480" t="s">
        <v>5996</v>
      </c>
      <c r="R1480">
        <v>545.94000000000005</v>
      </c>
      <c r="S1480">
        <v>6</v>
      </c>
      <c r="T1480">
        <v>0</v>
      </c>
      <c r="U1480">
        <v>87.350399999999993</v>
      </c>
      <c r="V1480" t="str">
        <f t="shared" si="23"/>
        <v>Natalie DeCherney</v>
      </c>
      <c r="W1480">
        <f>Table2[Profit]/Table2[Sales]</f>
        <v>0.15999999999999998</v>
      </c>
    </row>
    <row r="1481" spans="1:23" x14ac:dyDescent="0.25">
      <c r="A1481">
        <v>1480</v>
      </c>
      <c r="B1481" t="s">
        <v>6035</v>
      </c>
      <c r="C1481" s="1">
        <v>42167</v>
      </c>
      <c r="D1481" s="1">
        <v>42172</v>
      </c>
      <c r="E1481" t="s">
        <v>49</v>
      </c>
      <c r="F1481" t="s">
        <v>6036</v>
      </c>
      <c r="G1481" t="s">
        <v>6037</v>
      </c>
      <c r="H1481" t="s">
        <v>25</v>
      </c>
      <c r="I1481" t="s">
        <v>26</v>
      </c>
      <c r="J1481" t="s">
        <v>143</v>
      </c>
      <c r="K1481" t="s">
        <v>144</v>
      </c>
      <c r="L1481">
        <v>19134</v>
      </c>
      <c r="M1481" t="s">
        <v>145</v>
      </c>
      <c r="N1481" t="s">
        <v>6038</v>
      </c>
      <c r="O1481" t="s">
        <v>45</v>
      </c>
      <c r="P1481" t="s">
        <v>89</v>
      </c>
      <c r="Q1481" t="s">
        <v>6039</v>
      </c>
      <c r="R1481">
        <v>20.736000000000001</v>
      </c>
      <c r="S1481">
        <v>4</v>
      </c>
      <c r="T1481">
        <v>0.2</v>
      </c>
      <c r="U1481">
        <v>7.2576000000000001</v>
      </c>
      <c r="V1481" t="str">
        <f t="shared" si="23"/>
        <v>Giulietta Baptist</v>
      </c>
      <c r="W1481">
        <f>Table2[Profit]/Table2[Sales]</f>
        <v>0.35</v>
      </c>
    </row>
    <row r="1482" spans="1:23" x14ac:dyDescent="0.25">
      <c r="A1482">
        <v>1481</v>
      </c>
      <c r="B1482" t="s">
        <v>6040</v>
      </c>
      <c r="C1482" s="1">
        <v>41832</v>
      </c>
      <c r="D1482" s="1">
        <v>41838</v>
      </c>
      <c r="E1482" t="s">
        <v>49</v>
      </c>
      <c r="F1482" t="s">
        <v>479</v>
      </c>
      <c r="G1482" t="s">
        <v>480</v>
      </c>
      <c r="H1482" t="s">
        <v>25</v>
      </c>
      <c r="I1482" t="s">
        <v>26</v>
      </c>
      <c r="J1482" t="s">
        <v>94</v>
      </c>
      <c r="K1482" t="s">
        <v>95</v>
      </c>
      <c r="L1482">
        <v>98115</v>
      </c>
      <c r="M1482" t="s">
        <v>43</v>
      </c>
      <c r="N1482" t="s">
        <v>6030</v>
      </c>
      <c r="O1482" t="s">
        <v>31</v>
      </c>
      <c r="P1482" t="s">
        <v>35</v>
      </c>
      <c r="Q1482" t="s">
        <v>6031</v>
      </c>
      <c r="R1482">
        <v>123.136</v>
      </c>
      <c r="S1482">
        <v>4</v>
      </c>
      <c r="T1482">
        <v>0.2</v>
      </c>
      <c r="U1482">
        <v>13.8528</v>
      </c>
      <c r="V1482" t="str">
        <f t="shared" si="23"/>
        <v>Clay Ludtke</v>
      </c>
      <c r="W1482">
        <f>Table2[Profit]/Table2[Sales]</f>
        <v>0.1125</v>
      </c>
    </row>
    <row r="1483" spans="1:23" x14ac:dyDescent="0.25">
      <c r="A1483">
        <v>1482</v>
      </c>
      <c r="B1483" t="s">
        <v>6041</v>
      </c>
      <c r="C1483" s="1">
        <v>41979</v>
      </c>
      <c r="D1483" s="1">
        <v>41984</v>
      </c>
      <c r="E1483" t="s">
        <v>22</v>
      </c>
      <c r="F1483" t="s">
        <v>488</v>
      </c>
      <c r="G1483" t="s">
        <v>489</v>
      </c>
      <c r="H1483" t="s">
        <v>25</v>
      </c>
      <c r="I1483" t="s">
        <v>26</v>
      </c>
      <c r="J1483" t="s">
        <v>311</v>
      </c>
      <c r="K1483" t="s">
        <v>413</v>
      </c>
      <c r="L1483">
        <v>97477</v>
      </c>
      <c r="M1483" t="s">
        <v>43</v>
      </c>
      <c r="N1483" t="s">
        <v>1294</v>
      </c>
      <c r="O1483" t="s">
        <v>45</v>
      </c>
      <c r="P1483" t="s">
        <v>58</v>
      </c>
      <c r="Q1483" t="s">
        <v>1295</v>
      </c>
      <c r="R1483">
        <v>53.423999999999999</v>
      </c>
      <c r="S1483">
        <v>3</v>
      </c>
      <c r="T1483">
        <v>0.2</v>
      </c>
      <c r="U1483">
        <v>4.6745999999999999</v>
      </c>
      <c r="V1483" t="str">
        <f t="shared" si="23"/>
        <v>Ryan Crowe</v>
      </c>
      <c r="W1483">
        <f>Table2[Profit]/Table2[Sales]</f>
        <v>8.7499999999999994E-2</v>
      </c>
    </row>
    <row r="1484" spans="1:23" x14ac:dyDescent="0.25">
      <c r="A1484">
        <v>1483</v>
      </c>
      <c r="B1484" t="s">
        <v>6042</v>
      </c>
      <c r="C1484" s="1">
        <v>42515</v>
      </c>
      <c r="D1484" s="1">
        <v>42520</v>
      </c>
      <c r="E1484" t="s">
        <v>49</v>
      </c>
      <c r="F1484" t="s">
        <v>6043</v>
      </c>
      <c r="G1484" t="s">
        <v>6044</v>
      </c>
      <c r="H1484" t="s">
        <v>101</v>
      </c>
      <c r="I1484" t="s">
        <v>26</v>
      </c>
      <c r="J1484" t="s">
        <v>490</v>
      </c>
      <c r="K1484" t="s">
        <v>1260</v>
      </c>
      <c r="L1484">
        <v>31907</v>
      </c>
      <c r="M1484" t="s">
        <v>29</v>
      </c>
      <c r="N1484" t="s">
        <v>6045</v>
      </c>
      <c r="O1484" t="s">
        <v>31</v>
      </c>
      <c r="P1484" t="s">
        <v>64</v>
      </c>
      <c r="Q1484" t="s">
        <v>6046</v>
      </c>
      <c r="R1484">
        <v>24.96</v>
      </c>
      <c r="S1484">
        <v>4</v>
      </c>
      <c r="T1484">
        <v>0</v>
      </c>
      <c r="U1484">
        <v>6.24</v>
      </c>
      <c r="V1484" t="str">
        <f t="shared" si="23"/>
        <v>Julia Barnett</v>
      </c>
      <c r="W1484">
        <f>Table2[Profit]/Table2[Sales]</f>
        <v>0.25</v>
      </c>
    </row>
    <row r="1485" spans="1:23" x14ac:dyDescent="0.25">
      <c r="A1485">
        <v>1484</v>
      </c>
      <c r="B1485" t="s">
        <v>6047</v>
      </c>
      <c r="C1485" s="1">
        <v>42421</v>
      </c>
      <c r="D1485" s="1">
        <v>42426</v>
      </c>
      <c r="E1485" t="s">
        <v>22</v>
      </c>
      <c r="F1485" t="s">
        <v>5614</v>
      </c>
      <c r="G1485" t="s">
        <v>5615</v>
      </c>
      <c r="H1485" t="s">
        <v>40</v>
      </c>
      <c r="I1485" t="s">
        <v>26</v>
      </c>
      <c r="J1485" t="s">
        <v>41</v>
      </c>
      <c r="K1485" t="s">
        <v>42</v>
      </c>
      <c r="L1485">
        <v>90032</v>
      </c>
      <c r="M1485" t="s">
        <v>43</v>
      </c>
      <c r="N1485" t="s">
        <v>5768</v>
      </c>
      <c r="O1485" t="s">
        <v>70</v>
      </c>
      <c r="P1485" t="s">
        <v>158</v>
      </c>
      <c r="Q1485" t="s">
        <v>5769</v>
      </c>
      <c r="R1485">
        <v>12.99</v>
      </c>
      <c r="S1485">
        <v>1</v>
      </c>
      <c r="T1485">
        <v>0</v>
      </c>
      <c r="U1485">
        <v>0.77939999999999998</v>
      </c>
      <c r="V1485" t="str">
        <f t="shared" si="23"/>
        <v>Matthew Clasen</v>
      </c>
      <c r="W1485">
        <f>Table2[Profit]/Table2[Sales]</f>
        <v>0.06</v>
      </c>
    </row>
    <row r="1486" spans="1:23" x14ac:dyDescent="0.25">
      <c r="A1486">
        <v>1485</v>
      </c>
      <c r="B1486" t="s">
        <v>6048</v>
      </c>
      <c r="C1486" s="1">
        <v>42645</v>
      </c>
      <c r="D1486" s="1">
        <v>42649</v>
      </c>
      <c r="E1486" t="s">
        <v>49</v>
      </c>
      <c r="F1486" t="s">
        <v>5636</v>
      </c>
      <c r="G1486" t="s">
        <v>5637</v>
      </c>
      <c r="H1486" t="s">
        <v>40</v>
      </c>
      <c r="I1486" t="s">
        <v>26</v>
      </c>
      <c r="J1486" t="s">
        <v>263</v>
      </c>
      <c r="K1486" t="s">
        <v>264</v>
      </c>
      <c r="L1486">
        <v>10024</v>
      </c>
      <c r="M1486" t="s">
        <v>145</v>
      </c>
      <c r="N1486" t="s">
        <v>2163</v>
      </c>
      <c r="O1486" t="s">
        <v>45</v>
      </c>
      <c r="P1486" t="s">
        <v>77</v>
      </c>
      <c r="Q1486" t="s">
        <v>2164</v>
      </c>
      <c r="R1486">
        <v>61.44</v>
      </c>
      <c r="S1486">
        <v>3</v>
      </c>
      <c r="T1486">
        <v>0</v>
      </c>
      <c r="U1486">
        <v>16.588799999999999</v>
      </c>
      <c r="V1486" t="str">
        <f t="shared" si="23"/>
        <v>Tim Taslimi</v>
      </c>
      <c r="W1486">
        <f>Table2[Profit]/Table2[Sales]</f>
        <v>0.27</v>
      </c>
    </row>
    <row r="1487" spans="1:23" x14ac:dyDescent="0.25">
      <c r="A1487">
        <v>1486</v>
      </c>
      <c r="B1487" t="s">
        <v>6049</v>
      </c>
      <c r="C1487" s="1">
        <v>42805</v>
      </c>
      <c r="D1487" s="1">
        <v>42811</v>
      </c>
      <c r="E1487" t="s">
        <v>49</v>
      </c>
      <c r="F1487" t="s">
        <v>664</v>
      </c>
      <c r="G1487" t="s">
        <v>665</v>
      </c>
      <c r="H1487" t="s">
        <v>25</v>
      </c>
      <c r="I1487" t="s">
        <v>26</v>
      </c>
      <c r="J1487" t="s">
        <v>873</v>
      </c>
      <c r="K1487" t="s">
        <v>235</v>
      </c>
      <c r="L1487">
        <v>48227</v>
      </c>
      <c r="M1487" t="s">
        <v>104</v>
      </c>
      <c r="N1487" t="s">
        <v>4666</v>
      </c>
      <c r="O1487" t="s">
        <v>45</v>
      </c>
      <c r="P1487" t="s">
        <v>74</v>
      </c>
      <c r="Q1487" t="s">
        <v>4667</v>
      </c>
      <c r="R1487">
        <v>895.92</v>
      </c>
      <c r="S1487">
        <v>4</v>
      </c>
      <c r="T1487">
        <v>0</v>
      </c>
      <c r="U1487">
        <v>421.08240000000001</v>
      </c>
      <c r="V1487" t="str">
        <f t="shared" si="23"/>
        <v>Max Jones</v>
      </c>
      <c r="W1487">
        <f>Table2[Profit]/Table2[Sales]</f>
        <v>0.47000000000000003</v>
      </c>
    </row>
    <row r="1488" spans="1:23" x14ac:dyDescent="0.25">
      <c r="A1488">
        <v>1487</v>
      </c>
      <c r="B1488" t="s">
        <v>6050</v>
      </c>
      <c r="C1488" s="1">
        <v>42622</v>
      </c>
      <c r="D1488" s="1">
        <v>42626</v>
      </c>
      <c r="E1488" t="s">
        <v>22</v>
      </c>
      <c r="F1488" t="s">
        <v>2042</v>
      </c>
      <c r="G1488" t="s">
        <v>2043</v>
      </c>
      <c r="H1488" t="s">
        <v>25</v>
      </c>
      <c r="I1488" t="s">
        <v>26</v>
      </c>
      <c r="J1488" t="s">
        <v>4922</v>
      </c>
      <c r="K1488" t="s">
        <v>42</v>
      </c>
      <c r="L1488">
        <v>95207</v>
      </c>
      <c r="M1488" t="s">
        <v>43</v>
      </c>
      <c r="N1488" t="s">
        <v>318</v>
      </c>
      <c r="O1488" t="s">
        <v>45</v>
      </c>
      <c r="P1488" t="s">
        <v>74</v>
      </c>
      <c r="Q1488" t="s">
        <v>6051</v>
      </c>
      <c r="R1488">
        <v>55.36</v>
      </c>
      <c r="S1488">
        <v>4</v>
      </c>
      <c r="T1488">
        <v>0.2</v>
      </c>
      <c r="U1488">
        <v>18.684000000000001</v>
      </c>
      <c r="V1488" t="str">
        <f t="shared" si="23"/>
        <v>Annie Thurman</v>
      </c>
      <c r="W1488">
        <f>Table2[Profit]/Table2[Sales]</f>
        <v>0.33750000000000002</v>
      </c>
    </row>
    <row r="1489" spans="1:23" x14ac:dyDescent="0.25">
      <c r="A1489">
        <v>1488</v>
      </c>
      <c r="B1489" t="s">
        <v>6052</v>
      </c>
      <c r="C1489" s="1">
        <v>41834</v>
      </c>
      <c r="D1489" s="1">
        <v>41841</v>
      </c>
      <c r="E1489" t="s">
        <v>49</v>
      </c>
      <c r="F1489" t="s">
        <v>1445</v>
      </c>
      <c r="G1489" t="s">
        <v>1446</v>
      </c>
      <c r="H1489" t="s">
        <v>25</v>
      </c>
      <c r="I1489" t="s">
        <v>26</v>
      </c>
      <c r="J1489" t="s">
        <v>537</v>
      </c>
      <c r="K1489" t="s">
        <v>303</v>
      </c>
      <c r="L1489">
        <v>85023</v>
      </c>
      <c r="M1489" t="s">
        <v>43</v>
      </c>
      <c r="N1489" t="s">
        <v>57</v>
      </c>
      <c r="O1489" t="s">
        <v>45</v>
      </c>
      <c r="P1489" t="s">
        <v>58</v>
      </c>
      <c r="Q1489" t="s">
        <v>59</v>
      </c>
      <c r="R1489">
        <v>55.92</v>
      </c>
      <c r="S1489">
        <v>5</v>
      </c>
      <c r="T1489">
        <v>0.2</v>
      </c>
      <c r="U1489">
        <v>6.2910000000000004</v>
      </c>
      <c r="V1489" t="str">
        <f t="shared" si="23"/>
        <v>Philip Brown</v>
      </c>
      <c r="W1489">
        <f>Table2[Profit]/Table2[Sales]</f>
        <v>0.1125</v>
      </c>
    </row>
    <row r="1490" spans="1:23" x14ac:dyDescent="0.25">
      <c r="A1490">
        <v>1489</v>
      </c>
      <c r="B1490" t="s">
        <v>6053</v>
      </c>
      <c r="C1490" s="1">
        <v>41811</v>
      </c>
      <c r="D1490" s="1">
        <v>41815</v>
      </c>
      <c r="E1490" t="s">
        <v>49</v>
      </c>
      <c r="F1490" t="s">
        <v>4190</v>
      </c>
      <c r="G1490" t="s">
        <v>4191</v>
      </c>
      <c r="H1490" t="s">
        <v>25</v>
      </c>
      <c r="I1490" t="s">
        <v>26</v>
      </c>
      <c r="J1490" t="s">
        <v>143</v>
      </c>
      <c r="K1490" t="s">
        <v>144</v>
      </c>
      <c r="L1490">
        <v>19120</v>
      </c>
      <c r="M1490" t="s">
        <v>145</v>
      </c>
      <c r="N1490" t="s">
        <v>3212</v>
      </c>
      <c r="O1490" t="s">
        <v>45</v>
      </c>
      <c r="P1490" t="s">
        <v>170</v>
      </c>
      <c r="Q1490" t="s">
        <v>662</v>
      </c>
      <c r="R1490">
        <v>24.896000000000001</v>
      </c>
      <c r="S1490">
        <v>4</v>
      </c>
      <c r="T1490">
        <v>0.2</v>
      </c>
      <c r="U1490">
        <v>8.4024000000000001</v>
      </c>
      <c r="V1490" t="str">
        <f t="shared" si="23"/>
        <v>Natalie Webber</v>
      </c>
      <c r="W1490">
        <f>Table2[Profit]/Table2[Sales]</f>
        <v>0.33749999999999997</v>
      </c>
    </row>
    <row r="1491" spans="1:23" x14ac:dyDescent="0.25">
      <c r="A1491">
        <v>1490</v>
      </c>
      <c r="B1491" t="s">
        <v>6056</v>
      </c>
      <c r="C1491" s="1">
        <v>42190</v>
      </c>
      <c r="D1491" s="1">
        <v>42195</v>
      </c>
      <c r="E1491" t="s">
        <v>49</v>
      </c>
      <c r="F1491" t="s">
        <v>1378</v>
      </c>
      <c r="G1491" t="s">
        <v>1379</v>
      </c>
      <c r="H1491" t="s">
        <v>101</v>
      </c>
      <c r="I1491" t="s">
        <v>26</v>
      </c>
      <c r="J1491" t="s">
        <v>6057</v>
      </c>
      <c r="K1491" t="s">
        <v>235</v>
      </c>
      <c r="L1491">
        <v>48310</v>
      </c>
      <c r="M1491" t="s">
        <v>104</v>
      </c>
      <c r="N1491" t="s">
        <v>6058</v>
      </c>
      <c r="O1491" t="s">
        <v>45</v>
      </c>
      <c r="P1491" t="s">
        <v>74</v>
      </c>
      <c r="Q1491" t="s">
        <v>6059</v>
      </c>
      <c r="R1491">
        <v>19</v>
      </c>
      <c r="S1491">
        <v>5</v>
      </c>
      <c r="T1491">
        <v>0</v>
      </c>
      <c r="U1491">
        <v>8.93</v>
      </c>
      <c r="V1491" t="str">
        <f t="shared" si="23"/>
        <v>Victor Preis</v>
      </c>
      <c r="W1491">
        <f>Table2[Profit]/Table2[Sales]</f>
        <v>0.47</v>
      </c>
    </row>
    <row r="1492" spans="1:23" x14ac:dyDescent="0.25">
      <c r="A1492">
        <v>1491</v>
      </c>
      <c r="B1492" t="s">
        <v>6060</v>
      </c>
      <c r="C1492" s="1">
        <v>43085</v>
      </c>
      <c r="D1492" s="1">
        <v>43092</v>
      </c>
      <c r="E1492" t="s">
        <v>49</v>
      </c>
      <c r="F1492" t="s">
        <v>2281</v>
      </c>
      <c r="G1492" t="s">
        <v>2282</v>
      </c>
      <c r="H1492" t="s">
        <v>101</v>
      </c>
      <c r="I1492" t="s">
        <v>26</v>
      </c>
      <c r="J1492" t="s">
        <v>382</v>
      </c>
      <c r="K1492" t="s">
        <v>264</v>
      </c>
      <c r="L1492">
        <v>14609</v>
      </c>
      <c r="M1492" t="s">
        <v>145</v>
      </c>
      <c r="N1492" t="s">
        <v>4401</v>
      </c>
      <c r="O1492" t="s">
        <v>45</v>
      </c>
      <c r="P1492" t="s">
        <v>74</v>
      </c>
      <c r="Q1492" t="s">
        <v>4402</v>
      </c>
      <c r="R1492">
        <v>33.375999999999998</v>
      </c>
      <c r="S1492">
        <v>4</v>
      </c>
      <c r="T1492">
        <v>0.2</v>
      </c>
      <c r="U1492">
        <v>10.43</v>
      </c>
      <c r="V1492" t="str">
        <f t="shared" si="23"/>
        <v>Ross DeVincentis</v>
      </c>
      <c r="W1492">
        <f>Table2[Profit]/Table2[Sales]</f>
        <v>0.3125</v>
      </c>
    </row>
    <row r="1493" spans="1:23" x14ac:dyDescent="0.25">
      <c r="A1493">
        <v>1492</v>
      </c>
      <c r="B1493" t="s">
        <v>6061</v>
      </c>
      <c r="C1493" s="1">
        <v>42621</v>
      </c>
      <c r="D1493" s="1">
        <v>42623</v>
      </c>
      <c r="E1493" t="s">
        <v>185</v>
      </c>
      <c r="F1493" t="s">
        <v>6062</v>
      </c>
      <c r="G1493" t="s">
        <v>6063</v>
      </c>
      <c r="H1493" t="s">
        <v>101</v>
      </c>
      <c r="I1493" t="s">
        <v>26</v>
      </c>
      <c r="J1493" t="s">
        <v>263</v>
      </c>
      <c r="K1493" t="s">
        <v>264</v>
      </c>
      <c r="L1493">
        <v>10011</v>
      </c>
      <c r="M1493" t="s">
        <v>145</v>
      </c>
      <c r="N1493" t="s">
        <v>6064</v>
      </c>
      <c r="O1493" t="s">
        <v>45</v>
      </c>
      <c r="P1493" t="s">
        <v>77</v>
      </c>
      <c r="Q1493" t="s">
        <v>6065</v>
      </c>
      <c r="R1493">
        <v>207.48</v>
      </c>
      <c r="S1493">
        <v>1</v>
      </c>
      <c r="T1493">
        <v>0</v>
      </c>
      <c r="U1493">
        <v>62.244</v>
      </c>
      <c r="V1493" t="str">
        <f t="shared" si="23"/>
        <v>Michael Grace</v>
      </c>
      <c r="W1493">
        <f>Table2[Profit]/Table2[Sales]</f>
        <v>0.3</v>
      </c>
    </row>
    <row r="1494" spans="1:23" x14ac:dyDescent="0.25">
      <c r="A1494">
        <v>1493</v>
      </c>
      <c r="B1494" t="s">
        <v>6066</v>
      </c>
      <c r="C1494" s="1">
        <v>41776</v>
      </c>
      <c r="D1494" s="1">
        <v>41780</v>
      </c>
      <c r="E1494" t="s">
        <v>49</v>
      </c>
      <c r="F1494" t="s">
        <v>468</v>
      </c>
      <c r="G1494" t="s">
        <v>469</v>
      </c>
      <c r="H1494" t="s">
        <v>101</v>
      </c>
      <c r="I1494" t="s">
        <v>26</v>
      </c>
      <c r="J1494" t="s">
        <v>6067</v>
      </c>
      <c r="K1494" t="s">
        <v>113</v>
      </c>
      <c r="L1494">
        <v>54703</v>
      </c>
      <c r="M1494" t="s">
        <v>104</v>
      </c>
      <c r="N1494" t="s">
        <v>3830</v>
      </c>
      <c r="O1494" t="s">
        <v>45</v>
      </c>
      <c r="P1494" t="s">
        <v>74</v>
      </c>
      <c r="Q1494" t="s">
        <v>3831</v>
      </c>
      <c r="R1494">
        <v>91.68</v>
      </c>
      <c r="S1494">
        <v>3</v>
      </c>
      <c r="T1494">
        <v>0</v>
      </c>
      <c r="U1494">
        <v>45.84</v>
      </c>
      <c r="V1494" t="str">
        <f t="shared" si="23"/>
        <v>Pete Armstrong</v>
      </c>
      <c r="W1494">
        <f>Table2[Profit]/Table2[Sales]</f>
        <v>0.5</v>
      </c>
    </row>
    <row r="1495" spans="1:23" x14ac:dyDescent="0.25">
      <c r="A1495">
        <v>1494</v>
      </c>
      <c r="B1495" t="s">
        <v>6068</v>
      </c>
      <c r="C1495" s="1">
        <v>43021</v>
      </c>
      <c r="D1495" s="1">
        <v>43023</v>
      </c>
      <c r="E1495" t="s">
        <v>185</v>
      </c>
      <c r="F1495" t="s">
        <v>2120</v>
      </c>
      <c r="G1495" t="s">
        <v>2121</v>
      </c>
      <c r="H1495" t="s">
        <v>25</v>
      </c>
      <c r="I1495" t="s">
        <v>26</v>
      </c>
      <c r="J1495" t="s">
        <v>263</v>
      </c>
      <c r="K1495" t="s">
        <v>264</v>
      </c>
      <c r="L1495">
        <v>10009</v>
      </c>
      <c r="M1495" t="s">
        <v>145</v>
      </c>
      <c r="N1495" t="s">
        <v>4332</v>
      </c>
      <c r="O1495" t="s">
        <v>45</v>
      </c>
      <c r="P1495" t="s">
        <v>77</v>
      </c>
      <c r="Q1495" t="s">
        <v>4333</v>
      </c>
      <c r="R1495">
        <v>904.9</v>
      </c>
      <c r="S1495">
        <v>5</v>
      </c>
      <c r="T1495">
        <v>0</v>
      </c>
      <c r="U1495">
        <v>253.37200000000001</v>
      </c>
      <c r="V1495" t="str">
        <f t="shared" si="23"/>
        <v>Craig Reiter</v>
      </c>
      <c r="W1495">
        <f>Table2[Profit]/Table2[Sales]</f>
        <v>0.28000000000000003</v>
      </c>
    </row>
    <row r="1496" spans="1:23" x14ac:dyDescent="0.25">
      <c r="A1496">
        <v>1495</v>
      </c>
      <c r="B1496" t="s">
        <v>6069</v>
      </c>
      <c r="C1496" s="1">
        <v>41936</v>
      </c>
      <c r="D1496" s="1">
        <v>41941</v>
      </c>
      <c r="E1496" t="s">
        <v>49</v>
      </c>
      <c r="F1496" t="s">
        <v>1797</v>
      </c>
      <c r="G1496" t="s">
        <v>1798</v>
      </c>
      <c r="H1496" t="s">
        <v>25</v>
      </c>
      <c r="I1496" t="s">
        <v>26</v>
      </c>
      <c r="J1496" t="s">
        <v>4878</v>
      </c>
      <c r="K1496" t="s">
        <v>42</v>
      </c>
      <c r="L1496">
        <v>91730</v>
      </c>
      <c r="M1496" t="s">
        <v>43</v>
      </c>
      <c r="N1496" t="s">
        <v>1094</v>
      </c>
      <c r="O1496" t="s">
        <v>45</v>
      </c>
      <c r="P1496" t="s">
        <v>74</v>
      </c>
      <c r="Q1496" t="s">
        <v>1095</v>
      </c>
      <c r="R1496">
        <v>34.271999999999998</v>
      </c>
      <c r="S1496">
        <v>3</v>
      </c>
      <c r="T1496">
        <v>0.2</v>
      </c>
      <c r="U1496">
        <v>11.138400000000001</v>
      </c>
      <c r="V1496" t="str">
        <f t="shared" si="23"/>
        <v>Allen Armold</v>
      </c>
      <c r="W1496">
        <f>Table2[Profit]/Table2[Sales]</f>
        <v>0.32500000000000001</v>
      </c>
    </row>
    <row r="1497" spans="1:23" x14ac:dyDescent="0.25">
      <c r="A1497">
        <v>1496</v>
      </c>
      <c r="B1497" t="s">
        <v>6070</v>
      </c>
      <c r="C1497" s="1">
        <v>42709</v>
      </c>
      <c r="D1497" s="1">
        <v>42710</v>
      </c>
      <c r="E1497" t="s">
        <v>185</v>
      </c>
      <c r="F1497" t="s">
        <v>4175</v>
      </c>
      <c r="G1497" t="s">
        <v>4176</v>
      </c>
      <c r="H1497" t="s">
        <v>25</v>
      </c>
      <c r="I1497" t="s">
        <v>26</v>
      </c>
      <c r="J1497" t="s">
        <v>3578</v>
      </c>
      <c r="K1497" t="s">
        <v>28</v>
      </c>
      <c r="L1497">
        <v>42071</v>
      </c>
      <c r="M1497" t="s">
        <v>29</v>
      </c>
      <c r="N1497" t="s">
        <v>5038</v>
      </c>
      <c r="O1497" t="s">
        <v>31</v>
      </c>
      <c r="P1497" t="s">
        <v>64</v>
      </c>
      <c r="Q1497" t="s">
        <v>5039</v>
      </c>
      <c r="R1497">
        <v>191.82</v>
      </c>
      <c r="S1497">
        <v>3</v>
      </c>
      <c r="T1497">
        <v>0</v>
      </c>
      <c r="U1497">
        <v>74.809799999999996</v>
      </c>
      <c r="V1497" t="str">
        <f t="shared" si="23"/>
        <v>James Galang</v>
      </c>
      <c r="W1497">
        <f>Table2[Profit]/Table2[Sales]</f>
        <v>0.39</v>
      </c>
    </row>
    <row r="1498" spans="1:23" x14ac:dyDescent="0.25">
      <c r="A1498">
        <v>1497</v>
      </c>
      <c r="B1498" t="s">
        <v>6071</v>
      </c>
      <c r="C1498" s="1">
        <v>42576</v>
      </c>
      <c r="D1498" s="1">
        <v>42580</v>
      </c>
      <c r="E1498" t="s">
        <v>49</v>
      </c>
      <c r="F1498" t="s">
        <v>5675</v>
      </c>
      <c r="G1498" t="s">
        <v>5676</v>
      </c>
      <c r="H1498" t="s">
        <v>40</v>
      </c>
      <c r="I1498" t="s">
        <v>26</v>
      </c>
      <c r="J1498" t="s">
        <v>2797</v>
      </c>
      <c r="K1498" t="s">
        <v>491</v>
      </c>
      <c r="L1498">
        <v>43615</v>
      </c>
      <c r="M1498" t="s">
        <v>145</v>
      </c>
      <c r="N1498" t="s">
        <v>5245</v>
      </c>
      <c r="O1498" t="s">
        <v>45</v>
      </c>
      <c r="P1498" t="s">
        <v>77</v>
      </c>
      <c r="Q1498" t="s">
        <v>5246</v>
      </c>
      <c r="R1498">
        <v>243.88</v>
      </c>
      <c r="S1498">
        <v>5</v>
      </c>
      <c r="T1498">
        <v>0.2</v>
      </c>
      <c r="U1498">
        <v>27.436499999999999</v>
      </c>
      <c r="V1498" t="str">
        <f t="shared" si="23"/>
        <v>Rick Reed</v>
      </c>
      <c r="W1498">
        <f>Table2[Profit]/Table2[Sales]</f>
        <v>0.1125</v>
      </c>
    </row>
    <row r="1499" spans="1:23" x14ac:dyDescent="0.25">
      <c r="A1499">
        <v>1498</v>
      </c>
      <c r="B1499" t="s">
        <v>6072</v>
      </c>
      <c r="C1499" s="1">
        <v>42842</v>
      </c>
      <c r="D1499" s="1">
        <v>42848</v>
      </c>
      <c r="E1499" t="s">
        <v>49</v>
      </c>
      <c r="F1499" t="s">
        <v>6073</v>
      </c>
      <c r="G1499" t="s">
        <v>6074</v>
      </c>
      <c r="H1499" t="s">
        <v>101</v>
      </c>
      <c r="I1499" t="s">
        <v>26</v>
      </c>
      <c r="J1499" t="s">
        <v>1459</v>
      </c>
      <c r="K1499" t="s">
        <v>450</v>
      </c>
      <c r="L1499">
        <v>80027</v>
      </c>
      <c r="M1499" t="s">
        <v>43</v>
      </c>
      <c r="N1499" t="s">
        <v>1508</v>
      </c>
      <c r="O1499" t="s">
        <v>45</v>
      </c>
      <c r="P1499" t="s">
        <v>74</v>
      </c>
      <c r="Q1499" t="s">
        <v>1509</v>
      </c>
      <c r="R1499">
        <v>12.03</v>
      </c>
      <c r="S1499">
        <v>5</v>
      </c>
      <c r="T1499">
        <v>0.7</v>
      </c>
      <c r="U1499">
        <v>-9.2230000000000008</v>
      </c>
      <c r="V1499" t="str">
        <f t="shared" si="23"/>
        <v>Sharelle Roach</v>
      </c>
      <c r="W1499">
        <f>Table2[Profit]/Table2[Sales]</f>
        <v>-0.76666666666666672</v>
      </c>
    </row>
    <row r="1500" spans="1:23" x14ac:dyDescent="0.25">
      <c r="A1500">
        <v>1499</v>
      </c>
      <c r="B1500" t="s">
        <v>6075</v>
      </c>
      <c r="C1500" s="1">
        <v>42264</v>
      </c>
      <c r="D1500" s="1">
        <v>42268</v>
      </c>
      <c r="E1500" t="s">
        <v>49</v>
      </c>
      <c r="F1500" t="s">
        <v>543</v>
      </c>
      <c r="G1500" t="s">
        <v>544</v>
      </c>
      <c r="H1500" t="s">
        <v>101</v>
      </c>
      <c r="I1500" t="s">
        <v>26</v>
      </c>
      <c r="J1500" t="s">
        <v>263</v>
      </c>
      <c r="K1500" t="s">
        <v>264</v>
      </c>
      <c r="L1500">
        <v>10035</v>
      </c>
      <c r="M1500" t="s">
        <v>145</v>
      </c>
      <c r="N1500" t="s">
        <v>2842</v>
      </c>
      <c r="O1500" t="s">
        <v>31</v>
      </c>
      <c r="P1500" t="s">
        <v>55</v>
      </c>
      <c r="Q1500" t="s">
        <v>2843</v>
      </c>
      <c r="R1500">
        <v>344.22</v>
      </c>
      <c r="S1500">
        <v>2</v>
      </c>
      <c r="T1500">
        <v>0.4</v>
      </c>
      <c r="U1500">
        <v>-103.26600000000001</v>
      </c>
      <c r="V1500" t="str">
        <f t="shared" si="23"/>
        <v>Lindsay Shagiari</v>
      </c>
      <c r="W1500">
        <f>Table2[Profit]/Table2[Sales]</f>
        <v>-0.3</v>
      </c>
    </row>
    <row r="1501" spans="1:23" x14ac:dyDescent="0.25">
      <c r="A1501">
        <v>1500</v>
      </c>
      <c r="B1501" t="s">
        <v>6076</v>
      </c>
      <c r="C1501" s="1">
        <v>42605</v>
      </c>
      <c r="D1501" s="1">
        <v>42612</v>
      </c>
      <c r="E1501" t="s">
        <v>49</v>
      </c>
      <c r="F1501" t="s">
        <v>3434</v>
      </c>
      <c r="G1501" t="s">
        <v>3435</v>
      </c>
      <c r="H1501" t="s">
        <v>101</v>
      </c>
      <c r="I1501" t="s">
        <v>26</v>
      </c>
      <c r="J1501" t="s">
        <v>6077</v>
      </c>
      <c r="K1501" t="s">
        <v>103</v>
      </c>
      <c r="L1501">
        <v>78577</v>
      </c>
      <c r="M1501" t="s">
        <v>104</v>
      </c>
      <c r="N1501" t="s">
        <v>1605</v>
      </c>
      <c r="O1501" t="s">
        <v>45</v>
      </c>
      <c r="P1501" t="s">
        <v>58</v>
      </c>
      <c r="Q1501" t="s">
        <v>1606</v>
      </c>
      <c r="R1501">
        <v>727.29600000000005</v>
      </c>
      <c r="S1501">
        <v>8</v>
      </c>
      <c r="T1501">
        <v>0.2</v>
      </c>
      <c r="U1501">
        <v>-172.7328</v>
      </c>
      <c r="V1501" t="str">
        <f t="shared" si="23"/>
        <v>Mick Hernandez</v>
      </c>
      <c r="W1501">
        <f>Table2[Profit]/Table2[Sales]</f>
        <v>-0.23749999999999999</v>
      </c>
    </row>
    <row r="1502" spans="1:23" x14ac:dyDescent="0.25">
      <c r="A1502">
        <v>1501</v>
      </c>
      <c r="B1502" t="s">
        <v>6078</v>
      </c>
      <c r="C1502" s="1">
        <v>42316</v>
      </c>
      <c r="D1502" s="1">
        <v>42322</v>
      </c>
      <c r="E1502" t="s">
        <v>49</v>
      </c>
      <c r="F1502" t="s">
        <v>1561</v>
      </c>
      <c r="G1502" t="s">
        <v>1562</v>
      </c>
      <c r="H1502" t="s">
        <v>25</v>
      </c>
      <c r="I1502" t="s">
        <v>26</v>
      </c>
      <c r="J1502" t="s">
        <v>119</v>
      </c>
      <c r="K1502" t="s">
        <v>120</v>
      </c>
      <c r="L1502">
        <v>84084</v>
      </c>
      <c r="M1502" t="s">
        <v>43</v>
      </c>
      <c r="N1502" t="s">
        <v>6079</v>
      </c>
      <c r="O1502" t="s">
        <v>45</v>
      </c>
      <c r="P1502" t="s">
        <v>266</v>
      </c>
      <c r="Q1502" t="s">
        <v>6080</v>
      </c>
      <c r="R1502">
        <v>5.04</v>
      </c>
      <c r="S1502">
        <v>3</v>
      </c>
      <c r="T1502">
        <v>0</v>
      </c>
      <c r="U1502">
        <v>0.2016</v>
      </c>
      <c r="V1502" t="str">
        <f t="shared" si="23"/>
        <v>Sanjit Chand</v>
      </c>
      <c r="W1502">
        <f>Table2[Profit]/Table2[Sales]</f>
        <v>0.04</v>
      </c>
    </row>
    <row r="1503" spans="1:23" x14ac:dyDescent="0.25">
      <c r="A1503">
        <v>1502</v>
      </c>
      <c r="B1503" t="s">
        <v>6081</v>
      </c>
      <c r="C1503" s="1">
        <v>43056</v>
      </c>
      <c r="D1503" s="1">
        <v>43062</v>
      </c>
      <c r="E1503" t="s">
        <v>49</v>
      </c>
      <c r="F1503" t="s">
        <v>6082</v>
      </c>
      <c r="G1503" t="s">
        <v>6083</v>
      </c>
      <c r="H1503" t="s">
        <v>25</v>
      </c>
      <c r="I1503" t="s">
        <v>26</v>
      </c>
      <c r="J1503" t="s">
        <v>3100</v>
      </c>
      <c r="K1503" t="s">
        <v>103</v>
      </c>
      <c r="L1503">
        <v>78521</v>
      </c>
      <c r="M1503" t="s">
        <v>104</v>
      </c>
      <c r="N1503" t="s">
        <v>5081</v>
      </c>
      <c r="O1503" t="s">
        <v>31</v>
      </c>
      <c r="P1503" t="s">
        <v>32</v>
      </c>
      <c r="Q1503" t="s">
        <v>5082</v>
      </c>
      <c r="R1503">
        <v>327.7328</v>
      </c>
      <c r="S1503">
        <v>2</v>
      </c>
      <c r="T1503">
        <v>0.32</v>
      </c>
      <c r="U1503">
        <v>-14.4588</v>
      </c>
      <c r="V1503" t="str">
        <f t="shared" si="23"/>
        <v>Joy Bell-</v>
      </c>
      <c r="W1503">
        <f>Table2[Profit]/Table2[Sales]</f>
        <v>-4.4117647058823532E-2</v>
      </c>
    </row>
    <row r="1504" spans="1:23" x14ac:dyDescent="0.25">
      <c r="A1504">
        <v>1503</v>
      </c>
      <c r="B1504" t="s">
        <v>6084</v>
      </c>
      <c r="C1504" s="1">
        <v>42316</v>
      </c>
      <c r="D1504" s="1">
        <v>42321</v>
      </c>
      <c r="E1504" t="s">
        <v>49</v>
      </c>
      <c r="F1504" t="s">
        <v>4618</v>
      </c>
      <c r="G1504" t="s">
        <v>4619</v>
      </c>
      <c r="H1504" t="s">
        <v>25</v>
      </c>
      <c r="I1504" t="s">
        <v>26</v>
      </c>
      <c r="J1504" t="s">
        <v>263</v>
      </c>
      <c r="K1504" t="s">
        <v>264</v>
      </c>
      <c r="L1504">
        <v>10011</v>
      </c>
      <c r="M1504" t="s">
        <v>145</v>
      </c>
      <c r="N1504" t="s">
        <v>1201</v>
      </c>
      <c r="O1504" t="s">
        <v>45</v>
      </c>
      <c r="P1504" t="s">
        <v>74</v>
      </c>
      <c r="Q1504" t="s">
        <v>1202</v>
      </c>
      <c r="R1504">
        <v>52.271999999999998</v>
      </c>
      <c r="S1504">
        <v>11</v>
      </c>
      <c r="T1504">
        <v>0.2</v>
      </c>
      <c r="U1504">
        <v>17.6418</v>
      </c>
      <c r="V1504" t="str">
        <f t="shared" si="23"/>
        <v>Amy Cox</v>
      </c>
      <c r="W1504">
        <f>Table2[Profit]/Table2[Sales]</f>
        <v>0.33750000000000002</v>
      </c>
    </row>
    <row r="1505" spans="1:23" x14ac:dyDescent="0.25">
      <c r="A1505">
        <v>1504</v>
      </c>
      <c r="B1505" t="s">
        <v>6085</v>
      </c>
      <c r="C1505" s="1">
        <v>42847</v>
      </c>
      <c r="D1505" s="1">
        <v>42851</v>
      </c>
      <c r="E1505" t="s">
        <v>49</v>
      </c>
      <c r="F1505" t="s">
        <v>2037</v>
      </c>
      <c r="G1505" t="s">
        <v>2038</v>
      </c>
      <c r="H1505" t="s">
        <v>101</v>
      </c>
      <c r="I1505" t="s">
        <v>26</v>
      </c>
      <c r="J1505" t="s">
        <v>143</v>
      </c>
      <c r="K1505" t="s">
        <v>144</v>
      </c>
      <c r="L1505">
        <v>19140</v>
      </c>
      <c r="M1505" t="s">
        <v>145</v>
      </c>
      <c r="N1505" t="s">
        <v>4134</v>
      </c>
      <c r="O1505" t="s">
        <v>31</v>
      </c>
      <c r="P1505" t="s">
        <v>64</v>
      </c>
      <c r="Q1505" t="s">
        <v>4135</v>
      </c>
      <c r="R1505">
        <v>254.352</v>
      </c>
      <c r="S1505">
        <v>3</v>
      </c>
      <c r="T1505">
        <v>0.2</v>
      </c>
      <c r="U1505">
        <v>0</v>
      </c>
      <c r="V1505" t="str">
        <f t="shared" si="23"/>
        <v>Meg O'Connel</v>
      </c>
      <c r="W1505">
        <f>Table2[Profit]/Table2[Sales]</f>
        <v>0</v>
      </c>
    </row>
    <row r="1506" spans="1:23" x14ac:dyDescent="0.25">
      <c r="A1506">
        <v>1505</v>
      </c>
      <c r="B1506" t="s">
        <v>6086</v>
      </c>
      <c r="C1506" s="1">
        <v>41875</v>
      </c>
      <c r="D1506" s="1">
        <v>41875</v>
      </c>
      <c r="E1506" t="s">
        <v>1278</v>
      </c>
      <c r="F1506" t="s">
        <v>4257</v>
      </c>
      <c r="G1506" t="s">
        <v>4258</v>
      </c>
      <c r="H1506" t="s">
        <v>40</v>
      </c>
      <c r="I1506" t="s">
        <v>26</v>
      </c>
      <c r="J1506" t="s">
        <v>6087</v>
      </c>
      <c r="K1506" t="s">
        <v>1738</v>
      </c>
      <c r="L1506">
        <v>59102</v>
      </c>
      <c r="M1506" t="s">
        <v>43</v>
      </c>
      <c r="N1506" t="s">
        <v>6088</v>
      </c>
      <c r="O1506" t="s">
        <v>45</v>
      </c>
      <c r="P1506" t="s">
        <v>74</v>
      </c>
      <c r="Q1506" t="s">
        <v>6089</v>
      </c>
      <c r="R1506">
        <v>8.2880000000000003</v>
      </c>
      <c r="S1506">
        <v>2</v>
      </c>
      <c r="T1506">
        <v>0.2</v>
      </c>
      <c r="U1506">
        <v>2.6936</v>
      </c>
      <c r="V1506" t="str">
        <f t="shared" si="23"/>
        <v>Robert Barroso</v>
      </c>
      <c r="W1506">
        <f>Table2[Profit]/Table2[Sales]</f>
        <v>0.32500000000000001</v>
      </c>
    </row>
    <row r="1507" spans="1:23" x14ac:dyDescent="0.25">
      <c r="A1507">
        <v>1506</v>
      </c>
      <c r="B1507" t="s">
        <v>6090</v>
      </c>
      <c r="C1507" s="1">
        <v>43086</v>
      </c>
      <c r="D1507" s="1">
        <v>43090</v>
      </c>
      <c r="E1507" t="s">
        <v>49</v>
      </c>
      <c r="F1507" t="s">
        <v>3958</v>
      </c>
      <c r="G1507" t="s">
        <v>3959</v>
      </c>
      <c r="H1507" t="s">
        <v>25</v>
      </c>
      <c r="I1507" t="s">
        <v>26</v>
      </c>
      <c r="J1507" t="s">
        <v>4771</v>
      </c>
      <c r="K1507" t="s">
        <v>312</v>
      </c>
      <c r="L1507">
        <v>23320</v>
      </c>
      <c r="M1507" t="s">
        <v>29</v>
      </c>
      <c r="N1507" t="s">
        <v>3550</v>
      </c>
      <c r="O1507" t="s">
        <v>31</v>
      </c>
      <c r="P1507" t="s">
        <v>35</v>
      </c>
      <c r="Q1507" t="s">
        <v>3551</v>
      </c>
      <c r="R1507">
        <v>504.9</v>
      </c>
      <c r="S1507">
        <v>5</v>
      </c>
      <c r="T1507">
        <v>0</v>
      </c>
      <c r="U1507">
        <v>80.784000000000006</v>
      </c>
      <c r="V1507" t="str">
        <f t="shared" si="23"/>
        <v>Arianne Irving</v>
      </c>
      <c r="W1507">
        <f>Table2[Profit]/Table2[Sales]</f>
        <v>0.16000000000000003</v>
      </c>
    </row>
    <row r="1508" spans="1:23" x14ac:dyDescent="0.25">
      <c r="A1508">
        <v>1507</v>
      </c>
      <c r="B1508" t="s">
        <v>6091</v>
      </c>
      <c r="C1508" s="1">
        <v>42453</v>
      </c>
      <c r="D1508" s="1">
        <v>42457</v>
      </c>
      <c r="E1508" t="s">
        <v>49</v>
      </c>
      <c r="F1508" t="s">
        <v>952</v>
      </c>
      <c r="G1508" t="s">
        <v>953</v>
      </c>
      <c r="H1508" t="s">
        <v>40</v>
      </c>
      <c r="I1508" t="s">
        <v>26</v>
      </c>
      <c r="J1508" t="s">
        <v>6092</v>
      </c>
      <c r="K1508" t="s">
        <v>413</v>
      </c>
      <c r="L1508">
        <v>97030</v>
      </c>
      <c r="M1508" t="s">
        <v>43</v>
      </c>
      <c r="N1508" t="s">
        <v>5762</v>
      </c>
      <c r="O1508" t="s">
        <v>70</v>
      </c>
      <c r="P1508" t="s">
        <v>71</v>
      </c>
      <c r="Q1508" t="s">
        <v>5763</v>
      </c>
      <c r="R1508">
        <v>403.16800000000001</v>
      </c>
      <c r="S1508">
        <v>4</v>
      </c>
      <c r="T1508">
        <v>0.2</v>
      </c>
      <c r="U1508">
        <v>25.198</v>
      </c>
      <c r="V1508" t="str">
        <f t="shared" si="23"/>
        <v>Dan Reichenbach</v>
      </c>
      <c r="W1508">
        <f>Table2[Profit]/Table2[Sales]</f>
        <v>6.25E-2</v>
      </c>
    </row>
    <row r="1509" spans="1:23" x14ac:dyDescent="0.25">
      <c r="A1509">
        <v>1508</v>
      </c>
      <c r="B1509" t="s">
        <v>6093</v>
      </c>
      <c r="C1509" s="1">
        <v>42268</v>
      </c>
      <c r="D1509" s="1">
        <v>42274</v>
      </c>
      <c r="E1509" t="s">
        <v>49</v>
      </c>
      <c r="F1509" t="s">
        <v>6094</v>
      </c>
      <c r="G1509" t="s">
        <v>6095</v>
      </c>
      <c r="H1509" t="s">
        <v>40</v>
      </c>
      <c r="I1509" t="s">
        <v>26</v>
      </c>
      <c r="J1509" t="s">
        <v>5055</v>
      </c>
      <c r="K1509" t="s">
        <v>235</v>
      </c>
      <c r="L1509">
        <v>48146</v>
      </c>
      <c r="M1509" t="s">
        <v>104</v>
      </c>
      <c r="N1509" t="s">
        <v>4691</v>
      </c>
      <c r="O1509" t="s">
        <v>31</v>
      </c>
      <c r="P1509" t="s">
        <v>32</v>
      </c>
      <c r="Q1509" t="s">
        <v>4692</v>
      </c>
      <c r="R1509">
        <v>194.32</v>
      </c>
      <c r="S1509">
        <v>4</v>
      </c>
      <c r="T1509">
        <v>0</v>
      </c>
      <c r="U1509">
        <v>31.091200000000001</v>
      </c>
      <c r="V1509" t="str">
        <f t="shared" si="23"/>
        <v>Dario Medina</v>
      </c>
      <c r="W1509">
        <f>Table2[Profit]/Table2[Sales]</f>
        <v>0.16</v>
      </c>
    </row>
    <row r="1510" spans="1:23" x14ac:dyDescent="0.25">
      <c r="A1510">
        <v>1509</v>
      </c>
      <c r="B1510" t="s">
        <v>6096</v>
      </c>
      <c r="C1510" s="1">
        <v>42695</v>
      </c>
      <c r="D1510" s="1">
        <v>42700</v>
      </c>
      <c r="E1510" t="s">
        <v>49</v>
      </c>
      <c r="F1510" t="s">
        <v>3522</v>
      </c>
      <c r="G1510" t="s">
        <v>3523</v>
      </c>
      <c r="H1510" t="s">
        <v>25</v>
      </c>
      <c r="I1510" t="s">
        <v>26</v>
      </c>
      <c r="J1510" t="s">
        <v>6092</v>
      </c>
      <c r="K1510" t="s">
        <v>413</v>
      </c>
      <c r="L1510">
        <v>97030</v>
      </c>
      <c r="M1510" t="s">
        <v>43</v>
      </c>
      <c r="N1510" t="s">
        <v>4825</v>
      </c>
      <c r="O1510" t="s">
        <v>31</v>
      </c>
      <c r="P1510" t="s">
        <v>35</v>
      </c>
      <c r="Q1510" t="s">
        <v>4826</v>
      </c>
      <c r="R1510">
        <v>195.136</v>
      </c>
      <c r="S1510">
        <v>4</v>
      </c>
      <c r="T1510">
        <v>0.2</v>
      </c>
      <c r="U1510">
        <v>-12.196</v>
      </c>
      <c r="V1510" t="str">
        <f t="shared" si="23"/>
        <v>Justin Hirsh</v>
      </c>
      <c r="W1510">
        <f>Table2[Profit]/Table2[Sales]</f>
        <v>-6.25E-2</v>
      </c>
    </row>
    <row r="1511" spans="1:23" x14ac:dyDescent="0.25">
      <c r="A1511">
        <v>1510</v>
      </c>
      <c r="B1511" t="s">
        <v>6097</v>
      </c>
      <c r="C1511" s="1">
        <v>42994</v>
      </c>
      <c r="D1511" s="1">
        <v>42999</v>
      </c>
      <c r="E1511" t="s">
        <v>49</v>
      </c>
      <c r="F1511" t="s">
        <v>1237</v>
      </c>
      <c r="G1511" t="s">
        <v>1238</v>
      </c>
      <c r="H1511" t="s">
        <v>101</v>
      </c>
      <c r="I1511" t="s">
        <v>26</v>
      </c>
      <c r="J1511" t="s">
        <v>143</v>
      </c>
      <c r="K1511" t="s">
        <v>144</v>
      </c>
      <c r="L1511">
        <v>19143</v>
      </c>
      <c r="M1511" t="s">
        <v>145</v>
      </c>
      <c r="N1511" t="s">
        <v>4356</v>
      </c>
      <c r="O1511" t="s">
        <v>45</v>
      </c>
      <c r="P1511" t="s">
        <v>89</v>
      </c>
      <c r="Q1511" t="s">
        <v>4357</v>
      </c>
      <c r="R1511">
        <v>20.736000000000001</v>
      </c>
      <c r="S1511">
        <v>4</v>
      </c>
      <c r="T1511">
        <v>0.2</v>
      </c>
      <c r="U1511">
        <v>7.2576000000000001</v>
      </c>
      <c r="V1511" t="str">
        <f t="shared" si="23"/>
        <v>Adam Bellavance</v>
      </c>
      <c r="W1511">
        <f>Table2[Profit]/Table2[Sales]</f>
        <v>0.35</v>
      </c>
    </row>
    <row r="1512" spans="1:23" x14ac:dyDescent="0.25">
      <c r="A1512">
        <v>1511</v>
      </c>
      <c r="B1512" t="s">
        <v>6098</v>
      </c>
      <c r="C1512" s="1">
        <v>42166</v>
      </c>
      <c r="D1512" s="1">
        <v>42171</v>
      </c>
      <c r="E1512" t="s">
        <v>49</v>
      </c>
      <c r="F1512" t="s">
        <v>1762</v>
      </c>
      <c r="G1512" t="s">
        <v>1763</v>
      </c>
      <c r="H1512" t="s">
        <v>25</v>
      </c>
      <c r="I1512" t="s">
        <v>26</v>
      </c>
      <c r="J1512" t="s">
        <v>728</v>
      </c>
      <c r="K1512" t="s">
        <v>729</v>
      </c>
      <c r="L1512">
        <v>71203</v>
      </c>
      <c r="M1512" t="s">
        <v>29</v>
      </c>
      <c r="N1512" t="s">
        <v>4070</v>
      </c>
      <c r="O1512" t="s">
        <v>70</v>
      </c>
      <c r="P1512" t="s">
        <v>158</v>
      </c>
      <c r="Q1512" t="s">
        <v>4071</v>
      </c>
      <c r="R1512">
        <v>53.7</v>
      </c>
      <c r="S1512">
        <v>6</v>
      </c>
      <c r="T1512">
        <v>0</v>
      </c>
      <c r="U1512">
        <v>10.202999999999999</v>
      </c>
      <c r="V1512" t="str">
        <f t="shared" si="23"/>
        <v>Brian Dahlen</v>
      </c>
      <c r="W1512">
        <f>Table2[Profit]/Table2[Sales]</f>
        <v>0.18999999999999997</v>
      </c>
    </row>
    <row r="1513" spans="1:23" x14ac:dyDescent="0.25">
      <c r="A1513">
        <v>1512</v>
      </c>
      <c r="B1513" t="s">
        <v>6101</v>
      </c>
      <c r="C1513" s="1">
        <v>43011</v>
      </c>
      <c r="D1513" s="1">
        <v>43016</v>
      </c>
      <c r="E1513" t="s">
        <v>49</v>
      </c>
      <c r="F1513" t="s">
        <v>3632</v>
      </c>
      <c r="G1513" t="s">
        <v>3633</v>
      </c>
      <c r="H1513" t="s">
        <v>40</v>
      </c>
      <c r="I1513" t="s">
        <v>26</v>
      </c>
      <c r="J1513" t="s">
        <v>596</v>
      </c>
      <c r="K1513" t="s">
        <v>42</v>
      </c>
      <c r="L1513">
        <v>91104</v>
      </c>
      <c r="M1513" t="s">
        <v>43</v>
      </c>
      <c r="N1513" t="s">
        <v>2765</v>
      </c>
      <c r="O1513" t="s">
        <v>31</v>
      </c>
      <c r="P1513" t="s">
        <v>55</v>
      </c>
      <c r="Q1513" t="s">
        <v>2766</v>
      </c>
      <c r="R1513">
        <v>171.28800000000001</v>
      </c>
      <c r="S1513">
        <v>3</v>
      </c>
      <c r="T1513">
        <v>0.2</v>
      </c>
      <c r="U1513">
        <v>-6.4233000000000002</v>
      </c>
      <c r="V1513" t="str">
        <f t="shared" si="23"/>
        <v>Aaron Smayling</v>
      </c>
      <c r="W1513">
        <f>Table2[Profit]/Table2[Sales]</f>
        <v>-3.7499999999999999E-2</v>
      </c>
    </row>
    <row r="1514" spans="1:23" x14ac:dyDescent="0.25">
      <c r="A1514">
        <v>1513</v>
      </c>
      <c r="B1514" t="s">
        <v>6102</v>
      </c>
      <c r="C1514" s="1">
        <v>42495</v>
      </c>
      <c r="D1514" s="1">
        <v>42499</v>
      </c>
      <c r="E1514" t="s">
        <v>49</v>
      </c>
      <c r="F1514" t="s">
        <v>124</v>
      </c>
      <c r="G1514" t="s">
        <v>125</v>
      </c>
      <c r="H1514" t="s">
        <v>25</v>
      </c>
      <c r="I1514" t="s">
        <v>26</v>
      </c>
      <c r="J1514" t="s">
        <v>6103</v>
      </c>
      <c r="K1514" t="s">
        <v>328</v>
      </c>
      <c r="L1514">
        <v>37421</v>
      </c>
      <c r="M1514" t="s">
        <v>29</v>
      </c>
      <c r="N1514" t="s">
        <v>3872</v>
      </c>
      <c r="O1514" t="s">
        <v>31</v>
      </c>
      <c r="P1514" t="s">
        <v>64</v>
      </c>
      <c r="Q1514" t="s">
        <v>3873</v>
      </c>
      <c r="R1514">
        <v>16.72</v>
      </c>
      <c r="S1514">
        <v>5</v>
      </c>
      <c r="T1514">
        <v>0.2</v>
      </c>
      <c r="U1514">
        <v>3.3439999999999999</v>
      </c>
      <c r="V1514" t="str">
        <f t="shared" si="23"/>
        <v>Zuschuss Donatelli</v>
      </c>
      <c r="W1514">
        <f>Table2[Profit]/Table2[Sales]</f>
        <v>0.2</v>
      </c>
    </row>
    <row r="1515" spans="1:23" x14ac:dyDescent="0.25">
      <c r="A1515">
        <v>1514</v>
      </c>
      <c r="B1515" t="s">
        <v>6104</v>
      </c>
      <c r="C1515" s="1">
        <v>42989</v>
      </c>
      <c r="D1515" s="1">
        <v>42990</v>
      </c>
      <c r="E1515" t="s">
        <v>1278</v>
      </c>
      <c r="F1515" t="s">
        <v>4995</v>
      </c>
      <c r="G1515" t="s">
        <v>4996</v>
      </c>
      <c r="H1515" t="s">
        <v>101</v>
      </c>
      <c r="I1515" t="s">
        <v>26</v>
      </c>
      <c r="J1515" t="s">
        <v>1161</v>
      </c>
      <c r="K1515" t="s">
        <v>42</v>
      </c>
      <c r="L1515">
        <v>90805</v>
      </c>
      <c r="M1515" t="s">
        <v>43</v>
      </c>
      <c r="N1515" t="s">
        <v>3289</v>
      </c>
      <c r="O1515" t="s">
        <v>45</v>
      </c>
      <c r="P1515" t="s">
        <v>89</v>
      </c>
      <c r="Q1515" t="s">
        <v>3290</v>
      </c>
      <c r="R1515">
        <v>12.96</v>
      </c>
      <c r="S1515">
        <v>2</v>
      </c>
      <c r="T1515">
        <v>0</v>
      </c>
      <c r="U1515">
        <v>6.2207999999999997</v>
      </c>
      <c r="V1515" t="str">
        <f t="shared" si="23"/>
        <v>Karen Ferguson</v>
      </c>
      <c r="W1515">
        <f>Table2[Profit]/Table2[Sales]</f>
        <v>0.47999999999999993</v>
      </c>
    </row>
    <row r="1516" spans="1:23" x14ac:dyDescent="0.25">
      <c r="A1516">
        <v>1515</v>
      </c>
      <c r="B1516" t="s">
        <v>6109</v>
      </c>
      <c r="C1516" s="1">
        <v>42124</v>
      </c>
      <c r="D1516" s="1">
        <v>42126</v>
      </c>
      <c r="E1516" t="s">
        <v>22</v>
      </c>
      <c r="F1516" t="s">
        <v>4576</v>
      </c>
      <c r="G1516" t="s">
        <v>4577</v>
      </c>
      <c r="H1516" t="s">
        <v>25</v>
      </c>
      <c r="I1516" t="s">
        <v>26</v>
      </c>
      <c r="J1516" t="s">
        <v>271</v>
      </c>
      <c r="K1516" t="s">
        <v>491</v>
      </c>
      <c r="L1516">
        <v>45373</v>
      </c>
      <c r="M1516" t="s">
        <v>145</v>
      </c>
      <c r="N1516" t="s">
        <v>2456</v>
      </c>
      <c r="O1516" t="s">
        <v>70</v>
      </c>
      <c r="P1516" t="s">
        <v>71</v>
      </c>
      <c r="Q1516" t="s">
        <v>2457</v>
      </c>
      <c r="R1516">
        <v>1022.97</v>
      </c>
      <c r="S1516">
        <v>5</v>
      </c>
      <c r="T1516">
        <v>0.4</v>
      </c>
      <c r="U1516">
        <v>-255.74250000000001</v>
      </c>
      <c r="V1516" t="str">
        <f t="shared" si="23"/>
        <v>Benjamin Patterson</v>
      </c>
      <c r="W1516">
        <f>Table2[Profit]/Table2[Sales]</f>
        <v>-0.25</v>
      </c>
    </row>
    <row r="1517" spans="1:23" x14ac:dyDescent="0.25">
      <c r="A1517">
        <v>1516</v>
      </c>
      <c r="B1517" t="s">
        <v>6110</v>
      </c>
      <c r="C1517" s="1">
        <v>43045</v>
      </c>
      <c r="D1517" s="1">
        <v>43049</v>
      </c>
      <c r="E1517" t="s">
        <v>22</v>
      </c>
      <c r="F1517" t="s">
        <v>2100</v>
      </c>
      <c r="G1517" t="s">
        <v>2101</v>
      </c>
      <c r="H1517" t="s">
        <v>101</v>
      </c>
      <c r="I1517" t="s">
        <v>26</v>
      </c>
      <c r="J1517" t="s">
        <v>402</v>
      </c>
      <c r="K1517" t="s">
        <v>226</v>
      </c>
      <c r="L1517">
        <v>55407</v>
      </c>
      <c r="M1517" t="s">
        <v>104</v>
      </c>
      <c r="N1517" t="s">
        <v>6111</v>
      </c>
      <c r="O1517" t="s">
        <v>45</v>
      </c>
      <c r="P1517" t="s">
        <v>67</v>
      </c>
      <c r="Q1517" t="s">
        <v>6112</v>
      </c>
      <c r="R1517">
        <v>13.9</v>
      </c>
      <c r="S1517">
        <v>5</v>
      </c>
      <c r="T1517">
        <v>0</v>
      </c>
      <c r="U1517">
        <v>3.6139999999999999</v>
      </c>
      <c r="V1517" t="str">
        <f t="shared" si="23"/>
        <v>Chuck Clark</v>
      </c>
      <c r="W1517">
        <f>Table2[Profit]/Table2[Sales]</f>
        <v>0.26</v>
      </c>
    </row>
    <row r="1518" spans="1:23" x14ac:dyDescent="0.25">
      <c r="A1518">
        <v>1517</v>
      </c>
      <c r="B1518" t="s">
        <v>6113</v>
      </c>
      <c r="C1518" s="1">
        <v>41912</v>
      </c>
      <c r="D1518" s="1">
        <v>41916</v>
      </c>
      <c r="E1518" t="s">
        <v>49</v>
      </c>
      <c r="F1518" t="s">
        <v>1199</v>
      </c>
      <c r="G1518" t="s">
        <v>1200</v>
      </c>
      <c r="H1518" t="s">
        <v>25</v>
      </c>
      <c r="I1518" t="s">
        <v>26</v>
      </c>
      <c r="J1518" t="s">
        <v>94</v>
      </c>
      <c r="K1518" t="s">
        <v>95</v>
      </c>
      <c r="L1518">
        <v>98105</v>
      </c>
      <c r="M1518" t="s">
        <v>43</v>
      </c>
      <c r="N1518" t="s">
        <v>73</v>
      </c>
      <c r="O1518" t="s">
        <v>45</v>
      </c>
      <c r="P1518" t="s">
        <v>74</v>
      </c>
      <c r="Q1518" t="s">
        <v>75</v>
      </c>
      <c r="R1518">
        <v>43.176000000000002</v>
      </c>
      <c r="S1518">
        <v>7</v>
      </c>
      <c r="T1518">
        <v>0.2</v>
      </c>
      <c r="U1518">
        <v>13.4925</v>
      </c>
      <c r="V1518" t="str">
        <f t="shared" si="23"/>
        <v>Doug Bickford</v>
      </c>
      <c r="W1518">
        <f>Table2[Profit]/Table2[Sales]</f>
        <v>0.3125</v>
      </c>
    </row>
    <row r="1519" spans="1:23" x14ac:dyDescent="0.25">
      <c r="A1519">
        <v>1518</v>
      </c>
      <c r="B1519" t="s">
        <v>6114</v>
      </c>
      <c r="C1519" s="1">
        <v>42827</v>
      </c>
      <c r="D1519" s="1">
        <v>42829</v>
      </c>
      <c r="E1519" t="s">
        <v>185</v>
      </c>
      <c r="F1519" t="s">
        <v>6115</v>
      </c>
      <c r="G1519" t="s">
        <v>6116</v>
      </c>
      <c r="H1519" t="s">
        <v>101</v>
      </c>
      <c r="I1519" t="s">
        <v>26</v>
      </c>
      <c r="J1519" t="s">
        <v>490</v>
      </c>
      <c r="K1519" t="s">
        <v>1260</v>
      </c>
      <c r="L1519">
        <v>31907</v>
      </c>
      <c r="M1519" t="s">
        <v>29</v>
      </c>
      <c r="N1519" t="s">
        <v>532</v>
      </c>
      <c r="O1519" t="s">
        <v>31</v>
      </c>
      <c r="P1519" t="s">
        <v>55</v>
      </c>
      <c r="Q1519" t="s">
        <v>533</v>
      </c>
      <c r="R1519">
        <v>411.8</v>
      </c>
      <c r="S1519">
        <v>2</v>
      </c>
      <c r="T1519">
        <v>0</v>
      </c>
      <c r="U1519">
        <v>70.006</v>
      </c>
      <c r="V1519" t="str">
        <f t="shared" si="23"/>
        <v>Tony Chapman</v>
      </c>
      <c r="W1519">
        <f>Table2[Profit]/Table2[Sales]</f>
        <v>0.16999999999999998</v>
      </c>
    </row>
    <row r="1520" spans="1:23" x14ac:dyDescent="0.25">
      <c r="A1520">
        <v>1519</v>
      </c>
      <c r="B1520" t="s">
        <v>6117</v>
      </c>
      <c r="C1520" s="1">
        <v>43014</v>
      </c>
      <c r="D1520" s="1">
        <v>43019</v>
      </c>
      <c r="E1520" t="s">
        <v>49</v>
      </c>
      <c r="F1520" t="s">
        <v>1060</v>
      </c>
      <c r="G1520" t="s">
        <v>1061</v>
      </c>
      <c r="H1520" t="s">
        <v>101</v>
      </c>
      <c r="I1520" t="s">
        <v>26</v>
      </c>
      <c r="J1520" t="s">
        <v>6118</v>
      </c>
      <c r="K1520" t="s">
        <v>6119</v>
      </c>
      <c r="L1520">
        <v>83642</v>
      </c>
      <c r="M1520" t="s">
        <v>43</v>
      </c>
      <c r="N1520" t="s">
        <v>6120</v>
      </c>
      <c r="O1520" t="s">
        <v>31</v>
      </c>
      <c r="P1520" t="s">
        <v>64</v>
      </c>
      <c r="Q1520" t="s">
        <v>6121</v>
      </c>
      <c r="R1520">
        <v>41.96</v>
      </c>
      <c r="S1520">
        <v>2</v>
      </c>
      <c r="T1520">
        <v>0</v>
      </c>
      <c r="U1520">
        <v>2.9371999999999998</v>
      </c>
      <c r="V1520" t="str">
        <f t="shared" si="23"/>
        <v>Nick Zandusky</v>
      </c>
      <c r="W1520">
        <f>Table2[Profit]/Table2[Sales]</f>
        <v>6.9999999999999993E-2</v>
      </c>
    </row>
    <row r="1521" spans="1:23" x14ac:dyDescent="0.25">
      <c r="A1521">
        <v>1520</v>
      </c>
      <c r="B1521" t="s">
        <v>6122</v>
      </c>
      <c r="C1521" s="1">
        <v>42469</v>
      </c>
      <c r="D1521" s="1">
        <v>42474</v>
      </c>
      <c r="E1521" t="s">
        <v>22</v>
      </c>
      <c r="F1521" t="s">
        <v>6123</v>
      </c>
      <c r="G1521" t="s">
        <v>6124</v>
      </c>
      <c r="H1521" t="s">
        <v>101</v>
      </c>
      <c r="I1521" t="s">
        <v>26</v>
      </c>
      <c r="J1521" t="s">
        <v>873</v>
      </c>
      <c r="K1521" t="s">
        <v>235</v>
      </c>
      <c r="L1521">
        <v>48227</v>
      </c>
      <c r="M1521" t="s">
        <v>104</v>
      </c>
      <c r="N1521" t="s">
        <v>5512</v>
      </c>
      <c r="O1521" t="s">
        <v>70</v>
      </c>
      <c r="P1521" t="s">
        <v>71</v>
      </c>
      <c r="Q1521" t="s">
        <v>5513</v>
      </c>
      <c r="R1521">
        <v>517.9</v>
      </c>
      <c r="S1521">
        <v>2</v>
      </c>
      <c r="T1521">
        <v>0</v>
      </c>
      <c r="U1521">
        <v>134.654</v>
      </c>
      <c r="V1521" t="str">
        <f t="shared" si="23"/>
        <v>Sean Wendt</v>
      </c>
      <c r="W1521">
        <f>Table2[Profit]/Table2[Sales]</f>
        <v>0.26</v>
      </c>
    </row>
    <row r="1522" spans="1:23" x14ac:dyDescent="0.25">
      <c r="A1522">
        <v>1521</v>
      </c>
      <c r="B1522" t="s">
        <v>6125</v>
      </c>
      <c r="C1522" s="1">
        <v>42244</v>
      </c>
      <c r="D1522" s="1">
        <v>42248</v>
      </c>
      <c r="E1522" t="s">
        <v>49</v>
      </c>
      <c r="F1522" t="s">
        <v>3918</v>
      </c>
      <c r="G1522" t="s">
        <v>3919</v>
      </c>
      <c r="H1522" t="s">
        <v>40</v>
      </c>
      <c r="I1522" t="s">
        <v>26</v>
      </c>
      <c r="J1522" t="s">
        <v>296</v>
      </c>
      <c r="K1522" t="s">
        <v>208</v>
      </c>
      <c r="L1522">
        <v>60623</v>
      </c>
      <c r="M1522" t="s">
        <v>104</v>
      </c>
      <c r="N1522" t="s">
        <v>3389</v>
      </c>
      <c r="O1522" t="s">
        <v>70</v>
      </c>
      <c r="P1522" t="s">
        <v>1204</v>
      </c>
      <c r="Q1522" t="s">
        <v>3390</v>
      </c>
      <c r="R1522">
        <v>2799.96</v>
      </c>
      <c r="S1522">
        <v>5</v>
      </c>
      <c r="T1522">
        <v>0.2</v>
      </c>
      <c r="U1522">
        <v>874.98749999999995</v>
      </c>
      <c r="V1522" t="str">
        <f t="shared" si="23"/>
        <v>Todd Sumrall</v>
      </c>
      <c r="W1522">
        <f>Table2[Profit]/Table2[Sales]</f>
        <v>0.3125</v>
      </c>
    </row>
    <row r="1523" spans="1:23" x14ac:dyDescent="0.25">
      <c r="A1523">
        <v>1522</v>
      </c>
      <c r="B1523" t="s">
        <v>6126</v>
      </c>
      <c r="C1523" s="1">
        <v>43027</v>
      </c>
      <c r="D1523" s="1">
        <v>43032</v>
      </c>
      <c r="E1523" t="s">
        <v>22</v>
      </c>
      <c r="F1523" t="s">
        <v>4218</v>
      </c>
      <c r="G1523" t="s">
        <v>4219</v>
      </c>
      <c r="H1523" t="s">
        <v>40</v>
      </c>
      <c r="I1523" t="s">
        <v>26</v>
      </c>
      <c r="J1523" t="s">
        <v>126</v>
      </c>
      <c r="K1523" t="s">
        <v>42</v>
      </c>
      <c r="L1523">
        <v>94110</v>
      </c>
      <c r="M1523" t="s">
        <v>43</v>
      </c>
      <c r="N1523" t="s">
        <v>5393</v>
      </c>
      <c r="O1523" t="s">
        <v>45</v>
      </c>
      <c r="P1523" t="s">
        <v>170</v>
      </c>
      <c r="Q1523" t="s">
        <v>5394</v>
      </c>
      <c r="R1523">
        <v>8.9600000000000009</v>
      </c>
      <c r="S1523">
        <v>2</v>
      </c>
      <c r="T1523">
        <v>0</v>
      </c>
      <c r="U1523">
        <v>4.3007999999999997</v>
      </c>
      <c r="V1523" t="str">
        <f t="shared" si="23"/>
        <v>Hilary Holden</v>
      </c>
      <c r="W1523">
        <f>Table2[Profit]/Table2[Sales]</f>
        <v>0.47999999999999993</v>
      </c>
    </row>
    <row r="1524" spans="1:23" x14ac:dyDescent="0.25">
      <c r="A1524">
        <v>1523</v>
      </c>
      <c r="B1524" t="s">
        <v>6127</v>
      </c>
      <c r="C1524" s="1">
        <v>42681</v>
      </c>
      <c r="D1524" s="1">
        <v>42686</v>
      </c>
      <c r="E1524" t="s">
        <v>49</v>
      </c>
      <c r="F1524" t="s">
        <v>5899</v>
      </c>
      <c r="G1524" t="s">
        <v>5900</v>
      </c>
      <c r="H1524" t="s">
        <v>40</v>
      </c>
      <c r="I1524" t="s">
        <v>26</v>
      </c>
      <c r="J1524" t="s">
        <v>600</v>
      </c>
      <c r="K1524" t="s">
        <v>491</v>
      </c>
      <c r="L1524">
        <v>43055</v>
      </c>
      <c r="M1524" t="s">
        <v>145</v>
      </c>
      <c r="N1524" t="s">
        <v>4844</v>
      </c>
      <c r="O1524" t="s">
        <v>70</v>
      </c>
      <c r="P1524" t="s">
        <v>158</v>
      </c>
      <c r="Q1524" t="s">
        <v>4845</v>
      </c>
      <c r="R1524">
        <v>119.976</v>
      </c>
      <c r="S1524">
        <v>3</v>
      </c>
      <c r="T1524">
        <v>0.2</v>
      </c>
      <c r="U1524">
        <v>22.4955</v>
      </c>
      <c r="V1524" t="str">
        <f t="shared" si="23"/>
        <v>Denise Monton</v>
      </c>
      <c r="W1524">
        <f>Table2[Profit]/Table2[Sales]</f>
        <v>0.1875</v>
      </c>
    </row>
    <row r="1525" spans="1:23" x14ac:dyDescent="0.25">
      <c r="A1525">
        <v>1524</v>
      </c>
      <c r="B1525" t="s">
        <v>6128</v>
      </c>
      <c r="C1525" s="1">
        <v>42797</v>
      </c>
      <c r="D1525" s="1">
        <v>42801</v>
      </c>
      <c r="E1525" t="s">
        <v>49</v>
      </c>
      <c r="F1525" t="s">
        <v>6129</v>
      </c>
      <c r="G1525" t="s">
        <v>6130</v>
      </c>
      <c r="H1525" t="s">
        <v>25</v>
      </c>
      <c r="I1525" t="s">
        <v>26</v>
      </c>
      <c r="J1525" t="s">
        <v>808</v>
      </c>
      <c r="K1525" t="s">
        <v>103</v>
      </c>
      <c r="L1525">
        <v>75081</v>
      </c>
      <c r="M1525" t="s">
        <v>104</v>
      </c>
      <c r="N1525" t="s">
        <v>3059</v>
      </c>
      <c r="O1525" t="s">
        <v>45</v>
      </c>
      <c r="P1525" t="s">
        <v>89</v>
      </c>
      <c r="Q1525" t="s">
        <v>3060</v>
      </c>
      <c r="R1525">
        <v>26.88</v>
      </c>
      <c r="S1525">
        <v>8</v>
      </c>
      <c r="T1525">
        <v>0.2</v>
      </c>
      <c r="U1525">
        <v>9.7439999999999998</v>
      </c>
      <c r="V1525" t="str">
        <f t="shared" si="23"/>
        <v>Richard Eichhorn</v>
      </c>
      <c r="W1525">
        <f>Table2[Profit]/Table2[Sales]</f>
        <v>0.36249999999999999</v>
      </c>
    </row>
    <row r="1526" spans="1:23" x14ac:dyDescent="0.25">
      <c r="A1526">
        <v>1525</v>
      </c>
      <c r="B1526" t="s">
        <v>6131</v>
      </c>
      <c r="C1526" s="1">
        <v>42335</v>
      </c>
      <c r="D1526" s="1">
        <v>42337</v>
      </c>
      <c r="E1526" t="s">
        <v>185</v>
      </c>
      <c r="F1526" t="s">
        <v>2079</v>
      </c>
      <c r="G1526" t="s">
        <v>2080</v>
      </c>
      <c r="H1526" t="s">
        <v>40</v>
      </c>
      <c r="I1526" t="s">
        <v>26</v>
      </c>
      <c r="J1526" t="s">
        <v>600</v>
      </c>
      <c r="K1526" t="s">
        <v>242</v>
      </c>
      <c r="L1526">
        <v>19711</v>
      </c>
      <c r="M1526" t="s">
        <v>145</v>
      </c>
      <c r="N1526" t="s">
        <v>6132</v>
      </c>
      <c r="O1526" t="s">
        <v>70</v>
      </c>
      <c r="P1526" t="s">
        <v>71</v>
      </c>
      <c r="Q1526" t="s">
        <v>6133</v>
      </c>
      <c r="R1526">
        <v>83.97</v>
      </c>
      <c r="S1526">
        <v>3</v>
      </c>
      <c r="T1526">
        <v>0</v>
      </c>
      <c r="U1526">
        <v>23.511600000000001</v>
      </c>
      <c r="V1526" t="str">
        <f t="shared" si="23"/>
        <v>Justin Deggeller</v>
      </c>
      <c r="W1526">
        <f>Table2[Profit]/Table2[Sales]</f>
        <v>0.28000000000000003</v>
      </c>
    </row>
    <row r="1527" spans="1:23" x14ac:dyDescent="0.25">
      <c r="A1527">
        <v>1526</v>
      </c>
      <c r="B1527" t="s">
        <v>6134</v>
      </c>
      <c r="C1527" s="1">
        <v>42807</v>
      </c>
      <c r="D1527" s="1">
        <v>42812</v>
      </c>
      <c r="E1527" t="s">
        <v>22</v>
      </c>
      <c r="F1527" t="s">
        <v>6135</v>
      </c>
      <c r="G1527" t="s">
        <v>6136</v>
      </c>
      <c r="H1527" t="s">
        <v>101</v>
      </c>
      <c r="I1527" t="s">
        <v>26</v>
      </c>
      <c r="J1527" t="s">
        <v>5354</v>
      </c>
      <c r="K1527" t="s">
        <v>660</v>
      </c>
      <c r="L1527">
        <v>87105</v>
      </c>
      <c r="M1527" t="s">
        <v>43</v>
      </c>
      <c r="N1527" t="s">
        <v>342</v>
      </c>
      <c r="O1527" t="s">
        <v>45</v>
      </c>
      <c r="P1527" t="s">
        <v>58</v>
      </c>
      <c r="Q1527" t="s">
        <v>343</v>
      </c>
      <c r="R1527">
        <v>90.8</v>
      </c>
      <c r="S1527">
        <v>8</v>
      </c>
      <c r="T1527">
        <v>0</v>
      </c>
      <c r="U1527">
        <v>25.423999999999999</v>
      </c>
      <c r="V1527" t="str">
        <f t="shared" si="23"/>
        <v>Benjamin Farhat</v>
      </c>
      <c r="W1527">
        <f>Table2[Profit]/Table2[Sales]</f>
        <v>0.28000000000000003</v>
      </c>
    </row>
    <row r="1528" spans="1:23" x14ac:dyDescent="0.25">
      <c r="A1528">
        <v>1527</v>
      </c>
      <c r="B1528" t="s">
        <v>6139</v>
      </c>
      <c r="C1528" s="1">
        <v>43069</v>
      </c>
      <c r="D1528" s="1">
        <v>43069</v>
      </c>
      <c r="E1528" t="s">
        <v>1278</v>
      </c>
      <c r="F1528" t="s">
        <v>4387</v>
      </c>
      <c r="G1528" t="s">
        <v>4388</v>
      </c>
      <c r="H1528" t="s">
        <v>101</v>
      </c>
      <c r="I1528" t="s">
        <v>26</v>
      </c>
      <c r="J1528" t="s">
        <v>2797</v>
      </c>
      <c r="K1528" t="s">
        <v>491</v>
      </c>
      <c r="L1528">
        <v>43615</v>
      </c>
      <c r="M1528" t="s">
        <v>145</v>
      </c>
      <c r="N1528" t="s">
        <v>6064</v>
      </c>
      <c r="O1528" t="s">
        <v>45</v>
      </c>
      <c r="P1528" t="s">
        <v>77</v>
      </c>
      <c r="Q1528" t="s">
        <v>6065</v>
      </c>
      <c r="R1528">
        <v>663.93600000000004</v>
      </c>
      <c r="S1528">
        <v>4</v>
      </c>
      <c r="T1528">
        <v>0.2</v>
      </c>
      <c r="U1528">
        <v>82.992000000000004</v>
      </c>
      <c r="V1528" t="str">
        <f t="shared" si="23"/>
        <v>Max Ludwig</v>
      </c>
      <c r="W1528">
        <f>Table2[Profit]/Table2[Sales]</f>
        <v>0.125</v>
      </c>
    </row>
    <row r="1529" spans="1:23" x14ac:dyDescent="0.25">
      <c r="A1529">
        <v>1528</v>
      </c>
      <c r="B1529" t="s">
        <v>6140</v>
      </c>
      <c r="C1529" s="1">
        <v>41960</v>
      </c>
      <c r="D1529" s="1">
        <v>41965</v>
      </c>
      <c r="E1529" t="s">
        <v>49</v>
      </c>
      <c r="F1529" t="s">
        <v>2362</v>
      </c>
      <c r="G1529" t="s">
        <v>2363</v>
      </c>
      <c r="H1529" t="s">
        <v>40</v>
      </c>
      <c r="I1529" t="s">
        <v>26</v>
      </c>
      <c r="J1529" t="s">
        <v>600</v>
      </c>
      <c r="K1529" t="s">
        <v>242</v>
      </c>
      <c r="L1529">
        <v>19711</v>
      </c>
      <c r="M1529" t="s">
        <v>145</v>
      </c>
      <c r="N1529" t="s">
        <v>4187</v>
      </c>
      <c r="O1529" t="s">
        <v>45</v>
      </c>
      <c r="P1529" t="s">
        <v>58</v>
      </c>
      <c r="Q1529" t="s">
        <v>4188</v>
      </c>
      <c r="R1529">
        <v>2934.33</v>
      </c>
      <c r="S1529">
        <v>7</v>
      </c>
      <c r="T1529">
        <v>0</v>
      </c>
      <c r="U1529">
        <v>792.26909999999998</v>
      </c>
      <c r="V1529" t="str">
        <f t="shared" si="23"/>
        <v>Yoseph Carroll</v>
      </c>
      <c r="W1529">
        <f>Table2[Profit]/Table2[Sales]</f>
        <v>0.27</v>
      </c>
    </row>
    <row r="1530" spans="1:23" x14ac:dyDescent="0.25">
      <c r="A1530">
        <v>1529</v>
      </c>
      <c r="B1530" t="s">
        <v>6141</v>
      </c>
      <c r="C1530" s="1">
        <v>42372</v>
      </c>
      <c r="D1530" s="1">
        <v>42374</v>
      </c>
      <c r="E1530" t="s">
        <v>185</v>
      </c>
      <c r="F1530" t="s">
        <v>1962</v>
      </c>
      <c r="G1530" t="s">
        <v>1963</v>
      </c>
      <c r="H1530" t="s">
        <v>25</v>
      </c>
      <c r="I1530" t="s">
        <v>26</v>
      </c>
      <c r="J1530" t="s">
        <v>41</v>
      </c>
      <c r="K1530" t="s">
        <v>42</v>
      </c>
      <c r="L1530">
        <v>90045</v>
      </c>
      <c r="M1530" t="s">
        <v>43</v>
      </c>
      <c r="N1530" t="s">
        <v>5092</v>
      </c>
      <c r="O1530" t="s">
        <v>45</v>
      </c>
      <c r="P1530" t="s">
        <v>58</v>
      </c>
      <c r="Q1530" t="s">
        <v>5093</v>
      </c>
      <c r="R1530">
        <v>114.46</v>
      </c>
      <c r="S1530">
        <v>2</v>
      </c>
      <c r="T1530">
        <v>0</v>
      </c>
      <c r="U1530">
        <v>28.614999999999998</v>
      </c>
      <c r="V1530" t="str">
        <f t="shared" si="23"/>
        <v>Lena Radford</v>
      </c>
      <c r="W1530">
        <f>Table2[Profit]/Table2[Sales]</f>
        <v>0.25</v>
      </c>
    </row>
    <row r="1531" spans="1:23" x14ac:dyDescent="0.25">
      <c r="A1531">
        <v>1530</v>
      </c>
      <c r="B1531" t="s">
        <v>6142</v>
      </c>
      <c r="C1531" s="1">
        <v>42280</v>
      </c>
      <c r="D1531" s="1">
        <v>42285</v>
      </c>
      <c r="E1531" t="s">
        <v>49</v>
      </c>
      <c r="F1531" t="s">
        <v>798</v>
      </c>
      <c r="G1531" t="s">
        <v>799</v>
      </c>
      <c r="H1531" t="s">
        <v>25</v>
      </c>
      <c r="I1531" t="s">
        <v>26</v>
      </c>
      <c r="J1531" t="s">
        <v>41</v>
      </c>
      <c r="K1531" t="s">
        <v>42</v>
      </c>
      <c r="L1531">
        <v>90032</v>
      </c>
      <c r="M1531" t="s">
        <v>43</v>
      </c>
      <c r="N1531" t="s">
        <v>2431</v>
      </c>
      <c r="O1531" t="s">
        <v>31</v>
      </c>
      <c r="P1531" t="s">
        <v>32</v>
      </c>
      <c r="Q1531" t="s">
        <v>2432</v>
      </c>
      <c r="R1531">
        <v>120.666</v>
      </c>
      <c r="S1531">
        <v>2</v>
      </c>
      <c r="T1531">
        <v>0.15</v>
      </c>
      <c r="U1531">
        <v>18.454799999999999</v>
      </c>
      <c r="V1531" t="str">
        <f t="shared" si="23"/>
        <v>Bruce Stewart</v>
      </c>
      <c r="W1531">
        <f>Table2[Profit]/Table2[Sales]</f>
        <v>0.15294117647058822</v>
      </c>
    </row>
    <row r="1532" spans="1:23" x14ac:dyDescent="0.25">
      <c r="A1532">
        <v>1531</v>
      </c>
      <c r="B1532" t="s">
        <v>6143</v>
      </c>
      <c r="C1532" s="1">
        <v>41840</v>
      </c>
      <c r="D1532" s="1">
        <v>41844</v>
      </c>
      <c r="E1532" t="s">
        <v>49</v>
      </c>
      <c r="F1532" t="s">
        <v>3738</v>
      </c>
      <c r="G1532" t="s">
        <v>3739</v>
      </c>
      <c r="H1532" t="s">
        <v>101</v>
      </c>
      <c r="I1532" t="s">
        <v>26</v>
      </c>
      <c r="J1532" t="s">
        <v>808</v>
      </c>
      <c r="K1532" t="s">
        <v>103</v>
      </c>
      <c r="L1532">
        <v>75217</v>
      </c>
      <c r="M1532" t="s">
        <v>104</v>
      </c>
      <c r="N1532" t="s">
        <v>1502</v>
      </c>
      <c r="O1532" t="s">
        <v>45</v>
      </c>
      <c r="P1532" t="s">
        <v>58</v>
      </c>
      <c r="Q1532" t="s">
        <v>1503</v>
      </c>
      <c r="R1532">
        <v>342.86399999999998</v>
      </c>
      <c r="S1532">
        <v>3</v>
      </c>
      <c r="T1532">
        <v>0.2</v>
      </c>
      <c r="U1532">
        <v>38.572200000000002</v>
      </c>
      <c r="V1532" t="str">
        <f t="shared" si="23"/>
        <v>Katherine Murray</v>
      </c>
      <c r="W1532">
        <f>Table2[Profit]/Table2[Sales]</f>
        <v>0.11250000000000002</v>
      </c>
    </row>
    <row r="1533" spans="1:23" x14ac:dyDescent="0.25">
      <c r="A1533">
        <v>1532</v>
      </c>
      <c r="B1533" t="s">
        <v>6144</v>
      </c>
      <c r="C1533" s="1">
        <v>41780</v>
      </c>
      <c r="D1533" s="1">
        <v>41784</v>
      </c>
      <c r="E1533" t="s">
        <v>49</v>
      </c>
      <c r="F1533" t="s">
        <v>3333</v>
      </c>
      <c r="G1533" t="s">
        <v>3334</v>
      </c>
      <c r="H1533" t="s">
        <v>101</v>
      </c>
      <c r="I1533" t="s">
        <v>26</v>
      </c>
      <c r="J1533" t="s">
        <v>941</v>
      </c>
      <c r="K1533" t="s">
        <v>42</v>
      </c>
      <c r="L1533">
        <v>92037</v>
      </c>
      <c r="M1533" t="s">
        <v>43</v>
      </c>
      <c r="N1533" t="s">
        <v>763</v>
      </c>
      <c r="O1533" t="s">
        <v>45</v>
      </c>
      <c r="P1533" t="s">
        <v>67</v>
      </c>
      <c r="Q1533" t="s">
        <v>764</v>
      </c>
      <c r="R1533">
        <v>31.84</v>
      </c>
      <c r="S1533">
        <v>8</v>
      </c>
      <c r="T1533">
        <v>0</v>
      </c>
      <c r="U1533">
        <v>10.507199999999999</v>
      </c>
      <c r="V1533" t="str">
        <f t="shared" si="23"/>
        <v>Bradley Talbott</v>
      </c>
      <c r="W1533">
        <f>Table2[Profit]/Table2[Sales]</f>
        <v>0.32999999999999996</v>
      </c>
    </row>
    <row r="1534" spans="1:23" x14ac:dyDescent="0.25">
      <c r="A1534">
        <v>1533</v>
      </c>
      <c r="B1534" t="s">
        <v>6145</v>
      </c>
      <c r="C1534" s="1">
        <v>42982</v>
      </c>
      <c r="D1534" s="1">
        <v>42983</v>
      </c>
      <c r="E1534" t="s">
        <v>185</v>
      </c>
      <c r="F1534" t="s">
        <v>6146</v>
      </c>
      <c r="G1534" t="s">
        <v>6147</v>
      </c>
      <c r="H1534" t="s">
        <v>101</v>
      </c>
      <c r="I1534" t="s">
        <v>26</v>
      </c>
      <c r="J1534" t="s">
        <v>5989</v>
      </c>
      <c r="K1534" t="s">
        <v>42</v>
      </c>
      <c r="L1534">
        <v>92307</v>
      </c>
      <c r="M1534" t="s">
        <v>43</v>
      </c>
      <c r="N1534" t="s">
        <v>2242</v>
      </c>
      <c r="O1534" t="s">
        <v>45</v>
      </c>
      <c r="P1534" t="s">
        <v>89</v>
      </c>
      <c r="Q1534" t="s">
        <v>2243</v>
      </c>
      <c r="R1534">
        <v>12.96</v>
      </c>
      <c r="S1534">
        <v>2</v>
      </c>
      <c r="T1534">
        <v>0</v>
      </c>
      <c r="U1534">
        <v>6.2207999999999997</v>
      </c>
      <c r="V1534" t="str">
        <f t="shared" si="23"/>
        <v>Katrina Bavinger</v>
      </c>
      <c r="W1534">
        <f>Table2[Profit]/Table2[Sales]</f>
        <v>0.47999999999999993</v>
      </c>
    </row>
    <row r="1535" spans="1:23" x14ac:dyDescent="0.25">
      <c r="A1535">
        <v>1534</v>
      </c>
      <c r="B1535" t="s">
        <v>6148</v>
      </c>
      <c r="C1535" s="1">
        <v>42882</v>
      </c>
      <c r="D1535" s="1">
        <v>42888</v>
      </c>
      <c r="E1535" t="s">
        <v>49</v>
      </c>
      <c r="F1535" t="s">
        <v>924</v>
      </c>
      <c r="G1535" t="s">
        <v>925</v>
      </c>
      <c r="H1535" t="s">
        <v>101</v>
      </c>
      <c r="I1535" t="s">
        <v>26</v>
      </c>
      <c r="J1535" t="s">
        <v>1459</v>
      </c>
      <c r="K1535" t="s">
        <v>28</v>
      </c>
      <c r="L1535">
        <v>40214</v>
      </c>
      <c r="M1535" t="s">
        <v>29</v>
      </c>
      <c r="N1535" t="s">
        <v>2714</v>
      </c>
      <c r="O1535" t="s">
        <v>45</v>
      </c>
      <c r="P1535" t="s">
        <v>74</v>
      </c>
      <c r="Q1535" t="s">
        <v>2715</v>
      </c>
      <c r="R1535">
        <v>58.34</v>
      </c>
      <c r="S1535">
        <v>2</v>
      </c>
      <c r="T1535">
        <v>0</v>
      </c>
      <c r="U1535">
        <v>28.0032</v>
      </c>
      <c r="V1535" t="str">
        <f t="shared" si="23"/>
        <v>Dianna Wilson</v>
      </c>
      <c r="W1535">
        <f>Table2[Profit]/Table2[Sales]</f>
        <v>0.48</v>
      </c>
    </row>
    <row r="1536" spans="1:23" x14ac:dyDescent="0.25">
      <c r="A1536">
        <v>1535</v>
      </c>
      <c r="B1536" t="s">
        <v>6149</v>
      </c>
      <c r="C1536" s="1">
        <v>41667</v>
      </c>
      <c r="D1536" s="1">
        <v>41673</v>
      </c>
      <c r="E1536" t="s">
        <v>49</v>
      </c>
      <c r="F1536" t="s">
        <v>1786</v>
      </c>
      <c r="G1536" t="s">
        <v>1787</v>
      </c>
      <c r="H1536" t="s">
        <v>25</v>
      </c>
      <c r="I1536" t="s">
        <v>26</v>
      </c>
      <c r="J1536" t="s">
        <v>263</v>
      </c>
      <c r="K1536" t="s">
        <v>264</v>
      </c>
      <c r="L1536">
        <v>10024</v>
      </c>
      <c r="M1536" t="s">
        <v>145</v>
      </c>
      <c r="N1536" t="s">
        <v>787</v>
      </c>
      <c r="O1536" t="s">
        <v>45</v>
      </c>
      <c r="P1536" t="s">
        <v>74</v>
      </c>
      <c r="Q1536" t="s">
        <v>788</v>
      </c>
      <c r="R1536">
        <v>3.9279999999999999</v>
      </c>
      <c r="S1536">
        <v>1</v>
      </c>
      <c r="T1536">
        <v>0.2</v>
      </c>
      <c r="U1536">
        <v>1.3257000000000001</v>
      </c>
      <c r="V1536" t="str">
        <f t="shared" si="23"/>
        <v>Jasper Cacioppo</v>
      </c>
      <c r="W1536">
        <f>Table2[Profit]/Table2[Sales]</f>
        <v>0.33750000000000002</v>
      </c>
    </row>
    <row r="1537" spans="1:23" x14ac:dyDescent="0.25">
      <c r="A1537">
        <v>1536</v>
      </c>
      <c r="B1537" t="s">
        <v>6150</v>
      </c>
      <c r="C1537" s="1">
        <v>42775</v>
      </c>
      <c r="D1537" s="1">
        <v>42780</v>
      </c>
      <c r="E1537" t="s">
        <v>49</v>
      </c>
      <c r="F1537" t="s">
        <v>5151</v>
      </c>
      <c r="G1537" t="s">
        <v>5152</v>
      </c>
      <c r="H1537" t="s">
        <v>25</v>
      </c>
      <c r="I1537" t="s">
        <v>26</v>
      </c>
      <c r="J1537" t="s">
        <v>181</v>
      </c>
      <c r="K1537" t="s">
        <v>103</v>
      </c>
      <c r="L1537">
        <v>77070</v>
      </c>
      <c r="M1537" t="s">
        <v>104</v>
      </c>
      <c r="N1537" t="s">
        <v>1497</v>
      </c>
      <c r="O1537" t="s">
        <v>45</v>
      </c>
      <c r="P1537" t="s">
        <v>74</v>
      </c>
      <c r="Q1537" t="s">
        <v>1498</v>
      </c>
      <c r="R1537">
        <v>252.78399999999999</v>
      </c>
      <c r="S1537">
        <v>4</v>
      </c>
      <c r="T1537">
        <v>0.8</v>
      </c>
      <c r="U1537">
        <v>-417.09359999999998</v>
      </c>
      <c r="V1537" t="str">
        <f t="shared" si="23"/>
        <v>Tom Prescott</v>
      </c>
      <c r="W1537">
        <f>Table2[Profit]/Table2[Sales]</f>
        <v>-1.65</v>
      </c>
    </row>
    <row r="1538" spans="1:23" x14ac:dyDescent="0.25">
      <c r="A1538">
        <v>1537</v>
      </c>
      <c r="B1538" t="s">
        <v>6151</v>
      </c>
      <c r="C1538" s="1">
        <v>42825</v>
      </c>
      <c r="D1538" s="1">
        <v>42827</v>
      </c>
      <c r="E1538" t="s">
        <v>22</v>
      </c>
      <c r="F1538" t="s">
        <v>5487</v>
      </c>
      <c r="G1538" t="s">
        <v>5488</v>
      </c>
      <c r="H1538" t="s">
        <v>101</v>
      </c>
      <c r="I1538" t="s">
        <v>26</v>
      </c>
      <c r="J1538" t="s">
        <v>27</v>
      </c>
      <c r="K1538" t="s">
        <v>28</v>
      </c>
      <c r="L1538">
        <v>42420</v>
      </c>
      <c r="M1538" t="s">
        <v>29</v>
      </c>
      <c r="N1538" t="s">
        <v>4389</v>
      </c>
      <c r="O1538" t="s">
        <v>31</v>
      </c>
      <c r="P1538" t="s">
        <v>64</v>
      </c>
      <c r="Q1538" t="s">
        <v>4390</v>
      </c>
      <c r="R1538">
        <v>61</v>
      </c>
      <c r="S1538">
        <v>5</v>
      </c>
      <c r="T1538">
        <v>0</v>
      </c>
      <c r="U1538">
        <v>25.62</v>
      </c>
      <c r="V1538" t="str">
        <f t="shared" si="23"/>
        <v>Daniel Byrd</v>
      </c>
      <c r="W1538">
        <f>Table2[Profit]/Table2[Sales]</f>
        <v>0.42000000000000004</v>
      </c>
    </row>
    <row r="1539" spans="1:23" x14ac:dyDescent="0.25">
      <c r="A1539">
        <v>1538</v>
      </c>
      <c r="B1539" t="s">
        <v>6154</v>
      </c>
      <c r="C1539" s="1">
        <v>42432</v>
      </c>
      <c r="D1539" s="1">
        <v>42437</v>
      </c>
      <c r="E1539" t="s">
        <v>49</v>
      </c>
      <c r="F1539" t="s">
        <v>61</v>
      </c>
      <c r="G1539" t="s">
        <v>62</v>
      </c>
      <c r="H1539" t="s">
        <v>25</v>
      </c>
      <c r="I1539" t="s">
        <v>26</v>
      </c>
      <c r="J1539" t="s">
        <v>600</v>
      </c>
      <c r="K1539" t="s">
        <v>242</v>
      </c>
      <c r="L1539">
        <v>19711</v>
      </c>
      <c r="M1539" t="s">
        <v>145</v>
      </c>
      <c r="N1539" t="s">
        <v>2561</v>
      </c>
      <c r="O1539" t="s">
        <v>45</v>
      </c>
      <c r="P1539" t="s">
        <v>74</v>
      </c>
      <c r="Q1539" t="s">
        <v>2562</v>
      </c>
      <c r="R1539">
        <v>447.86</v>
      </c>
      <c r="S1539">
        <v>7</v>
      </c>
      <c r="T1539">
        <v>0</v>
      </c>
      <c r="U1539">
        <v>219.45140000000001</v>
      </c>
      <c r="V1539" t="str">
        <f t="shared" ref="V1539:V1602" si="24">TRIM(G1539)</f>
        <v>Brosina Hoffman</v>
      </c>
      <c r="W1539">
        <f>Table2[Profit]/Table2[Sales]</f>
        <v>0.49</v>
      </c>
    </row>
    <row r="1540" spans="1:23" x14ac:dyDescent="0.25">
      <c r="A1540">
        <v>1539</v>
      </c>
      <c r="B1540" t="s">
        <v>6157</v>
      </c>
      <c r="C1540" s="1">
        <v>42239</v>
      </c>
      <c r="D1540" s="1">
        <v>42239</v>
      </c>
      <c r="E1540" t="s">
        <v>1278</v>
      </c>
      <c r="F1540" t="s">
        <v>1230</v>
      </c>
      <c r="G1540" t="s">
        <v>1231</v>
      </c>
      <c r="H1540" t="s">
        <v>25</v>
      </c>
      <c r="I1540" t="s">
        <v>26</v>
      </c>
      <c r="J1540" t="s">
        <v>6158</v>
      </c>
      <c r="K1540" t="s">
        <v>208</v>
      </c>
      <c r="L1540">
        <v>60440</v>
      </c>
      <c r="M1540" t="s">
        <v>104</v>
      </c>
      <c r="N1540" t="s">
        <v>2141</v>
      </c>
      <c r="O1540" t="s">
        <v>45</v>
      </c>
      <c r="P1540" t="s">
        <v>572</v>
      </c>
      <c r="Q1540" t="s">
        <v>2142</v>
      </c>
      <c r="R1540">
        <v>31.68</v>
      </c>
      <c r="S1540">
        <v>4</v>
      </c>
      <c r="T1540">
        <v>0.2</v>
      </c>
      <c r="U1540">
        <v>2.7719999999999998</v>
      </c>
      <c r="V1540" t="str">
        <f t="shared" si="24"/>
        <v>Tamara Dahlen</v>
      </c>
      <c r="W1540">
        <f>Table2[Profit]/Table2[Sales]</f>
        <v>8.7499999999999994E-2</v>
      </c>
    </row>
    <row r="1541" spans="1:23" x14ac:dyDescent="0.25">
      <c r="A1541">
        <v>1540</v>
      </c>
      <c r="B1541" t="s">
        <v>6159</v>
      </c>
      <c r="C1541" s="1">
        <v>42852</v>
      </c>
      <c r="D1541" s="1">
        <v>42856</v>
      </c>
      <c r="E1541" t="s">
        <v>49</v>
      </c>
      <c r="F1541" t="s">
        <v>474</v>
      </c>
      <c r="G1541" t="s">
        <v>475</v>
      </c>
      <c r="H1541" t="s">
        <v>40</v>
      </c>
      <c r="I1541" t="s">
        <v>26</v>
      </c>
      <c r="J1541" t="s">
        <v>102</v>
      </c>
      <c r="K1541" t="s">
        <v>103</v>
      </c>
      <c r="L1541">
        <v>76106</v>
      </c>
      <c r="M1541" t="s">
        <v>104</v>
      </c>
      <c r="N1541" t="s">
        <v>1263</v>
      </c>
      <c r="O1541" t="s">
        <v>45</v>
      </c>
      <c r="P1541" t="s">
        <v>46</v>
      </c>
      <c r="Q1541" t="s">
        <v>1264</v>
      </c>
      <c r="R1541">
        <v>33.119999999999997</v>
      </c>
      <c r="S1541">
        <v>4</v>
      </c>
      <c r="T1541">
        <v>0.2</v>
      </c>
      <c r="U1541">
        <v>11.592000000000001</v>
      </c>
      <c r="V1541" t="str">
        <f t="shared" si="24"/>
        <v>Cynthia Voltz</v>
      </c>
      <c r="W1541">
        <f>Table2[Profit]/Table2[Sales]</f>
        <v>0.35000000000000003</v>
      </c>
    </row>
    <row r="1542" spans="1:23" x14ac:dyDescent="0.25">
      <c r="A1542">
        <v>1541</v>
      </c>
      <c r="B1542" t="s">
        <v>6160</v>
      </c>
      <c r="C1542" s="1">
        <v>42839</v>
      </c>
      <c r="D1542" s="1">
        <v>42844</v>
      </c>
      <c r="E1542" t="s">
        <v>49</v>
      </c>
      <c r="F1542" t="s">
        <v>3201</v>
      </c>
      <c r="G1542" t="s">
        <v>3202</v>
      </c>
      <c r="H1542" t="s">
        <v>25</v>
      </c>
      <c r="I1542" t="s">
        <v>26</v>
      </c>
      <c r="J1542" t="s">
        <v>263</v>
      </c>
      <c r="K1542" t="s">
        <v>264</v>
      </c>
      <c r="L1542">
        <v>10024</v>
      </c>
      <c r="M1542" t="s">
        <v>145</v>
      </c>
      <c r="N1542" t="s">
        <v>5505</v>
      </c>
      <c r="O1542" t="s">
        <v>45</v>
      </c>
      <c r="P1542" t="s">
        <v>74</v>
      </c>
      <c r="Q1542" t="s">
        <v>1207</v>
      </c>
      <c r="R1542">
        <v>10.776</v>
      </c>
      <c r="S1542">
        <v>3</v>
      </c>
      <c r="T1542">
        <v>0.2</v>
      </c>
      <c r="U1542">
        <v>3.5022000000000002</v>
      </c>
      <c r="V1542" t="str">
        <f t="shared" si="24"/>
        <v>Christine Sundaresam</v>
      </c>
      <c r="W1542">
        <f>Table2[Profit]/Table2[Sales]</f>
        <v>0.32500000000000001</v>
      </c>
    </row>
    <row r="1543" spans="1:23" x14ac:dyDescent="0.25">
      <c r="A1543">
        <v>1542</v>
      </c>
      <c r="B1543" t="s">
        <v>6161</v>
      </c>
      <c r="C1543" s="1">
        <v>43091</v>
      </c>
      <c r="D1543" s="1">
        <v>43096</v>
      </c>
      <c r="E1543" t="s">
        <v>22</v>
      </c>
      <c r="F1543" t="s">
        <v>6162</v>
      </c>
      <c r="G1543" t="s">
        <v>6163</v>
      </c>
      <c r="H1543" t="s">
        <v>40</v>
      </c>
      <c r="I1543" t="s">
        <v>26</v>
      </c>
      <c r="J1543" t="s">
        <v>3508</v>
      </c>
      <c r="K1543" t="s">
        <v>1388</v>
      </c>
      <c r="L1543">
        <v>2908</v>
      </c>
      <c r="M1543" t="s">
        <v>145</v>
      </c>
      <c r="N1543" t="s">
        <v>1581</v>
      </c>
      <c r="O1543" t="s">
        <v>45</v>
      </c>
      <c r="P1543" t="s">
        <v>572</v>
      </c>
      <c r="Q1543" t="s">
        <v>1582</v>
      </c>
      <c r="R1543">
        <v>695.16</v>
      </c>
      <c r="S1543">
        <v>6</v>
      </c>
      <c r="T1543">
        <v>0</v>
      </c>
      <c r="U1543">
        <v>34.758000000000003</v>
      </c>
      <c r="V1543" t="str">
        <f t="shared" si="24"/>
        <v>Jason Gross</v>
      </c>
      <c r="W1543">
        <f>Table2[Profit]/Table2[Sales]</f>
        <v>0.05</v>
      </c>
    </row>
    <row r="1544" spans="1:23" x14ac:dyDescent="0.25">
      <c r="A1544">
        <v>1543</v>
      </c>
      <c r="B1544" t="s">
        <v>6166</v>
      </c>
      <c r="C1544" s="1">
        <v>42712</v>
      </c>
      <c r="D1544" s="1">
        <v>42716</v>
      </c>
      <c r="E1544" t="s">
        <v>49</v>
      </c>
      <c r="F1544" t="s">
        <v>5797</v>
      </c>
      <c r="G1544" t="s">
        <v>5798</v>
      </c>
      <c r="H1544" t="s">
        <v>101</v>
      </c>
      <c r="I1544" t="s">
        <v>26</v>
      </c>
      <c r="J1544" t="s">
        <v>490</v>
      </c>
      <c r="K1544" t="s">
        <v>491</v>
      </c>
      <c r="L1544">
        <v>43229</v>
      </c>
      <c r="M1544" t="s">
        <v>145</v>
      </c>
      <c r="N1544" t="s">
        <v>6167</v>
      </c>
      <c r="O1544" t="s">
        <v>45</v>
      </c>
      <c r="P1544" t="s">
        <v>74</v>
      </c>
      <c r="Q1544" t="s">
        <v>6168</v>
      </c>
      <c r="R1544">
        <v>12.957000000000001</v>
      </c>
      <c r="S1544">
        <v>7</v>
      </c>
      <c r="T1544">
        <v>0.7</v>
      </c>
      <c r="U1544">
        <v>-9.5017999999999994</v>
      </c>
      <c r="V1544" t="str">
        <f t="shared" si="24"/>
        <v>Julie Prescott</v>
      </c>
      <c r="W1544">
        <f>Table2[Profit]/Table2[Sales]</f>
        <v>-0.73333333333333328</v>
      </c>
    </row>
    <row r="1545" spans="1:23" x14ac:dyDescent="0.25">
      <c r="A1545">
        <v>1544</v>
      </c>
      <c r="B1545" t="s">
        <v>6169</v>
      </c>
      <c r="C1545" s="1">
        <v>42817</v>
      </c>
      <c r="D1545" s="1">
        <v>42823</v>
      </c>
      <c r="E1545" t="s">
        <v>49</v>
      </c>
      <c r="F1545" t="s">
        <v>6170</v>
      </c>
      <c r="G1545" t="s">
        <v>6171</v>
      </c>
      <c r="H1545" t="s">
        <v>25</v>
      </c>
      <c r="I1545" t="s">
        <v>26</v>
      </c>
      <c r="J1545" t="s">
        <v>263</v>
      </c>
      <c r="K1545" t="s">
        <v>264</v>
      </c>
      <c r="L1545">
        <v>10024</v>
      </c>
      <c r="M1545" t="s">
        <v>145</v>
      </c>
      <c r="N1545" t="s">
        <v>6172</v>
      </c>
      <c r="O1545" t="s">
        <v>45</v>
      </c>
      <c r="P1545" t="s">
        <v>89</v>
      </c>
      <c r="Q1545" t="s">
        <v>6173</v>
      </c>
      <c r="R1545">
        <v>25.68</v>
      </c>
      <c r="S1545">
        <v>6</v>
      </c>
      <c r="T1545">
        <v>0</v>
      </c>
      <c r="U1545">
        <v>11.555999999999999</v>
      </c>
      <c r="V1545" t="str">
        <f t="shared" si="24"/>
        <v>Erin Creighton</v>
      </c>
      <c r="W1545">
        <f>Table2[Profit]/Table2[Sales]</f>
        <v>0.44999999999999996</v>
      </c>
    </row>
    <row r="1546" spans="1:23" x14ac:dyDescent="0.25">
      <c r="A1546">
        <v>1545</v>
      </c>
      <c r="B1546" t="s">
        <v>6174</v>
      </c>
      <c r="C1546" s="1">
        <v>42576</v>
      </c>
      <c r="D1546" s="1">
        <v>42580</v>
      </c>
      <c r="E1546" t="s">
        <v>49</v>
      </c>
      <c r="F1546" t="s">
        <v>1489</v>
      </c>
      <c r="G1546" t="s">
        <v>1490</v>
      </c>
      <c r="H1546" t="s">
        <v>40</v>
      </c>
      <c r="I1546" t="s">
        <v>26</v>
      </c>
      <c r="J1546" t="s">
        <v>181</v>
      </c>
      <c r="K1546" t="s">
        <v>103</v>
      </c>
      <c r="L1546">
        <v>77070</v>
      </c>
      <c r="M1546" t="s">
        <v>104</v>
      </c>
      <c r="N1546" t="s">
        <v>1995</v>
      </c>
      <c r="O1546" t="s">
        <v>45</v>
      </c>
      <c r="P1546" t="s">
        <v>46</v>
      </c>
      <c r="Q1546" t="s">
        <v>1996</v>
      </c>
      <c r="R1546">
        <v>15.712</v>
      </c>
      <c r="S1546">
        <v>4</v>
      </c>
      <c r="T1546">
        <v>0.2</v>
      </c>
      <c r="U1546">
        <v>5.6955999999999998</v>
      </c>
      <c r="V1546" t="str">
        <f t="shared" si="24"/>
        <v>Ken Heidel</v>
      </c>
      <c r="W1546">
        <f>Table2[Profit]/Table2[Sales]</f>
        <v>0.36249999999999999</v>
      </c>
    </row>
    <row r="1547" spans="1:23" x14ac:dyDescent="0.25">
      <c r="A1547">
        <v>1546</v>
      </c>
      <c r="B1547" t="s">
        <v>6175</v>
      </c>
      <c r="C1547" s="1">
        <v>42926</v>
      </c>
      <c r="D1547" s="1">
        <v>42930</v>
      </c>
      <c r="E1547" t="s">
        <v>49</v>
      </c>
      <c r="F1547" t="s">
        <v>3597</v>
      </c>
      <c r="G1547" t="s">
        <v>3598</v>
      </c>
      <c r="H1547" t="s">
        <v>101</v>
      </c>
      <c r="I1547" t="s">
        <v>26</v>
      </c>
      <c r="J1547" t="s">
        <v>449</v>
      </c>
      <c r="K1547" t="s">
        <v>208</v>
      </c>
      <c r="L1547">
        <v>60505</v>
      </c>
      <c r="M1547" t="s">
        <v>104</v>
      </c>
      <c r="N1547" t="s">
        <v>3165</v>
      </c>
      <c r="O1547" t="s">
        <v>45</v>
      </c>
      <c r="P1547" t="s">
        <v>58</v>
      </c>
      <c r="Q1547" t="s">
        <v>3166</v>
      </c>
      <c r="R1547">
        <v>298.464</v>
      </c>
      <c r="S1547">
        <v>6</v>
      </c>
      <c r="T1547">
        <v>0.2</v>
      </c>
      <c r="U1547">
        <v>26.115600000000001</v>
      </c>
      <c r="V1547" t="str">
        <f t="shared" si="24"/>
        <v>Frank Gastineau</v>
      </c>
      <c r="W1547">
        <f>Table2[Profit]/Table2[Sales]</f>
        <v>8.7500000000000008E-2</v>
      </c>
    </row>
    <row r="1548" spans="1:23" x14ac:dyDescent="0.25">
      <c r="A1548">
        <v>1547</v>
      </c>
      <c r="B1548" t="s">
        <v>6176</v>
      </c>
      <c r="C1548" s="1">
        <v>42568</v>
      </c>
      <c r="D1548" s="1">
        <v>42573</v>
      </c>
      <c r="E1548" t="s">
        <v>49</v>
      </c>
      <c r="F1548" t="s">
        <v>84</v>
      </c>
      <c r="G1548" t="s">
        <v>85</v>
      </c>
      <c r="H1548" t="s">
        <v>25</v>
      </c>
      <c r="I1548" t="s">
        <v>26</v>
      </c>
      <c r="J1548" t="s">
        <v>311</v>
      </c>
      <c r="K1548" t="s">
        <v>590</v>
      </c>
      <c r="L1548">
        <v>65807</v>
      </c>
      <c r="M1548" t="s">
        <v>104</v>
      </c>
      <c r="N1548" t="s">
        <v>6177</v>
      </c>
      <c r="O1548" t="s">
        <v>45</v>
      </c>
      <c r="P1548" t="s">
        <v>89</v>
      </c>
      <c r="Q1548" t="s">
        <v>6178</v>
      </c>
      <c r="R1548">
        <v>21.93</v>
      </c>
      <c r="S1548">
        <v>3</v>
      </c>
      <c r="T1548">
        <v>0</v>
      </c>
      <c r="U1548">
        <v>10.0878</v>
      </c>
      <c r="V1548" t="str">
        <f t="shared" si="24"/>
        <v>Andrew Allen</v>
      </c>
      <c r="W1548">
        <f>Table2[Profit]/Table2[Sales]</f>
        <v>0.45999999999999996</v>
      </c>
    </row>
    <row r="1549" spans="1:23" x14ac:dyDescent="0.25">
      <c r="A1549">
        <v>1548</v>
      </c>
      <c r="B1549" t="s">
        <v>6179</v>
      </c>
      <c r="C1549" s="1">
        <v>42605</v>
      </c>
      <c r="D1549" s="1">
        <v>42612</v>
      </c>
      <c r="E1549" t="s">
        <v>49</v>
      </c>
      <c r="F1549" t="s">
        <v>3903</v>
      </c>
      <c r="G1549" t="s">
        <v>3904</v>
      </c>
      <c r="H1549" t="s">
        <v>25</v>
      </c>
      <c r="I1549" t="s">
        <v>26</v>
      </c>
      <c r="J1549" t="s">
        <v>94</v>
      </c>
      <c r="K1549" t="s">
        <v>95</v>
      </c>
      <c r="L1549">
        <v>98105</v>
      </c>
      <c r="M1549" t="s">
        <v>43</v>
      </c>
      <c r="N1549" t="s">
        <v>6180</v>
      </c>
      <c r="O1549" t="s">
        <v>70</v>
      </c>
      <c r="P1549" t="s">
        <v>675</v>
      </c>
      <c r="Q1549" t="s">
        <v>6181</v>
      </c>
      <c r="R1549">
        <v>837.6</v>
      </c>
      <c r="S1549">
        <v>3</v>
      </c>
      <c r="T1549">
        <v>0.2</v>
      </c>
      <c r="U1549">
        <v>62.82</v>
      </c>
      <c r="V1549" t="str">
        <f t="shared" si="24"/>
        <v>Maxwell Schwartz</v>
      </c>
      <c r="W1549">
        <f>Table2[Profit]/Table2[Sales]</f>
        <v>7.4999999999999997E-2</v>
      </c>
    </row>
    <row r="1550" spans="1:23" x14ac:dyDescent="0.25">
      <c r="A1550">
        <v>1549</v>
      </c>
      <c r="B1550" t="s">
        <v>6182</v>
      </c>
      <c r="C1550" s="1">
        <v>42166</v>
      </c>
      <c r="D1550" s="1">
        <v>42167</v>
      </c>
      <c r="E1550" t="s">
        <v>185</v>
      </c>
      <c r="F1550" t="s">
        <v>4415</v>
      </c>
      <c r="G1550" t="s">
        <v>4416</v>
      </c>
      <c r="H1550" t="s">
        <v>40</v>
      </c>
      <c r="I1550" t="s">
        <v>26</v>
      </c>
      <c r="J1550" t="s">
        <v>1768</v>
      </c>
      <c r="K1550" t="s">
        <v>53</v>
      </c>
      <c r="L1550">
        <v>33801</v>
      </c>
      <c r="M1550" t="s">
        <v>29</v>
      </c>
      <c r="N1550" t="s">
        <v>1183</v>
      </c>
      <c r="O1550" t="s">
        <v>31</v>
      </c>
      <c r="P1550" t="s">
        <v>35</v>
      </c>
      <c r="Q1550" t="s">
        <v>1184</v>
      </c>
      <c r="R1550">
        <v>1123.92</v>
      </c>
      <c r="S1550">
        <v>5</v>
      </c>
      <c r="T1550">
        <v>0.2</v>
      </c>
      <c r="U1550">
        <v>-182.637</v>
      </c>
      <c r="V1550" t="str">
        <f t="shared" si="24"/>
        <v>Jim Epp</v>
      </c>
      <c r="W1550">
        <f>Table2[Profit]/Table2[Sales]</f>
        <v>-0.16249999999999998</v>
      </c>
    </row>
    <row r="1551" spans="1:23" x14ac:dyDescent="0.25">
      <c r="A1551">
        <v>1550</v>
      </c>
      <c r="B1551" t="s">
        <v>6185</v>
      </c>
      <c r="C1551" s="1">
        <v>42986</v>
      </c>
      <c r="D1551" s="1">
        <v>42990</v>
      </c>
      <c r="E1551" t="s">
        <v>49</v>
      </c>
      <c r="F1551" t="s">
        <v>6186</v>
      </c>
      <c r="G1551" t="s">
        <v>6187</v>
      </c>
      <c r="H1551" t="s">
        <v>25</v>
      </c>
      <c r="I1551" t="s">
        <v>26</v>
      </c>
      <c r="J1551" t="s">
        <v>143</v>
      </c>
      <c r="K1551" t="s">
        <v>144</v>
      </c>
      <c r="L1551">
        <v>19134</v>
      </c>
      <c r="M1551" t="s">
        <v>145</v>
      </c>
      <c r="N1551" t="s">
        <v>3366</v>
      </c>
      <c r="O1551" t="s">
        <v>70</v>
      </c>
      <c r="P1551" t="s">
        <v>71</v>
      </c>
      <c r="Q1551" t="s">
        <v>6188</v>
      </c>
      <c r="R1551">
        <v>258.52800000000002</v>
      </c>
      <c r="S1551">
        <v>2</v>
      </c>
      <c r="T1551">
        <v>0.4</v>
      </c>
      <c r="U1551">
        <v>-47.396799999999999</v>
      </c>
      <c r="V1551" t="str">
        <f t="shared" si="24"/>
        <v>Eugene Barchas</v>
      </c>
      <c r="W1551">
        <f>Table2[Profit]/Table2[Sales]</f>
        <v>-0.18333333333333332</v>
      </c>
    </row>
    <row r="1552" spans="1:23" x14ac:dyDescent="0.25">
      <c r="A1552">
        <v>1551</v>
      </c>
      <c r="B1552" t="s">
        <v>6189</v>
      </c>
      <c r="C1552" s="1">
        <v>43010</v>
      </c>
      <c r="D1552" s="1">
        <v>43014</v>
      </c>
      <c r="E1552" t="s">
        <v>49</v>
      </c>
      <c r="F1552" t="s">
        <v>5986</v>
      </c>
      <c r="G1552" t="s">
        <v>5987</v>
      </c>
      <c r="H1552" t="s">
        <v>25</v>
      </c>
      <c r="I1552" t="s">
        <v>26</v>
      </c>
      <c r="J1552" t="s">
        <v>263</v>
      </c>
      <c r="K1552" t="s">
        <v>264</v>
      </c>
      <c r="L1552">
        <v>10011</v>
      </c>
      <c r="M1552" t="s">
        <v>145</v>
      </c>
      <c r="N1552" t="s">
        <v>6190</v>
      </c>
      <c r="O1552" t="s">
        <v>45</v>
      </c>
      <c r="P1552" t="s">
        <v>89</v>
      </c>
      <c r="Q1552" t="s">
        <v>6191</v>
      </c>
      <c r="R1552">
        <v>49.12</v>
      </c>
      <c r="S1552">
        <v>4</v>
      </c>
      <c r="T1552">
        <v>0</v>
      </c>
      <c r="U1552">
        <v>23.086400000000001</v>
      </c>
      <c r="V1552" t="str">
        <f t="shared" si="24"/>
        <v>Becky Pak</v>
      </c>
      <c r="W1552">
        <f>Table2[Profit]/Table2[Sales]</f>
        <v>0.47000000000000003</v>
      </c>
    </row>
    <row r="1553" spans="1:23" x14ac:dyDescent="0.25">
      <c r="A1553">
        <v>1552</v>
      </c>
      <c r="B1553" t="s">
        <v>6192</v>
      </c>
      <c r="C1553" s="1">
        <v>41989</v>
      </c>
      <c r="D1553" s="1">
        <v>41990</v>
      </c>
      <c r="E1553" t="s">
        <v>185</v>
      </c>
      <c r="F1553" t="s">
        <v>3121</v>
      </c>
      <c r="G1553" t="s">
        <v>3122</v>
      </c>
      <c r="H1553" t="s">
        <v>101</v>
      </c>
      <c r="I1553" t="s">
        <v>26</v>
      </c>
      <c r="J1553" t="s">
        <v>41</v>
      </c>
      <c r="K1553" t="s">
        <v>42</v>
      </c>
      <c r="L1553">
        <v>90049</v>
      </c>
      <c r="M1553" t="s">
        <v>43</v>
      </c>
      <c r="N1553" t="s">
        <v>2478</v>
      </c>
      <c r="O1553" t="s">
        <v>31</v>
      </c>
      <c r="P1553" t="s">
        <v>64</v>
      </c>
      <c r="Q1553" t="s">
        <v>2479</v>
      </c>
      <c r="R1553">
        <v>44.46</v>
      </c>
      <c r="S1553">
        <v>2</v>
      </c>
      <c r="T1553">
        <v>0</v>
      </c>
      <c r="U1553">
        <v>14.671799999999999</v>
      </c>
      <c r="V1553" t="str">
        <f t="shared" si="24"/>
        <v>Chad Cunningham</v>
      </c>
      <c r="W1553">
        <f>Table2[Profit]/Table2[Sales]</f>
        <v>0.32999999999999996</v>
      </c>
    </row>
    <row r="1554" spans="1:23" x14ac:dyDescent="0.25">
      <c r="A1554">
        <v>1553</v>
      </c>
      <c r="B1554" t="s">
        <v>6193</v>
      </c>
      <c r="C1554" s="1">
        <v>41875</v>
      </c>
      <c r="D1554" s="1">
        <v>41877</v>
      </c>
      <c r="E1554" t="s">
        <v>185</v>
      </c>
      <c r="F1554" t="s">
        <v>6194</v>
      </c>
      <c r="G1554" t="s">
        <v>6195</v>
      </c>
      <c r="H1554" t="s">
        <v>40</v>
      </c>
      <c r="I1554" t="s">
        <v>26</v>
      </c>
      <c r="J1554" t="s">
        <v>2311</v>
      </c>
      <c r="K1554" t="s">
        <v>264</v>
      </c>
      <c r="L1554">
        <v>11572</v>
      </c>
      <c r="M1554" t="s">
        <v>145</v>
      </c>
      <c r="N1554" t="s">
        <v>6196</v>
      </c>
      <c r="O1554" t="s">
        <v>31</v>
      </c>
      <c r="P1554" t="s">
        <v>64</v>
      </c>
      <c r="Q1554" t="s">
        <v>6197</v>
      </c>
      <c r="R1554">
        <v>13.28</v>
      </c>
      <c r="S1554">
        <v>2</v>
      </c>
      <c r="T1554">
        <v>0</v>
      </c>
      <c r="U1554">
        <v>6.3743999999999996</v>
      </c>
      <c r="V1554" t="str">
        <f t="shared" si="24"/>
        <v>Jennifer Patt</v>
      </c>
      <c r="W1554">
        <f>Table2[Profit]/Table2[Sales]</f>
        <v>0.48</v>
      </c>
    </row>
    <row r="1555" spans="1:23" x14ac:dyDescent="0.25">
      <c r="A1555">
        <v>1554</v>
      </c>
      <c r="B1555" t="s">
        <v>6198</v>
      </c>
      <c r="C1555" s="1">
        <v>43051</v>
      </c>
      <c r="D1555" s="1">
        <v>43057</v>
      </c>
      <c r="E1555" t="s">
        <v>49</v>
      </c>
      <c r="F1555" t="s">
        <v>543</v>
      </c>
      <c r="G1555" t="s">
        <v>544</v>
      </c>
      <c r="H1555" t="s">
        <v>101</v>
      </c>
      <c r="I1555" t="s">
        <v>26</v>
      </c>
      <c r="J1555" t="s">
        <v>808</v>
      </c>
      <c r="K1555" t="s">
        <v>103</v>
      </c>
      <c r="L1555">
        <v>75081</v>
      </c>
      <c r="M1555" t="s">
        <v>104</v>
      </c>
      <c r="N1555" t="s">
        <v>3830</v>
      </c>
      <c r="O1555" t="s">
        <v>45</v>
      </c>
      <c r="P1555" t="s">
        <v>74</v>
      </c>
      <c r="Q1555" t="s">
        <v>3831</v>
      </c>
      <c r="R1555">
        <v>30.56</v>
      </c>
      <c r="S1555">
        <v>5</v>
      </c>
      <c r="T1555">
        <v>0.8</v>
      </c>
      <c r="U1555">
        <v>-45.84</v>
      </c>
      <c r="V1555" t="str">
        <f t="shared" si="24"/>
        <v>Lindsay Shagiari</v>
      </c>
      <c r="W1555">
        <f>Table2[Profit]/Table2[Sales]</f>
        <v>-1.5000000000000002</v>
      </c>
    </row>
    <row r="1556" spans="1:23" x14ac:dyDescent="0.25">
      <c r="A1556">
        <v>1555</v>
      </c>
      <c r="B1556" t="s">
        <v>6201</v>
      </c>
      <c r="C1556" s="1">
        <v>42119</v>
      </c>
      <c r="D1556" s="1">
        <v>42122</v>
      </c>
      <c r="E1556" t="s">
        <v>185</v>
      </c>
      <c r="F1556" t="s">
        <v>1190</v>
      </c>
      <c r="G1556" t="s">
        <v>1191</v>
      </c>
      <c r="H1556" t="s">
        <v>25</v>
      </c>
      <c r="I1556" t="s">
        <v>26</v>
      </c>
      <c r="J1556" t="s">
        <v>263</v>
      </c>
      <c r="K1556" t="s">
        <v>264</v>
      </c>
      <c r="L1556">
        <v>10035</v>
      </c>
      <c r="M1556" t="s">
        <v>145</v>
      </c>
      <c r="N1556" t="s">
        <v>105</v>
      </c>
      <c r="O1556" t="s">
        <v>45</v>
      </c>
      <c r="P1556" t="s">
        <v>77</v>
      </c>
      <c r="Q1556" t="s">
        <v>106</v>
      </c>
      <c r="R1556">
        <v>206.43</v>
      </c>
      <c r="S1556">
        <v>3</v>
      </c>
      <c r="T1556">
        <v>0</v>
      </c>
      <c r="U1556">
        <v>90.8292</v>
      </c>
      <c r="V1556" t="str">
        <f t="shared" si="24"/>
        <v>John Lucas</v>
      </c>
      <c r="W1556">
        <f>Table2[Profit]/Table2[Sales]</f>
        <v>0.44</v>
      </c>
    </row>
    <row r="1557" spans="1:23" x14ac:dyDescent="0.25">
      <c r="A1557">
        <v>1556</v>
      </c>
      <c r="B1557" t="s">
        <v>6202</v>
      </c>
      <c r="C1557" s="1">
        <v>41985</v>
      </c>
      <c r="D1557" s="1">
        <v>41985</v>
      </c>
      <c r="E1557" t="s">
        <v>1278</v>
      </c>
      <c r="F1557" t="s">
        <v>3143</v>
      </c>
      <c r="G1557" t="s">
        <v>3144</v>
      </c>
      <c r="H1557" t="s">
        <v>40</v>
      </c>
      <c r="I1557" t="s">
        <v>26</v>
      </c>
      <c r="J1557" t="s">
        <v>671</v>
      </c>
      <c r="K1557" t="s">
        <v>103</v>
      </c>
      <c r="L1557">
        <v>78207</v>
      </c>
      <c r="M1557" t="s">
        <v>104</v>
      </c>
      <c r="N1557" t="s">
        <v>509</v>
      </c>
      <c r="O1557" t="s">
        <v>45</v>
      </c>
      <c r="P1557" t="s">
        <v>74</v>
      </c>
      <c r="Q1557" t="s">
        <v>510</v>
      </c>
      <c r="R1557">
        <v>210.392</v>
      </c>
      <c r="S1557">
        <v>2</v>
      </c>
      <c r="T1557">
        <v>0.8</v>
      </c>
      <c r="U1557">
        <v>-336.62720000000002</v>
      </c>
      <c r="V1557" t="str">
        <f t="shared" si="24"/>
        <v>Craig Yedwab</v>
      </c>
      <c r="W1557">
        <f>Table2[Profit]/Table2[Sales]</f>
        <v>-1.6</v>
      </c>
    </row>
    <row r="1558" spans="1:23" x14ac:dyDescent="0.25">
      <c r="A1558">
        <v>1557</v>
      </c>
      <c r="B1558" t="s">
        <v>6203</v>
      </c>
      <c r="C1558" s="1">
        <v>43003</v>
      </c>
      <c r="D1558" s="1">
        <v>43005</v>
      </c>
      <c r="E1558" t="s">
        <v>22</v>
      </c>
      <c r="F1558" t="s">
        <v>1538</v>
      </c>
      <c r="G1558" t="s">
        <v>1539</v>
      </c>
      <c r="H1558" t="s">
        <v>25</v>
      </c>
      <c r="I1558" t="s">
        <v>26</v>
      </c>
      <c r="J1558" t="s">
        <v>999</v>
      </c>
      <c r="K1558" t="s">
        <v>491</v>
      </c>
      <c r="L1558">
        <v>45231</v>
      </c>
      <c r="M1558" t="s">
        <v>145</v>
      </c>
      <c r="N1558" t="s">
        <v>1010</v>
      </c>
      <c r="O1558" t="s">
        <v>70</v>
      </c>
      <c r="P1558" t="s">
        <v>158</v>
      </c>
      <c r="Q1558" t="s">
        <v>1011</v>
      </c>
      <c r="R1558">
        <v>119.96</v>
      </c>
      <c r="S1558">
        <v>5</v>
      </c>
      <c r="T1558">
        <v>0.2</v>
      </c>
      <c r="U1558">
        <v>35.988</v>
      </c>
      <c r="V1558" t="str">
        <f t="shared" si="24"/>
        <v>Raymond Buch</v>
      </c>
      <c r="W1558">
        <f>Table2[Profit]/Table2[Sales]</f>
        <v>0.3</v>
      </c>
    </row>
    <row r="1559" spans="1:23" x14ac:dyDescent="0.25">
      <c r="A1559">
        <v>1558</v>
      </c>
      <c r="B1559" t="s">
        <v>6204</v>
      </c>
      <c r="C1559" s="1">
        <v>42618</v>
      </c>
      <c r="D1559" s="1">
        <v>42624</v>
      </c>
      <c r="E1559" t="s">
        <v>49</v>
      </c>
      <c r="F1559" t="s">
        <v>2110</v>
      </c>
      <c r="G1559" t="s">
        <v>2111</v>
      </c>
      <c r="H1559" t="s">
        <v>40</v>
      </c>
      <c r="I1559" t="s">
        <v>26</v>
      </c>
      <c r="J1559" t="s">
        <v>1225</v>
      </c>
      <c r="K1559" t="s">
        <v>103</v>
      </c>
      <c r="L1559">
        <v>78745</v>
      </c>
      <c r="M1559" t="s">
        <v>104</v>
      </c>
      <c r="N1559" t="s">
        <v>1815</v>
      </c>
      <c r="O1559" t="s">
        <v>31</v>
      </c>
      <c r="P1559" t="s">
        <v>35</v>
      </c>
      <c r="Q1559" t="s">
        <v>1816</v>
      </c>
      <c r="R1559">
        <v>347.80200000000002</v>
      </c>
      <c r="S1559">
        <v>7</v>
      </c>
      <c r="T1559">
        <v>0.3</v>
      </c>
      <c r="U1559">
        <v>-24.843</v>
      </c>
      <c r="V1559" t="str">
        <f t="shared" si="24"/>
        <v>Anthony Rawles</v>
      </c>
      <c r="W1559">
        <f>Table2[Profit]/Table2[Sales]</f>
        <v>-7.1428571428571425E-2</v>
      </c>
    </row>
    <row r="1560" spans="1:23" x14ac:dyDescent="0.25">
      <c r="A1560">
        <v>1559</v>
      </c>
      <c r="B1560" t="s">
        <v>6205</v>
      </c>
      <c r="C1560" s="1">
        <v>42777</v>
      </c>
      <c r="D1560" s="1">
        <v>42779</v>
      </c>
      <c r="E1560" t="s">
        <v>22</v>
      </c>
      <c r="F1560" t="s">
        <v>6206</v>
      </c>
      <c r="G1560" t="s">
        <v>6207</v>
      </c>
      <c r="H1560" t="s">
        <v>40</v>
      </c>
      <c r="I1560" t="s">
        <v>26</v>
      </c>
      <c r="J1560" t="s">
        <v>94</v>
      </c>
      <c r="K1560" t="s">
        <v>95</v>
      </c>
      <c r="L1560">
        <v>98105</v>
      </c>
      <c r="M1560" t="s">
        <v>43</v>
      </c>
      <c r="N1560" t="s">
        <v>6208</v>
      </c>
      <c r="O1560" t="s">
        <v>31</v>
      </c>
      <c r="P1560" t="s">
        <v>35</v>
      </c>
      <c r="Q1560" t="s">
        <v>6209</v>
      </c>
      <c r="R1560">
        <v>963.13599999999997</v>
      </c>
      <c r="S1560">
        <v>4</v>
      </c>
      <c r="T1560">
        <v>0.2</v>
      </c>
      <c r="U1560">
        <v>108.3528</v>
      </c>
      <c r="V1560" t="str">
        <f t="shared" si="24"/>
        <v>Cari Sayre</v>
      </c>
      <c r="W1560">
        <f>Table2[Profit]/Table2[Sales]</f>
        <v>0.1125</v>
      </c>
    </row>
    <row r="1561" spans="1:23" x14ac:dyDescent="0.25">
      <c r="A1561">
        <v>1560</v>
      </c>
      <c r="B1561" t="s">
        <v>6210</v>
      </c>
      <c r="C1561" s="1">
        <v>41820</v>
      </c>
      <c r="D1561" s="1">
        <v>41823</v>
      </c>
      <c r="E1561" t="s">
        <v>22</v>
      </c>
      <c r="F1561" t="s">
        <v>2110</v>
      </c>
      <c r="G1561" t="s">
        <v>2111</v>
      </c>
      <c r="H1561" t="s">
        <v>40</v>
      </c>
      <c r="I1561" t="s">
        <v>26</v>
      </c>
      <c r="J1561" t="s">
        <v>41</v>
      </c>
      <c r="K1561" t="s">
        <v>42</v>
      </c>
      <c r="L1561">
        <v>90004</v>
      </c>
      <c r="M1561" t="s">
        <v>43</v>
      </c>
      <c r="N1561" t="s">
        <v>1234</v>
      </c>
      <c r="O1561" t="s">
        <v>45</v>
      </c>
      <c r="P1561" t="s">
        <v>67</v>
      </c>
      <c r="Q1561" t="s">
        <v>1235</v>
      </c>
      <c r="R1561">
        <v>32.4</v>
      </c>
      <c r="S1561">
        <v>5</v>
      </c>
      <c r="T1561">
        <v>0</v>
      </c>
      <c r="U1561">
        <v>10.368</v>
      </c>
      <c r="V1561" t="str">
        <f t="shared" si="24"/>
        <v>Anthony Rawles</v>
      </c>
      <c r="W1561">
        <f>Table2[Profit]/Table2[Sales]</f>
        <v>0.32</v>
      </c>
    </row>
    <row r="1562" spans="1:23" x14ac:dyDescent="0.25">
      <c r="A1562">
        <v>1561</v>
      </c>
      <c r="B1562" t="s">
        <v>6211</v>
      </c>
      <c r="C1562" s="1">
        <v>42528</v>
      </c>
      <c r="D1562" s="1">
        <v>42531</v>
      </c>
      <c r="E1562" t="s">
        <v>185</v>
      </c>
      <c r="F1562" t="s">
        <v>2281</v>
      </c>
      <c r="G1562" t="s">
        <v>2282</v>
      </c>
      <c r="H1562" t="s">
        <v>101</v>
      </c>
      <c r="I1562" t="s">
        <v>26</v>
      </c>
      <c r="J1562" t="s">
        <v>263</v>
      </c>
      <c r="K1562" t="s">
        <v>264</v>
      </c>
      <c r="L1562">
        <v>10035</v>
      </c>
      <c r="M1562" t="s">
        <v>145</v>
      </c>
      <c r="N1562" t="s">
        <v>1872</v>
      </c>
      <c r="O1562" t="s">
        <v>45</v>
      </c>
      <c r="P1562" t="s">
        <v>89</v>
      </c>
      <c r="Q1562" t="s">
        <v>1873</v>
      </c>
      <c r="R1562">
        <v>32.4</v>
      </c>
      <c r="S1562">
        <v>5</v>
      </c>
      <c r="T1562">
        <v>0</v>
      </c>
      <c r="U1562">
        <v>15.552</v>
      </c>
      <c r="V1562" t="str">
        <f t="shared" si="24"/>
        <v>Ross DeVincentis</v>
      </c>
      <c r="W1562">
        <f>Table2[Profit]/Table2[Sales]</f>
        <v>0.48</v>
      </c>
    </row>
    <row r="1563" spans="1:23" x14ac:dyDescent="0.25">
      <c r="A1563">
        <v>1562</v>
      </c>
      <c r="B1563" t="s">
        <v>6212</v>
      </c>
      <c r="C1563" s="1">
        <v>41993</v>
      </c>
      <c r="D1563" s="1">
        <v>41998</v>
      </c>
      <c r="E1563" t="s">
        <v>49</v>
      </c>
      <c r="F1563" t="s">
        <v>1418</v>
      </c>
      <c r="G1563" t="s">
        <v>1419</v>
      </c>
      <c r="H1563" t="s">
        <v>25</v>
      </c>
      <c r="I1563" t="s">
        <v>26</v>
      </c>
      <c r="J1563" t="s">
        <v>94</v>
      </c>
      <c r="K1563" t="s">
        <v>95</v>
      </c>
      <c r="L1563">
        <v>98103</v>
      </c>
      <c r="M1563" t="s">
        <v>43</v>
      </c>
      <c r="N1563" t="s">
        <v>1033</v>
      </c>
      <c r="O1563" t="s">
        <v>45</v>
      </c>
      <c r="P1563" t="s">
        <v>46</v>
      </c>
      <c r="Q1563" t="s">
        <v>1034</v>
      </c>
      <c r="R1563">
        <v>31.05</v>
      </c>
      <c r="S1563">
        <v>3</v>
      </c>
      <c r="T1563">
        <v>0</v>
      </c>
      <c r="U1563">
        <v>14.904</v>
      </c>
      <c r="V1563" t="str">
        <f t="shared" si="24"/>
        <v>Keith Herrera</v>
      </c>
      <c r="W1563">
        <f>Table2[Profit]/Table2[Sales]</f>
        <v>0.48</v>
      </c>
    </row>
    <row r="1564" spans="1:23" x14ac:dyDescent="0.25">
      <c r="A1564">
        <v>1563</v>
      </c>
      <c r="B1564" t="s">
        <v>6213</v>
      </c>
      <c r="C1564" s="1">
        <v>42353</v>
      </c>
      <c r="D1564" s="1">
        <v>42356</v>
      </c>
      <c r="E1564" t="s">
        <v>185</v>
      </c>
      <c r="F1564" t="s">
        <v>1471</v>
      </c>
      <c r="G1564" t="s">
        <v>1472</v>
      </c>
      <c r="H1564" t="s">
        <v>25</v>
      </c>
      <c r="I1564" t="s">
        <v>26</v>
      </c>
      <c r="J1564" t="s">
        <v>600</v>
      </c>
      <c r="K1564" t="s">
        <v>491</v>
      </c>
      <c r="L1564">
        <v>43055</v>
      </c>
      <c r="M1564" t="s">
        <v>145</v>
      </c>
      <c r="N1564" t="s">
        <v>2668</v>
      </c>
      <c r="O1564" t="s">
        <v>70</v>
      </c>
      <c r="P1564" t="s">
        <v>158</v>
      </c>
      <c r="Q1564" t="s">
        <v>4177</v>
      </c>
      <c r="R1564">
        <v>2025.36</v>
      </c>
      <c r="S1564">
        <v>6</v>
      </c>
      <c r="T1564">
        <v>0.2</v>
      </c>
      <c r="U1564">
        <v>607.60799999999995</v>
      </c>
      <c r="V1564" t="str">
        <f t="shared" si="24"/>
        <v>Natalie Fritzler</v>
      </c>
      <c r="W1564">
        <f>Table2[Profit]/Table2[Sales]</f>
        <v>0.3</v>
      </c>
    </row>
    <row r="1565" spans="1:23" x14ac:dyDescent="0.25">
      <c r="A1565">
        <v>1564</v>
      </c>
      <c r="B1565" t="s">
        <v>6214</v>
      </c>
      <c r="C1565" s="1">
        <v>42936</v>
      </c>
      <c r="D1565" s="1">
        <v>42940</v>
      </c>
      <c r="E1565" t="s">
        <v>49</v>
      </c>
      <c r="F1565" t="s">
        <v>3449</v>
      </c>
      <c r="G1565" t="s">
        <v>3450</v>
      </c>
      <c r="H1565" t="s">
        <v>40</v>
      </c>
      <c r="I1565" t="s">
        <v>26</v>
      </c>
      <c r="J1565" t="s">
        <v>6215</v>
      </c>
      <c r="K1565" t="s">
        <v>226</v>
      </c>
      <c r="L1565">
        <v>55369</v>
      </c>
      <c r="M1565" t="s">
        <v>104</v>
      </c>
      <c r="N1565" t="s">
        <v>6216</v>
      </c>
      <c r="O1565" t="s">
        <v>45</v>
      </c>
      <c r="P1565" t="s">
        <v>74</v>
      </c>
      <c r="Q1565" t="s">
        <v>6217</v>
      </c>
      <c r="R1565">
        <v>735.98</v>
      </c>
      <c r="S1565">
        <v>2</v>
      </c>
      <c r="T1565">
        <v>0</v>
      </c>
      <c r="U1565">
        <v>331.19099999999997</v>
      </c>
      <c r="V1565" t="str">
        <f t="shared" si="24"/>
        <v>Suzanne McNair</v>
      </c>
      <c r="W1565">
        <f>Table2[Profit]/Table2[Sales]</f>
        <v>0.44999999999999996</v>
      </c>
    </row>
    <row r="1566" spans="1:23" x14ac:dyDescent="0.25">
      <c r="A1566">
        <v>1565</v>
      </c>
      <c r="B1566" t="s">
        <v>6218</v>
      </c>
      <c r="C1566" s="1">
        <v>41854</v>
      </c>
      <c r="D1566" s="1">
        <v>41856</v>
      </c>
      <c r="E1566" t="s">
        <v>22</v>
      </c>
      <c r="F1566" t="s">
        <v>6219</v>
      </c>
      <c r="G1566" t="s">
        <v>6220</v>
      </c>
      <c r="H1566" t="s">
        <v>101</v>
      </c>
      <c r="I1566" t="s">
        <v>26</v>
      </c>
      <c r="J1566" t="s">
        <v>3860</v>
      </c>
      <c r="K1566" t="s">
        <v>303</v>
      </c>
      <c r="L1566">
        <v>85301</v>
      </c>
      <c r="M1566" t="s">
        <v>43</v>
      </c>
      <c r="N1566" t="s">
        <v>3717</v>
      </c>
      <c r="O1566" t="s">
        <v>45</v>
      </c>
      <c r="P1566" t="s">
        <v>89</v>
      </c>
      <c r="Q1566" t="s">
        <v>3718</v>
      </c>
      <c r="R1566">
        <v>93.024000000000001</v>
      </c>
      <c r="S1566">
        <v>3</v>
      </c>
      <c r="T1566">
        <v>0.2</v>
      </c>
      <c r="U1566">
        <v>33.721200000000003</v>
      </c>
      <c r="V1566" t="str">
        <f t="shared" si="24"/>
        <v>Gary Hansen</v>
      </c>
      <c r="W1566">
        <f>Table2[Profit]/Table2[Sales]</f>
        <v>0.36250000000000004</v>
      </c>
    </row>
    <row r="1567" spans="1:23" x14ac:dyDescent="0.25">
      <c r="A1567">
        <v>1566</v>
      </c>
      <c r="B1567" t="s">
        <v>6221</v>
      </c>
      <c r="C1567" s="1">
        <v>42240</v>
      </c>
      <c r="D1567" s="1">
        <v>42244</v>
      </c>
      <c r="E1567" t="s">
        <v>49</v>
      </c>
      <c r="F1567" t="s">
        <v>5345</v>
      </c>
      <c r="G1567" t="s">
        <v>5346</v>
      </c>
      <c r="H1567" t="s">
        <v>40</v>
      </c>
      <c r="I1567" t="s">
        <v>26</v>
      </c>
      <c r="J1567" t="s">
        <v>263</v>
      </c>
      <c r="K1567" t="s">
        <v>264</v>
      </c>
      <c r="L1567">
        <v>10009</v>
      </c>
      <c r="M1567" t="s">
        <v>145</v>
      </c>
      <c r="N1567" t="s">
        <v>79</v>
      </c>
      <c r="O1567" t="s">
        <v>31</v>
      </c>
      <c r="P1567" t="s">
        <v>55</v>
      </c>
      <c r="Q1567" t="s">
        <v>80</v>
      </c>
      <c r="R1567">
        <v>284.36399999999998</v>
      </c>
      <c r="S1567">
        <v>2</v>
      </c>
      <c r="T1567">
        <v>0.4</v>
      </c>
      <c r="U1567">
        <v>-75.830399999999997</v>
      </c>
      <c r="V1567" t="str">
        <f t="shared" si="24"/>
        <v>Eleni McCrary</v>
      </c>
      <c r="W1567">
        <f>Table2[Profit]/Table2[Sales]</f>
        <v>-0.26666666666666666</v>
      </c>
    </row>
    <row r="1568" spans="1:23" x14ac:dyDescent="0.25">
      <c r="A1568">
        <v>1567</v>
      </c>
      <c r="B1568" t="s">
        <v>6222</v>
      </c>
      <c r="C1568" s="1">
        <v>42455</v>
      </c>
      <c r="D1568" s="1">
        <v>42456</v>
      </c>
      <c r="E1568" t="s">
        <v>185</v>
      </c>
      <c r="F1568" t="s">
        <v>1748</v>
      </c>
      <c r="G1568" t="s">
        <v>1749</v>
      </c>
      <c r="H1568" t="s">
        <v>25</v>
      </c>
      <c r="I1568" t="s">
        <v>26</v>
      </c>
      <c r="J1568" t="s">
        <v>1507</v>
      </c>
      <c r="K1568" t="s">
        <v>87</v>
      </c>
      <c r="L1568">
        <v>28540</v>
      </c>
      <c r="M1568" t="s">
        <v>29</v>
      </c>
      <c r="N1568" t="s">
        <v>4019</v>
      </c>
      <c r="O1568" t="s">
        <v>45</v>
      </c>
      <c r="P1568" t="s">
        <v>58</v>
      </c>
      <c r="Q1568" t="s">
        <v>4020</v>
      </c>
      <c r="R1568">
        <v>67.64</v>
      </c>
      <c r="S1568">
        <v>5</v>
      </c>
      <c r="T1568">
        <v>0.2</v>
      </c>
      <c r="U1568">
        <v>5.9184999999999999</v>
      </c>
      <c r="V1568" t="str">
        <f t="shared" si="24"/>
        <v>Dean Braden</v>
      </c>
      <c r="W1568">
        <f>Table2[Profit]/Table2[Sales]</f>
        <v>8.7499999999999994E-2</v>
      </c>
    </row>
    <row r="1569" spans="1:23" x14ac:dyDescent="0.25">
      <c r="A1569">
        <v>1568</v>
      </c>
      <c r="B1569" t="s">
        <v>6223</v>
      </c>
      <c r="C1569" s="1">
        <v>41894</v>
      </c>
      <c r="D1569" s="1">
        <v>41898</v>
      </c>
      <c r="E1569" t="s">
        <v>22</v>
      </c>
      <c r="F1569" t="s">
        <v>6224</v>
      </c>
      <c r="G1569" t="s">
        <v>6225</v>
      </c>
      <c r="H1569" t="s">
        <v>25</v>
      </c>
      <c r="I1569" t="s">
        <v>26</v>
      </c>
      <c r="J1569" t="s">
        <v>181</v>
      </c>
      <c r="K1569" t="s">
        <v>103</v>
      </c>
      <c r="L1569">
        <v>77070</v>
      </c>
      <c r="M1569" t="s">
        <v>104</v>
      </c>
      <c r="N1569" t="s">
        <v>6226</v>
      </c>
      <c r="O1569" t="s">
        <v>45</v>
      </c>
      <c r="P1569" t="s">
        <v>74</v>
      </c>
      <c r="Q1569" t="s">
        <v>6227</v>
      </c>
      <c r="R1569">
        <v>5.18</v>
      </c>
      <c r="S1569">
        <v>5</v>
      </c>
      <c r="T1569">
        <v>0.8</v>
      </c>
      <c r="U1569">
        <v>-8.0289999999999999</v>
      </c>
      <c r="V1569" t="str">
        <f t="shared" si="24"/>
        <v>Pete Takahito</v>
      </c>
      <c r="W1569">
        <f>Table2[Profit]/Table2[Sales]</f>
        <v>-1.55</v>
      </c>
    </row>
    <row r="1570" spans="1:23" x14ac:dyDescent="0.25">
      <c r="A1570">
        <v>1569</v>
      </c>
      <c r="B1570" t="s">
        <v>6228</v>
      </c>
      <c r="C1570" s="1">
        <v>41903</v>
      </c>
      <c r="D1570" s="1">
        <v>41907</v>
      </c>
      <c r="E1570" t="s">
        <v>49</v>
      </c>
      <c r="F1570" t="s">
        <v>4286</v>
      </c>
      <c r="G1570" t="s">
        <v>4287</v>
      </c>
      <c r="H1570" t="s">
        <v>25</v>
      </c>
      <c r="I1570" t="s">
        <v>26</v>
      </c>
      <c r="J1570" t="s">
        <v>126</v>
      </c>
      <c r="K1570" t="s">
        <v>42</v>
      </c>
      <c r="L1570">
        <v>94109</v>
      </c>
      <c r="M1570" t="s">
        <v>43</v>
      </c>
      <c r="N1570" t="s">
        <v>3212</v>
      </c>
      <c r="O1570" t="s">
        <v>45</v>
      </c>
      <c r="P1570" t="s">
        <v>170</v>
      </c>
      <c r="Q1570" t="s">
        <v>662</v>
      </c>
      <c r="R1570">
        <v>15.56</v>
      </c>
      <c r="S1570">
        <v>2</v>
      </c>
      <c r="T1570">
        <v>0</v>
      </c>
      <c r="U1570">
        <v>7.3132000000000001</v>
      </c>
      <c r="V1570" t="str">
        <f t="shared" si="24"/>
        <v>Herbert Flentye</v>
      </c>
      <c r="W1570">
        <f>Table2[Profit]/Table2[Sales]</f>
        <v>0.47</v>
      </c>
    </row>
    <row r="1571" spans="1:23" x14ac:dyDescent="0.25">
      <c r="A1571">
        <v>1570</v>
      </c>
      <c r="B1571" t="s">
        <v>6233</v>
      </c>
      <c r="C1571" s="1">
        <v>42672</v>
      </c>
      <c r="D1571" s="1">
        <v>42674</v>
      </c>
      <c r="E1571" t="s">
        <v>185</v>
      </c>
      <c r="F1571" t="s">
        <v>1266</v>
      </c>
      <c r="G1571" t="s">
        <v>1267</v>
      </c>
      <c r="H1571" t="s">
        <v>25</v>
      </c>
      <c r="I1571" t="s">
        <v>26</v>
      </c>
      <c r="J1571" t="s">
        <v>3242</v>
      </c>
      <c r="K1571" t="s">
        <v>235</v>
      </c>
      <c r="L1571">
        <v>48911</v>
      </c>
      <c r="M1571" t="s">
        <v>104</v>
      </c>
      <c r="N1571" t="s">
        <v>1102</v>
      </c>
      <c r="O1571" t="s">
        <v>31</v>
      </c>
      <c r="P1571" t="s">
        <v>64</v>
      </c>
      <c r="Q1571" t="s">
        <v>1103</v>
      </c>
      <c r="R1571">
        <v>67</v>
      </c>
      <c r="S1571">
        <v>5</v>
      </c>
      <c r="T1571">
        <v>0</v>
      </c>
      <c r="U1571">
        <v>32.159999999999997</v>
      </c>
      <c r="V1571" t="str">
        <f t="shared" si="24"/>
        <v>Katrina Willman</v>
      </c>
      <c r="W1571">
        <f>Table2[Profit]/Table2[Sales]</f>
        <v>0.47999999999999993</v>
      </c>
    </row>
    <row r="1572" spans="1:23" x14ac:dyDescent="0.25">
      <c r="A1572">
        <v>1571</v>
      </c>
      <c r="B1572" t="s">
        <v>6234</v>
      </c>
      <c r="C1572" s="1">
        <v>42518</v>
      </c>
      <c r="D1572" s="1">
        <v>42524</v>
      </c>
      <c r="E1572" t="s">
        <v>49</v>
      </c>
      <c r="F1572" t="s">
        <v>1434</v>
      </c>
      <c r="G1572" t="s">
        <v>1435</v>
      </c>
      <c r="H1572" t="s">
        <v>40</v>
      </c>
      <c r="I1572" t="s">
        <v>26</v>
      </c>
      <c r="J1572" t="s">
        <v>5531</v>
      </c>
      <c r="K1572" t="s">
        <v>53</v>
      </c>
      <c r="L1572">
        <v>32303</v>
      </c>
      <c r="M1572" t="s">
        <v>29</v>
      </c>
      <c r="N1572" t="s">
        <v>4825</v>
      </c>
      <c r="O1572" t="s">
        <v>31</v>
      </c>
      <c r="P1572" t="s">
        <v>35</v>
      </c>
      <c r="Q1572" t="s">
        <v>4826</v>
      </c>
      <c r="R1572">
        <v>390.27199999999999</v>
      </c>
      <c r="S1572">
        <v>8</v>
      </c>
      <c r="T1572">
        <v>0.2</v>
      </c>
      <c r="U1572">
        <v>-24.391999999999999</v>
      </c>
      <c r="V1572" t="str">
        <f t="shared" si="24"/>
        <v>Kimberly Carter</v>
      </c>
      <c r="W1572">
        <f>Table2[Profit]/Table2[Sales]</f>
        <v>-6.25E-2</v>
      </c>
    </row>
    <row r="1573" spans="1:23" x14ac:dyDescent="0.25">
      <c r="A1573">
        <v>1572</v>
      </c>
      <c r="B1573" t="s">
        <v>6235</v>
      </c>
      <c r="C1573" s="1">
        <v>43090</v>
      </c>
      <c r="D1573" s="1">
        <v>43095</v>
      </c>
      <c r="E1573" t="s">
        <v>22</v>
      </c>
      <c r="F1573" t="s">
        <v>110</v>
      </c>
      <c r="G1573" t="s">
        <v>111</v>
      </c>
      <c r="H1573" t="s">
        <v>25</v>
      </c>
      <c r="I1573" t="s">
        <v>26</v>
      </c>
      <c r="J1573" t="s">
        <v>375</v>
      </c>
      <c r="K1573" t="s">
        <v>376</v>
      </c>
      <c r="L1573">
        <v>29203</v>
      </c>
      <c r="M1573" t="s">
        <v>29</v>
      </c>
      <c r="N1573" t="s">
        <v>5696</v>
      </c>
      <c r="O1573" t="s">
        <v>45</v>
      </c>
      <c r="P1573" t="s">
        <v>74</v>
      </c>
      <c r="Q1573" t="s">
        <v>5697</v>
      </c>
      <c r="R1573">
        <v>23.88</v>
      </c>
      <c r="S1573">
        <v>6</v>
      </c>
      <c r="T1573">
        <v>0</v>
      </c>
      <c r="U1573">
        <v>11.223599999999999</v>
      </c>
      <c r="V1573" t="str">
        <f t="shared" si="24"/>
        <v>Pete Kriz</v>
      </c>
      <c r="W1573">
        <f>Table2[Profit]/Table2[Sales]</f>
        <v>0.47</v>
      </c>
    </row>
    <row r="1574" spans="1:23" x14ac:dyDescent="0.25">
      <c r="A1574">
        <v>1573</v>
      </c>
      <c r="B1574" t="s">
        <v>6236</v>
      </c>
      <c r="C1574" s="1">
        <v>42450</v>
      </c>
      <c r="D1574" s="1">
        <v>42457</v>
      </c>
      <c r="E1574" t="s">
        <v>49</v>
      </c>
      <c r="F1574" t="s">
        <v>3668</v>
      </c>
      <c r="G1574" t="s">
        <v>3669</v>
      </c>
      <c r="H1574" t="s">
        <v>25</v>
      </c>
      <c r="I1574" t="s">
        <v>26</v>
      </c>
      <c r="J1574" t="s">
        <v>296</v>
      </c>
      <c r="K1574" t="s">
        <v>208</v>
      </c>
      <c r="L1574">
        <v>60623</v>
      </c>
      <c r="M1574" t="s">
        <v>104</v>
      </c>
      <c r="N1574" t="s">
        <v>2860</v>
      </c>
      <c r="O1574" t="s">
        <v>45</v>
      </c>
      <c r="P1574" t="s">
        <v>74</v>
      </c>
      <c r="Q1574" t="s">
        <v>2861</v>
      </c>
      <c r="R1574">
        <v>3.1680000000000001</v>
      </c>
      <c r="S1574">
        <v>2</v>
      </c>
      <c r="T1574">
        <v>0.8</v>
      </c>
      <c r="U1574">
        <v>-4.7519999999999998</v>
      </c>
      <c r="V1574" t="str">
        <f t="shared" si="24"/>
        <v>Kean Takahito</v>
      </c>
      <c r="W1574">
        <f>Table2[Profit]/Table2[Sales]</f>
        <v>-1.4999999999999998</v>
      </c>
    </row>
    <row r="1575" spans="1:23" x14ac:dyDescent="0.25">
      <c r="A1575">
        <v>1574</v>
      </c>
      <c r="B1575" t="s">
        <v>6237</v>
      </c>
      <c r="C1575" s="1">
        <v>43050</v>
      </c>
      <c r="D1575" s="1">
        <v>43057</v>
      </c>
      <c r="E1575" t="s">
        <v>49</v>
      </c>
      <c r="F1575" t="s">
        <v>1803</v>
      </c>
      <c r="G1575" t="s">
        <v>1804</v>
      </c>
      <c r="H1575" t="s">
        <v>25</v>
      </c>
      <c r="I1575" t="s">
        <v>26</v>
      </c>
      <c r="J1575" t="s">
        <v>873</v>
      </c>
      <c r="K1575" t="s">
        <v>235</v>
      </c>
      <c r="L1575">
        <v>48227</v>
      </c>
      <c r="M1575" t="s">
        <v>104</v>
      </c>
      <c r="N1575" t="s">
        <v>6238</v>
      </c>
      <c r="O1575" t="s">
        <v>45</v>
      </c>
      <c r="P1575" t="s">
        <v>67</v>
      </c>
      <c r="Q1575" t="s">
        <v>6239</v>
      </c>
      <c r="R1575">
        <v>181.86</v>
      </c>
      <c r="S1575">
        <v>7</v>
      </c>
      <c r="T1575">
        <v>0</v>
      </c>
      <c r="U1575">
        <v>50.9208</v>
      </c>
      <c r="V1575" t="str">
        <f t="shared" si="24"/>
        <v>Emily Phan</v>
      </c>
      <c r="W1575">
        <f>Table2[Profit]/Table2[Sales]</f>
        <v>0.27999999999999997</v>
      </c>
    </row>
    <row r="1576" spans="1:23" x14ac:dyDescent="0.25">
      <c r="A1576">
        <v>1575</v>
      </c>
      <c r="B1576" t="s">
        <v>6240</v>
      </c>
      <c r="C1576" s="1">
        <v>43001</v>
      </c>
      <c r="D1576" s="1">
        <v>43007</v>
      </c>
      <c r="E1576" t="s">
        <v>49</v>
      </c>
      <c r="F1576" t="s">
        <v>2255</v>
      </c>
      <c r="G1576" t="s">
        <v>2256</v>
      </c>
      <c r="H1576" t="s">
        <v>25</v>
      </c>
      <c r="I1576" t="s">
        <v>26</v>
      </c>
      <c r="J1576" t="s">
        <v>5230</v>
      </c>
      <c r="K1576" t="s">
        <v>450</v>
      </c>
      <c r="L1576">
        <v>80525</v>
      </c>
      <c r="M1576" t="s">
        <v>43</v>
      </c>
      <c r="N1576" t="s">
        <v>3041</v>
      </c>
      <c r="O1576" t="s">
        <v>31</v>
      </c>
      <c r="P1576" t="s">
        <v>32</v>
      </c>
      <c r="Q1576" t="s">
        <v>3042</v>
      </c>
      <c r="R1576">
        <v>180.58799999999999</v>
      </c>
      <c r="S1576">
        <v>2</v>
      </c>
      <c r="T1576">
        <v>0.7</v>
      </c>
      <c r="U1576">
        <v>-240.78399999999999</v>
      </c>
      <c r="V1576" t="str">
        <f t="shared" si="24"/>
        <v>Arthur Prichep</v>
      </c>
      <c r="W1576">
        <f>Table2[Profit]/Table2[Sales]</f>
        <v>-1.3333333333333333</v>
      </c>
    </row>
    <row r="1577" spans="1:23" x14ac:dyDescent="0.25">
      <c r="A1577">
        <v>1576</v>
      </c>
      <c r="B1577" t="s">
        <v>6241</v>
      </c>
      <c r="C1577" s="1">
        <v>42988</v>
      </c>
      <c r="D1577" s="1">
        <v>42988</v>
      </c>
      <c r="E1577" t="s">
        <v>1278</v>
      </c>
      <c r="F1577" t="s">
        <v>1117</v>
      </c>
      <c r="G1577" t="s">
        <v>1118</v>
      </c>
      <c r="H1577" t="s">
        <v>25</v>
      </c>
      <c r="I1577" t="s">
        <v>26</v>
      </c>
      <c r="J1577" t="s">
        <v>263</v>
      </c>
      <c r="K1577" t="s">
        <v>264</v>
      </c>
      <c r="L1577">
        <v>10024</v>
      </c>
      <c r="M1577" t="s">
        <v>145</v>
      </c>
      <c r="N1577" t="s">
        <v>3629</v>
      </c>
      <c r="O1577" t="s">
        <v>45</v>
      </c>
      <c r="P1577" t="s">
        <v>89</v>
      </c>
      <c r="Q1577" t="s">
        <v>3630</v>
      </c>
      <c r="R1577">
        <v>18.760000000000002</v>
      </c>
      <c r="S1577">
        <v>2</v>
      </c>
      <c r="T1577">
        <v>0</v>
      </c>
      <c r="U1577">
        <v>9.0047999999999995</v>
      </c>
      <c r="V1577" t="str">
        <f t="shared" si="24"/>
        <v>Shahid Hopkins</v>
      </c>
      <c r="W1577">
        <f>Table2[Profit]/Table2[Sales]</f>
        <v>0.47999999999999993</v>
      </c>
    </row>
    <row r="1578" spans="1:23" x14ac:dyDescent="0.25">
      <c r="A1578">
        <v>1577</v>
      </c>
      <c r="B1578" t="s">
        <v>6242</v>
      </c>
      <c r="C1578" s="1">
        <v>43074</v>
      </c>
      <c r="D1578" s="1">
        <v>43080</v>
      </c>
      <c r="E1578" t="s">
        <v>49</v>
      </c>
      <c r="F1578" t="s">
        <v>3449</v>
      </c>
      <c r="G1578" t="s">
        <v>3450</v>
      </c>
      <c r="H1578" t="s">
        <v>40</v>
      </c>
      <c r="I1578" t="s">
        <v>26</v>
      </c>
      <c r="J1578" t="s">
        <v>263</v>
      </c>
      <c r="K1578" t="s">
        <v>264</v>
      </c>
      <c r="L1578">
        <v>10011</v>
      </c>
      <c r="M1578" t="s">
        <v>145</v>
      </c>
      <c r="N1578" t="s">
        <v>63</v>
      </c>
      <c r="O1578" t="s">
        <v>31</v>
      </c>
      <c r="P1578" t="s">
        <v>64</v>
      </c>
      <c r="Q1578" t="s">
        <v>65</v>
      </c>
      <c r="R1578">
        <v>20.94</v>
      </c>
      <c r="S1578">
        <v>3</v>
      </c>
      <c r="T1578">
        <v>0</v>
      </c>
      <c r="U1578">
        <v>6.0726000000000004</v>
      </c>
      <c r="V1578" t="str">
        <f t="shared" si="24"/>
        <v>Suzanne McNair</v>
      </c>
      <c r="W1578">
        <f>Table2[Profit]/Table2[Sales]</f>
        <v>0.28999999999999998</v>
      </c>
    </row>
    <row r="1579" spans="1:23" x14ac:dyDescent="0.25">
      <c r="A1579">
        <v>1578</v>
      </c>
      <c r="B1579" t="s">
        <v>6243</v>
      </c>
      <c r="C1579" s="1">
        <v>43048</v>
      </c>
      <c r="D1579" s="1">
        <v>43051</v>
      </c>
      <c r="E1579" t="s">
        <v>22</v>
      </c>
      <c r="F1579" t="s">
        <v>2570</v>
      </c>
      <c r="G1579" t="s">
        <v>2571</v>
      </c>
      <c r="H1579" t="s">
        <v>40</v>
      </c>
      <c r="I1579" t="s">
        <v>26</v>
      </c>
      <c r="J1579" t="s">
        <v>375</v>
      </c>
      <c r="K1579" t="s">
        <v>2699</v>
      </c>
      <c r="L1579">
        <v>21044</v>
      </c>
      <c r="M1579" t="s">
        <v>145</v>
      </c>
      <c r="N1579" t="s">
        <v>2076</v>
      </c>
      <c r="O1579" t="s">
        <v>45</v>
      </c>
      <c r="P1579" t="s">
        <v>74</v>
      </c>
      <c r="Q1579" t="s">
        <v>2077</v>
      </c>
      <c r="R1579">
        <v>9.64</v>
      </c>
      <c r="S1579">
        <v>2</v>
      </c>
      <c r="T1579">
        <v>0</v>
      </c>
      <c r="U1579">
        <v>4.4344000000000001</v>
      </c>
      <c r="V1579" t="str">
        <f t="shared" si="24"/>
        <v>Brian Moss</v>
      </c>
      <c r="W1579">
        <f>Table2[Profit]/Table2[Sales]</f>
        <v>0.45999999999999996</v>
      </c>
    </row>
    <row r="1580" spans="1:23" x14ac:dyDescent="0.25">
      <c r="A1580">
        <v>1579</v>
      </c>
      <c r="B1580" t="s">
        <v>6244</v>
      </c>
      <c r="C1580" s="1">
        <v>41950</v>
      </c>
      <c r="D1580" s="1">
        <v>41952</v>
      </c>
      <c r="E1580" t="s">
        <v>185</v>
      </c>
      <c r="F1580" t="s">
        <v>4856</v>
      </c>
      <c r="G1580" t="s">
        <v>4857</v>
      </c>
      <c r="H1580" t="s">
        <v>40</v>
      </c>
      <c r="I1580" t="s">
        <v>26</v>
      </c>
      <c r="J1580" t="s">
        <v>181</v>
      </c>
      <c r="K1580" t="s">
        <v>103</v>
      </c>
      <c r="L1580">
        <v>77041</v>
      </c>
      <c r="M1580" t="s">
        <v>104</v>
      </c>
      <c r="N1580" t="s">
        <v>5264</v>
      </c>
      <c r="O1580" t="s">
        <v>45</v>
      </c>
      <c r="P1580" t="s">
        <v>74</v>
      </c>
      <c r="Q1580" t="s">
        <v>5265</v>
      </c>
      <c r="R1580">
        <v>26.045999999999999</v>
      </c>
      <c r="S1580">
        <v>3</v>
      </c>
      <c r="T1580">
        <v>0.8</v>
      </c>
      <c r="U1580">
        <v>-44.278199999999998</v>
      </c>
      <c r="V1580" t="str">
        <f t="shared" si="24"/>
        <v>Tamara Chand</v>
      </c>
      <c r="W1580">
        <f>Table2[Profit]/Table2[Sales]</f>
        <v>-1.7</v>
      </c>
    </row>
    <row r="1581" spans="1:23" x14ac:dyDescent="0.25">
      <c r="A1581">
        <v>1580</v>
      </c>
      <c r="B1581" t="s">
        <v>6246</v>
      </c>
      <c r="C1581" s="1">
        <v>42806</v>
      </c>
      <c r="D1581" s="1">
        <v>42811</v>
      </c>
      <c r="E1581" t="s">
        <v>49</v>
      </c>
      <c r="F1581" t="s">
        <v>132</v>
      </c>
      <c r="G1581" t="s">
        <v>133</v>
      </c>
      <c r="H1581" t="s">
        <v>40</v>
      </c>
      <c r="I1581" t="s">
        <v>26</v>
      </c>
      <c r="J1581" t="s">
        <v>1232</v>
      </c>
      <c r="K1581" t="s">
        <v>1233</v>
      </c>
      <c r="L1581">
        <v>1852</v>
      </c>
      <c r="M1581" t="s">
        <v>145</v>
      </c>
      <c r="N1581" t="s">
        <v>3278</v>
      </c>
      <c r="O1581" t="s">
        <v>70</v>
      </c>
      <c r="P1581" t="s">
        <v>71</v>
      </c>
      <c r="Q1581" t="s">
        <v>3279</v>
      </c>
      <c r="R1581">
        <v>69.930000000000007</v>
      </c>
      <c r="S1581">
        <v>7</v>
      </c>
      <c r="T1581">
        <v>0</v>
      </c>
      <c r="U1581">
        <v>32.1678</v>
      </c>
      <c r="V1581" t="str">
        <f t="shared" si="24"/>
        <v>Ken Black</v>
      </c>
      <c r="W1581">
        <f>Table2[Profit]/Table2[Sales]</f>
        <v>0.45999999999999996</v>
      </c>
    </row>
    <row r="1582" spans="1:23" x14ac:dyDescent="0.25">
      <c r="A1582">
        <v>1581</v>
      </c>
      <c r="B1582" t="s">
        <v>6247</v>
      </c>
      <c r="C1582" s="1">
        <v>43028</v>
      </c>
      <c r="D1582" s="1">
        <v>43030</v>
      </c>
      <c r="E1582" t="s">
        <v>22</v>
      </c>
      <c r="F1582" t="s">
        <v>604</v>
      </c>
      <c r="G1582" t="s">
        <v>605</v>
      </c>
      <c r="H1582" t="s">
        <v>40</v>
      </c>
      <c r="I1582" t="s">
        <v>26</v>
      </c>
      <c r="J1582" t="s">
        <v>6248</v>
      </c>
      <c r="K1582" t="s">
        <v>42</v>
      </c>
      <c r="L1582">
        <v>95695</v>
      </c>
      <c r="M1582" t="s">
        <v>43</v>
      </c>
      <c r="N1582" t="s">
        <v>4593</v>
      </c>
      <c r="O1582" t="s">
        <v>45</v>
      </c>
      <c r="P1582" t="s">
        <v>46</v>
      </c>
      <c r="Q1582" t="s">
        <v>4594</v>
      </c>
      <c r="R1582">
        <v>3.75</v>
      </c>
      <c r="S1582">
        <v>1</v>
      </c>
      <c r="T1582">
        <v>0</v>
      </c>
      <c r="U1582">
        <v>1.8</v>
      </c>
      <c r="V1582" t="str">
        <f t="shared" si="24"/>
        <v>Justin Ellison</v>
      </c>
      <c r="W1582">
        <f>Table2[Profit]/Table2[Sales]</f>
        <v>0.48000000000000004</v>
      </c>
    </row>
    <row r="1583" spans="1:23" x14ac:dyDescent="0.25">
      <c r="A1583">
        <v>1582</v>
      </c>
      <c r="B1583" t="s">
        <v>6251</v>
      </c>
      <c r="C1583" s="1">
        <v>42365</v>
      </c>
      <c r="D1583" s="1">
        <v>42370</v>
      </c>
      <c r="E1583" t="s">
        <v>49</v>
      </c>
      <c r="F1583" t="s">
        <v>5865</v>
      </c>
      <c r="G1583" t="s">
        <v>5866</v>
      </c>
      <c r="H1583" t="s">
        <v>101</v>
      </c>
      <c r="I1583" t="s">
        <v>26</v>
      </c>
      <c r="J1583" t="s">
        <v>296</v>
      </c>
      <c r="K1583" t="s">
        <v>208</v>
      </c>
      <c r="L1583">
        <v>60610</v>
      </c>
      <c r="M1583" t="s">
        <v>104</v>
      </c>
      <c r="N1583" t="s">
        <v>6252</v>
      </c>
      <c r="O1583" t="s">
        <v>45</v>
      </c>
      <c r="P1583" t="s">
        <v>58</v>
      </c>
      <c r="Q1583" t="s">
        <v>6253</v>
      </c>
      <c r="R1583">
        <v>12.672000000000001</v>
      </c>
      <c r="S1583">
        <v>3</v>
      </c>
      <c r="T1583">
        <v>0.2</v>
      </c>
      <c r="U1583">
        <v>-3.1680000000000001</v>
      </c>
      <c r="V1583" t="str">
        <f t="shared" si="24"/>
        <v>Daniel Raglin</v>
      </c>
      <c r="W1583">
        <f>Table2[Profit]/Table2[Sales]</f>
        <v>-0.25</v>
      </c>
    </row>
    <row r="1584" spans="1:23" x14ac:dyDescent="0.25">
      <c r="A1584">
        <v>1583</v>
      </c>
      <c r="B1584" t="s">
        <v>6254</v>
      </c>
      <c r="C1584" s="1">
        <v>43010</v>
      </c>
      <c r="D1584" s="1">
        <v>43016</v>
      </c>
      <c r="E1584" t="s">
        <v>49</v>
      </c>
      <c r="F1584" t="s">
        <v>2768</v>
      </c>
      <c r="G1584" t="s">
        <v>2769</v>
      </c>
      <c r="H1584" t="s">
        <v>40</v>
      </c>
      <c r="I1584" t="s">
        <v>26</v>
      </c>
      <c r="J1584" t="s">
        <v>263</v>
      </c>
      <c r="K1584" t="s">
        <v>264</v>
      </c>
      <c r="L1584">
        <v>10035</v>
      </c>
      <c r="M1584" t="s">
        <v>145</v>
      </c>
      <c r="N1584" t="s">
        <v>3088</v>
      </c>
      <c r="O1584" t="s">
        <v>70</v>
      </c>
      <c r="P1584" t="s">
        <v>71</v>
      </c>
      <c r="Q1584" t="s">
        <v>3089</v>
      </c>
      <c r="R1584">
        <v>65.989999999999995</v>
      </c>
      <c r="S1584">
        <v>1</v>
      </c>
      <c r="T1584">
        <v>0</v>
      </c>
      <c r="U1584">
        <v>17.157399999999999</v>
      </c>
      <c r="V1584" t="str">
        <f t="shared" si="24"/>
        <v>Rob Williams</v>
      </c>
      <c r="W1584">
        <f>Table2[Profit]/Table2[Sales]</f>
        <v>0.26</v>
      </c>
    </row>
    <row r="1585" spans="1:23" x14ac:dyDescent="0.25">
      <c r="A1585">
        <v>1584</v>
      </c>
      <c r="B1585" t="s">
        <v>6255</v>
      </c>
      <c r="C1585" s="1">
        <v>42890</v>
      </c>
      <c r="D1585" s="1">
        <v>42894</v>
      </c>
      <c r="E1585" t="s">
        <v>49</v>
      </c>
      <c r="F1585" t="s">
        <v>5352</v>
      </c>
      <c r="G1585" t="s">
        <v>5353</v>
      </c>
      <c r="H1585" t="s">
        <v>40</v>
      </c>
      <c r="I1585" t="s">
        <v>26</v>
      </c>
      <c r="J1585" t="s">
        <v>6256</v>
      </c>
      <c r="K1585" t="s">
        <v>103</v>
      </c>
      <c r="L1585">
        <v>77489</v>
      </c>
      <c r="M1585" t="s">
        <v>104</v>
      </c>
      <c r="N1585" t="s">
        <v>1014</v>
      </c>
      <c r="O1585" t="s">
        <v>45</v>
      </c>
      <c r="P1585" t="s">
        <v>74</v>
      </c>
      <c r="Q1585" t="s">
        <v>1015</v>
      </c>
      <c r="R1585">
        <v>6.37</v>
      </c>
      <c r="S1585">
        <v>7</v>
      </c>
      <c r="T1585">
        <v>0.8</v>
      </c>
      <c r="U1585">
        <v>-9.5549999999999997</v>
      </c>
      <c r="V1585" t="str">
        <f t="shared" si="24"/>
        <v>Michelle Lonsdale</v>
      </c>
      <c r="W1585">
        <f>Table2[Profit]/Table2[Sales]</f>
        <v>-1.5</v>
      </c>
    </row>
    <row r="1586" spans="1:23" x14ac:dyDescent="0.25">
      <c r="A1586">
        <v>1585</v>
      </c>
      <c r="B1586" t="s">
        <v>6257</v>
      </c>
      <c r="C1586" s="1">
        <v>41883</v>
      </c>
      <c r="D1586" s="1">
        <v>41886</v>
      </c>
      <c r="E1586" t="s">
        <v>185</v>
      </c>
      <c r="F1586" t="s">
        <v>6258</v>
      </c>
      <c r="G1586" t="s">
        <v>6259</v>
      </c>
      <c r="H1586" t="s">
        <v>25</v>
      </c>
      <c r="I1586" t="s">
        <v>26</v>
      </c>
      <c r="J1586" t="s">
        <v>181</v>
      </c>
      <c r="K1586" t="s">
        <v>103</v>
      </c>
      <c r="L1586">
        <v>77036</v>
      </c>
      <c r="M1586" t="s">
        <v>104</v>
      </c>
      <c r="N1586" t="s">
        <v>2008</v>
      </c>
      <c r="O1586" t="s">
        <v>45</v>
      </c>
      <c r="P1586" t="s">
        <v>74</v>
      </c>
      <c r="Q1586" t="s">
        <v>2009</v>
      </c>
      <c r="R1586">
        <v>3.6480000000000001</v>
      </c>
      <c r="S1586">
        <v>3</v>
      </c>
      <c r="T1586">
        <v>0.8</v>
      </c>
      <c r="U1586">
        <v>-6.0191999999999997</v>
      </c>
      <c r="V1586" t="str">
        <f t="shared" si="24"/>
        <v>Jack Lebron</v>
      </c>
      <c r="W1586">
        <f>Table2[Profit]/Table2[Sales]</f>
        <v>-1.65</v>
      </c>
    </row>
    <row r="1587" spans="1:23" x14ac:dyDescent="0.25">
      <c r="A1587">
        <v>1586</v>
      </c>
      <c r="B1587" t="s">
        <v>6260</v>
      </c>
      <c r="C1587" s="1">
        <v>42590</v>
      </c>
      <c r="D1587" s="1">
        <v>42595</v>
      </c>
      <c r="E1587" t="s">
        <v>49</v>
      </c>
      <c r="F1587" t="s">
        <v>3907</v>
      </c>
      <c r="G1587" t="s">
        <v>3908</v>
      </c>
      <c r="H1587" t="s">
        <v>101</v>
      </c>
      <c r="I1587" t="s">
        <v>26</v>
      </c>
      <c r="J1587" t="s">
        <v>321</v>
      </c>
      <c r="K1587" t="s">
        <v>1473</v>
      </c>
      <c r="L1587">
        <v>39212</v>
      </c>
      <c r="M1587" t="s">
        <v>29</v>
      </c>
      <c r="N1587" t="s">
        <v>6261</v>
      </c>
      <c r="O1587" t="s">
        <v>45</v>
      </c>
      <c r="P1587" t="s">
        <v>266</v>
      </c>
      <c r="Q1587" t="s">
        <v>6262</v>
      </c>
      <c r="R1587">
        <v>23.34</v>
      </c>
      <c r="S1587">
        <v>3</v>
      </c>
      <c r="T1587">
        <v>0</v>
      </c>
      <c r="U1587">
        <v>0.2334</v>
      </c>
      <c r="V1587" t="str">
        <f t="shared" si="24"/>
        <v>Corinna Mitchell</v>
      </c>
      <c r="W1587">
        <f>Table2[Profit]/Table2[Sales]</f>
        <v>0.01</v>
      </c>
    </row>
    <row r="1588" spans="1:23" x14ac:dyDescent="0.25">
      <c r="A1588">
        <v>1587</v>
      </c>
      <c r="B1588" t="s">
        <v>6263</v>
      </c>
      <c r="C1588" s="1">
        <v>42938</v>
      </c>
      <c r="D1588" s="1">
        <v>42944</v>
      </c>
      <c r="E1588" t="s">
        <v>49</v>
      </c>
      <c r="F1588" t="s">
        <v>785</v>
      </c>
      <c r="G1588" t="s">
        <v>786</v>
      </c>
      <c r="H1588" t="s">
        <v>40</v>
      </c>
      <c r="I1588" t="s">
        <v>26</v>
      </c>
      <c r="J1588" t="s">
        <v>263</v>
      </c>
      <c r="K1588" t="s">
        <v>264</v>
      </c>
      <c r="L1588">
        <v>10009</v>
      </c>
      <c r="M1588" t="s">
        <v>145</v>
      </c>
      <c r="N1588" t="s">
        <v>1222</v>
      </c>
      <c r="O1588" t="s">
        <v>70</v>
      </c>
      <c r="P1588" t="s">
        <v>71</v>
      </c>
      <c r="Q1588" t="s">
        <v>1223</v>
      </c>
      <c r="R1588">
        <v>29.97</v>
      </c>
      <c r="S1588">
        <v>3</v>
      </c>
      <c r="T1588">
        <v>0</v>
      </c>
      <c r="U1588">
        <v>14.085900000000001</v>
      </c>
      <c r="V1588" t="str">
        <f t="shared" si="24"/>
        <v>Fred Hopkins</v>
      </c>
      <c r="W1588">
        <f>Table2[Profit]/Table2[Sales]</f>
        <v>0.47000000000000003</v>
      </c>
    </row>
    <row r="1589" spans="1:23" x14ac:dyDescent="0.25">
      <c r="A1589">
        <v>1588</v>
      </c>
      <c r="B1589" t="s">
        <v>6264</v>
      </c>
      <c r="C1589" s="1">
        <v>42195</v>
      </c>
      <c r="D1589" s="1">
        <v>42195</v>
      </c>
      <c r="E1589" t="s">
        <v>1278</v>
      </c>
      <c r="F1589" t="s">
        <v>153</v>
      </c>
      <c r="G1589" t="s">
        <v>154</v>
      </c>
      <c r="H1589" t="s">
        <v>25</v>
      </c>
      <c r="I1589" t="s">
        <v>26</v>
      </c>
      <c r="J1589" t="s">
        <v>3989</v>
      </c>
      <c r="K1589" t="s">
        <v>303</v>
      </c>
      <c r="L1589">
        <v>85281</v>
      </c>
      <c r="M1589" t="s">
        <v>43</v>
      </c>
      <c r="N1589" t="s">
        <v>5624</v>
      </c>
      <c r="O1589" t="s">
        <v>45</v>
      </c>
      <c r="P1589" t="s">
        <v>74</v>
      </c>
      <c r="Q1589" t="s">
        <v>5625</v>
      </c>
      <c r="R1589">
        <v>3.3660000000000001</v>
      </c>
      <c r="S1589">
        <v>3</v>
      </c>
      <c r="T1589">
        <v>0.7</v>
      </c>
      <c r="U1589">
        <v>-2.2440000000000002</v>
      </c>
      <c r="V1589" t="str">
        <f t="shared" si="24"/>
        <v>Eric Hoffmann</v>
      </c>
      <c r="W1589">
        <f>Table2[Profit]/Table2[Sales]</f>
        <v>-0.66666666666666674</v>
      </c>
    </row>
    <row r="1590" spans="1:23" x14ac:dyDescent="0.25">
      <c r="A1590">
        <v>1589</v>
      </c>
      <c r="B1590" t="s">
        <v>6265</v>
      </c>
      <c r="C1590" s="1">
        <v>41974</v>
      </c>
      <c r="D1590" s="1">
        <v>41980</v>
      </c>
      <c r="E1590" t="s">
        <v>49</v>
      </c>
      <c r="F1590" t="s">
        <v>4196</v>
      </c>
      <c r="G1590" t="s">
        <v>4197</v>
      </c>
      <c r="H1590" t="s">
        <v>25</v>
      </c>
      <c r="I1590" t="s">
        <v>26</v>
      </c>
      <c r="J1590" t="s">
        <v>1507</v>
      </c>
      <c r="K1590" t="s">
        <v>87</v>
      </c>
      <c r="L1590">
        <v>28540</v>
      </c>
      <c r="M1590" t="s">
        <v>29</v>
      </c>
      <c r="N1590" t="s">
        <v>6266</v>
      </c>
      <c r="O1590" t="s">
        <v>70</v>
      </c>
      <c r="P1590" t="s">
        <v>71</v>
      </c>
      <c r="Q1590" t="s">
        <v>6267</v>
      </c>
      <c r="R1590">
        <v>95.968000000000004</v>
      </c>
      <c r="S1590">
        <v>4</v>
      </c>
      <c r="T1590">
        <v>0.2</v>
      </c>
      <c r="U1590">
        <v>9.5968</v>
      </c>
      <c r="V1590" t="str">
        <f t="shared" si="24"/>
        <v>Toby Braunhardt</v>
      </c>
      <c r="W1590">
        <f>Table2[Profit]/Table2[Sales]</f>
        <v>9.9999999999999992E-2</v>
      </c>
    </row>
    <row r="1591" spans="1:23" x14ac:dyDescent="0.25">
      <c r="A1591">
        <v>1590</v>
      </c>
      <c r="B1591" t="s">
        <v>6268</v>
      </c>
      <c r="C1591" s="1">
        <v>43087</v>
      </c>
      <c r="D1591" s="1">
        <v>43091</v>
      </c>
      <c r="E1591" t="s">
        <v>49</v>
      </c>
      <c r="F1591" t="s">
        <v>6269</v>
      </c>
      <c r="G1591" t="s">
        <v>6270</v>
      </c>
      <c r="H1591" t="s">
        <v>40</v>
      </c>
      <c r="I1591" t="s">
        <v>26</v>
      </c>
      <c r="J1591" t="s">
        <v>143</v>
      </c>
      <c r="K1591" t="s">
        <v>144</v>
      </c>
      <c r="L1591">
        <v>19134</v>
      </c>
      <c r="M1591" t="s">
        <v>145</v>
      </c>
      <c r="N1591" t="s">
        <v>5717</v>
      </c>
      <c r="O1591" t="s">
        <v>45</v>
      </c>
      <c r="P1591" t="s">
        <v>67</v>
      </c>
      <c r="Q1591" t="s">
        <v>5718</v>
      </c>
      <c r="R1591">
        <v>18.704000000000001</v>
      </c>
      <c r="S1591">
        <v>7</v>
      </c>
      <c r="T1591">
        <v>0.2</v>
      </c>
      <c r="U1591">
        <v>2.3380000000000001</v>
      </c>
      <c r="V1591" t="str">
        <f t="shared" si="24"/>
        <v>Aaron Hawkins</v>
      </c>
      <c r="W1591">
        <f>Table2[Profit]/Table2[Sales]</f>
        <v>0.125</v>
      </c>
    </row>
    <row r="1592" spans="1:23" x14ac:dyDescent="0.25">
      <c r="A1592">
        <v>1591</v>
      </c>
      <c r="B1592" t="s">
        <v>6271</v>
      </c>
      <c r="C1592" s="1">
        <v>41777</v>
      </c>
      <c r="D1592" s="1">
        <v>41779</v>
      </c>
      <c r="E1592" t="s">
        <v>22</v>
      </c>
      <c r="F1592" t="s">
        <v>647</v>
      </c>
      <c r="G1592" t="s">
        <v>648</v>
      </c>
      <c r="H1592" t="s">
        <v>25</v>
      </c>
      <c r="I1592" t="s">
        <v>26</v>
      </c>
      <c r="J1592" t="s">
        <v>794</v>
      </c>
      <c r="K1592" t="s">
        <v>491</v>
      </c>
      <c r="L1592">
        <v>44312</v>
      </c>
      <c r="M1592" t="s">
        <v>145</v>
      </c>
      <c r="N1592" t="s">
        <v>5163</v>
      </c>
      <c r="O1592" t="s">
        <v>31</v>
      </c>
      <c r="P1592" t="s">
        <v>64</v>
      </c>
      <c r="Q1592" t="s">
        <v>5164</v>
      </c>
      <c r="R1592">
        <v>149.232</v>
      </c>
      <c r="S1592">
        <v>3</v>
      </c>
      <c r="T1592">
        <v>0.2</v>
      </c>
      <c r="U1592">
        <v>3.7307999999999999</v>
      </c>
      <c r="V1592" t="str">
        <f t="shared" si="24"/>
        <v>Ted Trevino</v>
      </c>
      <c r="W1592">
        <f>Table2[Profit]/Table2[Sales]</f>
        <v>2.4999999999999998E-2</v>
      </c>
    </row>
    <row r="1593" spans="1:23" x14ac:dyDescent="0.25">
      <c r="A1593">
        <v>1592</v>
      </c>
      <c r="B1593" t="s">
        <v>6272</v>
      </c>
      <c r="C1593" s="1">
        <v>41953</v>
      </c>
      <c r="D1593" s="1">
        <v>41959</v>
      </c>
      <c r="E1593" t="s">
        <v>49</v>
      </c>
      <c r="F1593" t="s">
        <v>657</v>
      </c>
      <c r="G1593" t="s">
        <v>658</v>
      </c>
      <c r="H1593" t="s">
        <v>25</v>
      </c>
      <c r="I1593" t="s">
        <v>26</v>
      </c>
      <c r="J1593" t="s">
        <v>941</v>
      </c>
      <c r="K1593" t="s">
        <v>42</v>
      </c>
      <c r="L1593">
        <v>92037</v>
      </c>
      <c r="M1593" t="s">
        <v>43</v>
      </c>
      <c r="N1593" t="s">
        <v>2056</v>
      </c>
      <c r="O1593" t="s">
        <v>70</v>
      </c>
      <c r="P1593" t="s">
        <v>71</v>
      </c>
      <c r="Q1593" t="s">
        <v>2057</v>
      </c>
      <c r="R1593">
        <v>601.53599999999994</v>
      </c>
      <c r="S1593">
        <v>8</v>
      </c>
      <c r="T1593">
        <v>0.2</v>
      </c>
      <c r="U1593">
        <v>60.153599999999997</v>
      </c>
      <c r="V1593" t="str">
        <f t="shared" si="24"/>
        <v>Ruben Dartt</v>
      </c>
      <c r="W1593">
        <f>Table2[Profit]/Table2[Sales]</f>
        <v>0.1</v>
      </c>
    </row>
    <row r="1594" spans="1:23" x14ac:dyDescent="0.25">
      <c r="A1594">
        <v>1593</v>
      </c>
      <c r="B1594" t="s">
        <v>6273</v>
      </c>
      <c r="C1594" s="1">
        <v>42378</v>
      </c>
      <c r="D1594" s="1">
        <v>42384</v>
      </c>
      <c r="E1594" t="s">
        <v>49</v>
      </c>
      <c r="F1594" t="s">
        <v>1334</v>
      </c>
      <c r="G1594" t="s">
        <v>1335</v>
      </c>
      <c r="H1594" t="s">
        <v>40</v>
      </c>
      <c r="I1594" t="s">
        <v>26</v>
      </c>
      <c r="J1594" t="s">
        <v>3419</v>
      </c>
      <c r="K1594" t="s">
        <v>42</v>
      </c>
      <c r="L1594">
        <v>93727</v>
      </c>
      <c r="M1594" t="s">
        <v>43</v>
      </c>
      <c r="N1594" t="s">
        <v>6274</v>
      </c>
      <c r="O1594" t="s">
        <v>70</v>
      </c>
      <c r="P1594" t="s">
        <v>158</v>
      </c>
      <c r="Q1594" t="s">
        <v>6275</v>
      </c>
      <c r="R1594">
        <v>349.95</v>
      </c>
      <c r="S1594">
        <v>5</v>
      </c>
      <c r="T1594">
        <v>0</v>
      </c>
      <c r="U1594">
        <v>118.983</v>
      </c>
      <c r="V1594" t="str">
        <f t="shared" si="24"/>
        <v>Laura Armstrong</v>
      </c>
      <c r="W1594">
        <f>Table2[Profit]/Table2[Sales]</f>
        <v>0.34</v>
      </c>
    </row>
    <row r="1595" spans="1:23" x14ac:dyDescent="0.25">
      <c r="A1595">
        <v>1594</v>
      </c>
      <c r="B1595" t="s">
        <v>6276</v>
      </c>
      <c r="C1595" s="1">
        <v>43000</v>
      </c>
      <c r="D1595" s="1">
        <v>43005</v>
      </c>
      <c r="E1595" t="s">
        <v>49</v>
      </c>
      <c r="F1595" t="s">
        <v>578</v>
      </c>
      <c r="G1595" t="s">
        <v>579</v>
      </c>
      <c r="H1595" t="s">
        <v>40</v>
      </c>
      <c r="I1595" t="s">
        <v>26</v>
      </c>
      <c r="J1595" t="s">
        <v>6277</v>
      </c>
      <c r="K1595" t="s">
        <v>103</v>
      </c>
      <c r="L1595">
        <v>77581</v>
      </c>
      <c r="M1595" t="s">
        <v>104</v>
      </c>
      <c r="N1595" t="s">
        <v>1568</v>
      </c>
      <c r="O1595" t="s">
        <v>45</v>
      </c>
      <c r="P1595" t="s">
        <v>170</v>
      </c>
      <c r="Q1595" t="s">
        <v>662</v>
      </c>
      <c r="R1595">
        <v>13.391999999999999</v>
      </c>
      <c r="S1595">
        <v>3</v>
      </c>
      <c r="T1595">
        <v>0.2</v>
      </c>
      <c r="U1595">
        <v>5.0220000000000002</v>
      </c>
      <c r="V1595" t="str">
        <f t="shared" si="24"/>
        <v>Sally Hughsby</v>
      </c>
      <c r="W1595">
        <f>Table2[Profit]/Table2[Sales]</f>
        <v>0.37500000000000006</v>
      </c>
    </row>
    <row r="1596" spans="1:23" x14ac:dyDescent="0.25">
      <c r="A1596">
        <v>1595</v>
      </c>
      <c r="B1596" t="s">
        <v>6278</v>
      </c>
      <c r="C1596" s="1">
        <v>41996</v>
      </c>
      <c r="D1596" s="1">
        <v>42001</v>
      </c>
      <c r="E1596" t="s">
        <v>49</v>
      </c>
      <c r="F1596" t="s">
        <v>1913</v>
      </c>
      <c r="G1596" t="s">
        <v>1914</v>
      </c>
      <c r="H1596" t="s">
        <v>25</v>
      </c>
      <c r="I1596" t="s">
        <v>26</v>
      </c>
      <c r="J1596" t="s">
        <v>1450</v>
      </c>
      <c r="K1596" t="s">
        <v>251</v>
      </c>
      <c r="L1596">
        <v>47374</v>
      </c>
      <c r="M1596" t="s">
        <v>104</v>
      </c>
      <c r="N1596" t="s">
        <v>2107</v>
      </c>
      <c r="O1596" t="s">
        <v>45</v>
      </c>
      <c r="P1596" t="s">
        <v>77</v>
      </c>
      <c r="Q1596" t="s">
        <v>2108</v>
      </c>
      <c r="R1596">
        <v>207.24</v>
      </c>
      <c r="S1596">
        <v>11</v>
      </c>
      <c r="T1596">
        <v>0</v>
      </c>
      <c r="U1596">
        <v>58.027200000000001</v>
      </c>
      <c r="V1596" t="str">
        <f t="shared" si="24"/>
        <v>Sarah Foster</v>
      </c>
      <c r="W1596">
        <f>Table2[Profit]/Table2[Sales]</f>
        <v>0.27999999999999997</v>
      </c>
    </row>
    <row r="1597" spans="1:23" x14ac:dyDescent="0.25">
      <c r="A1597">
        <v>1596</v>
      </c>
      <c r="B1597" t="s">
        <v>6279</v>
      </c>
      <c r="C1597" s="1">
        <v>42516</v>
      </c>
      <c r="D1597" s="1">
        <v>42522</v>
      </c>
      <c r="E1597" t="s">
        <v>49</v>
      </c>
      <c r="F1597" t="s">
        <v>2139</v>
      </c>
      <c r="G1597" t="s">
        <v>2140</v>
      </c>
      <c r="H1597" t="s">
        <v>40</v>
      </c>
      <c r="I1597" t="s">
        <v>26</v>
      </c>
      <c r="J1597" t="s">
        <v>143</v>
      </c>
      <c r="K1597" t="s">
        <v>144</v>
      </c>
      <c r="L1597">
        <v>19134</v>
      </c>
      <c r="M1597" t="s">
        <v>145</v>
      </c>
      <c r="N1597" t="s">
        <v>3320</v>
      </c>
      <c r="O1597" t="s">
        <v>45</v>
      </c>
      <c r="P1597" t="s">
        <v>67</v>
      </c>
      <c r="Q1597" t="s">
        <v>3321</v>
      </c>
      <c r="R1597">
        <v>1.504</v>
      </c>
      <c r="S1597">
        <v>1</v>
      </c>
      <c r="T1597">
        <v>0.2</v>
      </c>
      <c r="U1597">
        <v>0.16919999999999999</v>
      </c>
      <c r="V1597" t="str">
        <f t="shared" si="24"/>
        <v>Tiffany House</v>
      </c>
      <c r="W1597">
        <f>Table2[Profit]/Table2[Sales]</f>
        <v>0.11249999999999999</v>
      </c>
    </row>
    <row r="1598" spans="1:23" x14ac:dyDescent="0.25">
      <c r="A1598">
        <v>1597</v>
      </c>
      <c r="B1598" t="s">
        <v>6280</v>
      </c>
      <c r="C1598" s="1">
        <v>42924</v>
      </c>
      <c r="D1598" s="1">
        <v>42926</v>
      </c>
      <c r="E1598" t="s">
        <v>185</v>
      </c>
      <c r="F1598" t="s">
        <v>2962</v>
      </c>
      <c r="G1598" t="s">
        <v>2963</v>
      </c>
      <c r="H1598" t="s">
        <v>25</v>
      </c>
      <c r="I1598" t="s">
        <v>26</v>
      </c>
      <c r="J1598" t="s">
        <v>6281</v>
      </c>
      <c r="K1598" t="s">
        <v>42</v>
      </c>
      <c r="L1598">
        <v>94403</v>
      </c>
      <c r="M1598" t="s">
        <v>43</v>
      </c>
      <c r="N1598" t="s">
        <v>254</v>
      </c>
      <c r="O1598" t="s">
        <v>45</v>
      </c>
      <c r="P1598" t="s">
        <v>46</v>
      </c>
      <c r="Q1598" t="s">
        <v>255</v>
      </c>
      <c r="R1598">
        <v>75.180000000000007</v>
      </c>
      <c r="S1598">
        <v>6</v>
      </c>
      <c r="T1598">
        <v>0</v>
      </c>
      <c r="U1598">
        <v>35.334600000000002</v>
      </c>
      <c r="V1598" t="str">
        <f t="shared" si="24"/>
        <v>Vivek Gonzalez</v>
      </c>
      <c r="W1598">
        <f>Table2[Profit]/Table2[Sales]</f>
        <v>0.47</v>
      </c>
    </row>
    <row r="1599" spans="1:23" x14ac:dyDescent="0.25">
      <c r="A1599">
        <v>1598</v>
      </c>
      <c r="B1599" t="s">
        <v>6282</v>
      </c>
      <c r="C1599" s="1">
        <v>41772</v>
      </c>
      <c r="D1599" s="1">
        <v>41776</v>
      </c>
      <c r="E1599" t="s">
        <v>49</v>
      </c>
      <c r="F1599" t="s">
        <v>2203</v>
      </c>
      <c r="G1599" t="s">
        <v>2204</v>
      </c>
      <c r="H1599" t="s">
        <v>25</v>
      </c>
      <c r="I1599" t="s">
        <v>26</v>
      </c>
      <c r="J1599" t="s">
        <v>3145</v>
      </c>
      <c r="K1599" t="s">
        <v>42</v>
      </c>
      <c r="L1599">
        <v>94601</v>
      </c>
      <c r="M1599" t="s">
        <v>43</v>
      </c>
      <c r="N1599" t="s">
        <v>4844</v>
      </c>
      <c r="O1599" t="s">
        <v>70</v>
      </c>
      <c r="P1599" t="s">
        <v>158</v>
      </c>
      <c r="Q1599" t="s">
        <v>4845</v>
      </c>
      <c r="R1599">
        <v>149.97</v>
      </c>
      <c r="S1599">
        <v>3</v>
      </c>
      <c r="T1599">
        <v>0</v>
      </c>
      <c r="U1599">
        <v>52.4895</v>
      </c>
      <c r="V1599" t="str">
        <f t="shared" si="24"/>
        <v>Naresj Patel</v>
      </c>
      <c r="W1599">
        <f>Table2[Profit]/Table2[Sales]</f>
        <v>0.35</v>
      </c>
    </row>
    <row r="1600" spans="1:23" x14ac:dyDescent="0.25">
      <c r="A1600">
        <v>1599</v>
      </c>
      <c r="B1600" t="s">
        <v>6283</v>
      </c>
      <c r="C1600" s="1">
        <v>43049</v>
      </c>
      <c r="D1600" s="1">
        <v>43055</v>
      </c>
      <c r="E1600" t="s">
        <v>49</v>
      </c>
      <c r="F1600" t="s">
        <v>3227</v>
      </c>
      <c r="G1600" t="s">
        <v>3228</v>
      </c>
      <c r="H1600" t="s">
        <v>40</v>
      </c>
      <c r="I1600" t="s">
        <v>26</v>
      </c>
      <c r="J1600" t="s">
        <v>263</v>
      </c>
      <c r="K1600" t="s">
        <v>264</v>
      </c>
      <c r="L1600">
        <v>10024</v>
      </c>
      <c r="M1600" t="s">
        <v>145</v>
      </c>
      <c r="N1600" t="s">
        <v>2931</v>
      </c>
      <c r="O1600" t="s">
        <v>45</v>
      </c>
      <c r="P1600" t="s">
        <v>74</v>
      </c>
      <c r="Q1600" t="s">
        <v>2932</v>
      </c>
      <c r="R1600">
        <v>931.17600000000004</v>
      </c>
      <c r="S1600">
        <v>3</v>
      </c>
      <c r="T1600">
        <v>0.2</v>
      </c>
      <c r="U1600">
        <v>314.27190000000002</v>
      </c>
      <c r="V1600" t="str">
        <f t="shared" si="24"/>
        <v>Frank Hawley</v>
      </c>
      <c r="W1600">
        <f>Table2[Profit]/Table2[Sales]</f>
        <v>0.33750000000000002</v>
      </c>
    </row>
    <row r="1601" spans="1:23" x14ac:dyDescent="0.25">
      <c r="A1601">
        <v>1600</v>
      </c>
      <c r="B1601" t="s">
        <v>6284</v>
      </c>
      <c r="C1601" s="1">
        <v>42279</v>
      </c>
      <c r="D1601" s="1">
        <v>42285</v>
      </c>
      <c r="E1601" t="s">
        <v>49</v>
      </c>
      <c r="F1601" t="s">
        <v>6194</v>
      </c>
      <c r="G1601" t="s">
        <v>6195</v>
      </c>
      <c r="H1601" t="s">
        <v>40</v>
      </c>
      <c r="I1601" t="s">
        <v>26</v>
      </c>
      <c r="J1601" t="s">
        <v>1111</v>
      </c>
      <c r="K1601" t="s">
        <v>781</v>
      </c>
      <c r="L1601">
        <v>8701</v>
      </c>
      <c r="M1601" t="s">
        <v>145</v>
      </c>
      <c r="N1601" t="s">
        <v>4868</v>
      </c>
      <c r="O1601" t="s">
        <v>45</v>
      </c>
      <c r="P1601" t="s">
        <v>89</v>
      </c>
      <c r="Q1601" t="s">
        <v>4869</v>
      </c>
      <c r="R1601">
        <v>94.85</v>
      </c>
      <c r="S1601">
        <v>5</v>
      </c>
      <c r="T1601">
        <v>0</v>
      </c>
      <c r="U1601">
        <v>45.527999999999999</v>
      </c>
      <c r="V1601" t="str">
        <f t="shared" si="24"/>
        <v>Jennifer Patt</v>
      </c>
      <c r="W1601">
        <f>Table2[Profit]/Table2[Sales]</f>
        <v>0.48000000000000004</v>
      </c>
    </row>
    <row r="1602" spans="1:23" x14ac:dyDescent="0.25">
      <c r="A1602">
        <v>1601</v>
      </c>
      <c r="B1602" t="s">
        <v>6285</v>
      </c>
      <c r="C1602" s="1">
        <v>41914</v>
      </c>
      <c r="D1602" s="1">
        <v>41917</v>
      </c>
      <c r="E1602" t="s">
        <v>185</v>
      </c>
      <c r="F1602" t="s">
        <v>217</v>
      </c>
      <c r="G1602" t="s">
        <v>218</v>
      </c>
      <c r="H1602" t="s">
        <v>40</v>
      </c>
      <c r="I1602" t="s">
        <v>26</v>
      </c>
      <c r="J1602" t="s">
        <v>3989</v>
      </c>
      <c r="K1602" t="s">
        <v>303</v>
      </c>
      <c r="L1602">
        <v>85281</v>
      </c>
      <c r="M1602" t="s">
        <v>43</v>
      </c>
      <c r="N1602" t="s">
        <v>3920</v>
      </c>
      <c r="O1602" t="s">
        <v>45</v>
      </c>
      <c r="P1602" t="s">
        <v>89</v>
      </c>
      <c r="Q1602" t="s">
        <v>3921</v>
      </c>
      <c r="R1602">
        <v>9.4079999999999995</v>
      </c>
      <c r="S1602">
        <v>2</v>
      </c>
      <c r="T1602">
        <v>0.2</v>
      </c>
      <c r="U1602">
        <v>3.4104000000000001</v>
      </c>
      <c r="V1602" t="str">
        <f t="shared" si="24"/>
        <v>Erin Smith</v>
      </c>
      <c r="W1602">
        <f>Table2[Profit]/Table2[Sales]</f>
        <v>0.36250000000000004</v>
      </c>
    </row>
    <row r="1603" spans="1:23" x14ac:dyDescent="0.25">
      <c r="A1603">
        <v>1602</v>
      </c>
      <c r="B1603" t="s">
        <v>6290</v>
      </c>
      <c r="C1603" s="1">
        <v>41862</v>
      </c>
      <c r="D1603" s="1">
        <v>41867</v>
      </c>
      <c r="E1603" t="s">
        <v>49</v>
      </c>
      <c r="F1603" t="s">
        <v>909</v>
      </c>
      <c r="G1603" t="s">
        <v>910</v>
      </c>
      <c r="H1603" t="s">
        <v>25</v>
      </c>
      <c r="I1603" t="s">
        <v>26</v>
      </c>
      <c r="J1603" t="s">
        <v>263</v>
      </c>
      <c r="K1603" t="s">
        <v>264</v>
      </c>
      <c r="L1603">
        <v>10035</v>
      </c>
      <c r="M1603" t="s">
        <v>145</v>
      </c>
      <c r="N1603" t="s">
        <v>1745</v>
      </c>
      <c r="O1603" t="s">
        <v>45</v>
      </c>
      <c r="P1603" t="s">
        <v>58</v>
      </c>
      <c r="Q1603" t="s">
        <v>1746</v>
      </c>
      <c r="R1603">
        <v>375.34</v>
      </c>
      <c r="S1603">
        <v>1</v>
      </c>
      <c r="T1603">
        <v>0</v>
      </c>
      <c r="U1603">
        <v>18.766999999999999</v>
      </c>
      <c r="V1603" t="str">
        <f t="shared" ref="V1603:V1666" si="25">TRIM(G1603)</f>
        <v>Ken Lonsdale</v>
      </c>
      <c r="W1603">
        <f>Table2[Profit]/Table2[Sales]</f>
        <v>0.05</v>
      </c>
    </row>
    <row r="1604" spans="1:23" x14ac:dyDescent="0.25">
      <c r="A1604">
        <v>1603</v>
      </c>
      <c r="B1604" t="s">
        <v>6291</v>
      </c>
      <c r="C1604" s="1">
        <v>42979</v>
      </c>
      <c r="D1604" s="1">
        <v>42983</v>
      </c>
      <c r="E1604" t="s">
        <v>22</v>
      </c>
      <c r="F1604" t="s">
        <v>1730</v>
      </c>
      <c r="G1604" t="s">
        <v>1731</v>
      </c>
      <c r="H1604" t="s">
        <v>25</v>
      </c>
      <c r="I1604" t="s">
        <v>26</v>
      </c>
      <c r="J1604" t="s">
        <v>263</v>
      </c>
      <c r="K1604" t="s">
        <v>264</v>
      </c>
      <c r="L1604">
        <v>10009</v>
      </c>
      <c r="M1604" t="s">
        <v>145</v>
      </c>
      <c r="N1604" t="s">
        <v>3563</v>
      </c>
      <c r="O1604" t="s">
        <v>31</v>
      </c>
      <c r="P1604" t="s">
        <v>64</v>
      </c>
      <c r="Q1604" t="s">
        <v>3564</v>
      </c>
      <c r="R1604">
        <v>114.9</v>
      </c>
      <c r="S1604">
        <v>5</v>
      </c>
      <c r="T1604">
        <v>0</v>
      </c>
      <c r="U1604">
        <v>39.066000000000003</v>
      </c>
      <c r="V1604" t="str">
        <f t="shared" si="25"/>
        <v>Bradley Nguyen</v>
      </c>
      <c r="W1604">
        <f>Table2[Profit]/Table2[Sales]</f>
        <v>0.34</v>
      </c>
    </row>
    <row r="1605" spans="1:23" x14ac:dyDescent="0.25">
      <c r="A1605">
        <v>1604</v>
      </c>
      <c r="B1605" t="s">
        <v>6292</v>
      </c>
      <c r="C1605" s="1">
        <v>42841</v>
      </c>
      <c r="D1605" s="1">
        <v>42847</v>
      </c>
      <c r="E1605" t="s">
        <v>49</v>
      </c>
      <c r="F1605" t="s">
        <v>3660</v>
      </c>
      <c r="G1605" t="s">
        <v>3661</v>
      </c>
      <c r="H1605" t="s">
        <v>25</v>
      </c>
      <c r="I1605" t="s">
        <v>26</v>
      </c>
      <c r="J1605" t="s">
        <v>181</v>
      </c>
      <c r="K1605" t="s">
        <v>103</v>
      </c>
      <c r="L1605">
        <v>77095</v>
      </c>
      <c r="M1605" t="s">
        <v>104</v>
      </c>
      <c r="N1605" t="s">
        <v>5264</v>
      </c>
      <c r="O1605" t="s">
        <v>45</v>
      </c>
      <c r="P1605" t="s">
        <v>74</v>
      </c>
      <c r="Q1605" t="s">
        <v>5265</v>
      </c>
      <c r="R1605">
        <v>26.045999999999999</v>
      </c>
      <c r="S1605">
        <v>3</v>
      </c>
      <c r="T1605">
        <v>0.8</v>
      </c>
      <c r="U1605">
        <v>-44.278199999999998</v>
      </c>
      <c r="V1605" t="str">
        <f t="shared" si="25"/>
        <v>Natalie DeCherney</v>
      </c>
      <c r="W1605">
        <f>Table2[Profit]/Table2[Sales]</f>
        <v>-1.7</v>
      </c>
    </row>
    <row r="1606" spans="1:23" x14ac:dyDescent="0.25">
      <c r="A1606">
        <v>1605</v>
      </c>
      <c r="B1606" t="s">
        <v>6295</v>
      </c>
      <c r="C1606" s="1">
        <v>42484</v>
      </c>
      <c r="D1606" s="1">
        <v>42487</v>
      </c>
      <c r="E1606" t="s">
        <v>185</v>
      </c>
      <c r="F1606" t="s">
        <v>6258</v>
      </c>
      <c r="G1606" t="s">
        <v>6259</v>
      </c>
      <c r="H1606" t="s">
        <v>25</v>
      </c>
      <c r="I1606" t="s">
        <v>26</v>
      </c>
      <c r="J1606" t="s">
        <v>2817</v>
      </c>
      <c r="K1606" t="s">
        <v>42</v>
      </c>
      <c r="L1606">
        <v>92503</v>
      </c>
      <c r="M1606" t="s">
        <v>43</v>
      </c>
      <c r="N1606" t="s">
        <v>2269</v>
      </c>
      <c r="O1606" t="s">
        <v>45</v>
      </c>
      <c r="P1606" t="s">
        <v>74</v>
      </c>
      <c r="Q1606" t="s">
        <v>2270</v>
      </c>
      <c r="R1606">
        <v>3.984</v>
      </c>
      <c r="S1606">
        <v>1</v>
      </c>
      <c r="T1606">
        <v>0.2</v>
      </c>
      <c r="U1606">
        <v>1.3944000000000001</v>
      </c>
      <c r="V1606" t="str">
        <f t="shared" si="25"/>
        <v>Jack Lebron</v>
      </c>
      <c r="W1606">
        <f>Table2[Profit]/Table2[Sales]</f>
        <v>0.35000000000000003</v>
      </c>
    </row>
    <row r="1607" spans="1:23" x14ac:dyDescent="0.25">
      <c r="A1607">
        <v>1606</v>
      </c>
      <c r="B1607" t="s">
        <v>6296</v>
      </c>
      <c r="C1607" s="1">
        <v>42384</v>
      </c>
      <c r="D1607" s="1">
        <v>42384</v>
      </c>
      <c r="E1607" t="s">
        <v>1278</v>
      </c>
      <c r="F1607" t="s">
        <v>976</v>
      </c>
      <c r="G1607" t="s">
        <v>977</v>
      </c>
      <c r="H1607" t="s">
        <v>25</v>
      </c>
      <c r="I1607" t="s">
        <v>26</v>
      </c>
      <c r="J1607" t="s">
        <v>739</v>
      </c>
      <c r="K1607" t="s">
        <v>740</v>
      </c>
      <c r="L1607">
        <v>6824</v>
      </c>
      <c r="M1607" t="s">
        <v>145</v>
      </c>
      <c r="N1607" t="s">
        <v>1043</v>
      </c>
      <c r="O1607" t="s">
        <v>31</v>
      </c>
      <c r="P1607" t="s">
        <v>55</v>
      </c>
      <c r="Q1607" t="s">
        <v>1044</v>
      </c>
      <c r="R1607">
        <v>181.797</v>
      </c>
      <c r="S1607">
        <v>1</v>
      </c>
      <c r="T1607">
        <v>0.3</v>
      </c>
      <c r="U1607">
        <v>-15.582599999999999</v>
      </c>
      <c r="V1607" t="str">
        <f t="shared" si="25"/>
        <v>Roy Collins</v>
      </c>
      <c r="W1607">
        <f>Table2[Profit]/Table2[Sales]</f>
        <v>-8.5714285714285715E-2</v>
      </c>
    </row>
    <row r="1608" spans="1:23" x14ac:dyDescent="0.25">
      <c r="A1608">
        <v>1607</v>
      </c>
      <c r="B1608" t="s">
        <v>6297</v>
      </c>
      <c r="C1608" s="1">
        <v>42492</v>
      </c>
      <c r="D1608" s="1">
        <v>42492</v>
      </c>
      <c r="E1608" t="s">
        <v>1278</v>
      </c>
      <c r="F1608" t="s">
        <v>6298</v>
      </c>
      <c r="G1608" t="s">
        <v>6299</v>
      </c>
      <c r="H1608" t="s">
        <v>25</v>
      </c>
      <c r="I1608" t="s">
        <v>26</v>
      </c>
      <c r="J1608" t="s">
        <v>263</v>
      </c>
      <c r="K1608" t="s">
        <v>264</v>
      </c>
      <c r="L1608">
        <v>10024</v>
      </c>
      <c r="M1608" t="s">
        <v>145</v>
      </c>
      <c r="N1608" t="s">
        <v>1399</v>
      </c>
      <c r="O1608" t="s">
        <v>45</v>
      </c>
      <c r="P1608" t="s">
        <v>58</v>
      </c>
      <c r="Q1608" t="s">
        <v>1400</v>
      </c>
      <c r="R1608">
        <v>44.94</v>
      </c>
      <c r="S1608">
        <v>3</v>
      </c>
      <c r="T1608">
        <v>0</v>
      </c>
      <c r="U1608">
        <v>12.5832</v>
      </c>
      <c r="V1608" t="str">
        <f t="shared" si="25"/>
        <v>Cindy Chapman</v>
      </c>
      <c r="W1608">
        <f>Table2[Profit]/Table2[Sales]</f>
        <v>0.28000000000000003</v>
      </c>
    </row>
    <row r="1609" spans="1:23" x14ac:dyDescent="0.25">
      <c r="A1609">
        <v>1608</v>
      </c>
      <c r="B1609" t="s">
        <v>6300</v>
      </c>
      <c r="C1609" s="1">
        <v>42694</v>
      </c>
      <c r="D1609" s="1">
        <v>42701</v>
      </c>
      <c r="E1609" t="s">
        <v>49</v>
      </c>
      <c r="F1609" t="s">
        <v>6301</v>
      </c>
      <c r="G1609" t="s">
        <v>6302</v>
      </c>
      <c r="H1609" t="s">
        <v>40</v>
      </c>
      <c r="I1609" t="s">
        <v>26</v>
      </c>
      <c r="J1609" t="s">
        <v>181</v>
      </c>
      <c r="K1609" t="s">
        <v>103</v>
      </c>
      <c r="L1609">
        <v>77095</v>
      </c>
      <c r="M1609" t="s">
        <v>104</v>
      </c>
      <c r="N1609" t="s">
        <v>4737</v>
      </c>
      <c r="O1609" t="s">
        <v>31</v>
      </c>
      <c r="P1609" t="s">
        <v>35</v>
      </c>
      <c r="Q1609" t="s">
        <v>4738</v>
      </c>
      <c r="R1609">
        <v>318.43</v>
      </c>
      <c r="S1609">
        <v>5</v>
      </c>
      <c r="T1609">
        <v>0.3</v>
      </c>
      <c r="U1609">
        <v>-77.332999999999998</v>
      </c>
      <c r="V1609" t="str">
        <f t="shared" si="25"/>
        <v>David Wiener</v>
      </c>
      <c r="W1609">
        <f>Table2[Profit]/Table2[Sales]</f>
        <v>-0.24285714285714285</v>
      </c>
    </row>
    <row r="1610" spans="1:23" x14ac:dyDescent="0.25">
      <c r="A1610">
        <v>1609</v>
      </c>
      <c r="B1610" t="s">
        <v>6305</v>
      </c>
      <c r="C1610" s="1">
        <v>42401</v>
      </c>
      <c r="D1610" s="1">
        <v>42403</v>
      </c>
      <c r="E1610" t="s">
        <v>185</v>
      </c>
      <c r="F1610" t="s">
        <v>2595</v>
      </c>
      <c r="G1610" t="s">
        <v>2596</v>
      </c>
      <c r="H1610" t="s">
        <v>40</v>
      </c>
      <c r="I1610" t="s">
        <v>26</v>
      </c>
      <c r="J1610" t="s">
        <v>1119</v>
      </c>
      <c r="K1610" t="s">
        <v>312</v>
      </c>
      <c r="L1610">
        <v>22204</v>
      </c>
      <c r="M1610" t="s">
        <v>29</v>
      </c>
      <c r="N1610" t="s">
        <v>3894</v>
      </c>
      <c r="O1610" t="s">
        <v>45</v>
      </c>
      <c r="P1610" t="s">
        <v>58</v>
      </c>
      <c r="Q1610" t="s">
        <v>3895</v>
      </c>
      <c r="R1610">
        <v>56.45</v>
      </c>
      <c r="S1610">
        <v>5</v>
      </c>
      <c r="T1610">
        <v>0</v>
      </c>
      <c r="U1610">
        <v>14.677</v>
      </c>
      <c r="V1610" t="str">
        <f t="shared" si="25"/>
        <v>Cyma Kinney</v>
      </c>
      <c r="W1610">
        <f>Table2[Profit]/Table2[Sales]</f>
        <v>0.25999999999999995</v>
      </c>
    </row>
    <row r="1611" spans="1:23" x14ac:dyDescent="0.25">
      <c r="A1611">
        <v>1610</v>
      </c>
      <c r="B1611" t="s">
        <v>6306</v>
      </c>
      <c r="C1611" s="1">
        <v>42825</v>
      </c>
      <c r="D1611" s="1">
        <v>42830</v>
      </c>
      <c r="E1611" t="s">
        <v>22</v>
      </c>
      <c r="F1611" t="s">
        <v>2309</v>
      </c>
      <c r="G1611" t="s">
        <v>2310</v>
      </c>
      <c r="H1611" t="s">
        <v>25</v>
      </c>
      <c r="I1611" t="s">
        <v>26</v>
      </c>
      <c r="J1611" t="s">
        <v>296</v>
      </c>
      <c r="K1611" t="s">
        <v>208</v>
      </c>
      <c r="L1611">
        <v>60623</v>
      </c>
      <c r="M1611" t="s">
        <v>104</v>
      </c>
      <c r="N1611" t="s">
        <v>6088</v>
      </c>
      <c r="O1611" t="s">
        <v>45</v>
      </c>
      <c r="P1611" t="s">
        <v>74</v>
      </c>
      <c r="Q1611" t="s">
        <v>6089</v>
      </c>
      <c r="R1611">
        <v>13.468</v>
      </c>
      <c r="S1611">
        <v>13</v>
      </c>
      <c r="T1611">
        <v>0.8</v>
      </c>
      <c r="U1611">
        <v>-22.895600000000002</v>
      </c>
      <c r="V1611" t="str">
        <f t="shared" si="25"/>
        <v>Emily Grady</v>
      </c>
      <c r="W1611">
        <f>Table2[Profit]/Table2[Sales]</f>
        <v>-1.7000000000000002</v>
      </c>
    </row>
    <row r="1612" spans="1:23" x14ac:dyDescent="0.25">
      <c r="A1612">
        <v>1611</v>
      </c>
      <c r="B1612" t="s">
        <v>6307</v>
      </c>
      <c r="C1612" s="1">
        <v>43070</v>
      </c>
      <c r="D1612" s="1">
        <v>43074</v>
      </c>
      <c r="E1612" t="s">
        <v>49</v>
      </c>
      <c r="F1612" t="s">
        <v>6308</v>
      </c>
      <c r="G1612" t="s">
        <v>6309</v>
      </c>
      <c r="H1612" t="s">
        <v>25</v>
      </c>
      <c r="I1612" t="s">
        <v>26</v>
      </c>
      <c r="J1612" t="s">
        <v>751</v>
      </c>
      <c r="K1612" t="s">
        <v>103</v>
      </c>
      <c r="L1612">
        <v>75051</v>
      </c>
      <c r="M1612" t="s">
        <v>104</v>
      </c>
      <c r="N1612" t="s">
        <v>6310</v>
      </c>
      <c r="O1612" t="s">
        <v>70</v>
      </c>
      <c r="P1612" t="s">
        <v>71</v>
      </c>
      <c r="Q1612" t="s">
        <v>6311</v>
      </c>
      <c r="R1612">
        <v>219.8</v>
      </c>
      <c r="S1612">
        <v>5</v>
      </c>
      <c r="T1612">
        <v>0.2</v>
      </c>
      <c r="U1612">
        <v>24.727499999999999</v>
      </c>
      <c r="V1612" t="str">
        <f t="shared" si="25"/>
        <v>Sarah Jordon</v>
      </c>
      <c r="W1612">
        <f>Table2[Profit]/Table2[Sales]</f>
        <v>0.11249999999999999</v>
      </c>
    </row>
    <row r="1613" spans="1:23" x14ac:dyDescent="0.25">
      <c r="A1613">
        <v>1612</v>
      </c>
      <c r="B1613" t="s">
        <v>6312</v>
      </c>
      <c r="C1613" s="1">
        <v>43079</v>
      </c>
      <c r="D1613" s="1">
        <v>43081</v>
      </c>
      <c r="E1613" t="s">
        <v>22</v>
      </c>
      <c r="F1613" t="s">
        <v>1123</v>
      </c>
      <c r="G1613" t="s">
        <v>1124</v>
      </c>
      <c r="H1613" t="s">
        <v>40</v>
      </c>
      <c r="I1613" t="s">
        <v>26</v>
      </c>
      <c r="J1613" t="s">
        <v>94</v>
      </c>
      <c r="K1613" t="s">
        <v>95</v>
      </c>
      <c r="L1613">
        <v>98103</v>
      </c>
      <c r="M1613" t="s">
        <v>43</v>
      </c>
      <c r="N1613" t="s">
        <v>3694</v>
      </c>
      <c r="O1613" t="s">
        <v>70</v>
      </c>
      <c r="P1613" t="s">
        <v>158</v>
      </c>
      <c r="Q1613" t="s">
        <v>3695</v>
      </c>
      <c r="R1613">
        <v>49.08</v>
      </c>
      <c r="S1613">
        <v>3</v>
      </c>
      <c r="T1613">
        <v>0</v>
      </c>
      <c r="U1613">
        <v>4.9080000000000004</v>
      </c>
      <c r="V1613" t="str">
        <f t="shared" si="25"/>
        <v>Ben Peterman</v>
      </c>
      <c r="W1613">
        <f>Table2[Profit]/Table2[Sales]</f>
        <v>0.1</v>
      </c>
    </row>
    <row r="1614" spans="1:23" x14ac:dyDescent="0.25">
      <c r="A1614">
        <v>1613</v>
      </c>
      <c r="B1614" t="s">
        <v>6315</v>
      </c>
      <c r="C1614" s="1">
        <v>42630</v>
      </c>
      <c r="D1614" s="1">
        <v>42634</v>
      </c>
      <c r="E1614" t="s">
        <v>49</v>
      </c>
      <c r="F1614" t="s">
        <v>2620</v>
      </c>
      <c r="G1614" t="s">
        <v>2621</v>
      </c>
      <c r="H1614" t="s">
        <v>101</v>
      </c>
      <c r="I1614" t="s">
        <v>26</v>
      </c>
      <c r="J1614" t="s">
        <v>94</v>
      </c>
      <c r="K1614" t="s">
        <v>95</v>
      </c>
      <c r="L1614">
        <v>98103</v>
      </c>
      <c r="M1614" t="s">
        <v>43</v>
      </c>
      <c r="N1614" t="s">
        <v>6007</v>
      </c>
      <c r="O1614" t="s">
        <v>31</v>
      </c>
      <c r="P1614" t="s">
        <v>35</v>
      </c>
      <c r="Q1614" t="s">
        <v>6008</v>
      </c>
      <c r="R1614">
        <v>113.88800000000001</v>
      </c>
      <c r="S1614">
        <v>2</v>
      </c>
      <c r="T1614">
        <v>0.2</v>
      </c>
      <c r="U1614">
        <v>9.9651999999999994</v>
      </c>
      <c r="V1614" t="str">
        <f t="shared" si="25"/>
        <v>Sanjit Jacobs</v>
      </c>
      <c r="W1614">
        <f>Table2[Profit]/Table2[Sales]</f>
        <v>8.7499999999999994E-2</v>
      </c>
    </row>
    <row r="1615" spans="1:23" x14ac:dyDescent="0.25">
      <c r="A1615">
        <v>1614</v>
      </c>
      <c r="B1615" t="s">
        <v>6316</v>
      </c>
      <c r="C1615" s="1">
        <v>42727</v>
      </c>
      <c r="D1615" s="1">
        <v>42733</v>
      </c>
      <c r="E1615" t="s">
        <v>49</v>
      </c>
      <c r="F1615" t="s">
        <v>4821</v>
      </c>
      <c r="G1615" t="s">
        <v>4822</v>
      </c>
      <c r="H1615" t="s">
        <v>40</v>
      </c>
      <c r="I1615" t="s">
        <v>26</v>
      </c>
      <c r="J1615" t="s">
        <v>6317</v>
      </c>
      <c r="K1615" t="s">
        <v>235</v>
      </c>
      <c r="L1615">
        <v>49505</v>
      </c>
      <c r="M1615" t="s">
        <v>104</v>
      </c>
      <c r="N1615" t="s">
        <v>4101</v>
      </c>
      <c r="O1615" t="s">
        <v>45</v>
      </c>
      <c r="P1615" t="s">
        <v>266</v>
      </c>
      <c r="Q1615" t="s">
        <v>4102</v>
      </c>
      <c r="R1615">
        <v>24.85</v>
      </c>
      <c r="S1615">
        <v>7</v>
      </c>
      <c r="T1615">
        <v>0</v>
      </c>
      <c r="U1615">
        <v>11.679500000000001</v>
      </c>
      <c r="V1615" t="str">
        <f t="shared" si="25"/>
        <v>Matt Collister</v>
      </c>
      <c r="W1615">
        <f>Table2[Profit]/Table2[Sales]</f>
        <v>0.47000000000000003</v>
      </c>
    </row>
    <row r="1616" spans="1:23" x14ac:dyDescent="0.25">
      <c r="A1616">
        <v>1615</v>
      </c>
      <c r="B1616" t="s">
        <v>6318</v>
      </c>
      <c r="C1616" s="1">
        <v>42842</v>
      </c>
      <c r="D1616" s="1">
        <v>42844</v>
      </c>
      <c r="E1616" t="s">
        <v>185</v>
      </c>
      <c r="F1616" t="s">
        <v>6319</v>
      </c>
      <c r="G1616" t="s">
        <v>6320</v>
      </c>
      <c r="H1616" t="s">
        <v>25</v>
      </c>
      <c r="I1616" t="s">
        <v>26</v>
      </c>
      <c r="J1616" t="s">
        <v>143</v>
      </c>
      <c r="K1616" t="s">
        <v>144</v>
      </c>
      <c r="L1616">
        <v>19120</v>
      </c>
      <c r="M1616" t="s">
        <v>145</v>
      </c>
      <c r="N1616" t="s">
        <v>3846</v>
      </c>
      <c r="O1616" t="s">
        <v>31</v>
      </c>
      <c r="P1616" t="s">
        <v>64</v>
      </c>
      <c r="Q1616" t="s">
        <v>5041</v>
      </c>
      <c r="R1616">
        <v>60.311999999999998</v>
      </c>
      <c r="S1616">
        <v>3</v>
      </c>
      <c r="T1616">
        <v>0.2</v>
      </c>
      <c r="U1616">
        <v>5.2773000000000003</v>
      </c>
      <c r="V1616" t="str">
        <f t="shared" si="25"/>
        <v>Bruce Geld</v>
      </c>
      <c r="W1616">
        <f>Table2[Profit]/Table2[Sales]</f>
        <v>8.7500000000000008E-2</v>
      </c>
    </row>
    <row r="1617" spans="1:23" x14ac:dyDescent="0.25">
      <c r="A1617">
        <v>1616</v>
      </c>
      <c r="B1617" t="s">
        <v>6321</v>
      </c>
      <c r="C1617" s="1">
        <v>43035</v>
      </c>
      <c r="D1617" s="1">
        <v>43038</v>
      </c>
      <c r="E1617" t="s">
        <v>22</v>
      </c>
      <c r="F1617" t="s">
        <v>179</v>
      </c>
      <c r="G1617" t="s">
        <v>180</v>
      </c>
      <c r="H1617" t="s">
        <v>101</v>
      </c>
      <c r="I1617" t="s">
        <v>26</v>
      </c>
      <c r="J1617" t="s">
        <v>296</v>
      </c>
      <c r="K1617" t="s">
        <v>208</v>
      </c>
      <c r="L1617">
        <v>60610</v>
      </c>
      <c r="M1617" t="s">
        <v>104</v>
      </c>
      <c r="N1617" t="s">
        <v>1626</v>
      </c>
      <c r="O1617" t="s">
        <v>45</v>
      </c>
      <c r="P1617" t="s">
        <v>67</v>
      </c>
      <c r="Q1617" t="s">
        <v>1627</v>
      </c>
      <c r="R1617">
        <v>7.056</v>
      </c>
      <c r="S1617">
        <v>3</v>
      </c>
      <c r="T1617">
        <v>0.2</v>
      </c>
      <c r="U1617">
        <v>2.2050000000000001</v>
      </c>
      <c r="V1617" t="str">
        <f t="shared" si="25"/>
        <v>Matt Abelman</v>
      </c>
      <c r="W1617">
        <f>Table2[Profit]/Table2[Sales]</f>
        <v>0.3125</v>
      </c>
    </row>
    <row r="1618" spans="1:23" x14ac:dyDescent="0.25">
      <c r="A1618">
        <v>1617</v>
      </c>
      <c r="B1618" t="s">
        <v>6322</v>
      </c>
      <c r="C1618" s="1">
        <v>42559</v>
      </c>
      <c r="D1618" s="1">
        <v>42565</v>
      </c>
      <c r="E1618" t="s">
        <v>49</v>
      </c>
      <c r="F1618" t="s">
        <v>3456</v>
      </c>
      <c r="G1618" t="s">
        <v>3457</v>
      </c>
      <c r="H1618" t="s">
        <v>25</v>
      </c>
      <c r="I1618" t="s">
        <v>26</v>
      </c>
      <c r="J1618" t="s">
        <v>94</v>
      </c>
      <c r="K1618" t="s">
        <v>95</v>
      </c>
      <c r="L1618">
        <v>98105</v>
      </c>
      <c r="M1618" t="s">
        <v>43</v>
      </c>
      <c r="N1618" t="s">
        <v>956</v>
      </c>
      <c r="O1618" t="s">
        <v>70</v>
      </c>
      <c r="P1618" t="s">
        <v>71</v>
      </c>
      <c r="Q1618" t="s">
        <v>957</v>
      </c>
      <c r="R1618">
        <v>107.98399999999999</v>
      </c>
      <c r="S1618">
        <v>1</v>
      </c>
      <c r="T1618">
        <v>0.2</v>
      </c>
      <c r="U1618">
        <v>9.4486000000000008</v>
      </c>
      <c r="V1618" t="str">
        <f t="shared" si="25"/>
        <v>Chris Cortes</v>
      </c>
      <c r="W1618">
        <f>Table2[Profit]/Table2[Sales]</f>
        <v>8.7500000000000008E-2</v>
      </c>
    </row>
    <row r="1619" spans="1:23" x14ac:dyDescent="0.25">
      <c r="A1619">
        <v>1618</v>
      </c>
      <c r="B1619" t="s">
        <v>6323</v>
      </c>
      <c r="C1619" s="1">
        <v>42225</v>
      </c>
      <c r="D1619" s="1">
        <v>42230</v>
      </c>
      <c r="E1619" t="s">
        <v>49</v>
      </c>
      <c r="F1619" t="s">
        <v>212</v>
      </c>
      <c r="G1619" t="s">
        <v>213</v>
      </c>
      <c r="H1619" t="s">
        <v>40</v>
      </c>
      <c r="I1619" t="s">
        <v>26</v>
      </c>
      <c r="J1619" t="s">
        <v>1507</v>
      </c>
      <c r="K1619" t="s">
        <v>53</v>
      </c>
      <c r="L1619">
        <v>32216</v>
      </c>
      <c r="M1619" t="s">
        <v>29</v>
      </c>
      <c r="N1619" t="s">
        <v>2878</v>
      </c>
      <c r="O1619" t="s">
        <v>45</v>
      </c>
      <c r="P1619" t="s">
        <v>46</v>
      </c>
      <c r="Q1619" t="s">
        <v>2879</v>
      </c>
      <c r="R1619">
        <v>4.6079999999999997</v>
      </c>
      <c r="S1619">
        <v>2</v>
      </c>
      <c r="T1619">
        <v>0.2</v>
      </c>
      <c r="U1619">
        <v>1.6704000000000001</v>
      </c>
      <c r="V1619" t="str">
        <f t="shared" si="25"/>
        <v>Ruben Ausman</v>
      </c>
      <c r="W1619">
        <f>Table2[Profit]/Table2[Sales]</f>
        <v>0.36250000000000004</v>
      </c>
    </row>
    <row r="1620" spans="1:23" x14ac:dyDescent="0.25">
      <c r="A1620">
        <v>1619</v>
      </c>
      <c r="B1620" t="s">
        <v>6324</v>
      </c>
      <c r="C1620" s="1">
        <v>42713</v>
      </c>
      <c r="D1620" s="1">
        <v>42718</v>
      </c>
      <c r="E1620" t="s">
        <v>22</v>
      </c>
      <c r="F1620" t="s">
        <v>3778</v>
      </c>
      <c r="G1620" t="s">
        <v>3779</v>
      </c>
      <c r="H1620" t="s">
        <v>40</v>
      </c>
      <c r="I1620" t="s">
        <v>26</v>
      </c>
      <c r="J1620" t="s">
        <v>606</v>
      </c>
      <c r="K1620" t="s">
        <v>328</v>
      </c>
      <c r="L1620">
        <v>37064</v>
      </c>
      <c r="M1620" t="s">
        <v>29</v>
      </c>
      <c r="N1620" t="s">
        <v>3730</v>
      </c>
      <c r="O1620" t="s">
        <v>31</v>
      </c>
      <c r="P1620" t="s">
        <v>55</v>
      </c>
      <c r="Q1620" t="s">
        <v>3731</v>
      </c>
      <c r="R1620">
        <v>79.974000000000004</v>
      </c>
      <c r="S1620">
        <v>3</v>
      </c>
      <c r="T1620">
        <v>0.4</v>
      </c>
      <c r="U1620">
        <v>-29.323799999999999</v>
      </c>
      <c r="V1620" t="str">
        <f t="shared" si="25"/>
        <v>Damala Kotsonis</v>
      </c>
      <c r="W1620">
        <f>Table2[Profit]/Table2[Sales]</f>
        <v>-0.36666666666666664</v>
      </c>
    </row>
    <row r="1621" spans="1:23" x14ac:dyDescent="0.25">
      <c r="A1621">
        <v>1620</v>
      </c>
      <c r="B1621" t="s">
        <v>6325</v>
      </c>
      <c r="C1621" s="1">
        <v>42687</v>
      </c>
      <c r="D1621" s="1">
        <v>42691</v>
      </c>
      <c r="E1621" t="s">
        <v>49</v>
      </c>
      <c r="F1621" t="s">
        <v>6326</v>
      </c>
      <c r="G1621" t="s">
        <v>6327</v>
      </c>
      <c r="H1621" t="s">
        <v>101</v>
      </c>
      <c r="I1621" t="s">
        <v>26</v>
      </c>
      <c r="J1621" t="s">
        <v>5961</v>
      </c>
      <c r="K1621" t="s">
        <v>208</v>
      </c>
      <c r="L1621">
        <v>60035</v>
      </c>
      <c r="M1621" t="s">
        <v>104</v>
      </c>
      <c r="N1621" t="s">
        <v>1752</v>
      </c>
      <c r="O1621" t="s">
        <v>45</v>
      </c>
      <c r="P1621" t="s">
        <v>74</v>
      </c>
      <c r="Q1621" t="s">
        <v>1753</v>
      </c>
      <c r="R1621">
        <v>3.1360000000000001</v>
      </c>
      <c r="S1621">
        <v>2</v>
      </c>
      <c r="T1621">
        <v>0.8</v>
      </c>
      <c r="U1621">
        <v>-4.7039999999999997</v>
      </c>
      <c r="V1621" t="str">
        <f t="shared" si="25"/>
        <v>Laurel Beltran</v>
      </c>
      <c r="W1621">
        <f>Table2[Profit]/Table2[Sales]</f>
        <v>-1.4999999999999998</v>
      </c>
    </row>
    <row r="1622" spans="1:23" x14ac:dyDescent="0.25">
      <c r="A1622">
        <v>1621</v>
      </c>
      <c r="B1622" t="s">
        <v>6328</v>
      </c>
      <c r="C1622" s="1">
        <v>41957</v>
      </c>
      <c r="D1622" s="1">
        <v>41958</v>
      </c>
      <c r="E1622" t="s">
        <v>185</v>
      </c>
      <c r="F1622" t="s">
        <v>6329</v>
      </c>
      <c r="G1622" t="s">
        <v>6330</v>
      </c>
      <c r="H1622" t="s">
        <v>40</v>
      </c>
      <c r="I1622" t="s">
        <v>26</v>
      </c>
      <c r="J1622" t="s">
        <v>596</v>
      </c>
      <c r="K1622" t="s">
        <v>103</v>
      </c>
      <c r="L1622">
        <v>77506</v>
      </c>
      <c r="M1622" t="s">
        <v>104</v>
      </c>
      <c r="N1622" t="s">
        <v>6331</v>
      </c>
      <c r="O1622" t="s">
        <v>45</v>
      </c>
      <c r="P1622" t="s">
        <v>89</v>
      </c>
      <c r="Q1622" t="s">
        <v>6332</v>
      </c>
      <c r="R1622">
        <v>20.736000000000001</v>
      </c>
      <c r="S1622">
        <v>4</v>
      </c>
      <c r="T1622">
        <v>0.2</v>
      </c>
      <c r="U1622">
        <v>7.2576000000000001</v>
      </c>
      <c r="V1622" t="str">
        <f t="shared" si="25"/>
        <v>Candace McMahon</v>
      </c>
      <c r="W1622">
        <f>Table2[Profit]/Table2[Sales]</f>
        <v>0.35</v>
      </c>
    </row>
    <row r="1623" spans="1:23" x14ac:dyDescent="0.25">
      <c r="A1623">
        <v>1622</v>
      </c>
      <c r="B1623" t="s">
        <v>6333</v>
      </c>
      <c r="C1623" s="1">
        <v>41960</v>
      </c>
      <c r="D1623" s="1">
        <v>41962</v>
      </c>
      <c r="E1623" t="s">
        <v>185</v>
      </c>
      <c r="F1623" t="s">
        <v>1133</v>
      </c>
      <c r="G1623" t="s">
        <v>1134</v>
      </c>
      <c r="H1623" t="s">
        <v>40</v>
      </c>
      <c r="I1623" t="s">
        <v>26</v>
      </c>
      <c r="J1623" t="s">
        <v>126</v>
      </c>
      <c r="K1623" t="s">
        <v>42</v>
      </c>
      <c r="L1623">
        <v>94109</v>
      </c>
      <c r="M1623" t="s">
        <v>43</v>
      </c>
      <c r="N1623" t="s">
        <v>3684</v>
      </c>
      <c r="O1623" t="s">
        <v>70</v>
      </c>
      <c r="P1623" t="s">
        <v>158</v>
      </c>
      <c r="Q1623" t="s">
        <v>3685</v>
      </c>
      <c r="R1623">
        <v>99.98</v>
      </c>
      <c r="S1623">
        <v>2</v>
      </c>
      <c r="T1623">
        <v>0</v>
      </c>
      <c r="U1623">
        <v>7.9984000000000002</v>
      </c>
      <c r="V1623" t="str">
        <f t="shared" si="25"/>
        <v>Thomas Seio</v>
      </c>
      <c r="W1623">
        <f>Table2[Profit]/Table2[Sales]</f>
        <v>0.08</v>
      </c>
    </row>
    <row r="1624" spans="1:23" x14ac:dyDescent="0.25">
      <c r="A1624">
        <v>1623</v>
      </c>
      <c r="B1624" t="s">
        <v>6334</v>
      </c>
      <c r="C1624" s="1">
        <v>42433</v>
      </c>
      <c r="D1624" s="1">
        <v>42437</v>
      </c>
      <c r="E1624" t="s">
        <v>22</v>
      </c>
      <c r="F1624" t="s">
        <v>4941</v>
      </c>
      <c r="G1624" t="s">
        <v>4942</v>
      </c>
      <c r="H1624" t="s">
        <v>40</v>
      </c>
      <c r="I1624" t="s">
        <v>26</v>
      </c>
      <c r="J1624" t="s">
        <v>1406</v>
      </c>
      <c r="K1624" t="s">
        <v>53</v>
      </c>
      <c r="L1624">
        <v>33180</v>
      </c>
      <c r="M1624" t="s">
        <v>29</v>
      </c>
      <c r="N1624" t="s">
        <v>4053</v>
      </c>
      <c r="O1624" t="s">
        <v>45</v>
      </c>
      <c r="P1624" t="s">
        <v>46</v>
      </c>
      <c r="Q1624" t="s">
        <v>4054</v>
      </c>
      <c r="R1624">
        <v>10.08</v>
      </c>
      <c r="S1624">
        <v>4</v>
      </c>
      <c r="T1624">
        <v>0.2</v>
      </c>
      <c r="U1624">
        <v>3.528</v>
      </c>
      <c r="V1624" t="str">
        <f t="shared" si="25"/>
        <v>Randy Ferguson</v>
      </c>
      <c r="W1624">
        <f>Table2[Profit]/Table2[Sales]</f>
        <v>0.35</v>
      </c>
    </row>
    <row r="1625" spans="1:23" x14ac:dyDescent="0.25">
      <c r="A1625">
        <v>1624</v>
      </c>
      <c r="B1625" t="s">
        <v>6335</v>
      </c>
      <c r="C1625" s="1">
        <v>41923</v>
      </c>
      <c r="D1625" s="1">
        <v>41927</v>
      </c>
      <c r="E1625" t="s">
        <v>49</v>
      </c>
      <c r="F1625" t="s">
        <v>4442</v>
      </c>
      <c r="G1625" t="s">
        <v>4443</v>
      </c>
      <c r="H1625" t="s">
        <v>25</v>
      </c>
      <c r="I1625" t="s">
        <v>26</v>
      </c>
      <c r="J1625" t="s">
        <v>143</v>
      </c>
      <c r="K1625" t="s">
        <v>144</v>
      </c>
      <c r="L1625">
        <v>19120</v>
      </c>
      <c r="M1625" t="s">
        <v>145</v>
      </c>
      <c r="N1625" t="s">
        <v>2757</v>
      </c>
      <c r="O1625" t="s">
        <v>45</v>
      </c>
      <c r="P1625" t="s">
        <v>58</v>
      </c>
      <c r="Q1625" t="s">
        <v>2758</v>
      </c>
      <c r="R1625">
        <v>281.904</v>
      </c>
      <c r="S1625">
        <v>2</v>
      </c>
      <c r="T1625">
        <v>0.2</v>
      </c>
      <c r="U1625">
        <v>10.571400000000001</v>
      </c>
      <c r="V1625" t="str">
        <f t="shared" si="25"/>
        <v>Jill Fjeld</v>
      </c>
      <c r="W1625">
        <f>Table2[Profit]/Table2[Sales]</f>
        <v>3.7500000000000006E-2</v>
      </c>
    </row>
    <row r="1626" spans="1:23" x14ac:dyDescent="0.25">
      <c r="A1626">
        <v>1625</v>
      </c>
      <c r="B1626" t="s">
        <v>6336</v>
      </c>
      <c r="C1626" s="1">
        <v>41781</v>
      </c>
      <c r="D1626" s="1">
        <v>41788</v>
      </c>
      <c r="E1626" t="s">
        <v>49</v>
      </c>
      <c r="F1626" t="s">
        <v>6337</v>
      </c>
      <c r="G1626" t="s">
        <v>6338</v>
      </c>
      <c r="H1626" t="s">
        <v>25</v>
      </c>
      <c r="I1626" t="s">
        <v>26</v>
      </c>
      <c r="J1626" t="s">
        <v>350</v>
      </c>
      <c r="K1626" t="s">
        <v>351</v>
      </c>
      <c r="L1626">
        <v>35601</v>
      </c>
      <c r="M1626" t="s">
        <v>29</v>
      </c>
      <c r="N1626" t="s">
        <v>2709</v>
      </c>
      <c r="O1626" t="s">
        <v>70</v>
      </c>
      <c r="P1626" t="s">
        <v>71</v>
      </c>
      <c r="Q1626" t="s">
        <v>2710</v>
      </c>
      <c r="R1626">
        <v>135.97999999999999</v>
      </c>
      <c r="S1626">
        <v>2</v>
      </c>
      <c r="T1626">
        <v>0</v>
      </c>
      <c r="U1626">
        <v>33.994999999999997</v>
      </c>
      <c r="V1626" t="str">
        <f t="shared" si="25"/>
        <v>Evan Henry</v>
      </c>
      <c r="W1626">
        <f>Table2[Profit]/Table2[Sales]</f>
        <v>0.25</v>
      </c>
    </row>
    <row r="1627" spans="1:23" x14ac:dyDescent="0.25">
      <c r="A1627">
        <v>1626</v>
      </c>
      <c r="B1627" t="s">
        <v>6341</v>
      </c>
      <c r="C1627" s="1">
        <v>41835</v>
      </c>
      <c r="D1627" s="1">
        <v>41839</v>
      </c>
      <c r="E1627" t="s">
        <v>49</v>
      </c>
      <c r="F1627" t="s">
        <v>840</v>
      </c>
      <c r="G1627" t="s">
        <v>841</v>
      </c>
      <c r="H1627" t="s">
        <v>40</v>
      </c>
      <c r="I1627" t="s">
        <v>26</v>
      </c>
      <c r="J1627" t="s">
        <v>5215</v>
      </c>
      <c r="K1627" t="s">
        <v>5216</v>
      </c>
      <c r="L1627">
        <v>57103</v>
      </c>
      <c r="M1627" t="s">
        <v>104</v>
      </c>
      <c r="N1627" t="s">
        <v>5803</v>
      </c>
      <c r="O1627" t="s">
        <v>70</v>
      </c>
      <c r="P1627" t="s">
        <v>158</v>
      </c>
      <c r="Q1627" t="s">
        <v>5804</v>
      </c>
      <c r="R1627">
        <v>2.97</v>
      </c>
      <c r="S1627">
        <v>3</v>
      </c>
      <c r="T1627">
        <v>0</v>
      </c>
      <c r="U1627">
        <v>1.3068</v>
      </c>
      <c r="V1627" t="str">
        <f t="shared" si="25"/>
        <v>Victoria Wilson</v>
      </c>
      <c r="W1627">
        <f>Table2[Profit]/Table2[Sales]</f>
        <v>0.43999999999999995</v>
      </c>
    </row>
    <row r="1628" spans="1:23" x14ac:dyDescent="0.25">
      <c r="A1628">
        <v>1627</v>
      </c>
      <c r="B1628" t="s">
        <v>6342</v>
      </c>
      <c r="C1628" s="1">
        <v>42365</v>
      </c>
      <c r="D1628" s="1">
        <v>42367</v>
      </c>
      <c r="E1628" t="s">
        <v>22</v>
      </c>
      <c r="F1628" t="s">
        <v>5595</v>
      </c>
      <c r="G1628" t="s">
        <v>5596</v>
      </c>
      <c r="H1628" t="s">
        <v>40</v>
      </c>
      <c r="I1628" t="s">
        <v>26</v>
      </c>
      <c r="J1628" t="s">
        <v>6343</v>
      </c>
      <c r="K1628" t="s">
        <v>42</v>
      </c>
      <c r="L1628">
        <v>93277</v>
      </c>
      <c r="M1628" t="s">
        <v>43</v>
      </c>
      <c r="N1628" t="s">
        <v>5803</v>
      </c>
      <c r="O1628" t="s">
        <v>70</v>
      </c>
      <c r="P1628" t="s">
        <v>158</v>
      </c>
      <c r="Q1628" t="s">
        <v>5804</v>
      </c>
      <c r="R1628">
        <v>7.92</v>
      </c>
      <c r="S1628">
        <v>8</v>
      </c>
      <c r="T1628">
        <v>0</v>
      </c>
      <c r="U1628">
        <v>3.4847999999999999</v>
      </c>
      <c r="V1628" t="str">
        <f t="shared" si="25"/>
        <v>Kean Nguyen</v>
      </c>
      <c r="W1628">
        <f>Table2[Profit]/Table2[Sales]</f>
        <v>0.44</v>
      </c>
    </row>
    <row r="1629" spans="1:23" x14ac:dyDescent="0.25">
      <c r="A1629">
        <v>1628</v>
      </c>
      <c r="B1629" t="s">
        <v>6344</v>
      </c>
      <c r="C1629" s="1">
        <v>42044</v>
      </c>
      <c r="D1629" s="1">
        <v>42051</v>
      </c>
      <c r="E1629" t="s">
        <v>49</v>
      </c>
      <c r="F1629" t="s">
        <v>6308</v>
      </c>
      <c r="G1629" t="s">
        <v>6309</v>
      </c>
      <c r="H1629" t="s">
        <v>25</v>
      </c>
      <c r="I1629" t="s">
        <v>26</v>
      </c>
      <c r="J1629" t="s">
        <v>41</v>
      </c>
      <c r="K1629" t="s">
        <v>42</v>
      </c>
      <c r="L1629">
        <v>90049</v>
      </c>
      <c r="M1629" t="s">
        <v>43</v>
      </c>
      <c r="N1629" t="s">
        <v>146</v>
      </c>
      <c r="O1629" t="s">
        <v>31</v>
      </c>
      <c r="P1629" t="s">
        <v>35</v>
      </c>
      <c r="Q1629" t="s">
        <v>147</v>
      </c>
      <c r="R1629">
        <v>203.92</v>
      </c>
      <c r="S1629">
        <v>5</v>
      </c>
      <c r="T1629">
        <v>0.2</v>
      </c>
      <c r="U1629">
        <v>22.940999999999999</v>
      </c>
      <c r="V1629" t="str">
        <f t="shared" si="25"/>
        <v>Sarah Jordon</v>
      </c>
      <c r="W1629">
        <f>Table2[Profit]/Table2[Sales]</f>
        <v>0.1125</v>
      </c>
    </row>
    <row r="1630" spans="1:23" x14ac:dyDescent="0.25">
      <c r="A1630">
        <v>1629</v>
      </c>
      <c r="B1630" t="s">
        <v>6345</v>
      </c>
      <c r="C1630" s="1">
        <v>42863</v>
      </c>
      <c r="D1630" s="1">
        <v>42867</v>
      </c>
      <c r="E1630" t="s">
        <v>49</v>
      </c>
      <c r="F1630" t="s">
        <v>3163</v>
      </c>
      <c r="G1630" t="s">
        <v>3164</v>
      </c>
      <c r="H1630" t="s">
        <v>101</v>
      </c>
      <c r="I1630" t="s">
        <v>26</v>
      </c>
      <c r="J1630" t="s">
        <v>41</v>
      </c>
      <c r="K1630" t="s">
        <v>42</v>
      </c>
      <c r="L1630">
        <v>90032</v>
      </c>
      <c r="M1630" t="s">
        <v>43</v>
      </c>
      <c r="N1630" t="s">
        <v>3389</v>
      </c>
      <c r="O1630" t="s">
        <v>70</v>
      </c>
      <c r="P1630" t="s">
        <v>1204</v>
      </c>
      <c r="Q1630" t="s">
        <v>3390</v>
      </c>
      <c r="R1630">
        <v>3359.9520000000002</v>
      </c>
      <c r="S1630">
        <v>6</v>
      </c>
      <c r="T1630">
        <v>0.2</v>
      </c>
      <c r="U1630">
        <v>1049.9849999999999</v>
      </c>
      <c r="V1630" t="str">
        <f t="shared" si="25"/>
        <v>Penelope Sewall</v>
      </c>
      <c r="W1630">
        <f>Table2[Profit]/Table2[Sales]</f>
        <v>0.31249999999999994</v>
      </c>
    </row>
    <row r="1631" spans="1:23" x14ac:dyDescent="0.25">
      <c r="A1631">
        <v>1630</v>
      </c>
      <c r="B1631" t="s">
        <v>6346</v>
      </c>
      <c r="C1631" s="1">
        <v>43041</v>
      </c>
      <c r="D1631" s="1">
        <v>43045</v>
      </c>
      <c r="E1631" t="s">
        <v>49</v>
      </c>
      <c r="F1631" t="s">
        <v>2977</v>
      </c>
      <c r="G1631" t="s">
        <v>2978</v>
      </c>
      <c r="H1631" t="s">
        <v>40</v>
      </c>
      <c r="I1631" t="s">
        <v>26</v>
      </c>
      <c r="J1631" t="s">
        <v>6347</v>
      </c>
      <c r="K1631" t="s">
        <v>4436</v>
      </c>
      <c r="L1631">
        <v>66212</v>
      </c>
      <c r="M1631" t="s">
        <v>104</v>
      </c>
      <c r="N1631" t="s">
        <v>3190</v>
      </c>
      <c r="O1631" t="s">
        <v>45</v>
      </c>
      <c r="P1631" t="s">
        <v>266</v>
      </c>
      <c r="Q1631" t="s">
        <v>556</v>
      </c>
      <c r="R1631">
        <v>18.239999999999998</v>
      </c>
      <c r="S1631">
        <v>3</v>
      </c>
      <c r="T1631">
        <v>0</v>
      </c>
      <c r="U1631">
        <v>9.1199999999999992</v>
      </c>
      <c r="V1631" t="str">
        <f t="shared" si="25"/>
        <v>Kalyca Meade</v>
      </c>
      <c r="W1631">
        <f>Table2[Profit]/Table2[Sales]</f>
        <v>0.5</v>
      </c>
    </row>
    <row r="1632" spans="1:23" x14ac:dyDescent="0.25">
      <c r="A1632">
        <v>1631</v>
      </c>
      <c r="B1632" t="s">
        <v>6348</v>
      </c>
      <c r="C1632" s="1">
        <v>41734</v>
      </c>
      <c r="D1632" s="1">
        <v>41738</v>
      </c>
      <c r="E1632" t="s">
        <v>22</v>
      </c>
      <c r="F1632" t="s">
        <v>5430</v>
      </c>
      <c r="G1632" t="s">
        <v>5431</v>
      </c>
      <c r="H1632" t="s">
        <v>40</v>
      </c>
      <c r="I1632" t="s">
        <v>26</v>
      </c>
      <c r="J1632" t="s">
        <v>2773</v>
      </c>
      <c r="K1632" t="s">
        <v>312</v>
      </c>
      <c r="L1632">
        <v>22304</v>
      </c>
      <c r="M1632" t="s">
        <v>29</v>
      </c>
      <c r="N1632" t="s">
        <v>1356</v>
      </c>
      <c r="O1632" t="s">
        <v>45</v>
      </c>
      <c r="P1632" t="s">
        <v>67</v>
      </c>
      <c r="Q1632" t="s">
        <v>1357</v>
      </c>
      <c r="R1632">
        <v>22.96</v>
      </c>
      <c r="S1632">
        <v>7</v>
      </c>
      <c r="T1632">
        <v>0</v>
      </c>
      <c r="U1632">
        <v>7.5768000000000004</v>
      </c>
      <c r="V1632" t="str">
        <f t="shared" si="25"/>
        <v>Greg Maxwell</v>
      </c>
      <c r="W1632">
        <f>Table2[Profit]/Table2[Sales]</f>
        <v>0.33</v>
      </c>
    </row>
    <row r="1633" spans="1:23" x14ac:dyDescent="0.25">
      <c r="A1633">
        <v>1632</v>
      </c>
      <c r="B1633" t="s">
        <v>6349</v>
      </c>
      <c r="C1633" s="1">
        <v>41899</v>
      </c>
      <c r="D1633" s="1">
        <v>41906</v>
      </c>
      <c r="E1633" t="s">
        <v>49</v>
      </c>
      <c r="F1633" t="s">
        <v>3668</v>
      </c>
      <c r="G1633" t="s">
        <v>3669</v>
      </c>
      <c r="H1633" t="s">
        <v>25</v>
      </c>
      <c r="I1633" t="s">
        <v>26</v>
      </c>
      <c r="J1633" t="s">
        <v>4494</v>
      </c>
      <c r="K1633" t="s">
        <v>87</v>
      </c>
      <c r="L1633">
        <v>27604</v>
      </c>
      <c r="M1633" t="s">
        <v>29</v>
      </c>
      <c r="N1633" t="s">
        <v>3911</v>
      </c>
      <c r="O1633" t="s">
        <v>70</v>
      </c>
      <c r="P1633" t="s">
        <v>158</v>
      </c>
      <c r="Q1633" t="s">
        <v>3912</v>
      </c>
      <c r="R1633">
        <v>47.984000000000002</v>
      </c>
      <c r="S1633">
        <v>2</v>
      </c>
      <c r="T1633">
        <v>0.2</v>
      </c>
      <c r="U1633">
        <v>13.195600000000001</v>
      </c>
      <c r="V1633" t="str">
        <f t="shared" si="25"/>
        <v>Kean Takahito</v>
      </c>
      <c r="W1633">
        <f>Table2[Profit]/Table2[Sales]</f>
        <v>0.27500000000000002</v>
      </c>
    </row>
    <row r="1634" spans="1:23" x14ac:dyDescent="0.25">
      <c r="A1634">
        <v>1633</v>
      </c>
      <c r="B1634" t="s">
        <v>6350</v>
      </c>
      <c r="C1634" s="1">
        <v>41912</v>
      </c>
      <c r="D1634" s="1">
        <v>41918</v>
      </c>
      <c r="E1634" t="s">
        <v>49</v>
      </c>
      <c r="F1634" t="s">
        <v>1597</v>
      </c>
      <c r="G1634" t="s">
        <v>1598</v>
      </c>
      <c r="H1634" t="s">
        <v>40</v>
      </c>
      <c r="I1634" t="s">
        <v>26</v>
      </c>
      <c r="J1634" t="s">
        <v>263</v>
      </c>
      <c r="K1634" t="s">
        <v>264</v>
      </c>
      <c r="L1634">
        <v>10035</v>
      </c>
      <c r="M1634" t="s">
        <v>145</v>
      </c>
      <c r="N1634" t="s">
        <v>2039</v>
      </c>
      <c r="O1634" t="s">
        <v>31</v>
      </c>
      <c r="P1634" t="s">
        <v>64</v>
      </c>
      <c r="Q1634" t="s">
        <v>2040</v>
      </c>
      <c r="R1634">
        <v>15.24</v>
      </c>
      <c r="S1634">
        <v>3</v>
      </c>
      <c r="T1634">
        <v>0</v>
      </c>
      <c r="U1634">
        <v>5.1816000000000004</v>
      </c>
      <c r="V1634" t="str">
        <f t="shared" si="25"/>
        <v>Maya Herman</v>
      </c>
      <c r="W1634">
        <f>Table2[Profit]/Table2[Sales]</f>
        <v>0.34</v>
      </c>
    </row>
    <row r="1635" spans="1:23" x14ac:dyDescent="0.25">
      <c r="A1635">
        <v>1634</v>
      </c>
      <c r="B1635" t="s">
        <v>6351</v>
      </c>
      <c r="C1635" s="1">
        <v>41894</v>
      </c>
      <c r="D1635" s="1">
        <v>41899</v>
      </c>
      <c r="E1635" t="s">
        <v>49</v>
      </c>
      <c r="F1635" t="s">
        <v>2586</v>
      </c>
      <c r="G1635" t="s">
        <v>2587</v>
      </c>
      <c r="H1635" t="s">
        <v>25</v>
      </c>
      <c r="I1635" t="s">
        <v>26</v>
      </c>
      <c r="J1635" t="s">
        <v>739</v>
      </c>
      <c r="K1635" t="s">
        <v>491</v>
      </c>
      <c r="L1635">
        <v>45014</v>
      </c>
      <c r="M1635" t="s">
        <v>145</v>
      </c>
      <c r="N1635" t="s">
        <v>1805</v>
      </c>
      <c r="O1635" t="s">
        <v>45</v>
      </c>
      <c r="P1635" t="s">
        <v>74</v>
      </c>
      <c r="Q1635" t="s">
        <v>1806</v>
      </c>
      <c r="R1635">
        <v>63.923999999999999</v>
      </c>
      <c r="S1635">
        <v>7</v>
      </c>
      <c r="T1635">
        <v>0.7</v>
      </c>
      <c r="U1635">
        <v>-46.877600000000001</v>
      </c>
      <c r="V1635" t="str">
        <f t="shared" si="25"/>
        <v>Art Foster</v>
      </c>
      <c r="W1635">
        <f>Table2[Profit]/Table2[Sales]</f>
        <v>-0.73333333333333339</v>
      </c>
    </row>
    <row r="1636" spans="1:23" x14ac:dyDescent="0.25">
      <c r="A1636">
        <v>1635</v>
      </c>
      <c r="B1636" t="s">
        <v>6352</v>
      </c>
      <c r="C1636" s="1">
        <v>42786</v>
      </c>
      <c r="D1636" s="1">
        <v>42791</v>
      </c>
      <c r="E1636" t="s">
        <v>49</v>
      </c>
      <c r="F1636" t="s">
        <v>5797</v>
      </c>
      <c r="G1636" t="s">
        <v>5798</v>
      </c>
      <c r="H1636" t="s">
        <v>101</v>
      </c>
      <c r="I1636" t="s">
        <v>26</v>
      </c>
      <c r="J1636" t="s">
        <v>4504</v>
      </c>
      <c r="K1636" t="s">
        <v>641</v>
      </c>
      <c r="L1636">
        <v>74403</v>
      </c>
      <c r="M1636" t="s">
        <v>104</v>
      </c>
      <c r="N1636" t="s">
        <v>3210</v>
      </c>
      <c r="O1636" t="s">
        <v>45</v>
      </c>
      <c r="P1636" t="s">
        <v>67</v>
      </c>
      <c r="Q1636" t="s">
        <v>3211</v>
      </c>
      <c r="R1636">
        <v>6.56</v>
      </c>
      <c r="S1636">
        <v>2</v>
      </c>
      <c r="T1636">
        <v>0</v>
      </c>
      <c r="U1636">
        <v>1.9024000000000001</v>
      </c>
      <c r="V1636" t="str">
        <f t="shared" si="25"/>
        <v>Julie Prescott</v>
      </c>
      <c r="W1636">
        <f>Table2[Profit]/Table2[Sales]</f>
        <v>0.29000000000000004</v>
      </c>
    </row>
    <row r="1637" spans="1:23" x14ac:dyDescent="0.25">
      <c r="A1637">
        <v>1636</v>
      </c>
      <c r="B1637" t="s">
        <v>6355</v>
      </c>
      <c r="C1637" s="1">
        <v>42351</v>
      </c>
      <c r="D1637" s="1">
        <v>42353</v>
      </c>
      <c r="E1637" t="s">
        <v>185</v>
      </c>
      <c r="F1637" t="s">
        <v>2935</v>
      </c>
      <c r="G1637" t="s">
        <v>2936</v>
      </c>
      <c r="H1637" t="s">
        <v>25</v>
      </c>
      <c r="I1637" t="s">
        <v>26</v>
      </c>
      <c r="J1637" t="s">
        <v>6356</v>
      </c>
      <c r="K1637" t="s">
        <v>42</v>
      </c>
      <c r="L1637">
        <v>92592</v>
      </c>
      <c r="M1637" t="s">
        <v>43</v>
      </c>
      <c r="N1637" t="s">
        <v>2456</v>
      </c>
      <c r="O1637" t="s">
        <v>70</v>
      </c>
      <c r="P1637" t="s">
        <v>71</v>
      </c>
      <c r="Q1637" t="s">
        <v>2933</v>
      </c>
      <c r="R1637">
        <v>494.37599999999998</v>
      </c>
      <c r="S1637">
        <v>3</v>
      </c>
      <c r="T1637">
        <v>0.2</v>
      </c>
      <c r="U1637">
        <v>49.437600000000003</v>
      </c>
      <c r="V1637" t="str">
        <f t="shared" si="25"/>
        <v>Rob Dowd</v>
      </c>
      <c r="W1637">
        <f>Table2[Profit]/Table2[Sales]</f>
        <v>0.1</v>
      </c>
    </row>
    <row r="1638" spans="1:23" x14ac:dyDescent="0.25">
      <c r="A1638">
        <v>1637</v>
      </c>
      <c r="B1638" t="s">
        <v>6359</v>
      </c>
      <c r="C1638" s="1">
        <v>42673</v>
      </c>
      <c r="D1638" s="1">
        <v>42678</v>
      </c>
      <c r="E1638" t="s">
        <v>49</v>
      </c>
      <c r="F1638" t="s">
        <v>5628</v>
      </c>
      <c r="G1638" t="s">
        <v>5629</v>
      </c>
      <c r="H1638" t="s">
        <v>25</v>
      </c>
      <c r="I1638" t="s">
        <v>26</v>
      </c>
      <c r="J1638" t="s">
        <v>6057</v>
      </c>
      <c r="K1638" t="s">
        <v>235</v>
      </c>
      <c r="L1638">
        <v>48310</v>
      </c>
      <c r="M1638" t="s">
        <v>104</v>
      </c>
      <c r="N1638" t="s">
        <v>1959</v>
      </c>
      <c r="O1638" t="s">
        <v>45</v>
      </c>
      <c r="P1638" t="s">
        <v>67</v>
      </c>
      <c r="Q1638" t="s">
        <v>1960</v>
      </c>
      <c r="R1638">
        <v>11.68</v>
      </c>
      <c r="S1638">
        <v>2</v>
      </c>
      <c r="T1638">
        <v>0</v>
      </c>
      <c r="U1638">
        <v>3.504</v>
      </c>
      <c r="V1638" t="str">
        <f t="shared" si="25"/>
        <v>Jason Fortune-</v>
      </c>
      <c r="W1638">
        <f>Table2[Profit]/Table2[Sales]</f>
        <v>0.3</v>
      </c>
    </row>
    <row r="1639" spans="1:23" x14ac:dyDescent="0.25">
      <c r="A1639">
        <v>1638</v>
      </c>
      <c r="B1639" t="s">
        <v>6360</v>
      </c>
      <c r="C1639" s="1">
        <v>41999</v>
      </c>
      <c r="D1639" s="1">
        <v>42003</v>
      </c>
      <c r="E1639" t="s">
        <v>49</v>
      </c>
      <c r="F1639" t="s">
        <v>2005</v>
      </c>
      <c r="G1639" t="s">
        <v>2006</v>
      </c>
      <c r="H1639" t="s">
        <v>25</v>
      </c>
      <c r="I1639" t="s">
        <v>26</v>
      </c>
      <c r="J1639" t="s">
        <v>941</v>
      </c>
      <c r="K1639" t="s">
        <v>42</v>
      </c>
      <c r="L1639">
        <v>92024</v>
      </c>
      <c r="M1639" t="s">
        <v>43</v>
      </c>
      <c r="N1639" t="s">
        <v>711</v>
      </c>
      <c r="O1639" t="s">
        <v>45</v>
      </c>
      <c r="P1639" t="s">
        <v>572</v>
      </c>
      <c r="Q1639" t="s">
        <v>712</v>
      </c>
      <c r="R1639">
        <v>11.91</v>
      </c>
      <c r="S1639">
        <v>3</v>
      </c>
      <c r="T1639">
        <v>0</v>
      </c>
      <c r="U1639">
        <v>0.1191</v>
      </c>
      <c r="V1639" t="str">
        <f t="shared" si="25"/>
        <v>Clytie Kelty</v>
      </c>
      <c r="W1639">
        <f>Table2[Profit]/Table2[Sales]</f>
        <v>0.01</v>
      </c>
    </row>
    <row r="1640" spans="1:23" x14ac:dyDescent="0.25">
      <c r="A1640">
        <v>1639</v>
      </c>
      <c r="B1640" t="s">
        <v>6361</v>
      </c>
      <c r="C1640" s="1">
        <v>41866</v>
      </c>
      <c r="D1640" s="1">
        <v>41869</v>
      </c>
      <c r="E1640" t="s">
        <v>185</v>
      </c>
      <c r="F1640" t="s">
        <v>1418</v>
      </c>
      <c r="G1640" t="s">
        <v>1419</v>
      </c>
      <c r="H1640" t="s">
        <v>25</v>
      </c>
      <c r="I1640" t="s">
        <v>26</v>
      </c>
      <c r="J1640" t="s">
        <v>808</v>
      </c>
      <c r="K1640" t="s">
        <v>103</v>
      </c>
      <c r="L1640">
        <v>75081</v>
      </c>
      <c r="M1640" t="s">
        <v>104</v>
      </c>
      <c r="N1640" t="s">
        <v>2355</v>
      </c>
      <c r="O1640" t="s">
        <v>45</v>
      </c>
      <c r="P1640" t="s">
        <v>74</v>
      </c>
      <c r="Q1640" t="s">
        <v>2356</v>
      </c>
      <c r="R1640">
        <v>30.96</v>
      </c>
      <c r="S1640">
        <v>8</v>
      </c>
      <c r="T1640">
        <v>0.8</v>
      </c>
      <c r="U1640">
        <v>-52.631999999999998</v>
      </c>
      <c r="V1640" t="str">
        <f t="shared" si="25"/>
        <v>Keith Herrera</v>
      </c>
      <c r="W1640">
        <f>Table2[Profit]/Table2[Sales]</f>
        <v>-1.7</v>
      </c>
    </row>
    <row r="1641" spans="1:23" x14ac:dyDescent="0.25">
      <c r="A1641">
        <v>1640</v>
      </c>
      <c r="B1641" t="s">
        <v>6362</v>
      </c>
      <c r="C1641" s="1">
        <v>43009</v>
      </c>
      <c r="D1641" s="1">
        <v>43011</v>
      </c>
      <c r="E1641" t="s">
        <v>185</v>
      </c>
      <c r="F1641" t="s">
        <v>3907</v>
      </c>
      <c r="G1641" t="s">
        <v>3908</v>
      </c>
      <c r="H1641" t="s">
        <v>101</v>
      </c>
      <c r="I1641" t="s">
        <v>26</v>
      </c>
      <c r="J1641" t="s">
        <v>263</v>
      </c>
      <c r="K1641" t="s">
        <v>264</v>
      </c>
      <c r="L1641">
        <v>10035</v>
      </c>
      <c r="M1641" t="s">
        <v>145</v>
      </c>
      <c r="N1641" t="s">
        <v>6363</v>
      </c>
      <c r="O1641" t="s">
        <v>70</v>
      </c>
      <c r="P1641" t="s">
        <v>675</v>
      </c>
      <c r="Q1641" t="s">
        <v>6364</v>
      </c>
      <c r="R1641">
        <v>1704.89</v>
      </c>
      <c r="S1641">
        <v>11</v>
      </c>
      <c r="T1641">
        <v>0</v>
      </c>
      <c r="U1641">
        <v>767.20050000000003</v>
      </c>
      <c r="V1641" t="str">
        <f t="shared" si="25"/>
        <v>Corinna Mitchell</v>
      </c>
      <c r="W1641">
        <f>Table2[Profit]/Table2[Sales]</f>
        <v>0.45</v>
      </c>
    </row>
    <row r="1642" spans="1:23" x14ac:dyDescent="0.25">
      <c r="A1642">
        <v>1641</v>
      </c>
      <c r="B1642" t="s">
        <v>6365</v>
      </c>
      <c r="C1642" s="1">
        <v>42147</v>
      </c>
      <c r="D1642" s="1">
        <v>42154</v>
      </c>
      <c r="E1642" t="s">
        <v>49</v>
      </c>
      <c r="F1642" t="s">
        <v>149</v>
      </c>
      <c r="G1642" t="s">
        <v>150</v>
      </c>
      <c r="H1642" t="s">
        <v>25</v>
      </c>
      <c r="I1642" t="s">
        <v>26</v>
      </c>
      <c r="J1642" t="s">
        <v>537</v>
      </c>
      <c r="K1642" t="s">
        <v>303</v>
      </c>
      <c r="L1642">
        <v>85023</v>
      </c>
      <c r="M1642" t="s">
        <v>43</v>
      </c>
      <c r="N1642" t="s">
        <v>2410</v>
      </c>
      <c r="O1642" t="s">
        <v>45</v>
      </c>
      <c r="P1642" t="s">
        <v>74</v>
      </c>
      <c r="Q1642" t="s">
        <v>2411</v>
      </c>
      <c r="R1642">
        <v>19.193999999999999</v>
      </c>
      <c r="S1642">
        <v>7</v>
      </c>
      <c r="T1642">
        <v>0.7</v>
      </c>
      <c r="U1642">
        <v>-12.795999999999999</v>
      </c>
      <c r="V1642" t="str">
        <f t="shared" si="25"/>
        <v>Emily Burns</v>
      </c>
      <c r="W1642">
        <f>Table2[Profit]/Table2[Sales]</f>
        <v>-0.66666666666666663</v>
      </c>
    </row>
    <row r="1643" spans="1:23" x14ac:dyDescent="0.25">
      <c r="A1643">
        <v>1642</v>
      </c>
      <c r="B1643" t="s">
        <v>6366</v>
      </c>
      <c r="C1643" s="1">
        <v>43055</v>
      </c>
      <c r="D1643" s="1">
        <v>43055</v>
      </c>
      <c r="E1643" t="s">
        <v>1278</v>
      </c>
      <c r="F1643" t="s">
        <v>2928</v>
      </c>
      <c r="G1643" t="s">
        <v>2929</v>
      </c>
      <c r="H1643" t="s">
        <v>40</v>
      </c>
      <c r="I1643" t="s">
        <v>26</v>
      </c>
      <c r="J1643" t="s">
        <v>126</v>
      </c>
      <c r="K1643" t="s">
        <v>42</v>
      </c>
      <c r="L1643">
        <v>94122</v>
      </c>
      <c r="M1643" t="s">
        <v>43</v>
      </c>
      <c r="N1643" t="s">
        <v>4509</v>
      </c>
      <c r="O1643" t="s">
        <v>70</v>
      </c>
      <c r="P1643" t="s">
        <v>675</v>
      </c>
      <c r="Q1643" t="s">
        <v>4510</v>
      </c>
      <c r="R1643">
        <v>1919.9760000000001</v>
      </c>
      <c r="S1643">
        <v>3</v>
      </c>
      <c r="T1643">
        <v>0.2</v>
      </c>
      <c r="U1643">
        <v>215.9973</v>
      </c>
      <c r="V1643" t="str">
        <f t="shared" si="25"/>
        <v>Mitch Willingham</v>
      </c>
      <c r="W1643">
        <f>Table2[Profit]/Table2[Sales]</f>
        <v>0.11249999999999999</v>
      </c>
    </row>
    <row r="1644" spans="1:23" x14ac:dyDescent="0.25">
      <c r="A1644">
        <v>1643</v>
      </c>
      <c r="B1644" t="s">
        <v>6367</v>
      </c>
      <c r="C1644" s="1">
        <v>41961</v>
      </c>
      <c r="D1644" s="1">
        <v>41965</v>
      </c>
      <c r="E1644" t="s">
        <v>49</v>
      </c>
      <c r="F1644" t="s">
        <v>1924</v>
      </c>
      <c r="G1644" t="s">
        <v>1925</v>
      </c>
      <c r="H1644" t="s">
        <v>25</v>
      </c>
      <c r="I1644" t="s">
        <v>26</v>
      </c>
      <c r="J1644" t="s">
        <v>143</v>
      </c>
      <c r="K1644" t="s">
        <v>144</v>
      </c>
      <c r="L1644">
        <v>19140</v>
      </c>
      <c r="M1644" t="s">
        <v>145</v>
      </c>
      <c r="N1644" t="s">
        <v>96</v>
      </c>
      <c r="O1644" t="s">
        <v>45</v>
      </c>
      <c r="P1644" t="s">
        <v>74</v>
      </c>
      <c r="Q1644" t="s">
        <v>97</v>
      </c>
      <c r="R1644">
        <v>50.997</v>
      </c>
      <c r="S1644">
        <v>1</v>
      </c>
      <c r="T1644">
        <v>0.7</v>
      </c>
      <c r="U1644">
        <v>-40.797600000000003</v>
      </c>
      <c r="V1644" t="str">
        <f t="shared" si="25"/>
        <v>Carlos Soltero</v>
      </c>
      <c r="W1644">
        <f>Table2[Profit]/Table2[Sales]</f>
        <v>-0.8</v>
      </c>
    </row>
    <row r="1645" spans="1:23" x14ac:dyDescent="0.25">
      <c r="A1645">
        <v>1644</v>
      </c>
      <c r="B1645" t="s">
        <v>6370</v>
      </c>
      <c r="C1645" s="1">
        <v>42003</v>
      </c>
      <c r="D1645" s="1">
        <v>42005</v>
      </c>
      <c r="E1645" t="s">
        <v>22</v>
      </c>
      <c r="F1645" t="s">
        <v>3360</v>
      </c>
      <c r="G1645" t="s">
        <v>3361</v>
      </c>
      <c r="H1645" t="s">
        <v>40</v>
      </c>
      <c r="I1645" t="s">
        <v>26</v>
      </c>
      <c r="J1645" t="s">
        <v>1958</v>
      </c>
      <c r="K1645" t="s">
        <v>103</v>
      </c>
      <c r="L1645">
        <v>78041</v>
      </c>
      <c r="M1645" t="s">
        <v>104</v>
      </c>
      <c r="N1645" t="s">
        <v>3414</v>
      </c>
      <c r="O1645" t="s">
        <v>45</v>
      </c>
      <c r="P1645" t="s">
        <v>170</v>
      </c>
      <c r="Q1645" t="s">
        <v>3415</v>
      </c>
      <c r="R1645">
        <v>12.984</v>
      </c>
      <c r="S1645">
        <v>3</v>
      </c>
      <c r="T1645">
        <v>0.2</v>
      </c>
      <c r="U1645">
        <v>4.7066999999999997</v>
      </c>
      <c r="V1645" t="str">
        <f t="shared" si="25"/>
        <v>Stefania Perrino</v>
      </c>
      <c r="W1645">
        <f>Table2[Profit]/Table2[Sales]</f>
        <v>0.36249999999999999</v>
      </c>
    </row>
    <row r="1646" spans="1:23" x14ac:dyDescent="0.25">
      <c r="A1646">
        <v>1645</v>
      </c>
      <c r="B1646" t="s">
        <v>6371</v>
      </c>
      <c r="C1646" s="1">
        <v>42313</v>
      </c>
      <c r="D1646" s="1">
        <v>42319</v>
      </c>
      <c r="E1646" t="s">
        <v>49</v>
      </c>
      <c r="F1646" t="s">
        <v>2187</v>
      </c>
      <c r="G1646" t="s">
        <v>2188</v>
      </c>
      <c r="H1646" t="s">
        <v>40</v>
      </c>
      <c r="I1646" t="s">
        <v>26</v>
      </c>
      <c r="J1646" t="s">
        <v>263</v>
      </c>
      <c r="K1646" t="s">
        <v>264</v>
      </c>
      <c r="L1646">
        <v>10009</v>
      </c>
      <c r="M1646" t="s">
        <v>145</v>
      </c>
      <c r="N1646" t="s">
        <v>4229</v>
      </c>
      <c r="O1646" t="s">
        <v>45</v>
      </c>
      <c r="P1646" t="s">
        <v>74</v>
      </c>
      <c r="Q1646" t="s">
        <v>4230</v>
      </c>
      <c r="R1646">
        <v>25.344000000000001</v>
      </c>
      <c r="S1646">
        <v>6</v>
      </c>
      <c r="T1646">
        <v>0.2</v>
      </c>
      <c r="U1646">
        <v>8.8704000000000001</v>
      </c>
      <c r="V1646" t="str">
        <f t="shared" si="25"/>
        <v>Grant Thornton</v>
      </c>
      <c r="W1646">
        <f>Table2[Profit]/Table2[Sales]</f>
        <v>0.35</v>
      </c>
    </row>
    <row r="1647" spans="1:23" x14ac:dyDescent="0.25">
      <c r="A1647">
        <v>1646</v>
      </c>
      <c r="B1647" t="s">
        <v>6372</v>
      </c>
      <c r="C1647" s="1">
        <v>42630</v>
      </c>
      <c r="D1647" s="1">
        <v>42635</v>
      </c>
      <c r="E1647" t="s">
        <v>49</v>
      </c>
      <c r="F1647" t="s">
        <v>4773</v>
      </c>
      <c r="G1647" t="s">
        <v>4774</v>
      </c>
      <c r="H1647" t="s">
        <v>25</v>
      </c>
      <c r="I1647" t="s">
        <v>26</v>
      </c>
      <c r="J1647" t="s">
        <v>263</v>
      </c>
      <c r="K1647" t="s">
        <v>264</v>
      </c>
      <c r="L1647">
        <v>10035</v>
      </c>
      <c r="M1647" t="s">
        <v>145</v>
      </c>
      <c r="N1647" t="s">
        <v>3498</v>
      </c>
      <c r="O1647" t="s">
        <v>45</v>
      </c>
      <c r="P1647" t="s">
        <v>74</v>
      </c>
      <c r="Q1647" t="s">
        <v>3499</v>
      </c>
      <c r="R1647">
        <v>232.4</v>
      </c>
      <c r="S1647">
        <v>5</v>
      </c>
      <c r="T1647">
        <v>0.2</v>
      </c>
      <c r="U1647">
        <v>78.435000000000002</v>
      </c>
      <c r="V1647" t="str">
        <f t="shared" si="25"/>
        <v>Luke Weiss</v>
      </c>
      <c r="W1647">
        <f>Table2[Profit]/Table2[Sales]</f>
        <v>0.33750000000000002</v>
      </c>
    </row>
    <row r="1648" spans="1:23" x14ac:dyDescent="0.25">
      <c r="A1648">
        <v>1647</v>
      </c>
      <c r="B1648" t="s">
        <v>6373</v>
      </c>
      <c r="C1648" s="1">
        <v>42449</v>
      </c>
      <c r="D1648" s="1">
        <v>42454</v>
      </c>
      <c r="E1648" t="s">
        <v>22</v>
      </c>
      <c r="F1648" t="s">
        <v>6269</v>
      </c>
      <c r="G1648" t="s">
        <v>6270</v>
      </c>
      <c r="H1648" t="s">
        <v>40</v>
      </c>
      <c r="I1648" t="s">
        <v>26</v>
      </c>
      <c r="J1648" t="s">
        <v>3413</v>
      </c>
      <c r="K1648" t="s">
        <v>1473</v>
      </c>
      <c r="L1648">
        <v>39503</v>
      </c>
      <c r="M1648" t="s">
        <v>29</v>
      </c>
      <c r="N1648" t="s">
        <v>3400</v>
      </c>
      <c r="O1648" t="s">
        <v>31</v>
      </c>
      <c r="P1648" t="s">
        <v>64</v>
      </c>
      <c r="Q1648" t="s">
        <v>3401</v>
      </c>
      <c r="R1648">
        <v>86.45</v>
      </c>
      <c r="S1648">
        <v>7</v>
      </c>
      <c r="T1648">
        <v>0</v>
      </c>
      <c r="U1648">
        <v>38.037999999999997</v>
      </c>
      <c r="V1648" t="str">
        <f t="shared" si="25"/>
        <v>Aaron Hawkins</v>
      </c>
      <c r="W1648">
        <f>Table2[Profit]/Table2[Sales]</f>
        <v>0.43999999999999995</v>
      </c>
    </row>
    <row r="1649" spans="1:23" x14ac:dyDescent="0.25">
      <c r="A1649">
        <v>1648</v>
      </c>
      <c r="B1649" t="s">
        <v>6374</v>
      </c>
      <c r="C1649" s="1">
        <v>41909</v>
      </c>
      <c r="D1649" s="1">
        <v>41913</v>
      </c>
      <c r="E1649" t="s">
        <v>49</v>
      </c>
      <c r="F1649" t="s">
        <v>4233</v>
      </c>
      <c r="G1649" t="s">
        <v>4234</v>
      </c>
      <c r="H1649" t="s">
        <v>25</v>
      </c>
      <c r="I1649" t="s">
        <v>26</v>
      </c>
      <c r="J1649" t="s">
        <v>941</v>
      </c>
      <c r="K1649" t="s">
        <v>42</v>
      </c>
      <c r="L1649">
        <v>92037</v>
      </c>
      <c r="M1649" t="s">
        <v>43</v>
      </c>
      <c r="N1649" t="s">
        <v>1154</v>
      </c>
      <c r="O1649" t="s">
        <v>31</v>
      </c>
      <c r="P1649" t="s">
        <v>35</v>
      </c>
      <c r="Q1649" t="s">
        <v>1155</v>
      </c>
      <c r="R1649">
        <v>603.91999999999996</v>
      </c>
      <c r="S1649">
        <v>5</v>
      </c>
      <c r="T1649">
        <v>0.2</v>
      </c>
      <c r="U1649">
        <v>45.293999999999997</v>
      </c>
      <c r="V1649" t="str">
        <f t="shared" si="25"/>
        <v>Thea Hendricks</v>
      </c>
      <c r="W1649">
        <f>Table2[Profit]/Table2[Sales]</f>
        <v>7.4999999999999997E-2</v>
      </c>
    </row>
    <row r="1650" spans="1:23" x14ac:dyDescent="0.25">
      <c r="A1650">
        <v>1649</v>
      </c>
      <c r="B1650" t="s">
        <v>6375</v>
      </c>
      <c r="C1650" s="1">
        <v>43093</v>
      </c>
      <c r="D1650" s="1">
        <v>43097</v>
      </c>
      <c r="E1650" t="s">
        <v>49</v>
      </c>
      <c r="F1650" t="s">
        <v>5669</v>
      </c>
      <c r="G1650" t="s">
        <v>5670</v>
      </c>
      <c r="H1650" t="s">
        <v>25</v>
      </c>
      <c r="I1650" t="s">
        <v>26</v>
      </c>
      <c r="J1650" t="s">
        <v>2311</v>
      </c>
      <c r="K1650" t="s">
        <v>264</v>
      </c>
      <c r="L1650">
        <v>11572</v>
      </c>
      <c r="M1650" t="s">
        <v>145</v>
      </c>
      <c r="N1650" t="s">
        <v>1154</v>
      </c>
      <c r="O1650" t="s">
        <v>31</v>
      </c>
      <c r="P1650" t="s">
        <v>35</v>
      </c>
      <c r="Q1650" t="s">
        <v>1155</v>
      </c>
      <c r="R1650">
        <v>271.76400000000001</v>
      </c>
      <c r="S1650">
        <v>2</v>
      </c>
      <c r="T1650">
        <v>0.1</v>
      </c>
      <c r="U1650">
        <v>48.313600000000001</v>
      </c>
      <c r="V1650" t="str">
        <f t="shared" si="25"/>
        <v>Hunter Glantz</v>
      </c>
      <c r="W1650">
        <f>Table2[Profit]/Table2[Sales]</f>
        <v>0.17777777777777778</v>
      </c>
    </row>
    <row r="1651" spans="1:23" x14ac:dyDescent="0.25">
      <c r="A1651">
        <v>1650</v>
      </c>
      <c r="B1651" t="s">
        <v>6376</v>
      </c>
      <c r="C1651" s="1">
        <v>43049</v>
      </c>
      <c r="D1651" s="1">
        <v>43054</v>
      </c>
      <c r="E1651" t="s">
        <v>22</v>
      </c>
      <c r="F1651" t="s">
        <v>4050</v>
      </c>
      <c r="G1651" t="s">
        <v>4051</v>
      </c>
      <c r="H1651" t="s">
        <v>40</v>
      </c>
      <c r="I1651" t="s">
        <v>26</v>
      </c>
      <c r="J1651" t="s">
        <v>2853</v>
      </c>
      <c r="K1651" t="s">
        <v>103</v>
      </c>
      <c r="L1651">
        <v>78664</v>
      </c>
      <c r="M1651" t="s">
        <v>104</v>
      </c>
      <c r="N1651" t="s">
        <v>5234</v>
      </c>
      <c r="O1651" t="s">
        <v>31</v>
      </c>
      <c r="P1651" t="s">
        <v>64</v>
      </c>
      <c r="Q1651" t="s">
        <v>5235</v>
      </c>
      <c r="R1651">
        <v>341.96</v>
      </c>
      <c r="S1651">
        <v>5</v>
      </c>
      <c r="T1651">
        <v>0.6</v>
      </c>
      <c r="U1651">
        <v>-427.45</v>
      </c>
      <c r="V1651" t="str">
        <f t="shared" si="25"/>
        <v>Edward Becker</v>
      </c>
      <c r="W1651">
        <f>Table2[Profit]/Table2[Sales]</f>
        <v>-1.25</v>
      </c>
    </row>
    <row r="1652" spans="1:23" x14ac:dyDescent="0.25">
      <c r="A1652">
        <v>1651</v>
      </c>
      <c r="B1652" t="s">
        <v>6377</v>
      </c>
      <c r="C1652" s="1">
        <v>42258</v>
      </c>
      <c r="D1652" s="1">
        <v>42262</v>
      </c>
      <c r="E1652" t="s">
        <v>49</v>
      </c>
      <c r="F1652" t="s">
        <v>512</v>
      </c>
      <c r="G1652" t="s">
        <v>513</v>
      </c>
      <c r="H1652" t="s">
        <v>25</v>
      </c>
      <c r="I1652" t="s">
        <v>26</v>
      </c>
      <c r="J1652" t="s">
        <v>768</v>
      </c>
      <c r="K1652" t="s">
        <v>42</v>
      </c>
      <c r="L1652">
        <v>92374</v>
      </c>
      <c r="M1652" t="s">
        <v>43</v>
      </c>
      <c r="N1652" t="s">
        <v>2414</v>
      </c>
      <c r="O1652" t="s">
        <v>45</v>
      </c>
      <c r="P1652" t="s">
        <v>67</v>
      </c>
      <c r="Q1652" t="s">
        <v>2415</v>
      </c>
      <c r="R1652">
        <v>181.35</v>
      </c>
      <c r="S1652">
        <v>9</v>
      </c>
      <c r="T1652">
        <v>0</v>
      </c>
      <c r="U1652">
        <v>48.964500000000001</v>
      </c>
      <c r="V1652" t="str">
        <f t="shared" si="25"/>
        <v>Steven Cartwright</v>
      </c>
      <c r="W1652">
        <f>Table2[Profit]/Table2[Sales]</f>
        <v>0.27</v>
      </c>
    </row>
    <row r="1653" spans="1:23" x14ac:dyDescent="0.25">
      <c r="A1653">
        <v>1652</v>
      </c>
      <c r="B1653" t="s">
        <v>6378</v>
      </c>
      <c r="C1653" s="1">
        <v>41993</v>
      </c>
      <c r="D1653" s="1">
        <v>41998</v>
      </c>
      <c r="E1653" t="s">
        <v>49</v>
      </c>
      <c r="F1653" t="s">
        <v>6379</v>
      </c>
      <c r="G1653" t="s">
        <v>6380</v>
      </c>
      <c r="H1653" t="s">
        <v>25</v>
      </c>
      <c r="I1653" t="s">
        <v>26</v>
      </c>
      <c r="J1653" t="s">
        <v>375</v>
      </c>
      <c r="K1653" t="s">
        <v>328</v>
      </c>
      <c r="L1653">
        <v>38401</v>
      </c>
      <c r="M1653" t="s">
        <v>29</v>
      </c>
      <c r="N1653" t="s">
        <v>4023</v>
      </c>
      <c r="O1653" t="s">
        <v>45</v>
      </c>
      <c r="P1653" t="s">
        <v>77</v>
      </c>
      <c r="Q1653" t="s">
        <v>4024</v>
      </c>
      <c r="R1653">
        <v>43.512</v>
      </c>
      <c r="S1653">
        <v>7</v>
      </c>
      <c r="T1653">
        <v>0.2</v>
      </c>
      <c r="U1653">
        <v>3.8073000000000001</v>
      </c>
      <c r="V1653" t="str">
        <f t="shared" si="25"/>
        <v>Tony Sayre</v>
      </c>
      <c r="W1653">
        <f>Table2[Profit]/Table2[Sales]</f>
        <v>8.7500000000000008E-2</v>
      </c>
    </row>
    <row r="1654" spans="1:23" x14ac:dyDescent="0.25">
      <c r="A1654">
        <v>1653</v>
      </c>
      <c r="B1654" t="s">
        <v>6381</v>
      </c>
      <c r="C1654" s="1">
        <v>42208</v>
      </c>
      <c r="D1654" s="1">
        <v>42212</v>
      </c>
      <c r="E1654" t="s">
        <v>49</v>
      </c>
      <c r="F1654" t="s">
        <v>2252</v>
      </c>
      <c r="G1654" t="s">
        <v>2253</v>
      </c>
      <c r="H1654" t="s">
        <v>101</v>
      </c>
      <c r="I1654" t="s">
        <v>26</v>
      </c>
      <c r="J1654" t="s">
        <v>263</v>
      </c>
      <c r="K1654" t="s">
        <v>264</v>
      </c>
      <c r="L1654">
        <v>10009</v>
      </c>
      <c r="M1654" t="s">
        <v>145</v>
      </c>
      <c r="N1654" t="s">
        <v>76</v>
      </c>
      <c r="O1654" t="s">
        <v>45</v>
      </c>
      <c r="P1654" t="s">
        <v>77</v>
      </c>
      <c r="Q1654" t="s">
        <v>78</v>
      </c>
      <c r="R1654">
        <v>68.94</v>
      </c>
      <c r="S1654">
        <v>3</v>
      </c>
      <c r="T1654">
        <v>0</v>
      </c>
      <c r="U1654">
        <v>20.681999999999999</v>
      </c>
      <c r="V1654" t="str">
        <f t="shared" si="25"/>
        <v>Tracy Hopkins</v>
      </c>
      <c r="W1654">
        <f>Table2[Profit]/Table2[Sales]</f>
        <v>0.3</v>
      </c>
    </row>
    <row r="1655" spans="1:23" x14ac:dyDescent="0.25">
      <c r="A1655">
        <v>1654</v>
      </c>
      <c r="B1655" t="s">
        <v>6382</v>
      </c>
      <c r="C1655" s="1">
        <v>41954</v>
      </c>
      <c r="D1655" s="1">
        <v>41958</v>
      </c>
      <c r="E1655" t="s">
        <v>49</v>
      </c>
      <c r="F1655" t="s">
        <v>309</v>
      </c>
      <c r="G1655" t="s">
        <v>310</v>
      </c>
      <c r="H1655" t="s">
        <v>25</v>
      </c>
      <c r="I1655" t="s">
        <v>26</v>
      </c>
      <c r="J1655" t="s">
        <v>181</v>
      </c>
      <c r="K1655" t="s">
        <v>103</v>
      </c>
      <c r="L1655">
        <v>77095</v>
      </c>
      <c r="M1655" t="s">
        <v>104</v>
      </c>
      <c r="N1655" t="s">
        <v>4620</v>
      </c>
      <c r="O1655" t="s">
        <v>45</v>
      </c>
      <c r="P1655" t="s">
        <v>74</v>
      </c>
      <c r="Q1655" t="s">
        <v>4621</v>
      </c>
      <c r="R1655">
        <v>896.99</v>
      </c>
      <c r="S1655">
        <v>5</v>
      </c>
      <c r="T1655">
        <v>0.8</v>
      </c>
      <c r="U1655">
        <v>-1480.0335</v>
      </c>
      <c r="V1655" t="str">
        <f t="shared" si="25"/>
        <v>Karen Daniels</v>
      </c>
      <c r="W1655">
        <f>Table2[Profit]/Table2[Sales]</f>
        <v>-1.65</v>
      </c>
    </row>
    <row r="1656" spans="1:23" x14ac:dyDescent="0.25">
      <c r="A1656">
        <v>1655</v>
      </c>
      <c r="B1656" t="s">
        <v>6385</v>
      </c>
      <c r="C1656" s="1">
        <v>43083</v>
      </c>
      <c r="D1656" s="1">
        <v>43089</v>
      </c>
      <c r="E1656" t="s">
        <v>49</v>
      </c>
      <c r="F1656" t="s">
        <v>388</v>
      </c>
      <c r="G1656" t="s">
        <v>389</v>
      </c>
      <c r="H1656" t="s">
        <v>101</v>
      </c>
      <c r="I1656" t="s">
        <v>26</v>
      </c>
      <c r="J1656" t="s">
        <v>296</v>
      </c>
      <c r="K1656" t="s">
        <v>208</v>
      </c>
      <c r="L1656">
        <v>60653</v>
      </c>
      <c r="M1656" t="s">
        <v>104</v>
      </c>
      <c r="N1656" t="s">
        <v>6386</v>
      </c>
      <c r="O1656" t="s">
        <v>70</v>
      </c>
      <c r="P1656" t="s">
        <v>158</v>
      </c>
      <c r="Q1656" t="s">
        <v>6387</v>
      </c>
      <c r="R1656">
        <v>227.976</v>
      </c>
      <c r="S1656">
        <v>3</v>
      </c>
      <c r="T1656">
        <v>0.2</v>
      </c>
      <c r="U1656">
        <v>28.497</v>
      </c>
      <c r="V1656" t="str">
        <f t="shared" si="25"/>
        <v>Gary Mitchum</v>
      </c>
      <c r="W1656">
        <f>Table2[Profit]/Table2[Sales]</f>
        <v>0.125</v>
      </c>
    </row>
    <row r="1657" spans="1:23" x14ac:dyDescent="0.25">
      <c r="A1657">
        <v>1656</v>
      </c>
      <c r="B1657" t="s">
        <v>6390</v>
      </c>
      <c r="C1657" s="1">
        <v>42968</v>
      </c>
      <c r="D1657" s="1">
        <v>42969</v>
      </c>
      <c r="E1657" t="s">
        <v>185</v>
      </c>
      <c r="F1657" t="s">
        <v>6391</v>
      </c>
      <c r="G1657" t="s">
        <v>6392</v>
      </c>
      <c r="H1657" t="s">
        <v>25</v>
      </c>
      <c r="I1657" t="s">
        <v>26</v>
      </c>
      <c r="J1657" t="s">
        <v>3145</v>
      </c>
      <c r="K1657" t="s">
        <v>42</v>
      </c>
      <c r="L1657">
        <v>94601</v>
      </c>
      <c r="M1657" t="s">
        <v>43</v>
      </c>
      <c r="N1657" t="s">
        <v>3030</v>
      </c>
      <c r="O1657" t="s">
        <v>45</v>
      </c>
      <c r="P1657" t="s">
        <v>67</v>
      </c>
      <c r="Q1657" t="s">
        <v>3031</v>
      </c>
      <c r="R1657">
        <v>17.12</v>
      </c>
      <c r="S1657">
        <v>4</v>
      </c>
      <c r="T1657">
        <v>0</v>
      </c>
      <c r="U1657">
        <v>4.9648000000000003</v>
      </c>
      <c r="V1657" t="str">
        <f t="shared" si="25"/>
        <v>Patrick Ryan</v>
      </c>
      <c r="W1657">
        <f>Table2[Profit]/Table2[Sales]</f>
        <v>0.28999999999999998</v>
      </c>
    </row>
    <row r="1658" spans="1:23" x14ac:dyDescent="0.25">
      <c r="A1658">
        <v>1657</v>
      </c>
      <c r="B1658" t="s">
        <v>6399</v>
      </c>
      <c r="C1658" s="1">
        <v>42609</v>
      </c>
      <c r="D1658" s="1">
        <v>42614</v>
      </c>
      <c r="E1658" t="s">
        <v>22</v>
      </c>
      <c r="F1658" t="s">
        <v>269</v>
      </c>
      <c r="G1658" t="s">
        <v>270</v>
      </c>
      <c r="H1658" t="s">
        <v>25</v>
      </c>
      <c r="I1658" t="s">
        <v>26</v>
      </c>
      <c r="J1658" t="s">
        <v>1309</v>
      </c>
      <c r="K1658" t="s">
        <v>1233</v>
      </c>
      <c r="L1658">
        <v>2169</v>
      </c>
      <c r="M1658" t="s">
        <v>145</v>
      </c>
      <c r="N1658" t="s">
        <v>4408</v>
      </c>
      <c r="O1658" t="s">
        <v>45</v>
      </c>
      <c r="P1658" t="s">
        <v>89</v>
      </c>
      <c r="Q1658" t="s">
        <v>4409</v>
      </c>
      <c r="R1658">
        <v>122.97</v>
      </c>
      <c r="S1658">
        <v>3</v>
      </c>
      <c r="T1658">
        <v>0</v>
      </c>
      <c r="U1658">
        <v>60.255299999999998</v>
      </c>
      <c r="V1658" t="str">
        <f t="shared" si="25"/>
        <v>Ted Butterfield</v>
      </c>
      <c r="W1658">
        <f>Table2[Profit]/Table2[Sales]</f>
        <v>0.49</v>
      </c>
    </row>
    <row r="1659" spans="1:23" x14ac:dyDescent="0.25">
      <c r="A1659">
        <v>1658</v>
      </c>
      <c r="B1659" t="s">
        <v>6400</v>
      </c>
      <c r="C1659" s="1">
        <v>42229</v>
      </c>
      <c r="D1659" s="1">
        <v>42236</v>
      </c>
      <c r="E1659" t="s">
        <v>49</v>
      </c>
      <c r="F1659" t="s">
        <v>223</v>
      </c>
      <c r="G1659" t="s">
        <v>224</v>
      </c>
      <c r="H1659" t="s">
        <v>40</v>
      </c>
      <c r="I1659" t="s">
        <v>26</v>
      </c>
      <c r="J1659" t="s">
        <v>6401</v>
      </c>
      <c r="K1659" t="s">
        <v>42</v>
      </c>
      <c r="L1659">
        <v>92399</v>
      </c>
      <c r="M1659" t="s">
        <v>43</v>
      </c>
      <c r="N1659" t="s">
        <v>1547</v>
      </c>
      <c r="O1659" t="s">
        <v>45</v>
      </c>
      <c r="P1659" t="s">
        <v>67</v>
      </c>
      <c r="Q1659" t="s">
        <v>1548</v>
      </c>
      <c r="R1659">
        <v>50.8</v>
      </c>
      <c r="S1659">
        <v>5</v>
      </c>
      <c r="T1659">
        <v>0</v>
      </c>
      <c r="U1659">
        <v>13.208</v>
      </c>
      <c r="V1659" t="str">
        <f t="shared" si="25"/>
        <v>Odella Nelson</v>
      </c>
      <c r="W1659">
        <f>Table2[Profit]/Table2[Sales]</f>
        <v>0.26</v>
      </c>
    </row>
    <row r="1660" spans="1:23" x14ac:dyDescent="0.25">
      <c r="A1660">
        <v>1659</v>
      </c>
      <c r="B1660" t="s">
        <v>6402</v>
      </c>
      <c r="C1660" s="1">
        <v>43044</v>
      </c>
      <c r="D1660" s="1">
        <v>43046</v>
      </c>
      <c r="E1660" t="s">
        <v>185</v>
      </c>
      <c r="F1660" t="s">
        <v>1052</v>
      </c>
      <c r="G1660" t="s">
        <v>1053</v>
      </c>
      <c r="H1660" t="s">
        <v>40</v>
      </c>
      <c r="I1660" t="s">
        <v>26</v>
      </c>
      <c r="J1660" t="s">
        <v>296</v>
      </c>
      <c r="K1660" t="s">
        <v>208</v>
      </c>
      <c r="L1660">
        <v>60623</v>
      </c>
      <c r="M1660" t="s">
        <v>104</v>
      </c>
      <c r="N1660" t="s">
        <v>165</v>
      </c>
      <c r="O1660" t="s">
        <v>45</v>
      </c>
      <c r="P1660" t="s">
        <v>74</v>
      </c>
      <c r="Q1660" t="s">
        <v>166</v>
      </c>
      <c r="R1660">
        <v>16.03</v>
      </c>
      <c r="S1660">
        <v>5</v>
      </c>
      <c r="T1660">
        <v>0.8</v>
      </c>
      <c r="U1660">
        <v>-25.648</v>
      </c>
      <c r="V1660" t="str">
        <f t="shared" si="25"/>
        <v>Alan Haines</v>
      </c>
      <c r="W1660">
        <f>Table2[Profit]/Table2[Sales]</f>
        <v>-1.5999999999999999</v>
      </c>
    </row>
    <row r="1661" spans="1:23" x14ac:dyDescent="0.25">
      <c r="A1661">
        <v>1660</v>
      </c>
      <c r="B1661" t="s">
        <v>6403</v>
      </c>
      <c r="C1661" s="1">
        <v>42599</v>
      </c>
      <c r="D1661" s="1">
        <v>42603</v>
      </c>
      <c r="E1661" t="s">
        <v>49</v>
      </c>
      <c r="F1661" t="s">
        <v>3183</v>
      </c>
      <c r="G1661" t="s">
        <v>3184</v>
      </c>
      <c r="H1661" t="s">
        <v>25</v>
      </c>
      <c r="I1661" t="s">
        <v>26</v>
      </c>
      <c r="J1661" t="s">
        <v>94</v>
      </c>
      <c r="K1661" t="s">
        <v>95</v>
      </c>
      <c r="L1661">
        <v>98105</v>
      </c>
      <c r="M1661" t="s">
        <v>43</v>
      </c>
      <c r="N1661" t="s">
        <v>2673</v>
      </c>
      <c r="O1661" t="s">
        <v>45</v>
      </c>
      <c r="P1661" t="s">
        <v>74</v>
      </c>
      <c r="Q1661" t="s">
        <v>2674</v>
      </c>
      <c r="R1661">
        <v>15.712</v>
      </c>
      <c r="S1661">
        <v>4</v>
      </c>
      <c r="T1661">
        <v>0.2</v>
      </c>
      <c r="U1661">
        <v>5.6955999999999998</v>
      </c>
      <c r="V1661" t="str">
        <f t="shared" si="25"/>
        <v>Neoma Murray</v>
      </c>
      <c r="W1661">
        <f>Table2[Profit]/Table2[Sales]</f>
        <v>0.36249999999999999</v>
      </c>
    </row>
    <row r="1662" spans="1:23" x14ac:dyDescent="0.25">
      <c r="A1662">
        <v>1661</v>
      </c>
      <c r="B1662" t="s">
        <v>6404</v>
      </c>
      <c r="C1662" s="1">
        <v>42730</v>
      </c>
      <c r="D1662" s="1">
        <v>42735</v>
      </c>
      <c r="E1662" t="s">
        <v>49</v>
      </c>
      <c r="F1662" t="s">
        <v>1986</v>
      </c>
      <c r="G1662" t="s">
        <v>1987</v>
      </c>
      <c r="H1662" t="s">
        <v>25</v>
      </c>
      <c r="I1662" t="s">
        <v>26</v>
      </c>
      <c r="J1662" t="s">
        <v>263</v>
      </c>
      <c r="K1662" t="s">
        <v>264</v>
      </c>
      <c r="L1662">
        <v>10024</v>
      </c>
      <c r="M1662" t="s">
        <v>145</v>
      </c>
      <c r="N1662" t="s">
        <v>4081</v>
      </c>
      <c r="O1662" t="s">
        <v>70</v>
      </c>
      <c r="P1662" t="s">
        <v>158</v>
      </c>
      <c r="Q1662" t="s">
        <v>4082</v>
      </c>
      <c r="R1662">
        <v>89.97</v>
      </c>
      <c r="S1662">
        <v>3</v>
      </c>
      <c r="T1662">
        <v>0</v>
      </c>
      <c r="U1662">
        <v>18.893699999999999</v>
      </c>
      <c r="V1662" t="str">
        <f t="shared" si="25"/>
        <v>Andrew Roberts</v>
      </c>
      <c r="W1662">
        <f>Table2[Profit]/Table2[Sales]</f>
        <v>0.21</v>
      </c>
    </row>
    <row r="1663" spans="1:23" x14ac:dyDescent="0.25">
      <c r="A1663">
        <v>1662</v>
      </c>
      <c r="B1663" t="s">
        <v>6405</v>
      </c>
      <c r="C1663" s="1">
        <v>41905</v>
      </c>
      <c r="D1663" s="1">
        <v>41910</v>
      </c>
      <c r="E1663" t="s">
        <v>49</v>
      </c>
      <c r="F1663" t="s">
        <v>2570</v>
      </c>
      <c r="G1663" t="s">
        <v>2571</v>
      </c>
      <c r="H1663" t="s">
        <v>40</v>
      </c>
      <c r="I1663" t="s">
        <v>26</v>
      </c>
      <c r="J1663" t="s">
        <v>941</v>
      </c>
      <c r="K1663" t="s">
        <v>42</v>
      </c>
      <c r="L1663">
        <v>92037</v>
      </c>
      <c r="M1663" t="s">
        <v>43</v>
      </c>
      <c r="N1663" t="s">
        <v>6406</v>
      </c>
      <c r="O1663" t="s">
        <v>31</v>
      </c>
      <c r="P1663" t="s">
        <v>32</v>
      </c>
      <c r="Q1663" t="s">
        <v>6407</v>
      </c>
      <c r="R1663">
        <v>435.99900000000002</v>
      </c>
      <c r="S1663">
        <v>3</v>
      </c>
      <c r="T1663">
        <v>0.15</v>
      </c>
      <c r="U1663">
        <v>20.517600000000002</v>
      </c>
      <c r="V1663" t="str">
        <f t="shared" si="25"/>
        <v>Brian Moss</v>
      </c>
      <c r="W1663">
        <f>Table2[Profit]/Table2[Sales]</f>
        <v>4.7058823529411764E-2</v>
      </c>
    </row>
    <row r="1664" spans="1:23" x14ac:dyDescent="0.25">
      <c r="A1664">
        <v>1663</v>
      </c>
      <c r="B1664" t="s">
        <v>6408</v>
      </c>
      <c r="C1664" s="1">
        <v>41839</v>
      </c>
      <c r="D1664" s="1">
        <v>41844</v>
      </c>
      <c r="E1664" t="s">
        <v>49</v>
      </c>
      <c r="F1664" t="s">
        <v>997</v>
      </c>
      <c r="G1664" t="s">
        <v>998</v>
      </c>
      <c r="H1664" t="s">
        <v>40</v>
      </c>
      <c r="I1664" t="s">
        <v>26</v>
      </c>
      <c r="J1664" t="s">
        <v>508</v>
      </c>
      <c r="K1664" t="s">
        <v>740</v>
      </c>
      <c r="L1664">
        <v>6010</v>
      </c>
      <c r="M1664" t="s">
        <v>145</v>
      </c>
      <c r="N1664" t="s">
        <v>4505</v>
      </c>
      <c r="O1664" t="s">
        <v>70</v>
      </c>
      <c r="P1664" t="s">
        <v>71</v>
      </c>
      <c r="Q1664" t="s">
        <v>4506</v>
      </c>
      <c r="R1664">
        <v>359.98</v>
      </c>
      <c r="S1664">
        <v>2</v>
      </c>
      <c r="T1664">
        <v>0</v>
      </c>
      <c r="U1664">
        <v>93.594800000000006</v>
      </c>
      <c r="V1664" t="str">
        <f t="shared" si="25"/>
        <v>Christine Abelman</v>
      </c>
      <c r="W1664">
        <f>Table2[Profit]/Table2[Sales]</f>
        <v>0.26</v>
      </c>
    </row>
    <row r="1665" spans="1:23" x14ac:dyDescent="0.25">
      <c r="A1665">
        <v>1664</v>
      </c>
      <c r="B1665" t="s">
        <v>6411</v>
      </c>
      <c r="C1665" s="1">
        <v>42985</v>
      </c>
      <c r="D1665" s="1">
        <v>42991</v>
      </c>
      <c r="E1665" t="s">
        <v>49</v>
      </c>
      <c r="F1665" t="s">
        <v>3064</v>
      </c>
      <c r="G1665" t="s">
        <v>3065</v>
      </c>
      <c r="H1665" t="s">
        <v>101</v>
      </c>
      <c r="I1665" t="s">
        <v>26</v>
      </c>
      <c r="J1665" t="s">
        <v>296</v>
      </c>
      <c r="K1665" t="s">
        <v>208</v>
      </c>
      <c r="L1665">
        <v>60610</v>
      </c>
      <c r="M1665" t="s">
        <v>104</v>
      </c>
      <c r="N1665" t="s">
        <v>3374</v>
      </c>
      <c r="O1665" t="s">
        <v>45</v>
      </c>
      <c r="P1665" t="s">
        <v>89</v>
      </c>
      <c r="Q1665" t="s">
        <v>183</v>
      </c>
      <c r="R1665">
        <v>73.007999999999996</v>
      </c>
      <c r="S1665">
        <v>9</v>
      </c>
      <c r="T1665">
        <v>0.2</v>
      </c>
      <c r="U1665">
        <v>26.465399999999999</v>
      </c>
      <c r="V1665" t="str">
        <f t="shared" si="25"/>
        <v>Nicole Fjeld</v>
      </c>
      <c r="W1665">
        <f>Table2[Profit]/Table2[Sales]</f>
        <v>0.36249999999999999</v>
      </c>
    </row>
    <row r="1666" spans="1:23" x14ac:dyDescent="0.25">
      <c r="A1666">
        <v>1665</v>
      </c>
      <c r="B1666" t="s">
        <v>6412</v>
      </c>
      <c r="C1666" s="1">
        <v>42496</v>
      </c>
      <c r="D1666" s="1">
        <v>42500</v>
      </c>
      <c r="E1666" t="s">
        <v>49</v>
      </c>
      <c r="F1666" t="s">
        <v>4974</v>
      </c>
      <c r="G1666" t="s">
        <v>4975</v>
      </c>
      <c r="H1666" t="s">
        <v>25</v>
      </c>
      <c r="I1666" t="s">
        <v>26</v>
      </c>
      <c r="J1666" t="s">
        <v>296</v>
      </c>
      <c r="K1666" t="s">
        <v>208</v>
      </c>
      <c r="L1666">
        <v>60610</v>
      </c>
      <c r="M1666" t="s">
        <v>104</v>
      </c>
      <c r="N1666" t="s">
        <v>1508</v>
      </c>
      <c r="O1666" t="s">
        <v>45</v>
      </c>
      <c r="P1666" t="s">
        <v>74</v>
      </c>
      <c r="Q1666" t="s">
        <v>1509</v>
      </c>
      <c r="R1666">
        <v>3.2080000000000002</v>
      </c>
      <c r="S1666">
        <v>2</v>
      </c>
      <c r="T1666">
        <v>0.8</v>
      </c>
      <c r="U1666">
        <v>-5.2931999999999997</v>
      </c>
      <c r="V1666" t="str">
        <f t="shared" si="25"/>
        <v>Art Ferguson</v>
      </c>
      <c r="W1666">
        <f>Table2[Profit]/Table2[Sales]</f>
        <v>-1.65</v>
      </c>
    </row>
    <row r="1667" spans="1:23" x14ac:dyDescent="0.25">
      <c r="A1667">
        <v>1666</v>
      </c>
      <c r="B1667" t="s">
        <v>6413</v>
      </c>
      <c r="C1667" s="1">
        <v>42159</v>
      </c>
      <c r="D1667" s="1">
        <v>42163</v>
      </c>
      <c r="E1667" t="s">
        <v>22</v>
      </c>
      <c r="F1667" t="s">
        <v>3535</v>
      </c>
      <c r="G1667" t="s">
        <v>3536</v>
      </c>
      <c r="H1667" t="s">
        <v>101</v>
      </c>
      <c r="I1667" t="s">
        <v>26</v>
      </c>
      <c r="J1667" t="s">
        <v>263</v>
      </c>
      <c r="K1667" t="s">
        <v>264</v>
      </c>
      <c r="L1667">
        <v>10024</v>
      </c>
      <c r="M1667" t="s">
        <v>145</v>
      </c>
      <c r="N1667" t="s">
        <v>942</v>
      </c>
      <c r="O1667" t="s">
        <v>45</v>
      </c>
      <c r="P1667" t="s">
        <v>89</v>
      </c>
      <c r="Q1667" t="s">
        <v>943</v>
      </c>
      <c r="R1667">
        <v>30.44</v>
      </c>
      <c r="S1667">
        <v>4</v>
      </c>
      <c r="T1667">
        <v>0</v>
      </c>
      <c r="U1667">
        <v>14.306800000000001</v>
      </c>
      <c r="V1667" t="str">
        <f t="shared" ref="V1667:V1730" si="26">TRIM(G1667)</f>
        <v>Tracy Collins</v>
      </c>
      <c r="W1667">
        <f>Table2[Profit]/Table2[Sales]</f>
        <v>0.47000000000000003</v>
      </c>
    </row>
    <row r="1668" spans="1:23" x14ac:dyDescent="0.25">
      <c r="A1668">
        <v>1667</v>
      </c>
      <c r="B1668" t="s">
        <v>6416</v>
      </c>
      <c r="C1668" s="1">
        <v>42351</v>
      </c>
      <c r="D1668" s="1">
        <v>42358</v>
      </c>
      <c r="E1668" t="s">
        <v>49</v>
      </c>
      <c r="F1668" t="s">
        <v>5800</v>
      </c>
      <c r="G1668" t="s">
        <v>5801</v>
      </c>
      <c r="H1668" t="s">
        <v>101</v>
      </c>
      <c r="I1668" t="s">
        <v>26</v>
      </c>
      <c r="J1668" t="s">
        <v>6417</v>
      </c>
      <c r="K1668" t="s">
        <v>1233</v>
      </c>
      <c r="L1668">
        <v>2151</v>
      </c>
      <c r="M1668" t="s">
        <v>145</v>
      </c>
      <c r="N1668" t="s">
        <v>1903</v>
      </c>
      <c r="O1668" t="s">
        <v>45</v>
      </c>
      <c r="P1668" t="s">
        <v>89</v>
      </c>
      <c r="Q1668" t="s">
        <v>1904</v>
      </c>
      <c r="R1668">
        <v>19.440000000000001</v>
      </c>
      <c r="S1668">
        <v>3</v>
      </c>
      <c r="T1668">
        <v>0</v>
      </c>
      <c r="U1668">
        <v>9.3312000000000008</v>
      </c>
      <c r="V1668" t="str">
        <f t="shared" si="26"/>
        <v>Dean percer</v>
      </c>
      <c r="W1668">
        <f>Table2[Profit]/Table2[Sales]</f>
        <v>0.48000000000000004</v>
      </c>
    </row>
    <row r="1669" spans="1:23" x14ac:dyDescent="0.25">
      <c r="A1669">
        <v>1668</v>
      </c>
      <c r="B1669" t="s">
        <v>6418</v>
      </c>
      <c r="C1669" s="1">
        <v>42567</v>
      </c>
      <c r="D1669" s="1">
        <v>42569</v>
      </c>
      <c r="E1669" t="s">
        <v>22</v>
      </c>
      <c r="F1669" t="s">
        <v>3827</v>
      </c>
      <c r="G1669" t="s">
        <v>3828</v>
      </c>
      <c r="H1669" t="s">
        <v>40</v>
      </c>
      <c r="I1669" t="s">
        <v>26</v>
      </c>
      <c r="J1669" t="s">
        <v>181</v>
      </c>
      <c r="K1669" t="s">
        <v>103</v>
      </c>
      <c r="L1669">
        <v>77036</v>
      </c>
      <c r="M1669" t="s">
        <v>104</v>
      </c>
      <c r="N1669" t="s">
        <v>2849</v>
      </c>
      <c r="O1669" t="s">
        <v>31</v>
      </c>
      <c r="P1669" t="s">
        <v>64</v>
      </c>
      <c r="Q1669" t="s">
        <v>916</v>
      </c>
      <c r="R1669">
        <v>9.5519999999999996</v>
      </c>
      <c r="S1669">
        <v>3</v>
      </c>
      <c r="T1669">
        <v>0.6</v>
      </c>
      <c r="U1669">
        <v>-3.8208000000000002</v>
      </c>
      <c r="V1669" t="str">
        <f t="shared" si="26"/>
        <v>Mark Cousins</v>
      </c>
      <c r="W1669">
        <f>Table2[Profit]/Table2[Sales]</f>
        <v>-0.4</v>
      </c>
    </row>
    <row r="1670" spans="1:23" x14ac:dyDescent="0.25">
      <c r="A1670">
        <v>1669</v>
      </c>
      <c r="B1670" t="s">
        <v>6419</v>
      </c>
      <c r="C1670" s="1">
        <v>41670</v>
      </c>
      <c r="D1670" s="1">
        <v>41672</v>
      </c>
      <c r="E1670" t="s">
        <v>185</v>
      </c>
      <c r="F1670" t="s">
        <v>6420</v>
      </c>
      <c r="G1670" t="s">
        <v>6421</v>
      </c>
      <c r="H1670" t="s">
        <v>25</v>
      </c>
      <c r="I1670" t="s">
        <v>26</v>
      </c>
      <c r="J1670" t="s">
        <v>2086</v>
      </c>
      <c r="K1670" t="s">
        <v>42</v>
      </c>
      <c r="L1670">
        <v>92691</v>
      </c>
      <c r="M1670" t="s">
        <v>43</v>
      </c>
      <c r="N1670" t="s">
        <v>4329</v>
      </c>
      <c r="O1670" t="s">
        <v>31</v>
      </c>
      <c r="P1670" t="s">
        <v>32</v>
      </c>
      <c r="Q1670" t="s">
        <v>4330</v>
      </c>
      <c r="R1670">
        <v>290.666</v>
      </c>
      <c r="S1670">
        <v>2</v>
      </c>
      <c r="T1670">
        <v>0.15</v>
      </c>
      <c r="U1670">
        <v>3.4196</v>
      </c>
      <c r="V1670" t="str">
        <f t="shared" si="26"/>
        <v>Liz Carlisle</v>
      </c>
      <c r="W1670">
        <f>Table2[Profit]/Table2[Sales]</f>
        <v>1.1764705882352941E-2</v>
      </c>
    </row>
    <row r="1671" spans="1:23" x14ac:dyDescent="0.25">
      <c r="A1671">
        <v>1670</v>
      </c>
      <c r="B1671" t="s">
        <v>6422</v>
      </c>
      <c r="C1671" s="1">
        <v>41829</v>
      </c>
      <c r="D1671" s="1">
        <v>41835</v>
      </c>
      <c r="E1671" t="s">
        <v>49</v>
      </c>
      <c r="F1671" t="s">
        <v>2570</v>
      </c>
      <c r="G1671" t="s">
        <v>2571</v>
      </c>
      <c r="H1671" t="s">
        <v>40</v>
      </c>
      <c r="I1671" t="s">
        <v>26</v>
      </c>
      <c r="J1671" t="s">
        <v>808</v>
      </c>
      <c r="K1671" t="s">
        <v>103</v>
      </c>
      <c r="L1671">
        <v>75217</v>
      </c>
      <c r="M1671" t="s">
        <v>104</v>
      </c>
      <c r="N1671" t="s">
        <v>3561</v>
      </c>
      <c r="O1671" t="s">
        <v>45</v>
      </c>
      <c r="P1671" t="s">
        <v>89</v>
      </c>
      <c r="Q1671" t="s">
        <v>3562</v>
      </c>
      <c r="R1671">
        <v>10.368</v>
      </c>
      <c r="S1671">
        <v>2</v>
      </c>
      <c r="T1671">
        <v>0.2</v>
      </c>
      <c r="U1671">
        <v>3.6288</v>
      </c>
      <c r="V1671" t="str">
        <f t="shared" si="26"/>
        <v>Brian Moss</v>
      </c>
      <c r="W1671">
        <f>Table2[Profit]/Table2[Sales]</f>
        <v>0.35</v>
      </c>
    </row>
    <row r="1672" spans="1:23" x14ac:dyDescent="0.25">
      <c r="A1672">
        <v>1671</v>
      </c>
      <c r="B1672" t="s">
        <v>6423</v>
      </c>
      <c r="C1672" s="1">
        <v>42329</v>
      </c>
      <c r="D1672" s="1">
        <v>42333</v>
      </c>
      <c r="E1672" t="s">
        <v>49</v>
      </c>
      <c r="F1672" t="s">
        <v>4190</v>
      </c>
      <c r="G1672" t="s">
        <v>4191</v>
      </c>
      <c r="H1672" t="s">
        <v>25</v>
      </c>
      <c r="I1672" t="s">
        <v>26</v>
      </c>
      <c r="J1672" t="s">
        <v>1380</v>
      </c>
      <c r="K1672" t="s">
        <v>1381</v>
      </c>
      <c r="L1672">
        <v>89115</v>
      </c>
      <c r="M1672" t="s">
        <v>43</v>
      </c>
      <c r="N1672" t="s">
        <v>6424</v>
      </c>
      <c r="O1672" t="s">
        <v>31</v>
      </c>
      <c r="P1672" t="s">
        <v>32</v>
      </c>
      <c r="Q1672" t="s">
        <v>6425</v>
      </c>
      <c r="R1672">
        <v>141.96</v>
      </c>
      <c r="S1672">
        <v>2</v>
      </c>
      <c r="T1672">
        <v>0</v>
      </c>
      <c r="U1672">
        <v>41.168399999999998</v>
      </c>
      <c r="V1672" t="str">
        <f t="shared" si="26"/>
        <v>Natalie Webber</v>
      </c>
      <c r="W1672">
        <f>Table2[Profit]/Table2[Sales]</f>
        <v>0.28999999999999998</v>
      </c>
    </row>
    <row r="1673" spans="1:23" x14ac:dyDescent="0.25">
      <c r="A1673">
        <v>1672</v>
      </c>
      <c r="B1673" t="s">
        <v>6426</v>
      </c>
      <c r="C1673" s="1">
        <v>42454</v>
      </c>
      <c r="D1673" s="1">
        <v>42454</v>
      </c>
      <c r="E1673" t="s">
        <v>1278</v>
      </c>
      <c r="F1673" t="s">
        <v>4196</v>
      </c>
      <c r="G1673" t="s">
        <v>4197</v>
      </c>
      <c r="H1673" t="s">
        <v>25</v>
      </c>
      <c r="I1673" t="s">
        <v>26</v>
      </c>
      <c r="J1673" t="s">
        <v>1557</v>
      </c>
      <c r="K1673" t="s">
        <v>641</v>
      </c>
      <c r="L1673">
        <v>73071</v>
      </c>
      <c r="M1673" t="s">
        <v>104</v>
      </c>
      <c r="N1673" t="s">
        <v>900</v>
      </c>
      <c r="O1673" t="s">
        <v>70</v>
      </c>
      <c r="P1673" t="s">
        <v>158</v>
      </c>
      <c r="Q1673" t="s">
        <v>901</v>
      </c>
      <c r="R1673">
        <v>1287.45</v>
      </c>
      <c r="S1673">
        <v>5</v>
      </c>
      <c r="T1673">
        <v>0</v>
      </c>
      <c r="U1673">
        <v>244.6155</v>
      </c>
      <c r="V1673" t="str">
        <f t="shared" si="26"/>
        <v>Toby Braunhardt</v>
      </c>
      <c r="W1673">
        <f>Table2[Profit]/Table2[Sales]</f>
        <v>0.19</v>
      </c>
    </row>
    <row r="1674" spans="1:23" x14ac:dyDescent="0.25">
      <c r="A1674">
        <v>1673</v>
      </c>
      <c r="B1674" t="s">
        <v>6427</v>
      </c>
      <c r="C1674" s="1">
        <v>43001</v>
      </c>
      <c r="D1674" s="1">
        <v>43008</v>
      </c>
      <c r="E1674" t="s">
        <v>49</v>
      </c>
      <c r="F1674" t="s">
        <v>798</v>
      </c>
      <c r="G1674" t="s">
        <v>799</v>
      </c>
      <c r="H1674" t="s">
        <v>25</v>
      </c>
      <c r="I1674" t="s">
        <v>26</v>
      </c>
      <c r="J1674" t="s">
        <v>126</v>
      </c>
      <c r="K1674" t="s">
        <v>42</v>
      </c>
      <c r="L1674">
        <v>94122</v>
      </c>
      <c r="M1674" t="s">
        <v>43</v>
      </c>
      <c r="N1674" t="s">
        <v>3733</v>
      </c>
      <c r="O1674" t="s">
        <v>45</v>
      </c>
      <c r="P1674" t="s">
        <v>74</v>
      </c>
      <c r="Q1674" t="s">
        <v>3734</v>
      </c>
      <c r="R1674">
        <v>25.824000000000002</v>
      </c>
      <c r="S1674">
        <v>6</v>
      </c>
      <c r="T1674">
        <v>0.2</v>
      </c>
      <c r="U1674">
        <v>9.0383999999999993</v>
      </c>
      <c r="V1674" t="str">
        <f t="shared" si="26"/>
        <v>Bruce Stewart</v>
      </c>
      <c r="W1674">
        <f>Table2[Profit]/Table2[Sales]</f>
        <v>0.35</v>
      </c>
    </row>
    <row r="1675" spans="1:23" x14ac:dyDescent="0.25">
      <c r="A1675">
        <v>1674</v>
      </c>
      <c r="B1675" t="s">
        <v>6428</v>
      </c>
      <c r="C1675" s="1">
        <v>42342</v>
      </c>
      <c r="D1675" s="1">
        <v>42348</v>
      </c>
      <c r="E1675" t="s">
        <v>49</v>
      </c>
      <c r="F1675" t="s">
        <v>50</v>
      </c>
      <c r="G1675" t="s">
        <v>51</v>
      </c>
      <c r="H1675" t="s">
        <v>25</v>
      </c>
      <c r="I1675" t="s">
        <v>26</v>
      </c>
      <c r="J1675" t="s">
        <v>5971</v>
      </c>
      <c r="K1675" t="s">
        <v>264</v>
      </c>
      <c r="L1675">
        <v>11550</v>
      </c>
      <c r="M1675" t="s">
        <v>145</v>
      </c>
      <c r="N1675" t="s">
        <v>6023</v>
      </c>
      <c r="O1675" t="s">
        <v>31</v>
      </c>
      <c r="P1675" t="s">
        <v>64</v>
      </c>
      <c r="Q1675" t="s">
        <v>6024</v>
      </c>
      <c r="R1675">
        <v>28.44</v>
      </c>
      <c r="S1675">
        <v>3</v>
      </c>
      <c r="T1675">
        <v>0</v>
      </c>
      <c r="U1675">
        <v>11.375999999999999</v>
      </c>
      <c r="V1675" t="str">
        <f t="shared" si="26"/>
        <v>Sean O'Donnell</v>
      </c>
      <c r="W1675">
        <f>Table2[Profit]/Table2[Sales]</f>
        <v>0.39999999999999997</v>
      </c>
    </row>
    <row r="1676" spans="1:23" x14ac:dyDescent="0.25">
      <c r="A1676">
        <v>1675</v>
      </c>
      <c r="B1676" t="s">
        <v>6429</v>
      </c>
      <c r="C1676" s="1">
        <v>42675</v>
      </c>
      <c r="D1676" s="1">
        <v>42678</v>
      </c>
      <c r="E1676" t="s">
        <v>185</v>
      </c>
      <c r="F1676" t="s">
        <v>6430</v>
      </c>
      <c r="G1676" t="s">
        <v>6431</v>
      </c>
      <c r="H1676" t="s">
        <v>40</v>
      </c>
      <c r="I1676" t="s">
        <v>26</v>
      </c>
      <c r="J1676" t="s">
        <v>6432</v>
      </c>
      <c r="K1676" t="s">
        <v>103</v>
      </c>
      <c r="L1676">
        <v>77301</v>
      </c>
      <c r="M1676" t="s">
        <v>104</v>
      </c>
      <c r="N1676" t="s">
        <v>3930</v>
      </c>
      <c r="O1676" t="s">
        <v>45</v>
      </c>
      <c r="P1676" t="s">
        <v>58</v>
      </c>
      <c r="Q1676" t="s">
        <v>6433</v>
      </c>
      <c r="R1676">
        <v>111.672</v>
      </c>
      <c r="S1676">
        <v>9</v>
      </c>
      <c r="T1676">
        <v>0.2</v>
      </c>
      <c r="U1676">
        <v>6.9794999999999998</v>
      </c>
      <c r="V1676" t="str">
        <f t="shared" si="26"/>
        <v>Cindy Schnelling</v>
      </c>
      <c r="W1676">
        <f>Table2[Profit]/Table2[Sales]</f>
        <v>6.25E-2</v>
      </c>
    </row>
    <row r="1677" spans="1:23" x14ac:dyDescent="0.25">
      <c r="A1677">
        <v>1676</v>
      </c>
      <c r="B1677" t="s">
        <v>6434</v>
      </c>
      <c r="C1677" s="1">
        <v>42811</v>
      </c>
      <c r="D1677" s="1">
        <v>42815</v>
      </c>
      <c r="E1677" t="s">
        <v>49</v>
      </c>
      <c r="F1677" t="s">
        <v>1511</v>
      </c>
      <c r="G1677" t="s">
        <v>1512</v>
      </c>
      <c r="H1677" t="s">
        <v>101</v>
      </c>
      <c r="I1677" t="s">
        <v>26</v>
      </c>
      <c r="J1677" t="s">
        <v>181</v>
      </c>
      <c r="K1677" t="s">
        <v>103</v>
      </c>
      <c r="L1677">
        <v>77095</v>
      </c>
      <c r="M1677" t="s">
        <v>104</v>
      </c>
      <c r="N1677" t="s">
        <v>5806</v>
      </c>
      <c r="O1677" t="s">
        <v>45</v>
      </c>
      <c r="P1677" t="s">
        <v>74</v>
      </c>
      <c r="Q1677" t="s">
        <v>5807</v>
      </c>
      <c r="R1677">
        <v>13.776</v>
      </c>
      <c r="S1677">
        <v>6</v>
      </c>
      <c r="T1677">
        <v>0.8</v>
      </c>
      <c r="U1677">
        <v>-22.041599999999999</v>
      </c>
      <c r="V1677" t="str">
        <f t="shared" si="26"/>
        <v>Philisse Overcash</v>
      </c>
      <c r="W1677">
        <f>Table2[Profit]/Table2[Sales]</f>
        <v>-1.5999999999999999</v>
      </c>
    </row>
    <row r="1678" spans="1:23" x14ac:dyDescent="0.25">
      <c r="A1678">
        <v>1677</v>
      </c>
      <c r="B1678" t="s">
        <v>6437</v>
      </c>
      <c r="C1678" s="1">
        <v>43062</v>
      </c>
      <c r="D1678" s="1">
        <v>43063</v>
      </c>
      <c r="E1678" t="s">
        <v>185</v>
      </c>
      <c r="F1678" t="s">
        <v>1230</v>
      </c>
      <c r="G1678" t="s">
        <v>1231</v>
      </c>
      <c r="H1678" t="s">
        <v>25</v>
      </c>
      <c r="I1678" t="s">
        <v>26</v>
      </c>
      <c r="J1678" t="s">
        <v>143</v>
      </c>
      <c r="K1678" t="s">
        <v>144</v>
      </c>
      <c r="L1678">
        <v>19120</v>
      </c>
      <c r="M1678" t="s">
        <v>145</v>
      </c>
      <c r="N1678" t="s">
        <v>6438</v>
      </c>
      <c r="O1678" t="s">
        <v>31</v>
      </c>
      <c r="P1678" t="s">
        <v>64</v>
      </c>
      <c r="Q1678" t="s">
        <v>6439</v>
      </c>
      <c r="R1678">
        <v>24.047999999999998</v>
      </c>
      <c r="S1678">
        <v>9</v>
      </c>
      <c r="T1678">
        <v>0.2</v>
      </c>
      <c r="U1678">
        <v>7.2144000000000004</v>
      </c>
      <c r="V1678" t="str">
        <f t="shared" si="26"/>
        <v>Tamara Dahlen</v>
      </c>
      <c r="W1678">
        <f>Table2[Profit]/Table2[Sales]</f>
        <v>0.30000000000000004</v>
      </c>
    </row>
    <row r="1679" spans="1:23" x14ac:dyDescent="0.25">
      <c r="A1679">
        <v>1678</v>
      </c>
      <c r="B1679" t="s">
        <v>6440</v>
      </c>
      <c r="C1679" s="1">
        <v>42974</v>
      </c>
      <c r="D1679" s="1">
        <v>42977</v>
      </c>
      <c r="E1679" t="s">
        <v>185</v>
      </c>
      <c r="F1679" t="s">
        <v>3360</v>
      </c>
      <c r="G1679" t="s">
        <v>3361</v>
      </c>
      <c r="H1679" t="s">
        <v>40</v>
      </c>
      <c r="I1679" t="s">
        <v>26</v>
      </c>
      <c r="J1679" t="s">
        <v>893</v>
      </c>
      <c r="K1679" t="s">
        <v>53</v>
      </c>
      <c r="L1679">
        <v>33614</v>
      </c>
      <c r="M1679" t="s">
        <v>29</v>
      </c>
      <c r="N1679" t="s">
        <v>582</v>
      </c>
      <c r="O1679" t="s">
        <v>45</v>
      </c>
      <c r="P1679" t="s">
        <v>170</v>
      </c>
      <c r="Q1679" t="s">
        <v>583</v>
      </c>
      <c r="R1679">
        <v>2.8959999999999999</v>
      </c>
      <c r="S1679">
        <v>1</v>
      </c>
      <c r="T1679">
        <v>0.2</v>
      </c>
      <c r="U1679">
        <v>0.97740000000000005</v>
      </c>
      <c r="V1679" t="str">
        <f t="shared" si="26"/>
        <v>Stefania Perrino</v>
      </c>
      <c r="W1679">
        <f>Table2[Profit]/Table2[Sales]</f>
        <v>0.33750000000000002</v>
      </c>
    </row>
    <row r="1680" spans="1:23" x14ac:dyDescent="0.25">
      <c r="A1680">
        <v>1679</v>
      </c>
      <c r="B1680" t="s">
        <v>6441</v>
      </c>
      <c r="C1680" s="1">
        <v>42342</v>
      </c>
      <c r="D1680" s="1">
        <v>42347</v>
      </c>
      <c r="E1680" t="s">
        <v>22</v>
      </c>
      <c r="F1680" t="s">
        <v>2721</v>
      </c>
      <c r="G1680" t="s">
        <v>2722</v>
      </c>
      <c r="H1680" t="s">
        <v>25</v>
      </c>
      <c r="I1680" t="s">
        <v>26</v>
      </c>
      <c r="J1680" t="s">
        <v>263</v>
      </c>
      <c r="K1680" t="s">
        <v>264</v>
      </c>
      <c r="L1680">
        <v>10035</v>
      </c>
      <c r="M1680" t="s">
        <v>145</v>
      </c>
      <c r="N1680" t="s">
        <v>5231</v>
      </c>
      <c r="O1680" t="s">
        <v>45</v>
      </c>
      <c r="P1680" t="s">
        <v>170</v>
      </c>
      <c r="Q1680" t="s">
        <v>5232</v>
      </c>
      <c r="R1680">
        <v>17.940000000000001</v>
      </c>
      <c r="S1680">
        <v>3</v>
      </c>
      <c r="T1680">
        <v>0</v>
      </c>
      <c r="U1680">
        <v>8.7905999999999995</v>
      </c>
      <c r="V1680" t="str">
        <f t="shared" si="26"/>
        <v>Maribeth Schnelling</v>
      </c>
      <c r="W1680">
        <f>Table2[Profit]/Table2[Sales]</f>
        <v>0.48999999999999994</v>
      </c>
    </row>
    <row r="1681" spans="1:23" x14ac:dyDescent="0.25">
      <c r="A1681">
        <v>1680</v>
      </c>
      <c r="B1681" t="s">
        <v>6444</v>
      </c>
      <c r="C1681" s="1">
        <v>43015</v>
      </c>
      <c r="D1681" s="1">
        <v>43019</v>
      </c>
      <c r="E1681" t="s">
        <v>49</v>
      </c>
      <c r="F1681" t="s">
        <v>5800</v>
      </c>
      <c r="G1681" t="s">
        <v>5801</v>
      </c>
      <c r="H1681" t="s">
        <v>101</v>
      </c>
      <c r="I1681" t="s">
        <v>26</v>
      </c>
      <c r="J1681" t="s">
        <v>460</v>
      </c>
      <c r="K1681" t="s">
        <v>87</v>
      </c>
      <c r="L1681">
        <v>28205</v>
      </c>
      <c r="M1681" t="s">
        <v>29</v>
      </c>
      <c r="N1681" t="s">
        <v>1007</v>
      </c>
      <c r="O1681" t="s">
        <v>45</v>
      </c>
      <c r="P1681" t="s">
        <v>58</v>
      </c>
      <c r="Q1681" t="s">
        <v>1008</v>
      </c>
      <c r="R1681">
        <v>580.67200000000003</v>
      </c>
      <c r="S1681">
        <v>4</v>
      </c>
      <c r="T1681">
        <v>0.2</v>
      </c>
      <c r="U1681">
        <v>65.325599999999994</v>
      </c>
      <c r="V1681" t="str">
        <f t="shared" si="26"/>
        <v>Dean percer</v>
      </c>
      <c r="W1681">
        <f>Table2[Profit]/Table2[Sales]</f>
        <v>0.11249999999999999</v>
      </c>
    </row>
    <row r="1682" spans="1:23" x14ac:dyDescent="0.25">
      <c r="A1682">
        <v>1681</v>
      </c>
      <c r="B1682" t="s">
        <v>6445</v>
      </c>
      <c r="C1682" s="1">
        <v>42819</v>
      </c>
      <c r="D1682" s="1">
        <v>42824</v>
      </c>
      <c r="E1682" t="s">
        <v>22</v>
      </c>
      <c r="F1682" t="s">
        <v>4645</v>
      </c>
      <c r="G1682" t="s">
        <v>4646</v>
      </c>
      <c r="H1682" t="s">
        <v>25</v>
      </c>
      <c r="I1682" t="s">
        <v>26</v>
      </c>
      <c r="J1682" t="s">
        <v>808</v>
      </c>
      <c r="K1682" t="s">
        <v>103</v>
      </c>
      <c r="L1682">
        <v>75081</v>
      </c>
      <c r="M1682" t="s">
        <v>104</v>
      </c>
      <c r="N1682" t="s">
        <v>5853</v>
      </c>
      <c r="O1682" t="s">
        <v>45</v>
      </c>
      <c r="P1682" t="s">
        <v>89</v>
      </c>
      <c r="Q1682" t="s">
        <v>5854</v>
      </c>
      <c r="R1682">
        <v>6.8479999999999999</v>
      </c>
      <c r="S1682">
        <v>2</v>
      </c>
      <c r="T1682">
        <v>0.2</v>
      </c>
      <c r="U1682">
        <v>2.14</v>
      </c>
      <c r="V1682" t="str">
        <f t="shared" si="26"/>
        <v>Duane Benoit</v>
      </c>
      <c r="W1682">
        <f>Table2[Profit]/Table2[Sales]</f>
        <v>0.3125</v>
      </c>
    </row>
    <row r="1683" spans="1:23" x14ac:dyDescent="0.25">
      <c r="A1683">
        <v>1682</v>
      </c>
      <c r="B1683" t="s">
        <v>6446</v>
      </c>
      <c r="C1683" s="1">
        <v>41860</v>
      </c>
      <c r="D1683" s="1">
        <v>41864</v>
      </c>
      <c r="E1683" t="s">
        <v>49</v>
      </c>
      <c r="F1683" t="s">
        <v>3078</v>
      </c>
      <c r="G1683" t="s">
        <v>3079</v>
      </c>
      <c r="H1683" t="s">
        <v>101</v>
      </c>
      <c r="I1683" t="s">
        <v>26</v>
      </c>
      <c r="J1683" t="s">
        <v>94</v>
      </c>
      <c r="K1683" t="s">
        <v>95</v>
      </c>
      <c r="L1683">
        <v>98103</v>
      </c>
      <c r="M1683" t="s">
        <v>43</v>
      </c>
      <c r="N1683" t="s">
        <v>2456</v>
      </c>
      <c r="O1683" t="s">
        <v>70</v>
      </c>
      <c r="P1683" t="s">
        <v>71</v>
      </c>
      <c r="Q1683" t="s">
        <v>2457</v>
      </c>
      <c r="R1683">
        <v>1091.1679999999999</v>
      </c>
      <c r="S1683">
        <v>4</v>
      </c>
      <c r="T1683">
        <v>0.2</v>
      </c>
      <c r="U1683">
        <v>68.197999999999993</v>
      </c>
      <c r="V1683" t="str">
        <f t="shared" si="26"/>
        <v>Matthew Grinstein</v>
      </c>
      <c r="W1683">
        <f>Table2[Profit]/Table2[Sales]</f>
        <v>6.25E-2</v>
      </c>
    </row>
    <row r="1684" spans="1:23" x14ac:dyDescent="0.25">
      <c r="A1684">
        <v>1683</v>
      </c>
      <c r="B1684" t="s">
        <v>6447</v>
      </c>
      <c r="C1684" s="1">
        <v>41965</v>
      </c>
      <c r="D1684" s="1">
        <v>41968</v>
      </c>
      <c r="E1684" t="s">
        <v>185</v>
      </c>
      <c r="F1684" t="s">
        <v>6337</v>
      </c>
      <c r="G1684" t="s">
        <v>6338</v>
      </c>
      <c r="H1684" t="s">
        <v>25</v>
      </c>
      <c r="I1684" t="s">
        <v>26</v>
      </c>
      <c r="J1684" t="s">
        <v>596</v>
      </c>
      <c r="K1684" t="s">
        <v>103</v>
      </c>
      <c r="L1684">
        <v>77506</v>
      </c>
      <c r="M1684" t="s">
        <v>104</v>
      </c>
      <c r="N1684" t="s">
        <v>3849</v>
      </c>
      <c r="O1684" t="s">
        <v>45</v>
      </c>
      <c r="P1684" t="s">
        <v>74</v>
      </c>
      <c r="Q1684" t="s">
        <v>3850</v>
      </c>
      <c r="R1684">
        <v>6.9279999999999999</v>
      </c>
      <c r="S1684">
        <v>1</v>
      </c>
      <c r="T1684">
        <v>0.8</v>
      </c>
      <c r="U1684">
        <v>-11.0848</v>
      </c>
      <c r="V1684" t="str">
        <f t="shared" si="26"/>
        <v>Evan Henry</v>
      </c>
      <c r="W1684">
        <f>Table2[Profit]/Table2[Sales]</f>
        <v>-1.5999999999999999</v>
      </c>
    </row>
    <row r="1685" spans="1:23" x14ac:dyDescent="0.25">
      <c r="A1685">
        <v>1684</v>
      </c>
      <c r="B1685" t="s">
        <v>6448</v>
      </c>
      <c r="C1685" s="1">
        <v>42896</v>
      </c>
      <c r="D1685" s="1">
        <v>42896</v>
      </c>
      <c r="E1685" t="s">
        <v>1278</v>
      </c>
      <c r="F1685" t="s">
        <v>4008</v>
      </c>
      <c r="G1685" t="s">
        <v>4009</v>
      </c>
      <c r="H1685" t="s">
        <v>25</v>
      </c>
      <c r="I1685" t="s">
        <v>26</v>
      </c>
      <c r="J1685" t="s">
        <v>143</v>
      </c>
      <c r="K1685" t="s">
        <v>144</v>
      </c>
      <c r="L1685">
        <v>19143</v>
      </c>
      <c r="M1685" t="s">
        <v>145</v>
      </c>
      <c r="N1685" t="s">
        <v>5237</v>
      </c>
      <c r="O1685" t="s">
        <v>45</v>
      </c>
      <c r="P1685" t="s">
        <v>89</v>
      </c>
      <c r="Q1685" t="s">
        <v>5238</v>
      </c>
      <c r="R1685">
        <v>40.031999999999996</v>
      </c>
      <c r="S1685">
        <v>6</v>
      </c>
      <c r="T1685">
        <v>0.2</v>
      </c>
      <c r="U1685">
        <v>15.012</v>
      </c>
      <c r="V1685" t="str">
        <f t="shared" si="26"/>
        <v>Carl Ludwig</v>
      </c>
      <c r="W1685">
        <f>Table2[Profit]/Table2[Sales]</f>
        <v>0.37500000000000006</v>
      </c>
    </row>
    <row r="1686" spans="1:23" x14ac:dyDescent="0.25">
      <c r="A1686">
        <v>1685</v>
      </c>
      <c r="B1686" t="s">
        <v>6449</v>
      </c>
      <c r="C1686" s="1">
        <v>42917</v>
      </c>
      <c r="D1686" s="1">
        <v>42924</v>
      </c>
      <c r="E1686" t="s">
        <v>49</v>
      </c>
      <c r="F1686" t="s">
        <v>4995</v>
      </c>
      <c r="G1686" t="s">
        <v>4996</v>
      </c>
      <c r="H1686" t="s">
        <v>101</v>
      </c>
      <c r="I1686" t="s">
        <v>26</v>
      </c>
      <c r="J1686" t="s">
        <v>4288</v>
      </c>
      <c r="K1686" t="s">
        <v>251</v>
      </c>
      <c r="L1686">
        <v>46203</v>
      </c>
      <c r="M1686" t="s">
        <v>104</v>
      </c>
      <c r="N1686" t="s">
        <v>5879</v>
      </c>
      <c r="O1686" t="s">
        <v>45</v>
      </c>
      <c r="P1686" t="s">
        <v>58</v>
      </c>
      <c r="Q1686" t="s">
        <v>5880</v>
      </c>
      <c r="R1686">
        <v>443.92</v>
      </c>
      <c r="S1686">
        <v>4</v>
      </c>
      <c r="T1686">
        <v>0</v>
      </c>
      <c r="U1686">
        <v>13.317600000000001</v>
      </c>
      <c r="V1686" t="str">
        <f t="shared" si="26"/>
        <v>Karen Ferguson</v>
      </c>
      <c r="W1686">
        <f>Table2[Profit]/Table2[Sales]</f>
        <v>0.03</v>
      </c>
    </row>
    <row r="1687" spans="1:23" x14ac:dyDescent="0.25">
      <c r="A1687">
        <v>1686</v>
      </c>
      <c r="B1687" t="s">
        <v>6450</v>
      </c>
      <c r="C1687" s="1">
        <v>41964</v>
      </c>
      <c r="D1687" s="1">
        <v>41969</v>
      </c>
      <c r="E1687" t="s">
        <v>49</v>
      </c>
      <c r="F1687" t="s">
        <v>6451</v>
      </c>
      <c r="G1687" t="s">
        <v>6452</v>
      </c>
      <c r="H1687" t="s">
        <v>40</v>
      </c>
      <c r="I1687" t="s">
        <v>26</v>
      </c>
      <c r="J1687" t="s">
        <v>1450</v>
      </c>
      <c r="K1687" t="s">
        <v>28</v>
      </c>
      <c r="L1687">
        <v>40475</v>
      </c>
      <c r="M1687" t="s">
        <v>29</v>
      </c>
      <c r="N1687" t="s">
        <v>2633</v>
      </c>
      <c r="O1687" t="s">
        <v>70</v>
      </c>
      <c r="P1687" t="s">
        <v>71</v>
      </c>
      <c r="Q1687" t="s">
        <v>2634</v>
      </c>
      <c r="R1687">
        <v>36.99</v>
      </c>
      <c r="S1687">
        <v>1</v>
      </c>
      <c r="T1687">
        <v>0</v>
      </c>
      <c r="U1687">
        <v>9.9872999999999994</v>
      </c>
      <c r="V1687" t="str">
        <f t="shared" si="26"/>
        <v>Dave Hallsten</v>
      </c>
      <c r="W1687">
        <f>Table2[Profit]/Table2[Sales]</f>
        <v>0.26999999999999996</v>
      </c>
    </row>
    <row r="1688" spans="1:23" x14ac:dyDescent="0.25">
      <c r="A1688">
        <v>1687</v>
      </c>
      <c r="B1688" t="s">
        <v>6453</v>
      </c>
      <c r="C1688" s="1">
        <v>42128</v>
      </c>
      <c r="D1688" s="1">
        <v>42129</v>
      </c>
      <c r="E1688" t="s">
        <v>185</v>
      </c>
      <c r="F1688" t="s">
        <v>1334</v>
      </c>
      <c r="G1688" t="s">
        <v>1335</v>
      </c>
      <c r="H1688" t="s">
        <v>40</v>
      </c>
      <c r="I1688" t="s">
        <v>26</v>
      </c>
      <c r="J1688" t="s">
        <v>6454</v>
      </c>
      <c r="K1688" t="s">
        <v>208</v>
      </c>
      <c r="L1688">
        <v>60477</v>
      </c>
      <c r="M1688" t="s">
        <v>104</v>
      </c>
      <c r="N1688" t="s">
        <v>2849</v>
      </c>
      <c r="O1688" t="s">
        <v>31</v>
      </c>
      <c r="P1688" t="s">
        <v>64</v>
      </c>
      <c r="Q1688" t="s">
        <v>916</v>
      </c>
      <c r="R1688">
        <v>22.288</v>
      </c>
      <c r="S1688">
        <v>7</v>
      </c>
      <c r="T1688">
        <v>0.6</v>
      </c>
      <c r="U1688">
        <v>-8.9152000000000005</v>
      </c>
      <c r="V1688" t="str">
        <f t="shared" si="26"/>
        <v>Laura Armstrong</v>
      </c>
      <c r="W1688">
        <f>Table2[Profit]/Table2[Sales]</f>
        <v>-0.4</v>
      </c>
    </row>
    <row r="1689" spans="1:23" x14ac:dyDescent="0.25">
      <c r="A1689">
        <v>1688</v>
      </c>
      <c r="B1689" t="s">
        <v>6455</v>
      </c>
      <c r="C1689" s="1">
        <v>42884</v>
      </c>
      <c r="D1689" s="1">
        <v>42891</v>
      </c>
      <c r="E1689" t="s">
        <v>49</v>
      </c>
      <c r="F1689" t="s">
        <v>4290</v>
      </c>
      <c r="G1689" t="s">
        <v>4291</v>
      </c>
      <c r="H1689" t="s">
        <v>25</v>
      </c>
      <c r="I1689" t="s">
        <v>26</v>
      </c>
      <c r="J1689" t="s">
        <v>181</v>
      </c>
      <c r="K1689" t="s">
        <v>103</v>
      </c>
      <c r="L1689">
        <v>77095</v>
      </c>
      <c r="M1689" t="s">
        <v>104</v>
      </c>
      <c r="N1689" t="s">
        <v>6456</v>
      </c>
      <c r="O1689" t="s">
        <v>31</v>
      </c>
      <c r="P1689" t="s">
        <v>64</v>
      </c>
      <c r="Q1689" t="s">
        <v>6457</v>
      </c>
      <c r="R1689">
        <v>65.424000000000007</v>
      </c>
      <c r="S1689">
        <v>4</v>
      </c>
      <c r="T1689">
        <v>0.6</v>
      </c>
      <c r="U1689">
        <v>-52.339199999999998</v>
      </c>
      <c r="V1689" t="str">
        <f t="shared" si="26"/>
        <v>Henia Zydlo</v>
      </c>
      <c r="W1689">
        <f>Table2[Profit]/Table2[Sales]</f>
        <v>-0.79999999999999993</v>
      </c>
    </row>
    <row r="1690" spans="1:23" x14ac:dyDescent="0.25">
      <c r="A1690">
        <v>1689</v>
      </c>
      <c r="B1690" t="s">
        <v>6458</v>
      </c>
      <c r="C1690" s="1">
        <v>42294</v>
      </c>
      <c r="D1690" s="1">
        <v>42294</v>
      </c>
      <c r="E1690" t="s">
        <v>1278</v>
      </c>
      <c r="F1690" t="s">
        <v>4060</v>
      </c>
      <c r="G1690" t="s">
        <v>4061</v>
      </c>
      <c r="H1690" t="s">
        <v>25</v>
      </c>
      <c r="I1690" t="s">
        <v>26</v>
      </c>
      <c r="J1690" t="s">
        <v>41</v>
      </c>
      <c r="K1690" t="s">
        <v>42</v>
      </c>
      <c r="L1690">
        <v>90004</v>
      </c>
      <c r="M1690" t="s">
        <v>43</v>
      </c>
      <c r="N1690" t="s">
        <v>214</v>
      </c>
      <c r="O1690" t="s">
        <v>45</v>
      </c>
      <c r="P1690" t="s">
        <v>58</v>
      </c>
      <c r="Q1690" t="s">
        <v>215</v>
      </c>
      <c r="R1690">
        <v>77.88</v>
      </c>
      <c r="S1690">
        <v>2</v>
      </c>
      <c r="T1690">
        <v>0</v>
      </c>
      <c r="U1690">
        <v>3.8940000000000001</v>
      </c>
      <c r="V1690" t="str">
        <f t="shared" si="26"/>
        <v>Charlotte Melton</v>
      </c>
      <c r="W1690">
        <f>Table2[Profit]/Table2[Sales]</f>
        <v>0.05</v>
      </c>
    </row>
    <row r="1691" spans="1:23" x14ac:dyDescent="0.25">
      <c r="A1691">
        <v>1690</v>
      </c>
      <c r="B1691" t="s">
        <v>6459</v>
      </c>
      <c r="C1691" s="1">
        <v>41752</v>
      </c>
      <c r="D1691" s="1">
        <v>41756</v>
      </c>
      <c r="E1691" t="s">
        <v>49</v>
      </c>
      <c r="F1691" t="s">
        <v>6326</v>
      </c>
      <c r="G1691" t="s">
        <v>6327</v>
      </c>
      <c r="H1691" t="s">
        <v>101</v>
      </c>
      <c r="I1691" t="s">
        <v>26</v>
      </c>
      <c r="J1691" t="s">
        <v>490</v>
      </c>
      <c r="K1691" t="s">
        <v>491</v>
      </c>
      <c r="L1691">
        <v>43229</v>
      </c>
      <c r="M1691" t="s">
        <v>145</v>
      </c>
      <c r="N1691" t="s">
        <v>936</v>
      </c>
      <c r="O1691" t="s">
        <v>31</v>
      </c>
      <c r="P1691" t="s">
        <v>35</v>
      </c>
      <c r="Q1691" t="s">
        <v>937</v>
      </c>
      <c r="R1691">
        <v>281.37200000000001</v>
      </c>
      <c r="S1691">
        <v>2</v>
      </c>
      <c r="T1691">
        <v>0.3</v>
      </c>
      <c r="U1691">
        <v>-12.0588</v>
      </c>
      <c r="V1691" t="str">
        <f t="shared" si="26"/>
        <v>Laurel Beltran</v>
      </c>
      <c r="W1691">
        <f>Table2[Profit]/Table2[Sales]</f>
        <v>-4.2857142857142858E-2</v>
      </c>
    </row>
    <row r="1692" spans="1:23" x14ac:dyDescent="0.25">
      <c r="A1692">
        <v>1691</v>
      </c>
      <c r="B1692" t="s">
        <v>6460</v>
      </c>
      <c r="C1692" s="1">
        <v>42855</v>
      </c>
      <c r="D1692" s="1">
        <v>42861</v>
      </c>
      <c r="E1692" t="s">
        <v>49</v>
      </c>
      <c r="F1692" t="s">
        <v>1887</v>
      </c>
      <c r="G1692" t="s">
        <v>1888</v>
      </c>
      <c r="H1692" t="s">
        <v>25</v>
      </c>
      <c r="I1692" t="s">
        <v>26</v>
      </c>
      <c r="J1692" t="s">
        <v>490</v>
      </c>
      <c r="K1692" t="s">
        <v>491</v>
      </c>
      <c r="L1692">
        <v>43229</v>
      </c>
      <c r="M1692" t="s">
        <v>145</v>
      </c>
      <c r="N1692" t="s">
        <v>1903</v>
      </c>
      <c r="O1692" t="s">
        <v>45</v>
      </c>
      <c r="P1692" t="s">
        <v>89</v>
      </c>
      <c r="Q1692" t="s">
        <v>1904</v>
      </c>
      <c r="R1692">
        <v>10.368</v>
      </c>
      <c r="S1692">
        <v>2</v>
      </c>
      <c r="T1692">
        <v>0.2</v>
      </c>
      <c r="U1692">
        <v>3.6288</v>
      </c>
      <c r="V1692" t="str">
        <f t="shared" si="26"/>
        <v>Jeremy Farry</v>
      </c>
      <c r="W1692">
        <f>Table2[Profit]/Table2[Sales]</f>
        <v>0.35</v>
      </c>
    </row>
    <row r="1693" spans="1:23" x14ac:dyDescent="0.25">
      <c r="A1693">
        <v>1692</v>
      </c>
      <c r="B1693" t="s">
        <v>6461</v>
      </c>
      <c r="C1693" s="1">
        <v>42633</v>
      </c>
      <c r="D1693" s="1">
        <v>42637</v>
      </c>
      <c r="E1693" t="s">
        <v>49</v>
      </c>
      <c r="F1693" t="s">
        <v>5430</v>
      </c>
      <c r="G1693" t="s">
        <v>5431</v>
      </c>
      <c r="H1693" t="s">
        <v>40</v>
      </c>
      <c r="I1693" t="s">
        <v>26</v>
      </c>
      <c r="J1693" t="s">
        <v>126</v>
      </c>
      <c r="K1693" t="s">
        <v>42</v>
      </c>
      <c r="L1693">
        <v>94122</v>
      </c>
      <c r="M1693" t="s">
        <v>43</v>
      </c>
      <c r="N1693" t="s">
        <v>6177</v>
      </c>
      <c r="O1693" t="s">
        <v>45</v>
      </c>
      <c r="P1693" t="s">
        <v>89</v>
      </c>
      <c r="Q1693" t="s">
        <v>6178</v>
      </c>
      <c r="R1693">
        <v>65.790000000000006</v>
      </c>
      <c r="S1693">
        <v>9</v>
      </c>
      <c r="T1693">
        <v>0</v>
      </c>
      <c r="U1693">
        <v>30.263400000000001</v>
      </c>
      <c r="V1693" t="str">
        <f t="shared" si="26"/>
        <v>Greg Maxwell</v>
      </c>
      <c r="W1693">
        <f>Table2[Profit]/Table2[Sales]</f>
        <v>0.45999999999999996</v>
      </c>
    </row>
    <row r="1694" spans="1:23" x14ac:dyDescent="0.25">
      <c r="A1694">
        <v>1693</v>
      </c>
      <c r="B1694" t="s">
        <v>6462</v>
      </c>
      <c r="C1694" s="1">
        <v>42615</v>
      </c>
      <c r="D1694" s="1">
        <v>42615</v>
      </c>
      <c r="E1694" t="s">
        <v>1278</v>
      </c>
      <c r="F1694" t="s">
        <v>1670</v>
      </c>
      <c r="G1694" t="s">
        <v>1671</v>
      </c>
      <c r="H1694" t="s">
        <v>25</v>
      </c>
      <c r="I1694" t="s">
        <v>26</v>
      </c>
      <c r="J1694" t="s">
        <v>112</v>
      </c>
      <c r="K1694" t="s">
        <v>113</v>
      </c>
      <c r="L1694">
        <v>53711</v>
      </c>
      <c r="M1694" t="s">
        <v>104</v>
      </c>
      <c r="N1694" t="s">
        <v>4246</v>
      </c>
      <c r="O1694" t="s">
        <v>45</v>
      </c>
      <c r="P1694" t="s">
        <v>266</v>
      </c>
      <c r="Q1694" t="s">
        <v>4247</v>
      </c>
      <c r="R1694">
        <v>1.81</v>
      </c>
      <c r="S1694">
        <v>1</v>
      </c>
      <c r="T1694">
        <v>0</v>
      </c>
      <c r="U1694">
        <v>0.65159999999999996</v>
      </c>
      <c r="V1694" t="str">
        <f t="shared" si="26"/>
        <v>Sonia Sunley</v>
      </c>
      <c r="W1694">
        <f>Table2[Profit]/Table2[Sales]</f>
        <v>0.36</v>
      </c>
    </row>
    <row r="1695" spans="1:23" x14ac:dyDescent="0.25">
      <c r="A1695">
        <v>1694</v>
      </c>
      <c r="B1695" t="s">
        <v>6463</v>
      </c>
      <c r="C1695" s="1">
        <v>42121</v>
      </c>
      <c r="D1695" s="1">
        <v>42126</v>
      </c>
      <c r="E1695" t="s">
        <v>49</v>
      </c>
      <c r="F1695" t="s">
        <v>6115</v>
      </c>
      <c r="G1695" t="s">
        <v>6116</v>
      </c>
      <c r="H1695" t="s">
        <v>101</v>
      </c>
      <c r="I1695" t="s">
        <v>26</v>
      </c>
      <c r="J1695" t="s">
        <v>449</v>
      </c>
      <c r="K1695" t="s">
        <v>450</v>
      </c>
      <c r="L1695">
        <v>80013</v>
      </c>
      <c r="M1695" t="s">
        <v>43</v>
      </c>
      <c r="N1695" t="s">
        <v>3548</v>
      </c>
      <c r="O1695" t="s">
        <v>45</v>
      </c>
      <c r="P1695" t="s">
        <v>77</v>
      </c>
      <c r="Q1695" t="s">
        <v>3549</v>
      </c>
      <c r="R1695">
        <v>43.56</v>
      </c>
      <c r="S1695">
        <v>5</v>
      </c>
      <c r="T1695">
        <v>0.2</v>
      </c>
      <c r="U1695">
        <v>3.2669999999999999</v>
      </c>
      <c r="V1695" t="str">
        <f t="shared" si="26"/>
        <v>Tony Chapman</v>
      </c>
      <c r="W1695">
        <f>Table2[Profit]/Table2[Sales]</f>
        <v>7.4999999999999997E-2</v>
      </c>
    </row>
    <row r="1696" spans="1:23" x14ac:dyDescent="0.25">
      <c r="A1696">
        <v>1695</v>
      </c>
      <c r="B1696" t="s">
        <v>6464</v>
      </c>
      <c r="C1696" s="1">
        <v>42253</v>
      </c>
      <c r="D1696" s="1">
        <v>42260</v>
      </c>
      <c r="E1696" t="s">
        <v>49</v>
      </c>
      <c r="F1696" t="s">
        <v>2100</v>
      </c>
      <c r="G1696" t="s">
        <v>2101</v>
      </c>
      <c r="H1696" t="s">
        <v>101</v>
      </c>
      <c r="I1696" t="s">
        <v>26</v>
      </c>
      <c r="J1696" t="s">
        <v>263</v>
      </c>
      <c r="K1696" t="s">
        <v>264</v>
      </c>
      <c r="L1696">
        <v>10024</v>
      </c>
      <c r="M1696" t="s">
        <v>145</v>
      </c>
      <c r="N1696" t="s">
        <v>2549</v>
      </c>
      <c r="O1696" t="s">
        <v>31</v>
      </c>
      <c r="P1696" t="s">
        <v>35</v>
      </c>
      <c r="Q1696" t="s">
        <v>2550</v>
      </c>
      <c r="R1696">
        <v>271.76400000000001</v>
      </c>
      <c r="S1696">
        <v>2</v>
      </c>
      <c r="T1696">
        <v>0.1</v>
      </c>
      <c r="U1696">
        <v>60.392000000000003</v>
      </c>
      <c r="V1696" t="str">
        <f t="shared" si="26"/>
        <v>Chuck Clark</v>
      </c>
      <c r="W1696">
        <f>Table2[Profit]/Table2[Sales]</f>
        <v>0.22222222222222224</v>
      </c>
    </row>
    <row r="1697" spans="1:23" x14ac:dyDescent="0.25">
      <c r="A1697">
        <v>1696</v>
      </c>
      <c r="B1697" t="s">
        <v>6465</v>
      </c>
      <c r="C1697" s="1">
        <v>42518</v>
      </c>
      <c r="D1697" s="1">
        <v>42524</v>
      </c>
      <c r="E1697" t="s">
        <v>49</v>
      </c>
      <c r="F1697" t="s">
        <v>479</v>
      </c>
      <c r="G1697" t="s">
        <v>480</v>
      </c>
      <c r="H1697" t="s">
        <v>25</v>
      </c>
      <c r="I1697" t="s">
        <v>26</v>
      </c>
      <c r="J1697" t="s">
        <v>41</v>
      </c>
      <c r="K1697" t="s">
        <v>42</v>
      </c>
      <c r="L1697">
        <v>90004</v>
      </c>
      <c r="M1697" t="s">
        <v>43</v>
      </c>
      <c r="N1697" t="s">
        <v>699</v>
      </c>
      <c r="O1697" t="s">
        <v>45</v>
      </c>
      <c r="P1697" t="s">
        <v>77</v>
      </c>
      <c r="Q1697" t="s">
        <v>700</v>
      </c>
      <c r="R1697">
        <v>262.24</v>
      </c>
      <c r="S1697">
        <v>2</v>
      </c>
      <c r="T1697">
        <v>0</v>
      </c>
      <c r="U1697">
        <v>78.671999999999997</v>
      </c>
      <c r="V1697" t="str">
        <f t="shared" si="26"/>
        <v>Clay Ludtke</v>
      </c>
      <c r="W1697">
        <f>Table2[Profit]/Table2[Sales]</f>
        <v>0.3</v>
      </c>
    </row>
    <row r="1698" spans="1:23" x14ac:dyDescent="0.25">
      <c r="A1698">
        <v>1697</v>
      </c>
      <c r="B1698" t="s">
        <v>6466</v>
      </c>
      <c r="C1698" s="1">
        <v>42271</v>
      </c>
      <c r="D1698" s="1">
        <v>42275</v>
      </c>
      <c r="E1698" t="s">
        <v>49</v>
      </c>
      <c r="F1698" t="s">
        <v>3000</v>
      </c>
      <c r="G1698" t="s">
        <v>3001</v>
      </c>
      <c r="H1698" t="s">
        <v>101</v>
      </c>
      <c r="I1698" t="s">
        <v>26</v>
      </c>
      <c r="J1698" t="s">
        <v>6467</v>
      </c>
      <c r="K1698" t="s">
        <v>482</v>
      </c>
      <c r="L1698">
        <v>52001</v>
      </c>
      <c r="M1698" t="s">
        <v>104</v>
      </c>
      <c r="N1698" t="s">
        <v>174</v>
      </c>
      <c r="O1698" t="s">
        <v>45</v>
      </c>
      <c r="P1698" t="s">
        <v>74</v>
      </c>
      <c r="Q1698" t="s">
        <v>175</v>
      </c>
      <c r="R1698">
        <v>15.24</v>
      </c>
      <c r="S1698">
        <v>4</v>
      </c>
      <c r="T1698">
        <v>0</v>
      </c>
      <c r="U1698">
        <v>6.8579999999999997</v>
      </c>
      <c r="V1698" t="str">
        <f t="shared" si="26"/>
        <v>Deanra Eno</v>
      </c>
      <c r="W1698">
        <f>Table2[Profit]/Table2[Sales]</f>
        <v>0.44999999999999996</v>
      </c>
    </row>
    <row r="1699" spans="1:23" x14ac:dyDescent="0.25">
      <c r="A1699">
        <v>1698</v>
      </c>
      <c r="B1699" t="s">
        <v>6468</v>
      </c>
      <c r="C1699" s="1">
        <v>42919</v>
      </c>
      <c r="D1699" s="1">
        <v>42922</v>
      </c>
      <c r="E1699" t="s">
        <v>22</v>
      </c>
      <c r="F1699" t="s">
        <v>3687</v>
      </c>
      <c r="G1699" t="s">
        <v>3688</v>
      </c>
      <c r="H1699" t="s">
        <v>101</v>
      </c>
      <c r="I1699" t="s">
        <v>26</v>
      </c>
      <c r="J1699" t="s">
        <v>2439</v>
      </c>
      <c r="K1699" t="s">
        <v>491</v>
      </c>
      <c r="L1699">
        <v>43130</v>
      </c>
      <c r="M1699" t="s">
        <v>145</v>
      </c>
      <c r="N1699" t="s">
        <v>6469</v>
      </c>
      <c r="O1699" t="s">
        <v>45</v>
      </c>
      <c r="P1699" t="s">
        <v>89</v>
      </c>
      <c r="Q1699" t="s">
        <v>6470</v>
      </c>
      <c r="R1699">
        <v>32.896000000000001</v>
      </c>
      <c r="S1699">
        <v>4</v>
      </c>
      <c r="T1699">
        <v>0.2</v>
      </c>
      <c r="U1699">
        <v>11.102399999999999</v>
      </c>
      <c r="V1699" t="str">
        <f t="shared" si="26"/>
        <v>Sam Zeldin</v>
      </c>
      <c r="W1699">
        <f>Table2[Profit]/Table2[Sales]</f>
        <v>0.33749999999999997</v>
      </c>
    </row>
    <row r="1700" spans="1:23" x14ac:dyDescent="0.25">
      <c r="A1700">
        <v>1699</v>
      </c>
      <c r="B1700" t="s">
        <v>6471</v>
      </c>
      <c r="C1700" s="1">
        <v>43077</v>
      </c>
      <c r="D1700" s="1">
        <v>43078</v>
      </c>
      <c r="E1700" t="s">
        <v>185</v>
      </c>
      <c r="F1700" t="s">
        <v>1404</v>
      </c>
      <c r="G1700" t="s">
        <v>1405</v>
      </c>
      <c r="H1700" t="s">
        <v>25</v>
      </c>
      <c r="I1700" t="s">
        <v>26</v>
      </c>
      <c r="J1700" t="s">
        <v>1019</v>
      </c>
      <c r="K1700" t="s">
        <v>42</v>
      </c>
      <c r="L1700">
        <v>90301</v>
      </c>
      <c r="M1700" t="s">
        <v>43</v>
      </c>
      <c r="N1700" t="s">
        <v>1322</v>
      </c>
      <c r="O1700" t="s">
        <v>45</v>
      </c>
      <c r="P1700" t="s">
        <v>58</v>
      </c>
      <c r="Q1700" t="s">
        <v>1323</v>
      </c>
      <c r="R1700">
        <v>29.79</v>
      </c>
      <c r="S1700">
        <v>3</v>
      </c>
      <c r="T1700">
        <v>0</v>
      </c>
      <c r="U1700">
        <v>8.6390999999999991</v>
      </c>
      <c r="V1700" t="str">
        <f t="shared" si="26"/>
        <v>Luke Foster</v>
      </c>
      <c r="W1700">
        <f>Table2[Profit]/Table2[Sales]</f>
        <v>0.28999999999999998</v>
      </c>
    </row>
    <row r="1701" spans="1:23" x14ac:dyDescent="0.25">
      <c r="A1701">
        <v>1700</v>
      </c>
      <c r="B1701" t="s">
        <v>6472</v>
      </c>
      <c r="C1701" s="1">
        <v>43074</v>
      </c>
      <c r="D1701" s="1">
        <v>43078</v>
      </c>
      <c r="E1701" t="s">
        <v>49</v>
      </c>
      <c r="F1701" t="s">
        <v>2211</v>
      </c>
      <c r="G1701" t="s">
        <v>2212</v>
      </c>
      <c r="H1701" t="s">
        <v>25</v>
      </c>
      <c r="I1701" t="s">
        <v>26</v>
      </c>
      <c r="J1701" t="s">
        <v>4036</v>
      </c>
      <c r="K1701" t="s">
        <v>95</v>
      </c>
      <c r="L1701">
        <v>98006</v>
      </c>
      <c r="M1701" t="s">
        <v>43</v>
      </c>
      <c r="N1701" t="s">
        <v>5373</v>
      </c>
      <c r="O1701" t="s">
        <v>45</v>
      </c>
      <c r="P1701" t="s">
        <v>74</v>
      </c>
      <c r="Q1701" t="s">
        <v>5374</v>
      </c>
      <c r="R1701">
        <v>24.815999999999999</v>
      </c>
      <c r="S1701">
        <v>3</v>
      </c>
      <c r="T1701">
        <v>0.2</v>
      </c>
      <c r="U1701">
        <v>8.3754000000000008</v>
      </c>
      <c r="V1701" t="str">
        <f t="shared" si="26"/>
        <v>Alan Barnes</v>
      </c>
      <c r="W1701">
        <f>Table2[Profit]/Table2[Sales]</f>
        <v>0.33750000000000002</v>
      </c>
    </row>
    <row r="1702" spans="1:23" x14ac:dyDescent="0.25">
      <c r="A1702">
        <v>1701</v>
      </c>
      <c r="B1702" t="s">
        <v>6473</v>
      </c>
      <c r="C1702" s="1">
        <v>42274</v>
      </c>
      <c r="D1702" s="1">
        <v>42276</v>
      </c>
      <c r="E1702" t="s">
        <v>185</v>
      </c>
      <c r="F1702" t="s">
        <v>3183</v>
      </c>
      <c r="G1702" t="s">
        <v>3184</v>
      </c>
      <c r="H1702" t="s">
        <v>25</v>
      </c>
      <c r="I1702" t="s">
        <v>26</v>
      </c>
      <c r="J1702" t="s">
        <v>296</v>
      </c>
      <c r="K1702" t="s">
        <v>208</v>
      </c>
      <c r="L1702">
        <v>60610</v>
      </c>
      <c r="M1702" t="s">
        <v>104</v>
      </c>
      <c r="N1702" t="s">
        <v>1698</v>
      </c>
      <c r="O1702" t="s">
        <v>45</v>
      </c>
      <c r="P1702" t="s">
        <v>74</v>
      </c>
      <c r="Q1702" t="s">
        <v>1699</v>
      </c>
      <c r="R1702">
        <v>15.08</v>
      </c>
      <c r="S1702">
        <v>2</v>
      </c>
      <c r="T1702">
        <v>0.8</v>
      </c>
      <c r="U1702">
        <v>-22.62</v>
      </c>
      <c r="V1702" t="str">
        <f t="shared" si="26"/>
        <v>Neoma Murray</v>
      </c>
      <c r="W1702">
        <f>Table2[Profit]/Table2[Sales]</f>
        <v>-1.5</v>
      </c>
    </row>
    <row r="1703" spans="1:23" x14ac:dyDescent="0.25">
      <c r="A1703">
        <v>1702</v>
      </c>
      <c r="B1703" t="s">
        <v>6474</v>
      </c>
      <c r="C1703" s="1">
        <v>43038</v>
      </c>
      <c r="D1703" s="1">
        <v>43038</v>
      </c>
      <c r="E1703" t="s">
        <v>1278</v>
      </c>
      <c r="F1703" t="s">
        <v>2948</v>
      </c>
      <c r="G1703" t="s">
        <v>2949</v>
      </c>
      <c r="H1703" t="s">
        <v>25</v>
      </c>
      <c r="I1703" t="s">
        <v>26</v>
      </c>
      <c r="J1703" t="s">
        <v>808</v>
      </c>
      <c r="K1703" t="s">
        <v>103</v>
      </c>
      <c r="L1703">
        <v>75217</v>
      </c>
      <c r="M1703" t="s">
        <v>104</v>
      </c>
      <c r="N1703" t="s">
        <v>2013</v>
      </c>
      <c r="O1703" t="s">
        <v>31</v>
      </c>
      <c r="P1703" t="s">
        <v>64</v>
      </c>
      <c r="Q1703" t="s">
        <v>2014</v>
      </c>
      <c r="R1703">
        <v>16.192</v>
      </c>
      <c r="S1703">
        <v>2</v>
      </c>
      <c r="T1703">
        <v>0.6</v>
      </c>
      <c r="U1703">
        <v>-8.5007999999999999</v>
      </c>
      <c r="V1703" t="str">
        <f t="shared" si="26"/>
        <v>Ryan Akin</v>
      </c>
      <c r="W1703">
        <f>Table2[Profit]/Table2[Sales]</f>
        <v>-0.52500000000000002</v>
      </c>
    </row>
    <row r="1704" spans="1:23" x14ac:dyDescent="0.25">
      <c r="A1704">
        <v>1703</v>
      </c>
      <c r="B1704" t="s">
        <v>6475</v>
      </c>
      <c r="C1704" s="1">
        <v>42337</v>
      </c>
      <c r="D1704" s="1">
        <v>42338</v>
      </c>
      <c r="E1704" t="s">
        <v>1278</v>
      </c>
      <c r="F1704" t="s">
        <v>2331</v>
      </c>
      <c r="G1704" t="s">
        <v>2332</v>
      </c>
      <c r="H1704" t="s">
        <v>101</v>
      </c>
      <c r="I1704" t="s">
        <v>26</v>
      </c>
      <c r="J1704" t="s">
        <v>126</v>
      </c>
      <c r="K1704" t="s">
        <v>42</v>
      </c>
      <c r="L1704">
        <v>94122</v>
      </c>
      <c r="M1704" t="s">
        <v>43</v>
      </c>
      <c r="N1704" t="s">
        <v>287</v>
      </c>
      <c r="O1704" t="s">
        <v>45</v>
      </c>
      <c r="P1704" t="s">
        <v>74</v>
      </c>
      <c r="Q1704" t="s">
        <v>288</v>
      </c>
      <c r="R1704">
        <v>4.3040000000000003</v>
      </c>
      <c r="S1704">
        <v>1</v>
      </c>
      <c r="T1704">
        <v>0.2</v>
      </c>
      <c r="U1704">
        <v>1.5602</v>
      </c>
      <c r="V1704" t="str">
        <f t="shared" si="26"/>
        <v>Phillina Ober</v>
      </c>
      <c r="W1704">
        <f>Table2[Profit]/Table2[Sales]</f>
        <v>0.36249999999999999</v>
      </c>
    </row>
    <row r="1705" spans="1:23" x14ac:dyDescent="0.25">
      <c r="A1705">
        <v>1704</v>
      </c>
      <c r="B1705" t="s">
        <v>6476</v>
      </c>
      <c r="C1705" s="1">
        <v>41709</v>
      </c>
      <c r="D1705" s="1">
        <v>41712</v>
      </c>
      <c r="E1705" t="s">
        <v>22</v>
      </c>
      <c r="F1705" t="s">
        <v>4852</v>
      </c>
      <c r="G1705" t="s">
        <v>4853</v>
      </c>
      <c r="H1705" t="s">
        <v>25</v>
      </c>
      <c r="I1705" t="s">
        <v>26</v>
      </c>
      <c r="J1705" t="s">
        <v>263</v>
      </c>
      <c r="K1705" t="s">
        <v>264</v>
      </c>
      <c r="L1705">
        <v>10024</v>
      </c>
      <c r="M1705" t="s">
        <v>145</v>
      </c>
      <c r="N1705" t="s">
        <v>2165</v>
      </c>
      <c r="O1705" t="s">
        <v>45</v>
      </c>
      <c r="P1705" t="s">
        <v>89</v>
      </c>
      <c r="Q1705" t="s">
        <v>2166</v>
      </c>
      <c r="R1705">
        <v>108.92</v>
      </c>
      <c r="S1705">
        <v>14</v>
      </c>
      <c r="T1705">
        <v>0</v>
      </c>
      <c r="U1705">
        <v>49.014000000000003</v>
      </c>
      <c r="V1705" t="str">
        <f t="shared" si="26"/>
        <v>Kelly Andreada</v>
      </c>
      <c r="W1705">
        <f>Table2[Profit]/Table2[Sales]</f>
        <v>0.45</v>
      </c>
    </row>
    <row r="1706" spans="1:23" x14ac:dyDescent="0.25">
      <c r="A1706">
        <v>1705</v>
      </c>
      <c r="B1706" t="s">
        <v>6477</v>
      </c>
      <c r="C1706" s="1">
        <v>43058</v>
      </c>
      <c r="D1706" s="1">
        <v>43062</v>
      </c>
      <c r="E1706" t="s">
        <v>49</v>
      </c>
      <c r="F1706" t="s">
        <v>2079</v>
      </c>
      <c r="G1706" t="s">
        <v>2080</v>
      </c>
      <c r="H1706" t="s">
        <v>40</v>
      </c>
      <c r="I1706" t="s">
        <v>26</v>
      </c>
      <c r="J1706" t="s">
        <v>263</v>
      </c>
      <c r="K1706" t="s">
        <v>264</v>
      </c>
      <c r="L1706">
        <v>10011</v>
      </c>
      <c r="M1706" t="s">
        <v>145</v>
      </c>
      <c r="N1706" t="s">
        <v>1568</v>
      </c>
      <c r="O1706" t="s">
        <v>45</v>
      </c>
      <c r="P1706" t="s">
        <v>170</v>
      </c>
      <c r="Q1706" t="s">
        <v>662</v>
      </c>
      <c r="R1706">
        <v>16.739999999999998</v>
      </c>
      <c r="S1706">
        <v>3</v>
      </c>
      <c r="T1706">
        <v>0</v>
      </c>
      <c r="U1706">
        <v>8.3699999999999992</v>
      </c>
      <c r="V1706" t="str">
        <f t="shared" si="26"/>
        <v>Justin Deggeller</v>
      </c>
      <c r="W1706">
        <f>Table2[Profit]/Table2[Sales]</f>
        <v>0.5</v>
      </c>
    </row>
    <row r="1707" spans="1:23" x14ac:dyDescent="0.25">
      <c r="A1707">
        <v>1706</v>
      </c>
      <c r="B1707" t="s">
        <v>6478</v>
      </c>
      <c r="C1707" s="1">
        <v>42580</v>
      </c>
      <c r="D1707" s="1">
        <v>42584</v>
      </c>
      <c r="E1707" t="s">
        <v>49</v>
      </c>
      <c r="F1707" t="s">
        <v>6479</v>
      </c>
      <c r="G1707" t="s">
        <v>6480</v>
      </c>
      <c r="H1707" t="s">
        <v>40</v>
      </c>
      <c r="I1707" t="s">
        <v>26</v>
      </c>
      <c r="J1707" t="s">
        <v>143</v>
      </c>
      <c r="K1707" t="s">
        <v>144</v>
      </c>
      <c r="L1707">
        <v>19140</v>
      </c>
      <c r="M1707" t="s">
        <v>145</v>
      </c>
      <c r="N1707" t="s">
        <v>236</v>
      </c>
      <c r="O1707" t="s">
        <v>45</v>
      </c>
      <c r="P1707" t="s">
        <v>58</v>
      </c>
      <c r="Q1707" t="s">
        <v>237</v>
      </c>
      <c r="R1707">
        <v>84.784000000000006</v>
      </c>
      <c r="S1707">
        <v>2</v>
      </c>
      <c r="T1707">
        <v>0.2</v>
      </c>
      <c r="U1707">
        <v>-16.956800000000001</v>
      </c>
      <c r="V1707" t="str">
        <f t="shared" si="26"/>
        <v>Jack O'Briant</v>
      </c>
      <c r="W1707">
        <f>Table2[Profit]/Table2[Sales]</f>
        <v>-0.2</v>
      </c>
    </row>
    <row r="1708" spans="1:23" x14ac:dyDescent="0.25">
      <c r="A1708">
        <v>1707</v>
      </c>
      <c r="B1708" t="s">
        <v>6481</v>
      </c>
      <c r="C1708" s="1">
        <v>42167</v>
      </c>
      <c r="D1708" s="1">
        <v>42172</v>
      </c>
      <c r="E1708" t="s">
        <v>49</v>
      </c>
      <c r="F1708" t="s">
        <v>817</v>
      </c>
      <c r="G1708" t="s">
        <v>818</v>
      </c>
      <c r="H1708" t="s">
        <v>25</v>
      </c>
      <c r="I1708" t="s">
        <v>26</v>
      </c>
      <c r="J1708" t="s">
        <v>600</v>
      </c>
      <c r="K1708" t="s">
        <v>242</v>
      </c>
      <c r="L1708">
        <v>19711</v>
      </c>
      <c r="M1708" t="s">
        <v>145</v>
      </c>
      <c r="N1708" t="s">
        <v>4703</v>
      </c>
      <c r="O1708" t="s">
        <v>45</v>
      </c>
      <c r="P1708" t="s">
        <v>58</v>
      </c>
      <c r="Q1708" t="s">
        <v>4704</v>
      </c>
      <c r="R1708">
        <v>29.9</v>
      </c>
      <c r="S1708">
        <v>5</v>
      </c>
      <c r="T1708">
        <v>0</v>
      </c>
      <c r="U1708">
        <v>5.0830000000000002</v>
      </c>
      <c r="V1708" t="str">
        <f t="shared" si="26"/>
        <v>Laurel Elliston</v>
      </c>
      <c r="W1708">
        <f>Table2[Profit]/Table2[Sales]</f>
        <v>0.17</v>
      </c>
    </row>
    <row r="1709" spans="1:23" x14ac:dyDescent="0.25">
      <c r="A1709">
        <v>1708</v>
      </c>
      <c r="B1709" t="s">
        <v>6482</v>
      </c>
      <c r="C1709" s="1">
        <v>42588</v>
      </c>
      <c r="D1709" s="1">
        <v>42589</v>
      </c>
      <c r="E1709" t="s">
        <v>185</v>
      </c>
      <c r="F1709" t="s">
        <v>6483</v>
      </c>
      <c r="G1709" t="s">
        <v>6484</v>
      </c>
      <c r="H1709" t="s">
        <v>40</v>
      </c>
      <c r="I1709" t="s">
        <v>26</v>
      </c>
      <c r="J1709" t="s">
        <v>263</v>
      </c>
      <c r="K1709" t="s">
        <v>264</v>
      </c>
      <c r="L1709">
        <v>10024</v>
      </c>
      <c r="M1709" t="s">
        <v>145</v>
      </c>
      <c r="N1709" t="s">
        <v>1046</v>
      </c>
      <c r="O1709" t="s">
        <v>45</v>
      </c>
      <c r="P1709" t="s">
        <v>89</v>
      </c>
      <c r="Q1709" t="s">
        <v>183</v>
      </c>
      <c r="R1709">
        <v>70.88</v>
      </c>
      <c r="S1709">
        <v>2</v>
      </c>
      <c r="T1709">
        <v>0</v>
      </c>
      <c r="U1709">
        <v>33.313600000000001</v>
      </c>
      <c r="V1709" t="str">
        <f t="shared" si="26"/>
        <v>Anna Häberlin</v>
      </c>
      <c r="W1709">
        <f>Table2[Profit]/Table2[Sales]</f>
        <v>0.47000000000000003</v>
      </c>
    </row>
    <row r="1710" spans="1:23" x14ac:dyDescent="0.25">
      <c r="A1710">
        <v>1709</v>
      </c>
      <c r="B1710" t="s">
        <v>6485</v>
      </c>
      <c r="C1710" s="1">
        <v>42897</v>
      </c>
      <c r="D1710" s="1">
        <v>42901</v>
      </c>
      <c r="E1710" t="s">
        <v>49</v>
      </c>
      <c r="F1710" t="s">
        <v>5228</v>
      </c>
      <c r="G1710" t="s">
        <v>5229</v>
      </c>
      <c r="H1710" t="s">
        <v>101</v>
      </c>
      <c r="I1710" t="s">
        <v>26</v>
      </c>
      <c r="J1710" t="s">
        <v>1540</v>
      </c>
      <c r="K1710" t="s">
        <v>351</v>
      </c>
      <c r="L1710">
        <v>36830</v>
      </c>
      <c r="M1710" t="s">
        <v>29</v>
      </c>
      <c r="N1710" t="s">
        <v>3320</v>
      </c>
      <c r="O1710" t="s">
        <v>45</v>
      </c>
      <c r="P1710" t="s">
        <v>67</v>
      </c>
      <c r="Q1710" t="s">
        <v>3321</v>
      </c>
      <c r="R1710">
        <v>3.76</v>
      </c>
      <c r="S1710">
        <v>2</v>
      </c>
      <c r="T1710">
        <v>0</v>
      </c>
      <c r="U1710">
        <v>1.0904</v>
      </c>
      <c r="V1710" t="str">
        <f t="shared" si="26"/>
        <v>Kristina Nunn</v>
      </c>
      <c r="W1710">
        <f>Table2[Profit]/Table2[Sales]</f>
        <v>0.29000000000000004</v>
      </c>
    </row>
    <row r="1711" spans="1:23" x14ac:dyDescent="0.25">
      <c r="A1711">
        <v>1710</v>
      </c>
      <c r="B1711" t="s">
        <v>6486</v>
      </c>
      <c r="C1711" s="1">
        <v>42650</v>
      </c>
      <c r="D1711" s="1">
        <v>42656</v>
      </c>
      <c r="E1711" t="s">
        <v>49</v>
      </c>
      <c r="F1711" t="s">
        <v>5446</v>
      </c>
      <c r="G1711" t="s">
        <v>5447</v>
      </c>
      <c r="H1711" t="s">
        <v>25</v>
      </c>
      <c r="I1711" t="s">
        <v>26</v>
      </c>
      <c r="J1711" t="s">
        <v>41</v>
      </c>
      <c r="K1711" t="s">
        <v>42</v>
      </c>
      <c r="L1711">
        <v>90049</v>
      </c>
      <c r="M1711" t="s">
        <v>43</v>
      </c>
      <c r="N1711" t="s">
        <v>3167</v>
      </c>
      <c r="O1711" t="s">
        <v>45</v>
      </c>
      <c r="P1711" t="s">
        <v>74</v>
      </c>
      <c r="Q1711" t="s">
        <v>3168</v>
      </c>
      <c r="R1711">
        <v>27.263999999999999</v>
      </c>
      <c r="S1711">
        <v>2</v>
      </c>
      <c r="T1711">
        <v>0.2</v>
      </c>
      <c r="U1711">
        <v>8.8607999999999993</v>
      </c>
      <c r="V1711" t="str">
        <f t="shared" si="26"/>
        <v>Tim Brockman</v>
      </c>
      <c r="W1711">
        <f>Table2[Profit]/Table2[Sales]</f>
        <v>0.32500000000000001</v>
      </c>
    </row>
    <row r="1712" spans="1:23" x14ac:dyDescent="0.25">
      <c r="A1712">
        <v>1711</v>
      </c>
      <c r="B1712" t="s">
        <v>6487</v>
      </c>
      <c r="C1712" s="1">
        <v>41890</v>
      </c>
      <c r="D1712" s="1">
        <v>41896</v>
      </c>
      <c r="E1712" t="s">
        <v>49</v>
      </c>
      <c r="F1712" t="s">
        <v>4121</v>
      </c>
      <c r="G1712" t="s">
        <v>4122</v>
      </c>
      <c r="H1712" t="s">
        <v>101</v>
      </c>
      <c r="I1712" t="s">
        <v>26</v>
      </c>
      <c r="J1712" t="s">
        <v>126</v>
      </c>
      <c r="K1712" t="s">
        <v>42</v>
      </c>
      <c r="L1712">
        <v>94110</v>
      </c>
      <c r="M1712" t="s">
        <v>43</v>
      </c>
      <c r="N1712" t="s">
        <v>4715</v>
      </c>
      <c r="O1712" t="s">
        <v>45</v>
      </c>
      <c r="P1712" t="s">
        <v>77</v>
      </c>
      <c r="Q1712" t="s">
        <v>4716</v>
      </c>
      <c r="R1712">
        <v>56.65</v>
      </c>
      <c r="S1712">
        <v>5</v>
      </c>
      <c r="T1712">
        <v>0</v>
      </c>
      <c r="U1712">
        <v>24.359500000000001</v>
      </c>
      <c r="V1712" t="str">
        <f t="shared" si="26"/>
        <v>Dennis Pardue</v>
      </c>
      <c r="W1712">
        <f>Table2[Profit]/Table2[Sales]</f>
        <v>0.43000000000000005</v>
      </c>
    </row>
    <row r="1713" spans="1:23" x14ac:dyDescent="0.25">
      <c r="A1713">
        <v>1712</v>
      </c>
      <c r="B1713" t="s">
        <v>6488</v>
      </c>
      <c r="C1713" s="1">
        <v>41714</v>
      </c>
      <c r="D1713" s="1">
        <v>41719</v>
      </c>
      <c r="E1713" t="s">
        <v>22</v>
      </c>
      <c r="F1713" t="s">
        <v>5228</v>
      </c>
      <c r="G1713" t="s">
        <v>5229</v>
      </c>
      <c r="H1713" t="s">
        <v>101</v>
      </c>
      <c r="I1713" t="s">
        <v>26</v>
      </c>
      <c r="J1713" t="s">
        <v>4494</v>
      </c>
      <c r="K1713" t="s">
        <v>87</v>
      </c>
      <c r="L1713">
        <v>27604</v>
      </c>
      <c r="M1713" t="s">
        <v>29</v>
      </c>
      <c r="N1713" t="s">
        <v>6489</v>
      </c>
      <c r="O1713" t="s">
        <v>70</v>
      </c>
      <c r="P1713" t="s">
        <v>71</v>
      </c>
      <c r="Q1713" t="s">
        <v>6490</v>
      </c>
      <c r="R1713">
        <v>471.92</v>
      </c>
      <c r="S1713">
        <v>2</v>
      </c>
      <c r="T1713">
        <v>0.2</v>
      </c>
      <c r="U1713">
        <v>29.495000000000001</v>
      </c>
      <c r="V1713" t="str">
        <f t="shared" si="26"/>
        <v>Kristina Nunn</v>
      </c>
      <c r="W1713">
        <f>Table2[Profit]/Table2[Sales]</f>
        <v>6.25E-2</v>
      </c>
    </row>
    <row r="1714" spans="1:23" x14ac:dyDescent="0.25">
      <c r="A1714">
        <v>1713</v>
      </c>
      <c r="B1714" t="s">
        <v>6491</v>
      </c>
      <c r="C1714" s="1">
        <v>42064</v>
      </c>
      <c r="D1714" s="1">
        <v>42065</v>
      </c>
      <c r="E1714" t="s">
        <v>22</v>
      </c>
      <c r="F1714" t="s">
        <v>3790</v>
      </c>
      <c r="G1714" t="s">
        <v>3791</v>
      </c>
      <c r="H1714" t="s">
        <v>25</v>
      </c>
      <c r="I1714" t="s">
        <v>26</v>
      </c>
      <c r="J1714" t="s">
        <v>3486</v>
      </c>
      <c r="K1714" t="s">
        <v>1260</v>
      </c>
      <c r="L1714">
        <v>31204</v>
      </c>
      <c r="M1714" t="s">
        <v>29</v>
      </c>
      <c r="N1714" t="s">
        <v>3452</v>
      </c>
      <c r="O1714" t="s">
        <v>45</v>
      </c>
      <c r="P1714" t="s">
        <v>74</v>
      </c>
      <c r="Q1714" t="s">
        <v>3453</v>
      </c>
      <c r="R1714">
        <v>58.72</v>
      </c>
      <c r="S1714">
        <v>4</v>
      </c>
      <c r="T1714">
        <v>0</v>
      </c>
      <c r="U1714">
        <v>27.011199999999999</v>
      </c>
      <c r="V1714" t="str">
        <f t="shared" si="26"/>
        <v>Shui Tom</v>
      </c>
      <c r="W1714">
        <f>Table2[Profit]/Table2[Sales]</f>
        <v>0.45999999999999996</v>
      </c>
    </row>
    <row r="1715" spans="1:23" x14ac:dyDescent="0.25">
      <c r="A1715">
        <v>1714</v>
      </c>
      <c r="B1715" t="s">
        <v>6492</v>
      </c>
      <c r="C1715" s="1">
        <v>42194</v>
      </c>
      <c r="D1715" s="1">
        <v>42199</v>
      </c>
      <c r="E1715" t="s">
        <v>49</v>
      </c>
      <c r="F1715" t="s">
        <v>149</v>
      </c>
      <c r="G1715" t="s">
        <v>150</v>
      </c>
      <c r="H1715" t="s">
        <v>25</v>
      </c>
      <c r="I1715" t="s">
        <v>26</v>
      </c>
      <c r="J1715" t="s">
        <v>5545</v>
      </c>
      <c r="K1715" t="s">
        <v>328</v>
      </c>
      <c r="L1715">
        <v>37211</v>
      </c>
      <c r="M1715" t="s">
        <v>29</v>
      </c>
      <c r="N1715" t="s">
        <v>6493</v>
      </c>
      <c r="O1715" t="s">
        <v>45</v>
      </c>
      <c r="P1715" t="s">
        <v>67</v>
      </c>
      <c r="Q1715" t="s">
        <v>6494</v>
      </c>
      <c r="R1715">
        <v>5.16</v>
      </c>
      <c r="S1715">
        <v>3</v>
      </c>
      <c r="T1715">
        <v>0.2</v>
      </c>
      <c r="U1715">
        <v>0.83850000000000002</v>
      </c>
      <c r="V1715" t="str">
        <f t="shared" si="26"/>
        <v>Emily Burns</v>
      </c>
      <c r="W1715">
        <f>Table2[Profit]/Table2[Sales]</f>
        <v>0.16250000000000001</v>
      </c>
    </row>
    <row r="1716" spans="1:23" x14ac:dyDescent="0.25">
      <c r="A1716">
        <v>1715</v>
      </c>
      <c r="B1716" t="s">
        <v>6495</v>
      </c>
      <c r="C1716" s="1">
        <v>42420</v>
      </c>
      <c r="D1716" s="1">
        <v>42427</v>
      </c>
      <c r="E1716" t="s">
        <v>49</v>
      </c>
      <c r="F1716" t="s">
        <v>981</v>
      </c>
      <c r="G1716" t="s">
        <v>982</v>
      </c>
      <c r="H1716" t="s">
        <v>25</v>
      </c>
      <c r="I1716" t="s">
        <v>26</v>
      </c>
      <c r="J1716" t="s">
        <v>5545</v>
      </c>
      <c r="K1716" t="s">
        <v>328</v>
      </c>
      <c r="L1716">
        <v>37211</v>
      </c>
      <c r="M1716" t="s">
        <v>29</v>
      </c>
      <c r="N1716" t="s">
        <v>6496</v>
      </c>
      <c r="O1716" t="s">
        <v>45</v>
      </c>
      <c r="P1716" t="s">
        <v>89</v>
      </c>
      <c r="Q1716" t="s">
        <v>6497</v>
      </c>
      <c r="R1716">
        <v>16.495999999999999</v>
      </c>
      <c r="S1716">
        <v>2</v>
      </c>
      <c r="T1716">
        <v>0.2</v>
      </c>
      <c r="U1716">
        <v>5.5674000000000001</v>
      </c>
      <c r="V1716" t="str">
        <f t="shared" si="26"/>
        <v>Alan Hwang</v>
      </c>
      <c r="W1716">
        <f>Table2[Profit]/Table2[Sales]</f>
        <v>0.33750000000000002</v>
      </c>
    </row>
    <row r="1717" spans="1:23" x14ac:dyDescent="0.25">
      <c r="A1717">
        <v>1716</v>
      </c>
      <c r="B1717" t="s">
        <v>6498</v>
      </c>
      <c r="C1717" s="1">
        <v>42994</v>
      </c>
      <c r="D1717" s="1">
        <v>42996</v>
      </c>
      <c r="E1717" t="s">
        <v>185</v>
      </c>
      <c r="F1717" t="s">
        <v>4610</v>
      </c>
      <c r="G1717" t="s">
        <v>4611</v>
      </c>
      <c r="H1717" t="s">
        <v>25</v>
      </c>
      <c r="I1717" t="s">
        <v>26</v>
      </c>
      <c r="J1717" t="s">
        <v>143</v>
      </c>
      <c r="K1717" t="s">
        <v>144</v>
      </c>
      <c r="L1717">
        <v>19143</v>
      </c>
      <c r="M1717" t="s">
        <v>145</v>
      </c>
      <c r="N1717" t="s">
        <v>3911</v>
      </c>
      <c r="O1717" t="s">
        <v>70</v>
      </c>
      <c r="P1717" t="s">
        <v>158</v>
      </c>
      <c r="Q1717" t="s">
        <v>3912</v>
      </c>
      <c r="R1717">
        <v>71.975999999999999</v>
      </c>
      <c r="S1717">
        <v>3</v>
      </c>
      <c r="T1717">
        <v>0.2</v>
      </c>
      <c r="U1717">
        <v>19.793399999999998</v>
      </c>
      <c r="V1717" t="str">
        <f t="shared" si="26"/>
        <v>Adam Shillingsburg</v>
      </c>
      <c r="W1717">
        <f>Table2[Profit]/Table2[Sales]</f>
        <v>0.27499999999999997</v>
      </c>
    </row>
    <row r="1718" spans="1:23" x14ac:dyDescent="0.25">
      <c r="A1718">
        <v>1717</v>
      </c>
      <c r="B1718" t="s">
        <v>6499</v>
      </c>
      <c r="C1718" s="1">
        <v>43044</v>
      </c>
      <c r="D1718" s="1">
        <v>43049</v>
      </c>
      <c r="E1718" t="s">
        <v>22</v>
      </c>
      <c r="F1718" t="s">
        <v>5213</v>
      </c>
      <c r="G1718" t="s">
        <v>5214</v>
      </c>
      <c r="H1718" t="s">
        <v>40</v>
      </c>
      <c r="I1718" t="s">
        <v>26</v>
      </c>
      <c r="J1718" t="s">
        <v>808</v>
      </c>
      <c r="K1718" t="s">
        <v>103</v>
      </c>
      <c r="L1718">
        <v>75081</v>
      </c>
      <c r="M1718" t="s">
        <v>104</v>
      </c>
      <c r="N1718" t="s">
        <v>1367</v>
      </c>
      <c r="O1718" t="s">
        <v>70</v>
      </c>
      <c r="P1718" t="s">
        <v>71</v>
      </c>
      <c r="Q1718" t="s">
        <v>1368</v>
      </c>
      <c r="R1718">
        <v>492.76799999999997</v>
      </c>
      <c r="S1718">
        <v>4</v>
      </c>
      <c r="T1718">
        <v>0.2</v>
      </c>
      <c r="U1718">
        <v>55.436399999999999</v>
      </c>
      <c r="V1718" t="str">
        <f t="shared" si="26"/>
        <v>Elizabeth Moffitt</v>
      </c>
      <c r="W1718">
        <f>Table2[Profit]/Table2[Sales]</f>
        <v>0.1125</v>
      </c>
    </row>
    <row r="1719" spans="1:23" x14ac:dyDescent="0.25">
      <c r="A1719">
        <v>1718</v>
      </c>
      <c r="B1719" t="s">
        <v>6500</v>
      </c>
      <c r="C1719" s="1">
        <v>42055</v>
      </c>
      <c r="D1719" s="1">
        <v>42058</v>
      </c>
      <c r="E1719" t="s">
        <v>22</v>
      </c>
      <c r="F1719" t="s">
        <v>4852</v>
      </c>
      <c r="G1719" t="s">
        <v>4853</v>
      </c>
      <c r="H1719" t="s">
        <v>25</v>
      </c>
      <c r="I1719" t="s">
        <v>26</v>
      </c>
      <c r="J1719" t="s">
        <v>4823</v>
      </c>
      <c r="K1719" t="s">
        <v>781</v>
      </c>
      <c r="L1719">
        <v>8861</v>
      </c>
      <c r="M1719" t="s">
        <v>145</v>
      </c>
      <c r="N1719" t="s">
        <v>3402</v>
      </c>
      <c r="O1719" t="s">
        <v>45</v>
      </c>
      <c r="P1719" t="s">
        <v>67</v>
      </c>
      <c r="Q1719" t="s">
        <v>3403</v>
      </c>
      <c r="R1719">
        <v>286.79000000000002</v>
      </c>
      <c r="S1719">
        <v>7</v>
      </c>
      <c r="T1719">
        <v>0</v>
      </c>
      <c r="U1719">
        <v>74.565399999999997</v>
      </c>
      <c r="V1719" t="str">
        <f t="shared" si="26"/>
        <v>Kelly Andreada</v>
      </c>
      <c r="W1719">
        <f>Table2[Profit]/Table2[Sales]</f>
        <v>0.25999999999999995</v>
      </c>
    </row>
    <row r="1720" spans="1:23" x14ac:dyDescent="0.25">
      <c r="A1720">
        <v>1719</v>
      </c>
      <c r="B1720" t="s">
        <v>6501</v>
      </c>
      <c r="C1720" s="1">
        <v>42699</v>
      </c>
      <c r="D1720" s="1">
        <v>42704</v>
      </c>
      <c r="E1720" t="s">
        <v>49</v>
      </c>
      <c r="F1720" t="s">
        <v>6502</v>
      </c>
      <c r="G1720" t="s">
        <v>6503</v>
      </c>
      <c r="H1720" t="s">
        <v>101</v>
      </c>
      <c r="I1720" t="s">
        <v>26</v>
      </c>
      <c r="J1720" t="s">
        <v>1507</v>
      </c>
      <c r="K1720" t="s">
        <v>53</v>
      </c>
      <c r="L1720">
        <v>32216</v>
      </c>
      <c r="M1720" t="s">
        <v>29</v>
      </c>
      <c r="N1720" t="s">
        <v>322</v>
      </c>
      <c r="O1720" t="s">
        <v>45</v>
      </c>
      <c r="P1720" t="s">
        <v>89</v>
      </c>
      <c r="Q1720" t="s">
        <v>323</v>
      </c>
      <c r="R1720">
        <v>5.08</v>
      </c>
      <c r="S1720">
        <v>1</v>
      </c>
      <c r="T1720">
        <v>0.2</v>
      </c>
      <c r="U1720">
        <v>1.651</v>
      </c>
      <c r="V1720" t="str">
        <f t="shared" si="26"/>
        <v>Heather Jas</v>
      </c>
      <c r="W1720">
        <f>Table2[Profit]/Table2[Sales]</f>
        <v>0.32500000000000001</v>
      </c>
    </row>
    <row r="1721" spans="1:23" x14ac:dyDescent="0.25">
      <c r="A1721">
        <v>1720</v>
      </c>
      <c r="B1721" t="s">
        <v>6504</v>
      </c>
      <c r="C1721" s="1">
        <v>43072</v>
      </c>
      <c r="D1721" s="1">
        <v>43074</v>
      </c>
      <c r="E1721" t="s">
        <v>22</v>
      </c>
      <c r="F1721" t="s">
        <v>3660</v>
      </c>
      <c r="G1721" t="s">
        <v>3661</v>
      </c>
      <c r="H1721" t="s">
        <v>25</v>
      </c>
      <c r="I1721" t="s">
        <v>26</v>
      </c>
      <c r="J1721" t="s">
        <v>1507</v>
      </c>
      <c r="K1721" t="s">
        <v>53</v>
      </c>
      <c r="L1721">
        <v>32216</v>
      </c>
      <c r="M1721" t="s">
        <v>29</v>
      </c>
      <c r="N1721" t="s">
        <v>3344</v>
      </c>
      <c r="O1721" t="s">
        <v>70</v>
      </c>
      <c r="P1721" t="s">
        <v>158</v>
      </c>
      <c r="Q1721" t="s">
        <v>3345</v>
      </c>
      <c r="R1721">
        <v>47.991999999999997</v>
      </c>
      <c r="S1721">
        <v>1</v>
      </c>
      <c r="T1721">
        <v>0.2</v>
      </c>
      <c r="U1721">
        <v>7.1988000000000003</v>
      </c>
      <c r="V1721" t="str">
        <f t="shared" si="26"/>
        <v>Natalie DeCherney</v>
      </c>
      <c r="W1721">
        <f>Table2[Profit]/Table2[Sales]</f>
        <v>0.15000000000000002</v>
      </c>
    </row>
    <row r="1722" spans="1:23" x14ac:dyDescent="0.25">
      <c r="A1722">
        <v>1721</v>
      </c>
      <c r="B1722" t="s">
        <v>6505</v>
      </c>
      <c r="C1722" s="1">
        <v>42257</v>
      </c>
      <c r="D1722" s="1">
        <v>42261</v>
      </c>
      <c r="E1722" t="s">
        <v>49</v>
      </c>
      <c r="F1722" t="s">
        <v>4664</v>
      </c>
      <c r="G1722" t="s">
        <v>4665</v>
      </c>
      <c r="H1722" t="s">
        <v>40</v>
      </c>
      <c r="I1722" t="s">
        <v>26</v>
      </c>
      <c r="J1722" t="s">
        <v>6417</v>
      </c>
      <c r="K1722" t="s">
        <v>1233</v>
      </c>
      <c r="L1722">
        <v>2151</v>
      </c>
      <c r="M1722" t="s">
        <v>145</v>
      </c>
      <c r="N1722" t="s">
        <v>5056</v>
      </c>
      <c r="O1722" t="s">
        <v>45</v>
      </c>
      <c r="P1722" t="s">
        <v>77</v>
      </c>
      <c r="Q1722" t="s">
        <v>5057</v>
      </c>
      <c r="R1722">
        <v>61.96</v>
      </c>
      <c r="S1722">
        <v>2</v>
      </c>
      <c r="T1722">
        <v>0</v>
      </c>
      <c r="U1722">
        <v>16.1096</v>
      </c>
      <c r="V1722" t="str">
        <f t="shared" si="26"/>
        <v>Edward Hooks</v>
      </c>
      <c r="W1722">
        <f>Table2[Profit]/Table2[Sales]</f>
        <v>0.26</v>
      </c>
    </row>
    <row r="1723" spans="1:23" x14ac:dyDescent="0.25">
      <c r="A1723">
        <v>1722</v>
      </c>
      <c r="B1723" t="s">
        <v>6506</v>
      </c>
      <c r="C1723" s="1">
        <v>42718</v>
      </c>
      <c r="D1723" s="1">
        <v>42723</v>
      </c>
      <c r="E1723" t="s">
        <v>49</v>
      </c>
      <c r="F1723" t="s">
        <v>2193</v>
      </c>
      <c r="G1723" t="s">
        <v>2194</v>
      </c>
      <c r="H1723" t="s">
        <v>25</v>
      </c>
      <c r="I1723" t="s">
        <v>26</v>
      </c>
      <c r="J1723" t="s">
        <v>321</v>
      </c>
      <c r="K1723" t="s">
        <v>1473</v>
      </c>
      <c r="L1723">
        <v>39212</v>
      </c>
      <c r="M1723" t="s">
        <v>29</v>
      </c>
      <c r="N1723" t="s">
        <v>5575</v>
      </c>
      <c r="O1723" t="s">
        <v>31</v>
      </c>
      <c r="P1723" t="s">
        <v>64</v>
      </c>
      <c r="Q1723" t="s">
        <v>5576</v>
      </c>
      <c r="R1723">
        <v>133.38</v>
      </c>
      <c r="S1723">
        <v>6</v>
      </c>
      <c r="T1723">
        <v>0</v>
      </c>
      <c r="U1723">
        <v>58.687199999999997</v>
      </c>
      <c r="V1723" t="str">
        <f t="shared" si="26"/>
        <v>Michael Chen</v>
      </c>
      <c r="W1723">
        <f>Table2[Profit]/Table2[Sales]</f>
        <v>0.44</v>
      </c>
    </row>
    <row r="1724" spans="1:23" x14ac:dyDescent="0.25">
      <c r="A1724">
        <v>1723</v>
      </c>
      <c r="B1724" t="s">
        <v>6507</v>
      </c>
      <c r="C1724" s="1">
        <v>42100</v>
      </c>
      <c r="D1724" s="1">
        <v>42104</v>
      </c>
      <c r="E1724" t="s">
        <v>49</v>
      </c>
      <c r="F1724" t="s">
        <v>6508</v>
      </c>
      <c r="G1724" t="s">
        <v>6509</v>
      </c>
      <c r="H1724" t="s">
        <v>25</v>
      </c>
      <c r="I1724" t="s">
        <v>26</v>
      </c>
      <c r="J1724" t="s">
        <v>1507</v>
      </c>
      <c r="K1724" t="s">
        <v>87</v>
      </c>
      <c r="L1724">
        <v>28540</v>
      </c>
      <c r="M1724" t="s">
        <v>29</v>
      </c>
      <c r="N1724" t="s">
        <v>2613</v>
      </c>
      <c r="O1724" t="s">
        <v>45</v>
      </c>
      <c r="P1724" t="s">
        <v>89</v>
      </c>
      <c r="Q1724" t="s">
        <v>2614</v>
      </c>
      <c r="R1724">
        <v>47.951999999999998</v>
      </c>
      <c r="S1724">
        <v>3</v>
      </c>
      <c r="T1724">
        <v>0.2</v>
      </c>
      <c r="U1724">
        <v>16.183800000000002</v>
      </c>
      <c r="V1724" t="str">
        <f t="shared" si="26"/>
        <v>Mark Hamilton</v>
      </c>
      <c r="W1724">
        <f>Table2[Profit]/Table2[Sales]</f>
        <v>0.33750000000000002</v>
      </c>
    </row>
    <row r="1725" spans="1:23" x14ac:dyDescent="0.25">
      <c r="A1725">
        <v>1724</v>
      </c>
      <c r="B1725" t="s">
        <v>6510</v>
      </c>
      <c r="C1725" s="1">
        <v>42705</v>
      </c>
      <c r="D1725" s="1">
        <v>42709</v>
      </c>
      <c r="E1725" t="s">
        <v>49</v>
      </c>
      <c r="F1725" t="s">
        <v>4008</v>
      </c>
      <c r="G1725" t="s">
        <v>4009</v>
      </c>
      <c r="H1725" t="s">
        <v>25</v>
      </c>
      <c r="I1725" t="s">
        <v>26</v>
      </c>
      <c r="J1725" t="s">
        <v>126</v>
      </c>
      <c r="K1725" t="s">
        <v>42</v>
      </c>
      <c r="L1725">
        <v>94122</v>
      </c>
      <c r="M1725" t="s">
        <v>43</v>
      </c>
      <c r="N1725" t="s">
        <v>3436</v>
      </c>
      <c r="O1725" t="s">
        <v>31</v>
      </c>
      <c r="P1725" t="s">
        <v>64</v>
      </c>
      <c r="Q1725" t="s">
        <v>3437</v>
      </c>
      <c r="R1725">
        <v>16.739999999999998</v>
      </c>
      <c r="S1725">
        <v>2</v>
      </c>
      <c r="T1725">
        <v>0</v>
      </c>
      <c r="U1725">
        <v>4.3524000000000003</v>
      </c>
      <c r="V1725" t="str">
        <f t="shared" si="26"/>
        <v>Carl Ludwig</v>
      </c>
      <c r="W1725">
        <f>Table2[Profit]/Table2[Sales]</f>
        <v>0.26000000000000006</v>
      </c>
    </row>
    <row r="1726" spans="1:23" x14ac:dyDescent="0.25">
      <c r="A1726">
        <v>1725</v>
      </c>
      <c r="B1726" t="s">
        <v>6511</v>
      </c>
      <c r="C1726" s="1">
        <v>43051</v>
      </c>
      <c r="D1726" s="1">
        <v>43056</v>
      </c>
      <c r="E1726" t="s">
        <v>49</v>
      </c>
      <c r="F1726" t="s">
        <v>2027</v>
      </c>
      <c r="G1726" t="s">
        <v>2028</v>
      </c>
      <c r="H1726" t="s">
        <v>40</v>
      </c>
      <c r="I1726" t="s">
        <v>26</v>
      </c>
      <c r="J1726" t="s">
        <v>490</v>
      </c>
      <c r="K1726" t="s">
        <v>491</v>
      </c>
      <c r="L1726">
        <v>43229</v>
      </c>
      <c r="M1726" t="s">
        <v>145</v>
      </c>
      <c r="N1726" t="s">
        <v>3787</v>
      </c>
      <c r="O1726" t="s">
        <v>45</v>
      </c>
      <c r="P1726" t="s">
        <v>89</v>
      </c>
      <c r="Q1726" t="s">
        <v>3788</v>
      </c>
      <c r="R1726">
        <v>10.848000000000001</v>
      </c>
      <c r="S1726">
        <v>2</v>
      </c>
      <c r="T1726">
        <v>0.2</v>
      </c>
      <c r="U1726">
        <v>3.5255999999999998</v>
      </c>
      <c r="V1726" t="str">
        <f t="shared" si="26"/>
        <v>Sylvia Foulston</v>
      </c>
      <c r="W1726">
        <f>Table2[Profit]/Table2[Sales]</f>
        <v>0.32499999999999996</v>
      </c>
    </row>
    <row r="1727" spans="1:23" x14ac:dyDescent="0.25">
      <c r="A1727">
        <v>1726</v>
      </c>
      <c r="B1727" t="s">
        <v>6512</v>
      </c>
      <c r="C1727" s="1">
        <v>42797</v>
      </c>
      <c r="D1727" s="1">
        <v>42804</v>
      </c>
      <c r="E1727" t="s">
        <v>49</v>
      </c>
      <c r="F1727" t="s">
        <v>1803</v>
      </c>
      <c r="G1727" t="s">
        <v>1804</v>
      </c>
      <c r="H1727" t="s">
        <v>25</v>
      </c>
      <c r="I1727" t="s">
        <v>26</v>
      </c>
      <c r="J1727" t="s">
        <v>6513</v>
      </c>
      <c r="K1727" t="s">
        <v>235</v>
      </c>
      <c r="L1727">
        <v>48127</v>
      </c>
      <c r="M1727" t="s">
        <v>104</v>
      </c>
      <c r="N1727" t="s">
        <v>1268</v>
      </c>
      <c r="O1727" t="s">
        <v>31</v>
      </c>
      <c r="P1727" t="s">
        <v>35</v>
      </c>
      <c r="Q1727" t="s">
        <v>1269</v>
      </c>
      <c r="R1727">
        <v>180.98</v>
      </c>
      <c r="S1727">
        <v>1</v>
      </c>
      <c r="T1727">
        <v>0</v>
      </c>
      <c r="U1727">
        <v>47.0548</v>
      </c>
      <c r="V1727" t="str">
        <f t="shared" si="26"/>
        <v>Emily Phan</v>
      </c>
      <c r="W1727">
        <f>Table2[Profit]/Table2[Sales]</f>
        <v>0.26</v>
      </c>
    </row>
    <row r="1728" spans="1:23" x14ac:dyDescent="0.25">
      <c r="A1728">
        <v>1727</v>
      </c>
      <c r="B1728" t="s">
        <v>6514</v>
      </c>
      <c r="C1728" s="1">
        <v>42701</v>
      </c>
      <c r="D1728" s="1">
        <v>42704</v>
      </c>
      <c r="E1728" t="s">
        <v>185</v>
      </c>
      <c r="F1728" t="s">
        <v>2768</v>
      </c>
      <c r="G1728" t="s">
        <v>2769</v>
      </c>
      <c r="H1728" t="s">
        <v>40</v>
      </c>
      <c r="I1728" t="s">
        <v>26</v>
      </c>
      <c r="J1728" t="s">
        <v>6347</v>
      </c>
      <c r="K1728" t="s">
        <v>4436</v>
      </c>
      <c r="L1728">
        <v>66212</v>
      </c>
      <c r="M1728" t="s">
        <v>104</v>
      </c>
      <c r="N1728" t="s">
        <v>285</v>
      </c>
      <c r="O1728" t="s">
        <v>70</v>
      </c>
      <c r="P1728" t="s">
        <v>158</v>
      </c>
      <c r="Q1728" t="s">
        <v>286</v>
      </c>
      <c r="R1728">
        <v>34.950000000000003</v>
      </c>
      <c r="S1728">
        <v>5</v>
      </c>
      <c r="T1728">
        <v>0</v>
      </c>
      <c r="U1728">
        <v>15.378</v>
      </c>
      <c r="V1728" t="str">
        <f t="shared" si="26"/>
        <v>Rob Williams</v>
      </c>
      <c r="W1728">
        <f>Table2[Profit]/Table2[Sales]</f>
        <v>0.43999999999999995</v>
      </c>
    </row>
    <row r="1729" spans="1:23" x14ac:dyDescent="0.25">
      <c r="A1729">
        <v>1728</v>
      </c>
      <c r="B1729" t="s">
        <v>6515</v>
      </c>
      <c r="C1729" s="1">
        <v>41882</v>
      </c>
      <c r="D1729" s="1">
        <v>41887</v>
      </c>
      <c r="E1729" t="s">
        <v>49</v>
      </c>
      <c r="F1729" t="s">
        <v>704</v>
      </c>
      <c r="G1729" t="s">
        <v>705</v>
      </c>
      <c r="H1729" t="s">
        <v>25</v>
      </c>
      <c r="I1729" t="s">
        <v>26</v>
      </c>
      <c r="J1729" t="s">
        <v>6516</v>
      </c>
      <c r="K1729" t="s">
        <v>660</v>
      </c>
      <c r="L1729">
        <v>87505</v>
      </c>
      <c r="M1729" t="s">
        <v>43</v>
      </c>
      <c r="N1729" t="s">
        <v>5601</v>
      </c>
      <c r="O1729" t="s">
        <v>70</v>
      </c>
      <c r="P1729" t="s">
        <v>158</v>
      </c>
      <c r="Q1729" t="s">
        <v>5602</v>
      </c>
      <c r="R1729">
        <v>92.52</v>
      </c>
      <c r="S1729">
        <v>9</v>
      </c>
      <c r="T1729">
        <v>0</v>
      </c>
      <c r="U1729">
        <v>18.504000000000001</v>
      </c>
      <c r="V1729" t="str">
        <f t="shared" si="26"/>
        <v>Shirley Jackson</v>
      </c>
      <c r="W1729">
        <f>Table2[Profit]/Table2[Sales]</f>
        <v>0.2</v>
      </c>
    </row>
    <row r="1730" spans="1:23" x14ac:dyDescent="0.25">
      <c r="A1730">
        <v>1729</v>
      </c>
      <c r="B1730" t="s">
        <v>6517</v>
      </c>
      <c r="C1730" s="1">
        <v>42712</v>
      </c>
      <c r="D1730" s="1">
        <v>42718</v>
      </c>
      <c r="E1730" t="s">
        <v>49</v>
      </c>
      <c r="F1730" t="s">
        <v>3360</v>
      </c>
      <c r="G1730" t="s">
        <v>3361</v>
      </c>
      <c r="H1730" t="s">
        <v>40</v>
      </c>
      <c r="I1730" t="s">
        <v>26</v>
      </c>
      <c r="J1730" t="s">
        <v>126</v>
      </c>
      <c r="K1730" t="s">
        <v>42</v>
      </c>
      <c r="L1730">
        <v>94110</v>
      </c>
      <c r="M1730" t="s">
        <v>43</v>
      </c>
      <c r="N1730" t="s">
        <v>127</v>
      </c>
      <c r="O1730" t="s">
        <v>45</v>
      </c>
      <c r="P1730" t="s">
        <v>67</v>
      </c>
      <c r="Q1730" t="s">
        <v>128</v>
      </c>
      <c r="R1730">
        <v>8.56</v>
      </c>
      <c r="S1730">
        <v>2</v>
      </c>
      <c r="T1730">
        <v>0</v>
      </c>
      <c r="U1730">
        <v>2.4824000000000002</v>
      </c>
      <c r="V1730" t="str">
        <f t="shared" si="26"/>
        <v>Stefania Perrino</v>
      </c>
      <c r="W1730">
        <f>Table2[Profit]/Table2[Sales]</f>
        <v>0.28999999999999998</v>
      </c>
    </row>
    <row r="1731" spans="1:23" x14ac:dyDescent="0.25">
      <c r="A1731">
        <v>1730</v>
      </c>
      <c r="B1731" t="s">
        <v>6520</v>
      </c>
      <c r="C1731" s="1">
        <v>41736</v>
      </c>
      <c r="D1731" s="1">
        <v>41739</v>
      </c>
      <c r="E1731" t="s">
        <v>185</v>
      </c>
      <c r="F1731" t="s">
        <v>2509</v>
      </c>
      <c r="G1731" t="s">
        <v>2510</v>
      </c>
      <c r="H1731" t="s">
        <v>25</v>
      </c>
      <c r="I1731" t="s">
        <v>26</v>
      </c>
      <c r="J1731" t="s">
        <v>3829</v>
      </c>
      <c r="K1731" t="s">
        <v>351</v>
      </c>
      <c r="L1731">
        <v>36608</v>
      </c>
      <c r="M1731" t="s">
        <v>29</v>
      </c>
      <c r="N1731" t="s">
        <v>4184</v>
      </c>
      <c r="O1731" t="s">
        <v>31</v>
      </c>
      <c r="P1731" t="s">
        <v>64</v>
      </c>
      <c r="Q1731" t="s">
        <v>4185</v>
      </c>
      <c r="R1731">
        <v>8.9600000000000009</v>
      </c>
      <c r="S1731">
        <v>2</v>
      </c>
      <c r="T1731">
        <v>0</v>
      </c>
      <c r="U1731">
        <v>2.7776000000000001</v>
      </c>
      <c r="V1731" t="str">
        <f t="shared" ref="V1731:V1794" si="27">TRIM(G1731)</f>
        <v>Pauline Johnson</v>
      </c>
      <c r="W1731">
        <f>Table2[Profit]/Table2[Sales]</f>
        <v>0.31</v>
      </c>
    </row>
    <row r="1732" spans="1:23" x14ac:dyDescent="0.25">
      <c r="A1732">
        <v>1731</v>
      </c>
      <c r="B1732" t="s">
        <v>6521</v>
      </c>
      <c r="C1732" s="1">
        <v>41878</v>
      </c>
      <c r="D1732" s="1">
        <v>41880</v>
      </c>
      <c r="E1732" t="s">
        <v>185</v>
      </c>
      <c r="F1732" t="s">
        <v>4849</v>
      </c>
      <c r="G1732" t="s">
        <v>4850</v>
      </c>
      <c r="H1732" t="s">
        <v>40</v>
      </c>
      <c r="I1732" t="s">
        <v>26</v>
      </c>
      <c r="J1732" t="s">
        <v>311</v>
      </c>
      <c r="K1732" t="s">
        <v>312</v>
      </c>
      <c r="L1732">
        <v>22153</v>
      </c>
      <c r="M1732" t="s">
        <v>29</v>
      </c>
      <c r="N1732" t="s">
        <v>4438</v>
      </c>
      <c r="O1732" t="s">
        <v>70</v>
      </c>
      <c r="P1732" t="s">
        <v>71</v>
      </c>
      <c r="Q1732" t="s">
        <v>4439</v>
      </c>
      <c r="R1732">
        <v>579.95000000000005</v>
      </c>
      <c r="S1732">
        <v>5</v>
      </c>
      <c r="T1732">
        <v>0</v>
      </c>
      <c r="U1732">
        <v>168.18549999999999</v>
      </c>
      <c r="V1732" t="str">
        <f t="shared" si="27"/>
        <v>Corey Catlett</v>
      </c>
      <c r="W1732">
        <f>Table2[Profit]/Table2[Sales]</f>
        <v>0.28999999999999998</v>
      </c>
    </row>
    <row r="1733" spans="1:23" x14ac:dyDescent="0.25">
      <c r="A1733">
        <v>1732</v>
      </c>
      <c r="B1733" t="s">
        <v>6522</v>
      </c>
      <c r="C1733" s="1">
        <v>42664</v>
      </c>
      <c r="D1733" s="1">
        <v>42669</v>
      </c>
      <c r="E1733" t="s">
        <v>49</v>
      </c>
      <c r="F1733" t="s">
        <v>4107</v>
      </c>
      <c r="G1733" t="s">
        <v>4108</v>
      </c>
      <c r="H1733" t="s">
        <v>40</v>
      </c>
      <c r="I1733" t="s">
        <v>26</v>
      </c>
      <c r="J1733" t="s">
        <v>600</v>
      </c>
      <c r="K1733" t="s">
        <v>242</v>
      </c>
      <c r="L1733">
        <v>19711</v>
      </c>
      <c r="M1733" t="s">
        <v>145</v>
      </c>
      <c r="N1733" t="s">
        <v>3503</v>
      </c>
      <c r="O1733" t="s">
        <v>45</v>
      </c>
      <c r="P1733" t="s">
        <v>74</v>
      </c>
      <c r="Q1733" t="s">
        <v>3504</v>
      </c>
      <c r="R1733">
        <v>7.92</v>
      </c>
      <c r="S1733">
        <v>4</v>
      </c>
      <c r="T1733">
        <v>0</v>
      </c>
      <c r="U1733">
        <v>3.5640000000000001</v>
      </c>
      <c r="V1733" t="str">
        <f t="shared" si="27"/>
        <v>Muhammed Yedwab</v>
      </c>
      <c r="W1733">
        <f>Table2[Profit]/Table2[Sales]</f>
        <v>0.45</v>
      </c>
    </row>
    <row r="1734" spans="1:23" x14ac:dyDescent="0.25">
      <c r="A1734">
        <v>1733</v>
      </c>
      <c r="B1734" t="s">
        <v>6523</v>
      </c>
      <c r="C1734" s="1">
        <v>42704</v>
      </c>
      <c r="D1734" s="1">
        <v>42704</v>
      </c>
      <c r="E1734" t="s">
        <v>1278</v>
      </c>
      <c r="F1734" t="s">
        <v>1748</v>
      </c>
      <c r="G1734" t="s">
        <v>1749</v>
      </c>
      <c r="H1734" t="s">
        <v>25</v>
      </c>
      <c r="I1734" t="s">
        <v>26</v>
      </c>
      <c r="J1734" t="s">
        <v>6524</v>
      </c>
      <c r="K1734" t="s">
        <v>87</v>
      </c>
      <c r="L1734">
        <v>28601</v>
      </c>
      <c r="M1734" t="s">
        <v>29</v>
      </c>
      <c r="N1734" t="s">
        <v>5707</v>
      </c>
      <c r="O1734" t="s">
        <v>70</v>
      </c>
      <c r="P1734" t="s">
        <v>71</v>
      </c>
      <c r="Q1734" t="s">
        <v>5708</v>
      </c>
      <c r="R1734">
        <v>36.192</v>
      </c>
      <c r="S1734">
        <v>1</v>
      </c>
      <c r="T1734">
        <v>0.2</v>
      </c>
      <c r="U1734">
        <v>2.7143999999999999</v>
      </c>
      <c r="V1734" t="str">
        <f t="shared" si="27"/>
        <v>Dean Braden</v>
      </c>
      <c r="W1734">
        <f>Table2[Profit]/Table2[Sales]</f>
        <v>7.4999999999999997E-2</v>
      </c>
    </row>
    <row r="1735" spans="1:23" x14ac:dyDescent="0.25">
      <c r="A1735">
        <v>1734</v>
      </c>
      <c r="B1735" t="s">
        <v>6525</v>
      </c>
      <c r="C1735" s="1">
        <v>42983</v>
      </c>
      <c r="D1735" s="1">
        <v>42989</v>
      </c>
      <c r="E1735" t="s">
        <v>49</v>
      </c>
      <c r="F1735" t="s">
        <v>6062</v>
      </c>
      <c r="G1735" t="s">
        <v>6063</v>
      </c>
      <c r="H1735" t="s">
        <v>101</v>
      </c>
      <c r="I1735" t="s">
        <v>26</v>
      </c>
      <c r="J1735" t="s">
        <v>52</v>
      </c>
      <c r="K1735" t="s">
        <v>53</v>
      </c>
      <c r="L1735">
        <v>33311</v>
      </c>
      <c r="M1735" t="s">
        <v>29</v>
      </c>
      <c r="N1735" t="s">
        <v>832</v>
      </c>
      <c r="O1735" t="s">
        <v>45</v>
      </c>
      <c r="P1735" t="s">
        <v>58</v>
      </c>
      <c r="Q1735" t="s">
        <v>833</v>
      </c>
      <c r="R1735">
        <v>147.184</v>
      </c>
      <c r="S1735">
        <v>2</v>
      </c>
      <c r="T1735">
        <v>0.2</v>
      </c>
      <c r="U1735">
        <v>-29.436800000000002</v>
      </c>
      <c r="V1735" t="str">
        <f t="shared" si="27"/>
        <v>Michael Grace</v>
      </c>
      <c r="W1735">
        <f>Table2[Profit]/Table2[Sales]</f>
        <v>-0.2</v>
      </c>
    </row>
    <row r="1736" spans="1:23" x14ac:dyDescent="0.25">
      <c r="A1736">
        <v>1735</v>
      </c>
      <c r="B1736" t="s">
        <v>6526</v>
      </c>
      <c r="C1736" s="1">
        <v>42187</v>
      </c>
      <c r="D1736" s="1">
        <v>42191</v>
      </c>
      <c r="E1736" t="s">
        <v>49</v>
      </c>
      <c r="F1736" t="s">
        <v>5022</v>
      </c>
      <c r="G1736" t="s">
        <v>5023</v>
      </c>
      <c r="H1736" t="s">
        <v>25</v>
      </c>
      <c r="I1736" t="s">
        <v>26</v>
      </c>
      <c r="J1736" t="s">
        <v>6527</v>
      </c>
      <c r="K1736" t="s">
        <v>208</v>
      </c>
      <c r="L1736">
        <v>60188</v>
      </c>
      <c r="M1736" t="s">
        <v>104</v>
      </c>
      <c r="N1736" t="s">
        <v>1128</v>
      </c>
      <c r="O1736" t="s">
        <v>31</v>
      </c>
      <c r="P1736" t="s">
        <v>35</v>
      </c>
      <c r="Q1736" t="s">
        <v>1129</v>
      </c>
      <c r="R1736">
        <v>408.42200000000003</v>
      </c>
      <c r="S1736">
        <v>2</v>
      </c>
      <c r="T1736">
        <v>0.3</v>
      </c>
      <c r="U1736">
        <v>-5.8346</v>
      </c>
      <c r="V1736" t="str">
        <f t="shared" si="27"/>
        <v>Rob Haberlin</v>
      </c>
      <c r="W1736">
        <f>Table2[Profit]/Table2[Sales]</f>
        <v>-1.4285714285714285E-2</v>
      </c>
    </row>
    <row r="1737" spans="1:23" x14ac:dyDescent="0.25">
      <c r="A1737">
        <v>1736</v>
      </c>
      <c r="B1737" t="s">
        <v>6528</v>
      </c>
      <c r="C1737" s="1">
        <v>43002</v>
      </c>
      <c r="D1737" s="1">
        <v>43006</v>
      </c>
      <c r="E1737" t="s">
        <v>49</v>
      </c>
      <c r="F1737" t="s">
        <v>1781</v>
      </c>
      <c r="G1737" t="s">
        <v>1782</v>
      </c>
      <c r="H1737" t="s">
        <v>40</v>
      </c>
      <c r="I1737" t="s">
        <v>26</v>
      </c>
      <c r="J1737" t="s">
        <v>6529</v>
      </c>
      <c r="K1737" t="s">
        <v>226</v>
      </c>
      <c r="L1737">
        <v>56301</v>
      </c>
      <c r="M1737" t="s">
        <v>104</v>
      </c>
      <c r="N1737" t="s">
        <v>6530</v>
      </c>
      <c r="O1737" t="s">
        <v>70</v>
      </c>
      <c r="P1737" t="s">
        <v>158</v>
      </c>
      <c r="Q1737" t="s">
        <v>6531</v>
      </c>
      <c r="R1737">
        <v>72</v>
      </c>
      <c r="S1737">
        <v>4</v>
      </c>
      <c r="T1737">
        <v>0</v>
      </c>
      <c r="U1737">
        <v>12.96</v>
      </c>
      <c r="V1737" t="str">
        <f t="shared" si="27"/>
        <v>Karen Bern</v>
      </c>
      <c r="W1737">
        <f>Table2[Profit]/Table2[Sales]</f>
        <v>0.18000000000000002</v>
      </c>
    </row>
    <row r="1738" spans="1:23" x14ac:dyDescent="0.25">
      <c r="A1738">
        <v>1737</v>
      </c>
      <c r="B1738" t="s">
        <v>6534</v>
      </c>
      <c r="C1738" s="1">
        <v>42590</v>
      </c>
      <c r="D1738" s="1">
        <v>42597</v>
      </c>
      <c r="E1738" t="s">
        <v>49</v>
      </c>
      <c r="F1738" t="s">
        <v>3315</v>
      </c>
      <c r="G1738" t="s">
        <v>3316</v>
      </c>
      <c r="H1738" t="s">
        <v>101</v>
      </c>
      <c r="I1738" t="s">
        <v>26</v>
      </c>
      <c r="J1738" t="s">
        <v>41</v>
      </c>
      <c r="K1738" t="s">
        <v>42</v>
      </c>
      <c r="L1738">
        <v>90036</v>
      </c>
      <c r="M1738" t="s">
        <v>43</v>
      </c>
      <c r="N1738" t="s">
        <v>3262</v>
      </c>
      <c r="O1738" t="s">
        <v>31</v>
      </c>
      <c r="P1738" t="s">
        <v>55</v>
      </c>
      <c r="Q1738" t="s">
        <v>3263</v>
      </c>
      <c r="R1738">
        <v>513.024</v>
      </c>
      <c r="S1738">
        <v>2</v>
      </c>
      <c r="T1738">
        <v>0.2</v>
      </c>
      <c r="U1738">
        <v>12.8256</v>
      </c>
      <c r="V1738" t="str">
        <f t="shared" si="27"/>
        <v>Cathy Armstrong</v>
      </c>
      <c r="W1738">
        <f>Table2[Profit]/Table2[Sales]</f>
        <v>2.4999999999999998E-2</v>
      </c>
    </row>
    <row r="1739" spans="1:23" x14ac:dyDescent="0.25">
      <c r="A1739">
        <v>1738</v>
      </c>
      <c r="B1739" t="s">
        <v>6535</v>
      </c>
      <c r="C1739" s="1">
        <v>42642</v>
      </c>
      <c r="D1739" s="1">
        <v>42646</v>
      </c>
      <c r="E1739" t="s">
        <v>49</v>
      </c>
      <c r="F1739" t="s">
        <v>2453</v>
      </c>
      <c r="G1739" t="s">
        <v>2454</v>
      </c>
      <c r="H1739" t="s">
        <v>25</v>
      </c>
      <c r="I1739" t="s">
        <v>26</v>
      </c>
      <c r="J1739" t="s">
        <v>3829</v>
      </c>
      <c r="K1739" t="s">
        <v>351</v>
      </c>
      <c r="L1739">
        <v>36608</v>
      </c>
      <c r="M1739" t="s">
        <v>29</v>
      </c>
      <c r="N1739" t="s">
        <v>6274</v>
      </c>
      <c r="O1739" t="s">
        <v>70</v>
      </c>
      <c r="P1739" t="s">
        <v>158</v>
      </c>
      <c r="Q1739" t="s">
        <v>6275</v>
      </c>
      <c r="R1739">
        <v>209.97</v>
      </c>
      <c r="S1739">
        <v>3</v>
      </c>
      <c r="T1739">
        <v>0</v>
      </c>
      <c r="U1739">
        <v>71.389799999999994</v>
      </c>
      <c r="V1739" t="str">
        <f t="shared" si="27"/>
        <v>Joe Kamberova</v>
      </c>
      <c r="W1739">
        <f>Table2[Profit]/Table2[Sales]</f>
        <v>0.33999999999999997</v>
      </c>
    </row>
    <row r="1740" spans="1:23" x14ac:dyDescent="0.25">
      <c r="A1740">
        <v>1739</v>
      </c>
      <c r="B1740" t="s">
        <v>6536</v>
      </c>
      <c r="C1740" s="1">
        <v>42835</v>
      </c>
      <c r="D1740" s="1">
        <v>42835</v>
      </c>
      <c r="E1740" t="s">
        <v>1278</v>
      </c>
      <c r="F1740" t="s">
        <v>6537</v>
      </c>
      <c r="G1740" t="s">
        <v>6538</v>
      </c>
      <c r="H1740" t="s">
        <v>25</v>
      </c>
      <c r="I1740" t="s">
        <v>26</v>
      </c>
      <c r="J1740" t="s">
        <v>1225</v>
      </c>
      <c r="K1740" t="s">
        <v>103</v>
      </c>
      <c r="L1740">
        <v>78745</v>
      </c>
      <c r="M1740" t="s">
        <v>104</v>
      </c>
      <c r="N1740" t="s">
        <v>1953</v>
      </c>
      <c r="O1740" t="s">
        <v>45</v>
      </c>
      <c r="P1740" t="s">
        <v>89</v>
      </c>
      <c r="Q1740" t="s">
        <v>1954</v>
      </c>
      <c r="R1740">
        <v>10.368</v>
      </c>
      <c r="S1740">
        <v>2</v>
      </c>
      <c r="T1740">
        <v>0.2</v>
      </c>
      <c r="U1740">
        <v>3.6288</v>
      </c>
      <c r="V1740" t="str">
        <f t="shared" si="27"/>
        <v>Russell D'Ascenzo</v>
      </c>
      <c r="W1740">
        <f>Table2[Profit]/Table2[Sales]</f>
        <v>0.35</v>
      </c>
    </row>
    <row r="1741" spans="1:23" x14ac:dyDescent="0.25">
      <c r="A1741">
        <v>1740</v>
      </c>
      <c r="B1741" t="s">
        <v>6539</v>
      </c>
      <c r="C1741" s="1">
        <v>42722</v>
      </c>
      <c r="D1741" s="1">
        <v>42724</v>
      </c>
      <c r="E1741" t="s">
        <v>22</v>
      </c>
      <c r="F1741" t="s">
        <v>3711</v>
      </c>
      <c r="G1741" t="s">
        <v>3712</v>
      </c>
      <c r="H1741" t="s">
        <v>101</v>
      </c>
      <c r="I1741" t="s">
        <v>26</v>
      </c>
      <c r="J1741" t="s">
        <v>263</v>
      </c>
      <c r="K1741" t="s">
        <v>264</v>
      </c>
      <c r="L1741">
        <v>10009</v>
      </c>
      <c r="M1741" t="s">
        <v>145</v>
      </c>
      <c r="N1741" t="s">
        <v>3441</v>
      </c>
      <c r="O1741" t="s">
        <v>45</v>
      </c>
      <c r="P1741" t="s">
        <v>58</v>
      </c>
      <c r="Q1741" t="s">
        <v>3442</v>
      </c>
      <c r="R1741">
        <v>900.08</v>
      </c>
      <c r="S1741">
        <v>4</v>
      </c>
      <c r="T1741">
        <v>0</v>
      </c>
      <c r="U1741">
        <v>117.0104</v>
      </c>
      <c r="V1741" t="str">
        <f t="shared" si="27"/>
        <v>Julie Kriz</v>
      </c>
      <c r="W1741">
        <f>Table2[Profit]/Table2[Sales]</f>
        <v>0.13</v>
      </c>
    </row>
    <row r="1742" spans="1:23" x14ac:dyDescent="0.25">
      <c r="A1742">
        <v>1741</v>
      </c>
      <c r="B1742" t="s">
        <v>6540</v>
      </c>
      <c r="C1742" s="1">
        <v>41810</v>
      </c>
      <c r="D1742" s="1">
        <v>41814</v>
      </c>
      <c r="E1742" t="s">
        <v>49</v>
      </c>
      <c r="F1742" t="s">
        <v>6541</v>
      </c>
      <c r="G1742" t="s">
        <v>6542</v>
      </c>
      <c r="H1742" t="s">
        <v>25</v>
      </c>
      <c r="I1742" t="s">
        <v>26</v>
      </c>
      <c r="J1742" t="s">
        <v>4260</v>
      </c>
      <c r="K1742" t="s">
        <v>103</v>
      </c>
      <c r="L1742">
        <v>75023</v>
      </c>
      <c r="M1742" t="s">
        <v>104</v>
      </c>
      <c r="N1742" t="s">
        <v>5532</v>
      </c>
      <c r="O1742" t="s">
        <v>70</v>
      </c>
      <c r="P1742" t="s">
        <v>71</v>
      </c>
      <c r="Q1742" t="s">
        <v>5533</v>
      </c>
      <c r="R1742">
        <v>201.584</v>
      </c>
      <c r="S1742">
        <v>2</v>
      </c>
      <c r="T1742">
        <v>0.2</v>
      </c>
      <c r="U1742">
        <v>20.1584</v>
      </c>
      <c r="V1742" t="str">
        <f t="shared" si="27"/>
        <v>Sam Craven</v>
      </c>
      <c r="W1742">
        <f>Table2[Profit]/Table2[Sales]</f>
        <v>0.1</v>
      </c>
    </row>
    <row r="1743" spans="1:23" x14ac:dyDescent="0.25">
      <c r="A1743">
        <v>1742</v>
      </c>
      <c r="B1743" t="s">
        <v>6545</v>
      </c>
      <c r="C1743" s="1">
        <v>42982</v>
      </c>
      <c r="D1743" s="1">
        <v>42984</v>
      </c>
      <c r="E1743" t="s">
        <v>185</v>
      </c>
      <c r="F1743" t="s">
        <v>2476</v>
      </c>
      <c r="G1743" t="s">
        <v>2477</v>
      </c>
      <c r="H1743" t="s">
        <v>40</v>
      </c>
      <c r="I1743" t="s">
        <v>26</v>
      </c>
      <c r="J1743" t="s">
        <v>296</v>
      </c>
      <c r="K1743" t="s">
        <v>208</v>
      </c>
      <c r="L1743">
        <v>60653</v>
      </c>
      <c r="M1743" t="s">
        <v>104</v>
      </c>
      <c r="N1743" t="s">
        <v>6546</v>
      </c>
      <c r="O1743" t="s">
        <v>31</v>
      </c>
      <c r="P1743" t="s">
        <v>32</v>
      </c>
      <c r="Q1743" t="s">
        <v>6547</v>
      </c>
      <c r="R1743">
        <v>825.17399999999998</v>
      </c>
      <c r="S1743">
        <v>9</v>
      </c>
      <c r="T1743">
        <v>0.3</v>
      </c>
      <c r="U1743">
        <v>-117.88200000000001</v>
      </c>
      <c r="V1743" t="str">
        <f t="shared" si="27"/>
        <v>Helen Wasserman</v>
      </c>
      <c r="W1743">
        <f>Table2[Profit]/Table2[Sales]</f>
        <v>-0.14285714285714288</v>
      </c>
    </row>
    <row r="1744" spans="1:23" x14ac:dyDescent="0.25">
      <c r="A1744">
        <v>1743</v>
      </c>
      <c r="B1744" t="s">
        <v>6548</v>
      </c>
      <c r="C1744" s="1">
        <v>42724</v>
      </c>
      <c r="D1744" s="1">
        <v>42728</v>
      </c>
      <c r="E1744" t="s">
        <v>49</v>
      </c>
      <c r="F1744" t="s">
        <v>4785</v>
      </c>
      <c r="G1744" t="s">
        <v>4786</v>
      </c>
      <c r="H1744" t="s">
        <v>25</v>
      </c>
      <c r="I1744" t="s">
        <v>26</v>
      </c>
      <c r="J1744" t="s">
        <v>321</v>
      </c>
      <c r="K1744" t="s">
        <v>1473</v>
      </c>
      <c r="L1744">
        <v>39212</v>
      </c>
      <c r="M1744" t="s">
        <v>29</v>
      </c>
      <c r="N1744" t="s">
        <v>746</v>
      </c>
      <c r="O1744" t="s">
        <v>70</v>
      </c>
      <c r="P1744" t="s">
        <v>158</v>
      </c>
      <c r="Q1744" t="s">
        <v>747</v>
      </c>
      <c r="R1744">
        <v>66.3</v>
      </c>
      <c r="S1744">
        <v>3</v>
      </c>
      <c r="T1744">
        <v>0</v>
      </c>
      <c r="U1744">
        <v>8.6189999999999998</v>
      </c>
      <c r="V1744" t="str">
        <f t="shared" si="27"/>
        <v>Stuart Calhoun</v>
      </c>
      <c r="W1744">
        <f>Table2[Profit]/Table2[Sales]</f>
        <v>0.13</v>
      </c>
    </row>
    <row r="1745" spans="1:23" x14ac:dyDescent="0.25">
      <c r="A1745">
        <v>1744</v>
      </c>
      <c r="B1745" t="s">
        <v>6549</v>
      </c>
      <c r="C1745" s="1">
        <v>42591</v>
      </c>
      <c r="D1745" s="1">
        <v>42594</v>
      </c>
      <c r="E1745" t="s">
        <v>185</v>
      </c>
      <c r="F1745" t="s">
        <v>594</v>
      </c>
      <c r="G1745" t="s">
        <v>595</v>
      </c>
      <c r="H1745" t="s">
        <v>25</v>
      </c>
      <c r="I1745" t="s">
        <v>26</v>
      </c>
      <c r="J1745" t="s">
        <v>1682</v>
      </c>
      <c r="K1745" t="s">
        <v>87</v>
      </c>
      <c r="L1745">
        <v>28314</v>
      </c>
      <c r="M1745" t="s">
        <v>29</v>
      </c>
      <c r="N1745" t="s">
        <v>3897</v>
      </c>
      <c r="O1745" t="s">
        <v>45</v>
      </c>
      <c r="P1745" t="s">
        <v>89</v>
      </c>
      <c r="Q1745" t="s">
        <v>3898</v>
      </c>
      <c r="R1745">
        <v>30.815999999999999</v>
      </c>
      <c r="S1745">
        <v>9</v>
      </c>
      <c r="T1745">
        <v>0.2</v>
      </c>
      <c r="U1745">
        <v>9.6300000000000008</v>
      </c>
      <c r="V1745" t="str">
        <f t="shared" si="27"/>
        <v>Helen Andreada</v>
      </c>
      <c r="W1745">
        <f>Table2[Profit]/Table2[Sales]</f>
        <v>0.31250000000000006</v>
      </c>
    </row>
    <row r="1746" spans="1:23" x14ac:dyDescent="0.25">
      <c r="A1746">
        <v>1745</v>
      </c>
      <c r="B1746" t="s">
        <v>6550</v>
      </c>
      <c r="C1746" s="1">
        <v>42177</v>
      </c>
      <c r="D1746" s="1">
        <v>42180</v>
      </c>
      <c r="E1746" t="s">
        <v>185</v>
      </c>
      <c r="F1746" t="s">
        <v>6062</v>
      </c>
      <c r="G1746" t="s">
        <v>6063</v>
      </c>
      <c r="H1746" t="s">
        <v>101</v>
      </c>
      <c r="I1746" t="s">
        <v>26</v>
      </c>
      <c r="J1746" t="s">
        <v>449</v>
      </c>
      <c r="K1746" t="s">
        <v>208</v>
      </c>
      <c r="L1746">
        <v>60505</v>
      </c>
      <c r="M1746" t="s">
        <v>104</v>
      </c>
      <c r="N1746" t="s">
        <v>5368</v>
      </c>
      <c r="O1746" t="s">
        <v>31</v>
      </c>
      <c r="P1746" t="s">
        <v>55</v>
      </c>
      <c r="Q1746" t="s">
        <v>5369</v>
      </c>
      <c r="R1746">
        <v>796.42499999999995</v>
      </c>
      <c r="S1746">
        <v>7</v>
      </c>
      <c r="T1746">
        <v>0.5</v>
      </c>
      <c r="U1746">
        <v>-525.64049999999997</v>
      </c>
      <c r="V1746" t="str">
        <f t="shared" si="27"/>
        <v>Michael Grace</v>
      </c>
      <c r="W1746">
        <f>Table2[Profit]/Table2[Sales]</f>
        <v>-0.66</v>
      </c>
    </row>
    <row r="1747" spans="1:23" x14ac:dyDescent="0.25">
      <c r="A1747">
        <v>1746</v>
      </c>
      <c r="B1747" t="s">
        <v>6551</v>
      </c>
      <c r="C1747" s="1">
        <v>42104</v>
      </c>
      <c r="D1747" s="1">
        <v>42109</v>
      </c>
      <c r="E1747" t="s">
        <v>49</v>
      </c>
      <c r="F1747" t="s">
        <v>6094</v>
      </c>
      <c r="G1747" t="s">
        <v>6095</v>
      </c>
      <c r="H1747" t="s">
        <v>40</v>
      </c>
      <c r="I1747" t="s">
        <v>26</v>
      </c>
      <c r="J1747" t="s">
        <v>5281</v>
      </c>
      <c r="K1747" t="s">
        <v>42</v>
      </c>
      <c r="L1747">
        <v>95823</v>
      </c>
      <c r="M1747" t="s">
        <v>43</v>
      </c>
      <c r="N1747" t="s">
        <v>1508</v>
      </c>
      <c r="O1747" t="s">
        <v>45</v>
      </c>
      <c r="P1747" t="s">
        <v>74</v>
      </c>
      <c r="Q1747" t="s">
        <v>1509</v>
      </c>
      <c r="R1747">
        <v>12.832000000000001</v>
      </c>
      <c r="S1747">
        <v>2</v>
      </c>
      <c r="T1747">
        <v>0.2</v>
      </c>
      <c r="U1747">
        <v>4.3308</v>
      </c>
      <c r="V1747" t="str">
        <f t="shared" si="27"/>
        <v>Dario Medina</v>
      </c>
      <c r="W1747">
        <f>Table2[Profit]/Table2[Sales]</f>
        <v>0.33749999999999997</v>
      </c>
    </row>
    <row r="1748" spans="1:23" x14ac:dyDescent="0.25">
      <c r="A1748">
        <v>1747</v>
      </c>
      <c r="B1748" t="s">
        <v>6552</v>
      </c>
      <c r="C1748" s="1">
        <v>42695</v>
      </c>
      <c r="D1748" s="1">
        <v>42699</v>
      </c>
      <c r="E1748" t="s">
        <v>22</v>
      </c>
      <c r="F1748" t="s">
        <v>5899</v>
      </c>
      <c r="G1748" t="s">
        <v>5900</v>
      </c>
      <c r="H1748" t="s">
        <v>40</v>
      </c>
      <c r="I1748" t="s">
        <v>26</v>
      </c>
      <c r="J1748" t="s">
        <v>1366</v>
      </c>
      <c r="K1748" t="s">
        <v>482</v>
      </c>
      <c r="L1748">
        <v>50315</v>
      </c>
      <c r="M1748" t="s">
        <v>104</v>
      </c>
      <c r="N1748" t="s">
        <v>1451</v>
      </c>
      <c r="O1748" t="s">
        <v>45</v>
      </c>
      <c r="P1748" t="s">
        <v>89</v>
      </c>
      <c r="Q1748" t="s">
        <v>1452</v>
      </c>
      <c r="R1748">
        <v>40.46</v>
      </c>
      <c r="S1748">
        <v>7</v>
      </c>
      <c r="T1748">
        <v>0</v>
      </c>
      <c r="U1748">
        <v>19.825399999999998</v>
      </c>
      <c r="V1748" t="str">
        <f t="shared" si="27"/>
        <v>Denise Monton</v>
      </c>
      <c r="W1748">
        <f>Table2[Profit]/Table2[Sales]</f>
        <v>0.48999999999999994</v>
      </c>
    </row>
    <row r="1749" spans="1:23" x14ac:dyDescent="0.25">
      <c r="A1749">
        <v>1748</v>
      </c>
      <c r="B1749" t="s">
        <v>6553</v>
      </c>
      <c r="C1749" s="1">
        <v>42618</v>
      </c>
      <c r="D1749" s="1">
        <v>42623</v>
      </c>
      <c r="E1749" t="s">
        <v>49</v>
      </c>
      <c r="F1749" t="s">
        <v>4150</v>
      </c>
      <c r="G1749" t="s">
        <v>4151</v>
      </c>
      <c r="H1749" t="s">
        <v>40</v>
      </c>
      <c r="I1749" t="s">
        <v>26</v>
      </c>
      <c r="J1749" t="s">
        <v>941</v>
      </c>
      <c r="K1749" t="s">
        <v>42</v>
      </c>
      <c r="L1749">
        <v>92105</v>
      </c>
      <c r="M1749" t="s">
        <v>43</v>
      </c>
      <c r="N1749" t="s">
        <v>734</v>
      </c>
      <c r="O1749" t="s">
        <v>70</v>
      </c>
      <c r="P1749" t="s">
        <v>158</v>
      </c>
      <c r="Q1749" t="s">
        <v>735</v>
      </c>
      <c r="R1749">
        <v>116</v>
      </c>
      <c r="S1749">
        <v>8</v>
      </c>
      <c r="T1749">
        <v>0</v>
      </c>
      <c r="U1749">
        <v>29</v>
      </c>
      <c r="V1749" t="str">
        <f t="shared" si="27"/>
        <v>Marina Lichtenstein</v>
      </c>
      <c r="W1749">
        <f>Table2[Profit]/Table2[Sales]</f>
        <v>0.25</v>
      </c>
    </row>
    <row r="1750" spans="1:23" x14ac:dyDescent="0.25">
      <c r="A1750">
        <v>1749</v>
      </c>
      <c r="B1750" t="s">
        <v>6554</v>
      </c>
      <c r="C1750" s="1">
        <v>42698</v>
      </c>
      <c r="D1750" s="1">
        <v>42702</v>
      </c>
      <c r="E1750" t="s">
        <v>49</v>
      </c>
      <c r="F1750" t="s">
        <v>5793</v>
      </c>
      <c r="G1750" t="s">
        <v>5794</v>
      </c>
      <c r="H1750" t="s">
        <v>25</v>
      </c>
      <c r="I1750" t="s">
        <v>26</v>
      </c>
      <c r="J1750" t="s">
        <v>808</v>
      </c>
      <c r="K1750" t="s">
        <v>103</v>
      </c>
      <c r="L1750">
        <v>75081</v>
      </c>
      <c r="M1750" t="s">
        <v>104</v>
      </c>
      <c r="N1750" t="s">
        <v>6555</v>
      </c>
      <c r="O1750" t="s">
        <v>70</v>
      </c>
      <c r="P1750" t="s">
        <v>71</v>
      </c>
      <c r="Q1750" t="s">
        <v>6556</v>
      </c>
      <c r="R1750">
        <v>657.55200000000002</v>
      </c>
      <c r="S1750">
        <v>6</v>
      </c>
      <c r="T1750">
        <v>0.2</v>
      </c>
      <c r="U1750">
        <v>49.316400000000002</v>
      </c>
      <c r="V1750" t="str">
        <f t="shared" si="27"/>
        <v>George Ashbrook</v>
      </c>
      <c r="W1750">
        <f>Table2[Profit]/Table2[Sales]</f>
        <v>7.4999999999999997E-2</v>
      </c>
    </row>
    <row r="1751" spans="1:23" x14ac:dyDescent="0.25">
      <c r="A1751">
        <v>1750</v>
      </c>
      <c r="B1751" t="s">
        <v>6557</v>
      </c>
      <c r="C1751" s="1">
        <v>43079</v>
      </c>
      <c r="D1751" s="1">
        <v>43084</v>
      </c>
      <c r="E1751" t="s">
        <v>22</v>
      </c>
      <c r="F1751" t="s">
        <v>6558</v>
      </c>
      <c r="G1751" t="s">
        <v>6559</v>
      </c>
      <c r="H1751" t="s">
        <v>101</v>
      </c>
      <c r="I1751" t="s">
        <v>26</v>
      </c>
      <c r="J1751" t="s">
        <v>321</v>
      </c>
      <c r="K1751" t="s">
        <v>1473</v>
      </c>
      <c r="L1751">
        <v>39212</v>
      </c>
      <c r="M1751" t="s">
        <v>29</v>
      </c>
      <c r="N1751" t="s">
        <v>2512</v>
      </c>
      <c r="O1751" t="s">
        <v>70</v>
      </c>
      <c r="P1751" t="s">
        <v>158</v>
      </c>
      <c r="Q1751" t="s">
        <v>2513</v>
      </c>
      <c r="R1751">
        <v>599.97</v>
      </c>
      <c r="S1751">
        <v>3</v>
      </c>
      <c r="T1751">
        <v>0</v>
      </c>
      <c r="U1751">
        <v>257.9871</v>
      </c>
      <c r="V1751" t="str">
        <f t="shared" si="27"/>
        <v>Stephanie Ulpright</v>
      </c>
      <c r="W1751">
        <f>Table2[Profit]/Table2[Sales]</f>
        <v>0.43</v>
      </c>
    </row>
    <row r="1752" spans="1:23" x14ac:dyDescent="0.25">
      <c r="A1752">
        <v>1751</v>
      </c>
      <c r="B1752" t="s">
        <v>6562</v>
      </c>
      <c r="C1752" s="1">
        <v>42545</v>
      </c>
      <c r="D1752" s="1">
        <v>42550</v>
      </c>
      <c r="E1752" t="s">
        <v>49</v>
      </c>
      <c r="F1752" t="s">
        <v>1844</v>
      </c>
      <c r="G1752" t="s">
        <v>1845</v>
      </c>
      <c r="H1752" t="s">
        <v>25</v>
      </c>
      <c r="I1752" t="s">
        <v>26</v>
      </c>
      <c r="J1752" t="s">
        <v>941</v>
      </c>
      <c r="K1752" t="s">
        <v>42</v>
      </c>
      <c r="L1752">
        <v>92024</v>
      </c>
      <c r="M1752" t="s">
        <v>43</v>
      </c>
      <c r="N1752" t="s">
        <v>5568</v>
      </c>
      <c r="O1752" t="s">
        <v>70</v>
      </c>
      <c r="P1752" t="s">
        <v>71</v>
      </c>
      <c r="Q1752" t="s">
        <v>5569</v>
      </c>
      <c r="R1752">
        <v>38.24</v>
      </c>
      <c r="S1752">
        <v>4</v>
      </c>
      <c r="T1752">
        <v>0.2</v>
      </c>
      <c r="U1752">
        <v>-9.56</v>
      </c>
      <c r="V1752" t="str">
        <f t="shared" si="27"/>
        <v>Bill Donatelli</v>
      </c>
      <c r="W1752">
        <f>Table2[Profit]/Table2[Sales]</f>
        <v>-0.25</v>
      </c>
    </row>
    <row r="1753" spans="1:23" x14ac:dyDescent="0.25">
      <c r="A1753">
        <v>1752</v>
      </c>
      <c r="B1753" t="s">
        <v>6563</v>
      </c>
      <c r="C1753" s="1">
        <v>42264</v>
      </c>
      <c r="D1753" s="1">
        <v>42270</v>
      </c>
      <c r="E1753" t="s">
        <v>49</v>
      </c>
      <c r="F1753" t="s">
        <v>5089</v>
      </c>
      <c r="G1753" t="s">
        <v>5090</v>
      </c>
      <c r="H1753" t="s">
        <v>25</v>
      </c>
      <c r="I1753" t="s">
        <v>26</v>
      </c>
      <c r="J1753" t="s">
        <v>5921</v>
      </c>
      <c r="K1753" t="s">
        <v>53</v>
      </c>
      <c r="L1753">
        <v>32839</v>
      </c>
      <c r="M1753" t="s">
        <v>29</v>
      </c>
      <c r="N1753" t="s">
        <v>1830</v>
      </c>
      <c r="O1753" t="s">
        <v>70</v>
      </c>
      <c r="P1753" t="s">
        <v>158</v>
      </c>
      <c r="Q1753" t="s">
        <v>1831</v>
      </c>
      <c r="R1753">
        <v>87.168000000000006</v>
      </c>
      <c r="S1753">
        <v>3</v>
      </c>
      <c r="T1753">
        <v>0.2</v>
      </c>
      <c r="U1753">
        <v>10.896000000000001</v>
      </c>
      <c r="V1753" t="str">
        <f t="shared" si="27"/>
        <v>Denny Blanton</v>
      </c>
      <c r="W1753">
        <f>Table2[Profit]/Table2[Sales]</f>
        <v>0.125</v>
      </c>
    </row>
    <row r="1754" spans="1:23" x14ac:dyDescent="0.25">
      <c r="A1754">
        <v>1753</v>
      </c>
      <c r="B1754" t="s">
        <v>6564</v>
      </c>
      <c r="C1754" s="1">
        <v>42509</v>
      </c>
      <c r="D1754" s="1">
        <v>42513</v>
      </c>
      <c r="E1754" t="s">
        <v>49</v>
      </c>
      <c r="F1754" t="s">
        <v>4420</v>
      </c>
      <c r="G1754" t="s">
        <v>4421</v>
      </c>
      <c r="H1754" t="s">
        <v>40</v>
      </c>
      <c r="I1754" t="s">
        <v>26</v>
      </c>
      <c r="J1754" t="s">
        <v>4182</v>
      </c>
      <c r="K1754" t="s">
        <v>251</v>
      </c>
      <c r="L1754">
        <v>47905</v>
      </c>
      <c r="M1754" t="s">
        <v>104</v>
      </c>
      <c r="N1754" t="s">
        <v>127</v>
      </c>
      <c r="O1754" t="s">
        <v>45</v>
      </c>
      <c r="P1754" t="s">
        <v>67</v>
      </c>
      <c r="Q1754" t="s">
        <v>128</v>
      </c>
      <c r="R1754">
        <v>21.4</v>
      </c>
      <c r="S1754">
        <v>5</v>
      </c>
      <c r="T1754">
        <v>0</v>
      </c>
      <c r="U1754">
        <v>6.2060000000000004</v>
      </c>
      <c r="V1754" t="str">
        <f t="shared" si="27"/>
        <v>Roy Phan</v>
      </c>
      <c r="W1754">
        <f>Table2[Profit]/Table2[Sales]</f>
        <v>0.29000000000000004</v>
      </c>
    </row>
    <row r="1755" spans="1:23" x14ac:dyDescent="0.25">
      <c r="A1755">
        <v>1754</v>
      </c>
      <c r="B1755" t="s">
        <v>6565</v>
      </c>
      <c r="C1755" s="1">
        <v>42518</v>
      </c>
      <c r="D1755" s="1">
        <v>42518</v>
      </c>
      <c r="E1755" t="s">
        <v>1278</v>
      </c>
      <c r="F1755" t="s">
        <v>4664</v>
      </c>
      <c r="G1755" t="s">
        <v>4665</v>
      </c>
      <c r="H1755" t="s">
        <v>40</v>
      </c>
      <c r="I1755" t="s">
        <v>26</v>
      </c>
      <c r="J1755" t="s">
        <v>263</v>
      </c>
      <c r="K1755" t="s">
        <v>264</v>
      </c>
      <c r="L1755">
        <v>10035</v>
      </c>
      <c r="M1755" t="s">
        <v>145</v>
      </c>
      <c r="N1755" t="s">
        <v>571</v>
      </c>
      <c r="O1755" t="s">
        <v>45</v>
      </c>
      <c r="P1755" t="s">
        <v>572</v>
      </c>
      <c r="Q1755" t="s">
        <v>573</v>
      </c>
      <c r="R1755">
        <v>54.9</v>
      </c>
      <c r="S1755">
        <v>5</v>
      </c>
      <c r="T1755">
        <v>0</v>
      </c>
      <c r="U1755">
        <v>15.372</v>
      </c>
      <c r="V1755" t="str">
        <f t="shared" si="27"/>
        <v>Edward Hooks</v>
      </c>
      <c r="W1755">
        <f>Table2[Profit]/Table2[Sales]</f>
        <v>0.28000000000000003</v>
      </c>
    </row>
    <row r="1756" spans="1:23" x14ac:dyDescent="0.25">
      <c r="A1756">
        <v>1755</v>
      </c>
      <c r="B1756" t="s">
        <v>6566</v>
      </c>
      <c r="C1756" s="1">
        <v>41747</v>
      </c>
      <c r="D1756" s="1">
        <v>41752</v>
      </c>
      <c r="E1756" t="s">
        <v>49</v>
      </c>
      <c r="F1756" t="s">
        <v>2084</v>
      </c>
      <c r="G1756" t="s">
        <v>2085</v>
      </c>
      <c r="H1756" t="s">
        <v>25</v>
      </c>
      <c r="I1756" t="s">
        <v>26</v>
      </c>
      <c r="J1756" t="s">
        <v>41</v>
      </c>
      <c r="K1756" t="s">
        <v>42</v>
      </c>
      <c r="L1756">
        <v>90049</v>
      </c>
      <c r="M1756" t="s">
        <v>43</v>
      </c>
      <c r="N1756" t="s">
        <v>6567</v>
      </c>
      <c r="O1756" t="s">
        <v>70</v>
      </c>
      <c r="P1756" t="s">
        <v>675</v>
      </c>
      <c r="Q1756" t="s">
        <v>6568</v>
      </c>
      <c r="R1756">
        <v>287.96800000000002</v>
      </c>
      <c r="S1756">
        <v>4</v>
      </c>
      <c r="T1756">
        <v>0.2</v>
      </c>
      <c r="U1756">
        <v>97.1892</v>
      </c>
      <c r="V1756" t="str">
        <f t="shared" si="27"/>
        <v>John Lee</v>
      </c>
      <c r="W1756">
        <f>Table2[Profit]/Table2[Sales]</f>
        <v>0.33749999999999997</v>
      </c>
    </row>
    <row r="1757" spans="1:23" x14ac:dyDescent="0.25">
      <c r="A1757">
        <v>1756</v>
      </c>
      <c r="B1757" t="s">
        <v>6569</v>
      </c>
      <c r="C1757" s="1">
        <v>42538</v>
      </c>
      <c r="D1757" s="1">
        <v>42541</v>
      </c>
      <c r="E1757" t="s">
        <v>22</v>
      </c>
      <c r="F1757" t="s">
        <v>2050</v>
      </c>
      <c r="G1757" t="s">
        <v>2051</v>
      </c>
      <c r="H1757" t="s">
        <v>25</v>
      </c>
      <c r="I1757" t="s">
        <v>26</v>
      </c>
      <c r="J1757" t="s">
        <v>263</v>
      </c>
      <c r="K1757" t="s">
        <v>264</v>
      </c>
      <c r="L1757">
        <v>10024</v>
      </c>
      <c r="M1757" t="s">
        <v>145</v>
      </c>
      <c r="N1757" t="s">
        <v>4003</v>
      </c>
      <c r="O1757" t="s">
        <v>45</v>
      </c>
      <c r="P1757" t="s">
        <v>58</v>
      </c>
      <c r="Q1757" t="s">
        <v>4004</v>
      </c>
      <c r="R1757">
        <v>40.74</v>
      </c>
      <c r="S1757">
        <v>3</v>
      </c>
      <c r="T1757">
        <v>0</v>
      </c>
      <c r="U1757">
        <v>0.40739999999999998</v>
      </c>
      <c r="V1757" t="str">
        <f t="shared" si="27"/>
        <v>Fred McMath</v>
      </c>
      <c r="W1757">
        <f>Table2[Profit]/Table2[Sales]</f>
        <v>9.9999999999999985E-3</v>
      </c>
    </row>
    <row r="1758" spans="1:23" x14ac:dyDescent="0.25">
      <c r="A1758">
        <v>1757</v>
      </c>
      <c r="B1758" t="s">
        <v>6570</v>
      </c>
      <c r="C1758" s="1">
        <v>41768</v>
      </c>
      <c r="D1758" s="1">
        <v>41768</v>
      </c>
      <c r="E1758" t="s">
        <v>1278</v>
      </c>
      <c r="F1758" t="s">
        <v>973</v>
      </c>
      <c r="G1758" t="s">
        <v>974</v>
      </c>
      <c r="H1758" t="s">
        <v>40</v>
      </c>
      <c r="I1758" t="s">
        <v>26</v>
      </c>
      <c r="J1758" t="s">
        <v>27</v>
      </c>
      <c r="K1758" t="s">
        <v>28</v>
      </c>
      <c r="L1758">
        <v>42420</v>
      </c>
      <c r="M1758" t="s">
        <v>29</v>
      </c>
      <c r="N1758" t="s">
        <v>121</v>
      </c>
      <c r="O1758" t="s">
        <v>45</v>
      </c>
      <c r="P1758" t="s">
        <v>58</v>
      </c>
      <c r="Q1758" t="s">
        <v>122</v>
      </c>
      <c r="R1758">
        <v>83.25</v>
      </c>
      <c r="S1758">
        <v>3</v>
      </c>
      <c r="T1758">
        <v>0</v>
      </c>
      <c r="U1758">
        <v>14.984999999999999</v>
      </c>
      <c r="V1758" t="str">
        <f t="shared" si="27"/>
        <v>Sean Braxton</v>
      </c>
      <c r="W1758">
        <f>Table2[Profit]/Table2[Sales]</f>
        <v>0.18</v>
      </c>
    </row>
    <row r="1759" spans="1:23" x14ac:dyDescent="0.25">
      <c r="A1759">
        <v>1758</v>
      </c>
      <c r="B1759" t="s">
        <v>6571</v>
      </c>
      <c r="C1759" s="1">
        <v>42631</v>
      </c>
      <c r="D1759" s="1">
        <v>42633</v>
      </c>
      <c r="E1759" t="s">
        <v>185</v>
      </c>
      <c r="F1759" t="s">
        <v>2272</v>
      </c>
      <c r="G1759" t="s">
        <v>2273</v>
      </c>
      <c r="H1759" t="s">
        <v>25</v>
      </c>
      <c r="I1759" t="s">
        <v>26</v>
      </c>
      <c r="J1759" t="s">
        <v>490</v>
      </c>
      <c r="K1759" t="s">
        <v>491</v>
      </c>
      <c r="L1759">
        <v>43229</v>
      </c>
      <c r="M1759" t="s">
        <v>145</v>
      </c>
      <c r="N1759" t="s">
        <v>5419</v>
      </c>
      <c r="O1759" t="s">
        <v>31</v>
      </c>
      <c r="P1759" t="s">
        <v>64</v>
      </c>
      <c r="Q1759" t="s">
        <v>5420</v>
      </c>
      <c r="R1759">
        <v>5.3520000000000003</v>
      </c>
      <c r="S1759">
        <v>3</v>
      </c>
      <c r="T1759">
        <v>0.2</v>
      </c>
      <c r="U1759">
        <v>1.6055999999999999</v>
      </c>
      <c r="V1759" t="str">
        <f t="shared" si="27"/>
        <v>Seth Vernon</v>
      </c>
      <c r="W1759">
        <f>Table2[Profit]/Table2[Sales]</f>
        <v>0.3</v>
      </c>
    </row>
    <row r="1760" spans="1:23" x14ac:dyDescent="0.25">
      <c r="A1760">
        <v>1759</v>
      </c>
      <c r="B1760" t="s">
        <v>6572</v>
      </c>
      <c r="C1760" s="1">
        <v>43092</v>
      </c>
      <c r="D1760" s="1">
        <v>43094</v>
      </c>
      <c r="E1760" t="s">
        <v>22</v>
      </c>
      <c r="F1760" t="s">
        <v>3801</v>
      </c>
      <c r="G1760" t="s">
        <v>3802</v>
      </c>
      <c r="H1760" t="s">
        <v>25</v>
      </c>
      <c r="I1760" t="s">
        <v>26</v>
      </c>
      <c r="J1760" t="s">
        <v>4976</v>
      </c>
      <c r="K1760" t="s">
        <v>103</v>
      </c>
      <c r="L1760">
        <v>77840</v>
      </c>
      <c r="M1760" t="s">
        <v>104</v>
      </c>
      <c r="N1760" t="s">
        <v>4118</v>
      </c>
      <c r="O1760" t="s">
        <v>45</v>
      </c>
      <c r="P1760" t="s">
        <v>89</v>
      </c>
      <c r="Q1760" t="s">
        <v>4119</v>
      </c>
      <c r="R1760">
        <v>28.672000000000001</v>
      </c>
      <c r="S1760">
        <v>8</v>
      </c>
      <c r="T1760">
        <v>0.2</v>
      </c>
      <c r="U1760">
        <v>10.393599999999999</v>
      </c>
      <c r="V1760" t="str">
        <f t="shared" si="27"/>
        <v>Michael Moore</v>
      </c>
      <c r="W1760">
        <f>Table2[Profit]/Table2[Sales]</f>
        <v>0.36249999999999999</v>
      </c>
    </row>
    <row r="1761" spans="1:23" x14ac:dyDescent="0.25">
      <c r="A1761">
        <v>1760</v>
      </c>
      <c r="B1761" t="s">
        <v>6575</v>
      </c>
      <c r="C1761" s="1">
        <v>43038</v>
      </c>
      <c r="D1761" s="1">
        <v>43040</v>
      </c>
      <c r="E1761" t="s">
        <v>185</v>
      </c>
      <c r="F1761" t="s">
        <v>2281</v>
      </c>
      <c r="G1761" t="s">
        <v>2282</v>
      </c>
      <c r="H1761" t="s">
        <v>101</v>
      </c>
      <c r="I1761" t="s">
        <v>26</v>
      </c>
      <c r="J1761" t="s">
        <v>1450</v>
      </c>
      <c r="K1761" t="s">
        <v>28</v>
      </c>
      <c r="L1761">
        <v>40475</v>
      </c>
      <c r="M1761" t="s">
        <v>29</v>
      </c>
      <c r="N1761" t="s">
        <v>1774</v>
      </c>
      <c r="O1761" t="s">
        <v>45</v>
      </c>
      <c r="P1761" t="s">
        <v>58</v>
      </c>
      <c r="Q1761" t="s">
        <v>1775</v>
      </c>
      <c r="R1761">
        <v>105.98</v>
      </c>
      <c r="S1761">
        <v>7</v>
      </c>
      <c r="T1761">
        <v>0</v>
      </c>
      <c r="U1761">
        <v>4.2392000000000003</v>
      </c>
      <c r="V1761" t="str">
        <f t="shared" si="27"/>
        <v>Ross DeVincentis</v>
      </c>
      <c r="W1761">
        <f>Table2[Profit]/Table2[Sales]</f>
        <v>0.04</v>
      </c>
    </row>
    <row r="1762" spans="1:23" x14ac:dyDescent="0.25">
      <c r="A1762">
        <v>1761</v>
      </c>
      <c r="B1762" t="s">
        <v>6578</v>
      </c>
      <c r="C1762" s="1">
        <v>42458</v>
      </c>
      <c r="D1762" s="1">
        <v>42462</v>
      </c>
      <c r="E1762" t="s">
        <v>22</v>
      </c>
      <c r="F1762" t="s">
        <v>3833</v>
      </c>
      <c r="G1762" t="s">
        <v>3834</v>
      </c>
      <c r="H1762" t="s">
        <v>101</v>
      </c>
      <c r="I1762" t="s">
        <v>26</v>
      </c>
      <c r="J1762" t="s">
        <v>296</v>
      </c>
      <c r="K1762" t="s">
        <v>208</v>
      </c>
      <c r="L1762">
        <v>60653</v>
      </c>
      <c r="M1762" t="s">
        <v>104</v>
      </c>
      <c r="N1762" t="s">
        <v>4868</v>
      </c>
      <c r="O1762" t="s">
        <v>45</v>
      </c>
      <c r="P1762" t="s">
        <v>89</v>
      </c>
      <c r="Q1762" t="s">
        <v>4869</v>
      </c>
      <c r="R1762">
        <v>45.527999999999999</v>
      </c>
      <c r="S1762">
        <v>3</v>
      </c>
      <c r="T1762">
        <v>0.2</v>
      </c>
      <c r="U1762">
        <v>15.934799999999999</v>
      </c>
      <c r="V1762" t="str">
        <f t="shared" si="27"/>
        <v>Maria Etezadi</v>
      </c>
      <c r="W1762">
        <f>Table2[Profit]/Table2[Sales]</f>
        <v>0.35</v>
      </c>
    </row>
    <row r="1763" spans="1:23" x14ac:dyDescent="0.25">
      <c r="A1763">
        <v>1762</v>
      </c>
      <c r="B1763" t="s">
        <v>6579</v>
      </c>
      <c r="C1763" s="1">
        <v>43062</v>
      </c>
      <c r="D1763" s="1">
        <v>43065</v>
      </c>
      <c r="E1763" t="s">
        <v>22</v>
      </c>
      <c r="F1763" t="s">
        <v>3227</v>
      </c>
      <c r="G1763" t="s">
        <v>3228</v>
      </c>
      <c r="H1763" t="s">
        <v>40</v>
      </c>
      <c r="I1763" t="s">
        <v>26</v>
      </c>
      <c r="J1763" t="s">
        <v>143</v>
      </c>
      <c r="K1763" t="s">
        <v>144</v>
      </c>
      <c r="L1763">
        <v>19120</v>
      </c>
      <c r="M1763" t="s">
        <v>145</v>
      </c>
      <c r="N1763" t="s">
        <v>1700</v>
      </c>
      <c r="O1763" t="s">
        <v>45</v>
      </c>
      <c r="P1763" t="s">
        <v>74</v>
      </c>
      <c r="Q1763" t="s">
        <v>1701</v>
      </c>
      <c r="R1763">
        <v>7.476</v>
      </c>
      <c r="S1763">
        <v>1</v>
      </c>
      <c r="T1763">
        <v>0.7</v>
      </c>
      <c r="U1763">
        <v>-5.9808000000000003</v>
      </c>
      <c r="V1763" t="str">
        <f t="shared" si="27"/>
        <v>Frank Hawley</v>
      </c>
      <c r="W1763">
        <f>Table2[Profit]/Table2[Sales]</f>
        <v>-0.8</v>
      </c>
    </row>
    <row r="1764" spans="1:23" x14ac:dyDescent="0.25">
      <c r="A1764">
        <v>1763</v>
      </c>
      <c r="B1764" t="s">
        <v>6580</v>
      </c>
      <c r="C1764" s="1">
        <v>41721</v>
      </c>
      <c r="D1764" s="1">
        <v>41724</v>
      </c>
      <c r="E1764" t="s">
        <v>22</v>
      </c>
      <c r="F1764" t="s">
        <v>232</v>
      </c>
      <c r="G1764" t="s">
        <v>233</v>
      </c>
      <c r="H1764" t="s">
        <v>25</v>
      </c>
      <c r="I1764" t="s">
        <v>26</v>
      </c>
      <c r="J1764" t="s">
        <v>41</v>
      </c>
      <c r="K1764" t="s">
        <v>42</v>
      </c>
      <c r="L1764">
        <v>90036</v>
      </c>
      <c r="M1764" t="s">
        <v>43</v>
      </c>
      <c r="N1764" t="s">
        <v>2087</v>
      </c>
      <c r="O1764" t="s">
        <v>45</v>
      </c>
      <c r="P1764" t="s">
        <v>58</v>
      </c>
      <c r="Q1764" t="s">
        <v>2088</v>
      </c>
      <c r="R1764">
        <v>330.4</v>
      </c>
      <c r="S1764">
        <v>2</v>
      </c>
      <c r="T1764">
        <v>0</v>
      </c>
      <c r="U1764">
        <v>85.903999999999996</v>
      </c>
      <c r="V1764" t="str">
        <f t="shared" si="27"/>
        <v>Patrick O'Donnell</v>
      </c>
      <c r="W1764">
        <f>Table2[Profit]/Table2[Sales]</f>
        <v>0.26</v>
      </c>
    </row>
    <row r="1765" spans="1:23" x14ac:dyDescent="0.25">
      <c r="A1765">
        <v>1764</v>
      </c>
      <c r="B1765" t="s">
        <v>6583</v>
      </c>
      <c r="C1765" s="1">
        <v>43070</v>
      </c>
      <c r="D1765" s="1">
        <v>43074</v>
      </c>
      <c r="E1765" t="s">
        <v>49</v>
      </c>
      <c r="F1765" t="s">
        <v>1227</v>
      </c>
      <c r="G1765" t="s">
        <v>1228</v>
      </c>
      <c r="H1765" t="s">
        <v>25</v>
      </c>
      <c r="I1765" t="s">
        <v>26</v>
      </c>
      <c r="J1765" t="s">
        <v>41</v>
      </c>
      <c r="K1765" t="s">
        <v>42</v>
      </c>
      <c r="L1765">
        <v>90008</v>
      </c>
      <c r="M1765" t="s">
        <v>43</v>
      </c>
      <c r="N1765" t="s">
        <v>3193</v>
      </c>
      <c r="O1765" t="s">
        <v>45</v>
      </c>
      <c r="P1765" t="s">
        <v>89</v>
      </c>
      <c r="Q1765" t="s">
        <v>3194</v>
      </c>
      <c r="R1765">
        <v>45.36</v>
      </c>
      <c r="S1765">
        <v>7</v>
      </c>
      <c r="T1765">
        <v>0</v>
      </c>
      <c r="U1765">
        <v>21.7728</v>
      </c>
      <c r="V1765" t="str">
        <f t="shared" si="27"/>
        <v>Clay Cheatham</v>
      </c>
      <c r="W1765">
        <f>Table2[Profit]/Table2[Sales]</f>
        <v>0.48</v>
      </c>
    </row>
    <row r="1766" spans="1:23" x14ac:dyDescent="0.25">
      <c r="A1766">
        <v>1765</v>
      </c>
      <c r="B1766" t="s">
        <v>6584</v>
      </c>
      <c r="C1766" s="1">
        <v>43046</v>
      </c>
      <c r="D1766" s="1">
        <v>43051</v>
      </c>
      <c r="E1766" t="s">
        <v>49</v>
      </c>
      <c r="F1766" t="s">
        <v>6379</v>
      </c>
      <c r="G1766" t="s">
        <v>6380</v>
      </c>
      <c r="H1766" t="s">
        <v>25</v>
      </c>
      <c r="I1766" t="s">
        <v>26</v>
      </c>
      <c r="J1766" t="s">
        <v>126</v>
      </c>
      <c r="K1766" t="s">
        <v>42</v>
      </c>
      <c r="L1766">
        <v>94122</v>
      </c>
      <c r="M1766" t="s">
        <v>43</v>
      </c>
      <c r="N1766" t="s">
        <v>5111</v>
      </c>
      <c r="O1766" t="s">
        <v>45</v>
      </c>
      <c r="P1766" t="s">
        <v>74</v>
      </c>
      <c r="Q1766" t="s">
        <v>5112</v>
      </c>
      <c r="R1766">
        <v>21.792000000000002</v>
      </c>
      <c r="S1766">
        <v>4</v>
      </c>
      <c r="T1766">
        <v>0.2</v>
      </c>
      <c r="U1766">
        <v>7.6272000000000002</v>
      </c>
      <c r="V1766" t="str">
        <f t="shared" si="27"/>
        <v>Tony Sayre</v>
      </c>
      <c r="W1766">
        <f>Table2[Profit]/Table2[Sales]</f>
        <v>0.35</v>
      </c>
    </row>
    <row r="1767" spans="1:23" x14ac:dyDescent="0.25">
      <c r="A1767">
        <v>1766</v>
      </c>
      <c r="B1767" t="s">
        <v>6585</v>
      </c>
      <c r="C1767" s="1">
        <v>42982</v>
      </c>
      <c r="D1767" s="1">
        <v>42987</v>
      </c>
      <c r="E1767" t="s">
        <v>22</v>
      </c>
      <c r="F1767" t="s">
        <v>1680</v>
      </c>
      <c r="G1767" t="s">
        <v>1681</v>
      </c>
      <c r="H1767" t="s">
        <v>25</v>
      </c>
      <c r="I1767" t="s">
        <v>26</v>
      </c>
      <c r="J1767" t="s">
        <v>794</v>
      </c>
      <c r="K1767" t="s">
        <v>491</v>
      </c>
      <c r="L1767">
        <v>44312</v>
      </c>
      <c r="M1767" t="s">
        <v>145</v>
      </c>
      <c r="N1767" t="s">
        <v>2604</v>
      </c>
      <c r="O1767" t="s">
        <v>45</v>
      </c>
      <c r="P1767" t="s">
        <v>67</v>
      </c>
      <c r="Q1767" t="s">
        <v>2605</v>
      </c>
      <c r="R1767">
        <v>8.2560000000000002</v>
      </c>
      <c r="S1767">
        <v>4</v>
      </c>
      <c r="T1767">
        <v>0.2</v>
      </c>
      <c r="U1767">
        <v>0.61919999999999997</v>
      </c>
      <c r="V1767" t="str">
        <f t="shared" si="27"/>
        <v>Maribeth Dona</v>
      </c>
      <c r="W1767">
        <f>Table2[Profit]/Table2[Sales]</f>
        <v>7.4999999999999997E-2</v>
      </c>
    </row>
    <row r="1768" spans="1:23" x14ac:dyDescent="0.25">
      <c r="A1768">
        <v>1767</v>
      </c>
      <c r="B1768" t="s">
        <v>6588</v>
      </c>
      <c r="C1768" s="1">
        <v>42554</v>
      </c>
      <c r="D1768" s="1">
        <v>42557</v>
      </c>
      <c r="E1768" t="s">
        <v>185</v>
      </c>
      <c r="F1768" t="s">
        <v>1289</v>
      </c>
      <c r="G1768" t="s">
        <v>1290</v>
      </c>
      <c r="H1768" t="s">
        <v>25</v>
      </c>
      <c r="I1768" t="s">
        <v>26</v>
      </c>
      <c r="J1768" t="s">
        <v>41</v>
      </c>
      <c r="K1768" t="s">
        <v>42</v>
      </c>
      <c r="L1768">
        <v>90049</v>
      </c>
      <c r="M1768" t="s">
        <v>43</v>
      </c>
      <c r="N1768" t="s">
        <v>6589</v>
      </c>
      <c r="O1768" t="s">
        <v>45</v>
      </c>
      <c r="P1768" t="s">
        <v>89</v>
      </c>
      <c r="Q1768" t="s">
        <v>6590</v>
      </c>
      <c r="R1768">
        <v>12.96</v>
      </c>
      <c r="S1768">
        <v>2</v>
      </c>
      <c r="T1768">
        <v>0</v>
      </c>
      <c r="U1768">
        <v>6.2207999999999997</v>
      </c>
      <c r="V1768" t="str">
        <f t="shared" si="27"/>
        <v>Guy Thornton</v>
      </c>
      <c r="W1768">
        <f>Table2[Profit]/Table2[Sales]</f>
        <v>0.47999999999999993</v>
      </c>
    </row>
    <row r="1769" spans="1:23" x14ac:dyDescent="0.25">
      <c r="A1769">
        <v>1768</v>
      </c>
      <c r="B1769" t="s">
        <v>6591</v>
      </c>
      <c r="C1769" s="1">
        <v>42985</v>
      </c>
      <c r="D1769" s="1">
        <v>42992</v>
      </c>
      <c r="E1769" t="s">
        <v>49</v>
      </c>
      <c r="F1769" t="s">
        <v>3033</v>
      </c>
      <c r="G1769" t="s">
        <v>3034</v>
      </c>
      <c r="H1769" t="s">
        <v>101</v>
      </c>
      <c r="I1769" t="s">
        <v>26</v>
      </c>
      <c r="J1769" t="s">
        <v>589</v>
      </c>
      <c r="K1769" t="s">
        <v>590</v>
      </c>
      <c r="L1769">
        <v>64055</v>
      </c>
      <c r="M1769" t="s">
        <v>104</v>
      </c>
      <c r="N1769" t="s">
        <v>509</v>
      </c>
      <c r="O1769" t="s">
        <v>45</v>
      </c>
      <c r="P1769" t="s">
        <v>74</v>
      </c>
      <c r="Q1769" t="s">
        <v>510</v>
      </c>
      <c r="R1769">
        <v>1577.94</v>
      </c>
      <c r="S1769">
        <v>3</v>
      </c>
      <c r="T1769">
        <v>0</v>
      </c>
      <c r="U1769">
        <v>757.41120000000001</v>
      </c>
      <c r="V1769" t="str">
        <f t="shared" si="27"/>
        <v>Robert Dilbeck</v>
      </c>
      <c r="W1769">
        <f>Table2[Profit]/Table2[Sales]</f>
        <v>0.48</v>
      </c>
    </row>
    <row r="1770" spans="1:23" x14ac:dyDescent="0.25">
      <c r="A1770">
        <v>1769</v>
      </c>
      <c r="B1770" t="s">
        <v>6592</v>
      </c>
      <c r="C1770" s="1">
        <v>42622</v>
      </c>
      <c r="D1770" s="1">
        <v>42627</v>
      </c>
      <c r="E1770" t="s">
        <v>22</v>
      </c>
      <c r="F1770" t="s">
        <v>5487</v>
      </c>
      <c r="G1770" t="s">
        <v>5488</v>
      </c>
      <c r="H1770" t="s">
        <v>101</v>
      </c>
      <c r="I1770" t="s">
        <v>26</v>
      </c>
      <c r="J1770" t="s">
        <v>808</v>
      </c>
      <c r="K1770" t="s">
        <v>103</v>
      </c>
      <c r="L1770">
        <v>75220</v>
      </c>
      <c r="M1770" t="s">
        <v>104</v>
      </c>
      <c r="N1770" t="s">
        <v>5901</v>
      </c>
      <c r="O1770" t="s">
        <v>31</v>
      </c>
      <c r="P1770" t="s">
        <v>64</v>
      </c>
      <c r="Q1770" t="s">
        <v>5902</v>
      </c>
      <c r="R1770">
        <v>15.007999999999999</v>
      </c>
      <c r="S1770">
        <v>4</v>
      </c>
      <c r="T1770">
        <v>0.6</v>
      </c>
      <c r="U1770">
        <v>-12.006399999999999</v>
      </c>
      <c r="V1770" t="str">
        <f t="shared" si="27"/>
        <v>Daniel Byrd</v>
      </c>
      <c r="W1770">
        <f>Table2[Profit]/Table2[Sales]</f>
        <v>-0.8</v>
      </c>
    </row>
    <row r="1771" spans="1:23" x14ac:dyDescent="0.25">
      <c r="A1771">
        <v>1770</v>
      </c>
      <c r="B1771" t="s">
        <v>6593</v>
      </c>
      <c r="C1771" s="1">
        <v>42919</v>
      </c>
      <c r="D1771" s="1">
        <v>42919</v>
      </c>
      <c r="E1771" t="s">
        <v>1278</v>
      </c>
      <c r="F1771" t="s">
        <v>714</v>
      </c>
      <c r="G1771" t="s">
        <v>715</v>
      </c>
      <c r="H1771" t="s">
        <v>101</v>
      </c>
      <c r="I1771" t="s">
        <v>26</v>
      </c>
      <c r="J1771" t="s">
        <v>94</v>
      </c>
      <c r="K1771" t="s">
        <v>95</v>
      </c>
      <c r="L1771">
        <v>98105</v>
      </c>
      <c r="M1771" t="s">
        <v>43</v>
      </c>
      <c r="N1771" t="s">
        <v>1010</v>
      </c>
      <c r="O1771" t="s">
        <v>70</v>
      </c>
      <c r="P1771" t="s">
        <v>158</v>
      </c>
      <c r="Q1771" t="s">
        <v>1011</v>
      </c>
      <c r="R1771">
        <v>59.98</v>
      </c>
      <c r="S1771">
        <v>2</v>
      </c>
      <c r="T1771">
        <v>0</v>
      </c>
      <c r="U1771">
        <v>26.391200000000001</v>
      </c>
      <c r="V1771" t="str">
        <f t="shared" si="27"/>
        <v>Jim Kriz</v>
      </c>
      <c r="W1771">
        <f>Table2[Profit]/Table2[Sales]</f>
        <v>0.44000000000000006</v>
      </c>
    </row>
    <row r="1772" spans="1:23" x14ac:dyDescent="0.25">
      <c r="A1772">
        <v>1771</v>
      </c>
      <c r="B1772" t="s">
        <v>6594</v>
      </c>
      <c r="C1772" s="1">
        <v>42915</v>
      </c>
      <c r="D1772" s="1">
        <v>42920</v>
      </c>
      <c r="E1772" t="s">
        <v>49</v>
      </c>
      <c r="F1772" t="s">
        <v>6595</v>
      </c>
      <c r="G1772" t="s">
        <v>6596</v>
      </c>
      <c r="H1772" t="s">
        <v>40</v>
      </c>
      <c r="I1772" t="s">
        <v>26</v>
      </c>
      <c r="J1772" t="s">
        <v>4908</v>
      </c>
      <c r="K1772" t="s">
        <v>103</v>
      </c>
      <c r="L1772">
        <v>75150</v>
      </c>
      <c r="M1772" t="s">
        <v>104</v>
      </c>
      <c r="N1772" t="s">
        <v>2486</v>
      </c>
      <c r="O1772" t="s">
        <v>45</v>
      </c>
      <c r="P1772" t="s">
        <v>89</v>
      </c>
      <c r="Q1772" t="s">
        <v>2487</v>
      </c>
      <c r="R1772">
        <v>5.1840000000000002</v>
      </c>
      <c r="S1772">
        <v>1</v>
      </c>
      <c r="T1772">
        <v>0.2</v>
      </c>
      <c r="U1772">
        <v>1.8144</v>
      </c>
      <c r="V1772" t="str">
        <f t="shared" si="27"/>
        <v>Fred Chung</v>
      </c>
      <c r="W1772">
        <f>Table2[Profit]/Table2[Sales]</f>
        <v>0.35</v>
      </c>
    </row>
    <row r="1773" spans="1:23" x14ac:dyDescent="0.25">
      <c r="A1773">
        <v>1772</v>
      </c>
      <c r="B1773" t="s">
        <v>6597</v>
      </c>
      <c r="C1773" s="1">
        <v>42954</v>
      </c>
      <c r="D1773" s="1">
        <v>42959</v>
      </c>
      <c r="E1773" t="s">
        <v>49</v>
      </c>
      <c r="F1773" t="s">
        <v>4368</v>
      </c>
      <c r="G1773" t="s">
        <v>4369</v>
      </c>
      <c r="H1773" t="s">
        <v>25</v>
      </c>
      <c r="I1773" t="s">
        <v>26</v>
      </c>
      <c r="J1773" t="s">
        <v>1161</v>
      </c>
      <c r="K1773" t="s">
        <v>264</v>
      </c>
      <c r="L1773">
        <v>11561</v>
      </c>
      <c r="M1773" t="s">
        <v>145</v>
      </c>
      <c r="N1773" t="s">
        <v>990</v>
      </c>
      <c r="O1773" t="s">
        <v>45</v>
      </c>
      <c r="P1773" t="s">
        <v>67</v>
      </c>
      <c r="Q1773" t="s">
        <v>991</v>
      </c>
      <c r="R1773">
        <v>11.68</v>
      </c>
      <c r="S1773">
        <v>2</v>
      </c>
      <c r="T1773">
        <v>0</v>
      </c>
      <c r="U1773">
        <v>5.4896000000000003</v>
      </c>
      <c r="V1773" t="str">
        <f t="shared" si="27"/>
        <v>Joni Wasserman</v>
      </c>
      <c r="W1773">
        <f>Table2[Profit]/Table2[Sales]</f>
        <v>0.47000000000000003</v>
      </c>
    </row>
    <row r="1774" spans="1:23" x14ac:dyDescent="0.25">
      <c r="A1774">
        <v>1773</v>
      </c>
      <c r="B1774" t="s">
        <v>6599</v>
      </c>
      <c r="C1774" s="1">
        <v>42082</v>
      </c>
      <c r="D1774" s="1">
        <v>42087</v>
      </c>
      <c r="E1774" t="s">
        <v>49</v>
      </c>
      <c r="F1774" t="s">
        <v>3466</v>
      </c>
      <c r="G1774" t="s">
        <v>3467</v>
      </c>
      <c r="H1774" t="s">
        <v>25</v>
      </c>
      <c r="I1774" t="s">
        <v>26</v>
      </c>
      <c r="J1774" t="s">
        <v>6600</v>
      </c>
      <c r="K1774" t="s">
        <v>53</v>
      </c>
      <c r="L1774">
        <v>33161</v>
      </c>
      <c r="M1774" t="s">
        <v>29</v>
      </c>
      <c r="N1774" t="s">
        <v>2566</v>
      </c>
      <c r="O1774" t="s">
        <v>45</v>
      </c>
      <c r="P1774" t="s">
        <v>89</v>
      </c>
      <c r="Q1774" t="s">
        <v>2567</v>
      </c>
      <c r="R1774">
        <v>14.496</v>
      </c>
      <c r="S1774">
        <v>3</v>
      </c>
      <c r="T1774">
        <v>0.2</v>
      </c>
      <c r="U1774">
        <v>4.8924000000000003</v>
      </c>
      <c r="V1774" t="str">
        <f t="shared" si="27"/>
        <v>Dan Campbell</v>
      </c>
      <c r="W1774">
        <f>Table2[Profit]/Table2[Sales]</f>
        <v>0.33750000000000002</v>
      </c>
    </row>
    <row r="1775" spans="1:23" x14ac:dyDescent="0.25">
      <c r="A1775">
        <v>1774</v>
      </c>
      <c r="B1775" t="s">
        <v>6601</v>
      </c>
      <c r="C1775" s="1">
        <v>42528</v>
      </c>
      <c r="D1775" s="1">
        <v>42532</v>
      </c>
      <c r="E1775" t="s">
        <v>49</v>
      </c>
      <c r="F1775" t="s">
        <v>744</v>
      </c>
      <c r="G1775" t="s">
        <v>745</v>
      </c>
      <c r="H1775" t="s">
        <v>101</v>
      </c>
      <c r="I1775" t="s">
        <v>26</v>
      </c>
      <c r="J1775" t="s">
        <v>5826</v>
      </c>
      <c r="K1775" t="s">
        <v>42</v>
      </c>
      <c r="L1775">
        <v>93309</v>
      </c>
      <c r="M1775" t="s">
        <v>43</v>
      </c>
      <c r="N1775" t="s">
        <v>2182</v>
      </c>
      <c r="O1775" t="s">
        <v>45</v>
      </c>
      <c r="P1775" t="s">
        <v>74</v>
      </c>
      <c r="Q1775" t="s">
        <v>2183</v>
      </c>
      <c r="R1775">
        <v>4.7839999999999998</v>
      </c>
      <c r="S1775">
        <v>1</v>
      </c>
      <c r="T1775">
        <v>0.2</v>
      </c>
      <c r="U1775">
        <v>1.5548</v>
      </c>
      <c r="V1775" t="str">
        <f t="shared" si="27"/>
        <v>Frank Merwin</v>
      </c>
      <c r="W1775">
        <f>Table2[Profit]/Table2[Sales]</f>
        <v>0.32500000000000001</v>
      </c>
    </row>
    <row r="1776" spans="1:23" x14ac:dyDescent="0.25">
      <c r="A1776">
        <v>1775</v>
      </c>
      <c r="B1776" t="s">
        <v>6602</v>
      </c>
      <c r="C1776" s="1">
        <v>42576</v>
      </c>
      <c r="D1776" s="1">
        <v>42580</v>
      </c>
      <c r="E1776" t="s">
        <v>49</v>
      </c>
      <c r="F1776" t="s">
        <v>2955</v>
      </c>
      <c r="G1776" t="s">
        <v>2956</v>
      </c>
      <c r="H1776" t="s">
        <v>25</v>
      </c>
      <c r="I1776" t="s">
        <v>26</v>
      </c>
      <c r="J1776" t="s">
        <v>321</v>
      </c>
      <c r="K1776" t="s">
        <v>1473</v>
      </c>
      <c r="L1776">
        <v>39212</v>
      </c>
      <c r="M1776" t="s">
        <v>29</v>
      </c>
      <c r="N1776" t="s">
        <v>6603</v>
      </c>
      <c r="O1776" t="s">
        <v>45</v>
      </c>
      <c r="P1776" t="s">
        <v>58</v>
      </c>
      <c r="Q1776" t="s">
        <v>6604</v>
      </c>
      <c r="R1776">
        <v>7.89</v>
      </c>
      <c r="S1776">
        <v>1</v>
      </c>
      <c r="T1776">
        <v>0</v>
      </c>
      <c r="U1776">
        <v>0.31559999999999999</v>
      </c>
      <c r="V1776" t="str">
        <f t="shared" si="27"/>
        <v>Meg Tillman</v>
      </c>
      <c r="W1776">
        <f>Table2[Profit]/Table2[Sales]</f>
        <v>0.04</v>
      </c>
    </row>
    <row r="1777" spans="1:23" x14ac:dyDescent="0.25">
      <c r="A1777">
        <v>1776</v>
      </c>
      <c r="B1777" t="s">
        <v>6605</v>
      </c>
      <c r="C1777" s="1">
        <v>43009</v>
      </c>
      <c r="D1777" s="1">
        <v>43015</v>
      </c>
      <c r="E1777" t="s">
        <v>49</v>
      </c>
      <c r="F1777" t="s">
        <v>501</v>
      </c>
      <c r="G1777" t="s">
        <v>502</v>
      </c>
      <c r="H1777" t="s">
        <v>25</v>
      </c>
      <c r="I1777" t="s">
        <v>26</v>
      </c>
      <c r="J1777" t="s">
        <v>134</v>
      </c>
      <c r="K1777" t="s">
        <v>135</v>
      </c>
      <c r="L1777">
        <v>68025</v>
      </c>
      <c r="M1777" t="s">
        <v>104</v>
      </c>
      <c r="N1777" t="s">
        <v>3500</v>
      </c>
      <c r="O1777" t="s">
        <v>45</v>
      </c>
      <c r="P1777" t="s">
        <v>89</v>
      </c>
      <c r="Q1777" t="s">
        <v>3501</v>
      </c>
      <c r="R1777">
        <v>104.85</v>
      </c>
      <c r="S1777">
        <v>1</v>
      </c>
      <c r="T1777">
        <v>0</v>
      </c>
      <c r="U1777">
        <v>50.328000000000003</v>
      </c>
      <c r="V1777" t="str">
        <f t="shared" si="27"/>
        <v>Dave Kipp</v>
      </c>
      <c r="W1777">
        <f>Table2[Profit]/Table2[Sales]</f>
        <v>0.48000000000000004</v>
      </c>
    </row>
    <row r="1778" spans="1:23" x14ac:dyDescent="0.25">
      <c r="A1778">
        <v>1777</v>
      </c>
      <c r="B1778" t="s">
        <v>6606</v>
      </c>
      <c r="C1778" s="1">
        <v>42348</v>
      </c>
      <c r="D1778" s="1">
        <v>42354</v>
      </c>
      <c r="E1778" t="s">
        <v>49</v>
      </c>
      <c r="F1778" t="s">
        <v>3857</v>
      </c>
      <c r="G1778" t="s">
        <v>3858</v>
      </c>
      <c r="H1778" t="s">
        <v>40</v>
      </c>
      <c r="I1778" t="s">
        <v>26</v>
      </c>
      <c r="J1778" t="s">
        <v>321</v>
      </c>
      <c r="K1778" t="s">
        <v>235</v>
      </c>
      <c r="L1778">
        <v>49201</v>
      </c>
      <c r="M1778" t="s">
        <v>104</v>
      </c>
      <c r="N1778" t="s">
        <v>565</v>
      </c>
      <c r="O1778" t="s">
        <v>45</v>
      </c>
      <c r="P1778" t="s">
        <v>67</v>
      </c>
      <c r="Q1778" t="s">
        <v>6607</v>
      </c>
      <c r="R1778">
        <v>3.9</v>
      </c>
      <c r="S1778">
        <v>2</v>
      </c>
      <c r="T1778">
        <v>0</v>
      </c>
      <c r="U1778">
        <v>1.5209999999999999</v>
      </c>
      <c r="V1778" t="str">
        <f t="shared" si="27"/>
        <v>Keith Dawkins</v>
      </c>
      <c r="W1778">
        <f>Table2[Profit]/Table2[Sales]</f>
        <v>0.38999999999999996</v>
      </c>
    </row>
    <row r="1779" spans="1:23" x14ac:dyDescent="0.25">
      <c r="A1779">
        <v>1778</v>
      </c>
      <c r="B1779" t="s">
        <v>6608</v>
      </c>
      <c r="C1779" s="1">
        <v>42981</v>
      </c>
      <c r="D1779" s="1">
        <v>42986</v>
      </c>
      <c r="E1779" t="s">
        <v>49</v>
      </c>
      <c r="F1779" t="s">
        <v>5607</v>
      </c>
      <c r="G1779" t="s">
        <v>5608</v>
      </c>
      <c r="H1779" t="s">
        <v>40</v>
      </c>
      <c r="I1779" t="s">
        <v>26</v>
      </c>
      <c r="J1779" t="s">
        <v>126</v>
      </c>
      <c r="K1779" t="s">
        <v>42</v>
      </c>
      <c r="L1779">
        <v>94122</v>
      </c>
      <c r="M1779" t="s">
        <v>43</v>
      </c>
      <c r="N1779" t="s">
        <v>359</v>
      </c>
      <c r="O1779" t="s">
        <v>45</v>
      </c>
      <c r="P1779" t="s">
        <v>67</v>
      </c>
      <c r="Q1779" t="s">
        <v>360</v>
      </c>
      <c r="R1779">
        <v>5.96</v>
      </c>
      <c r="S1779">
        <v>2</v>
      </c>
      <c r="T1779">
        <v>0</v>
      </c>
      <c r="U1779">
        <v>1.6688000000000001</v>
      </c>
      <c r="V1779" t="str">
        <f t="shared" si="27"/>
        <v>Aleksandra Gannaway</v>
      </c>
      <c r="W1779">
        <f>Table2[Profit]/Table2[Sales]</f>
        <v>0.28000000000000003</v>
      </c>
    </row>
    <row r="1780" spans="1:23" x14ac:dyDescent="0.25">
      <c r="A1780">
        <v>1779</v>
      </c>
      <c r="B1780" t="s">
        <v>6609</v>
      </c>
      <c r="C1780" s="1">
        <v>43002</v>
      </c>
      <c r="D1780" s="1">
        <v>43006</v>
      </c>
      <c r="E1780" t="s">
        <v>49</v>
      </c>
      <c r="F1780" t="s">
        <v>3434</v>
      </c>
      <c r="G1780" t="s">
        <v>3435</v>
      </c>
      <c r="H1780" t="s">
        <v>101</v>
      </c>
      <c r="I1780" t="s">
        <v>26</v>
      </c>
      <c r="J1780" t="s">
        <v>2439</v>
      </c>
      <c r="K1780" t="s">
        <v>491</v>
      </c>
      <c r="L1780">
        <v>43130</v>
      </c>
      <c r="M1780" t="s">
        <v>145</v>
      </c>
      <c r="N1780" t="s">
        <v>4501</v>
      </c>
      <c r="O1780" t="s">
        <v>70</v>
      </c>
      <c r="P1780" t="s">
        <v>71</v>
      </c>
      <c r="Q1780" t="s">
        <v>4502</v>
      </c>
      <c r="R1780">
        <v>1169.694</v>
      </c>
      <c r="S1780">
        <v>3</v>
      </c>
      <c r="T1780">
        <v>0.4</v>
      </c>
      <c r="U1780">
        <v>-253.43369999999999</v>
      </c>
      <c r="V1780" t="str">
        <f t="shared" si="27"/>
        <v>Mick Hernandez</v>
      </c>
      <c r="W1780">
        <f>Table2[Profit]/Table2[Sales]</f>
        <v>-0.21666666666666667</v>
      </c>
    </row>
    <row r="1781" spans="1:23" x14ac:dyDescent="0.25">
      <c r="A1781">
        <v>1780</v>
      </c>
      <c r="B1781" t="s">
        <v>6610</v>
      </c>
      <c r="C1781" s="1">
        <v>43088</v>
      </c>
      <c r="D1781" s="1">
        <v>43090</v>
      </c>
      <c r="E1781" t="s">
        <v>185</v>
      </c>
      <c r="F1781" t="s">
        <v>4618</v>
      </c>
      <c r="G1781" t="s">
        <v>4619</v>
      </c>
      <c r="H1781" t="s">
        <v>25</v>
      </c>
      <c r="I1781" t="s">
        <v>26</v>
      </c>
      <c r="J1781" t="s">
        <v>4182</v>
      </c>
      <c r="K1781" t="s">
        <v>729</v>
      </c>
      <c r="L1781">
        <v>70506</v>
      </c>
      <c r="M1781" t="s">
        <v>29</v>
      </c>
      <c r="N1781" t="s">
        <v>1776</v>
      </c>
      <c r="O1781" t="s">
        <v>45</v>
      </c>
      <c r="P1781" t="s">
        <v>572</v>
      </c>
      <c r="Q1781" t="s">
        <v>1777</v>
      </c>
      <c r="R1781">
        <v>1665.62</v>
      </c>
      <c r="S1781">
        <v>2</v>
      </c>
      <c r="T1781">
        <v>0</v>
      </c>
      <c r="U1781">
        <v>33.312399999999997</v>
      </c>
      <c r="V1781" t="str">
        <f t="shared" si="27"/>
        <v>Amy Cox</v>
      </c>
      <c r="W1781">
        <f>Table2[Profit]/Table2[Sales]</f>
        <v>0.02</v>
      </c>
    </row>
    <row r="1782" spans="1:23" x14ac:dyDescent="0.25">
      <c r="A1782">
        <v>1781</v>
      </c>
      <c r="B1782" t="s">
        <v>6611</v>
      </c>
      <c r="C1782" s="1">
        <v>43063</v>
      </c>
      <c r="D1782" s="1">
        <v>43069</v>
      </c>
      <c r="E1782" t="s">
        <v>49</v>
      </c>
      <c r="F1782" t="s">
        <v>744</v>
      </c>
      <c r="G1782" t="s">
        <v>745</v>
      </c>
      <c r="H1782" t="s">
        <v>101</v>
      </c>
      <c r="I1782" t="s">
        <v>26</v>
      </c>
      <c r="J1782" t="s">
        <v>1450</v>
      </c>
      <c r="K1782" t="s">
        <v>28</v>
      </c>
      <c r="L1782">
        <v>40475</v>
      </c>
      <c r="M1782" t="s">
        <v>29</v>
      </c>
      <c r="N1782" t="s">
        <v>2359</v>
      </c>
      <c r="O1782" t="s">
        <v>45</v>
      </c>
      <c r="P1782" t="s">
        <v>74</v>
      </c>
      <c r="Q1782" t="s">
        <v>2360</v>
      </c>
      <c r="R1782">
        <v>2.88</v>
      </c>
      <c r="S1782">
        <v>1</v>
      </c>
      <c r="T1782">
        <v>0</v>
      </c>
      <c r="U1782">
        <v>1.4112</v>
      </c>
      <c r="V1782" t="str">
        <f t="shared" si="27"/>
        <v>Frank Merwin</v>
      </c>
      <c r="W1782">
        <f>Table2[Profit]/Table2[Sales]</f>
        <v>0.49000000000000005</v>
      </c>
    </row>
    <row r="1783" spans="1:23" x14ac:dyDescent="0.25">
      <c r="A1783">
        <v>1782</v>
      </c>
      <c r="B1783" t="s">
        <v>6612</v>
      </c>
      <c r="C1783" s="1">
        <v>41986</v>
      </c>
      <c r="D1783" s="1">
        <v>41988</v>
      </c>
      <c r="E1783" t="s">
        <v>22</v>
      </c>
      <c r="F1783" t="s">
        <v>2198</v>
      </c>
      <c r="G1783" t="s">
        <v>2199</v>
      </c>
      <c r="H1783" t="s">
        <v>25</v>
      </c>
      <c r="I1783" t="s">
        <v>26</v>
      </c>
      <c r="J1783" t="s">
        <v>181</v>
      </c>
      <c r="K1783" t="s">
        <v>103</v>
      </c>
      <c r="L1783">
        <v>77070</v>
      </c>
      <c r="M1783" t="s">
        <v>104</v>
      </c>
      <c r="N1783" t="s">
        <v>1921</v>
      </c>
      <c r="O1783" t="s">
        <v>45</v>
      </c>
      <c r="P1783" t="s">
        <v>572</v>
      </c>
      <c r="Q1783" t="s">
        <v>1922</v>
      </c>
      <c r="R1783">
        <v>2.92</v>
      </c>
      <c r="S1783">
        <v>1</v>
      </c>
      <c r="T1783">
        <v>0.2</v>
      </c>
      <c r="U1783">
        <v>0.36499999999999999</v>
      </c>
      <c r="V1783" t="str">
        <f t="shared" si="27"/>
        <v>Ralph Arnett</v>
      </c>
      <c r="W1783">
        <f>Table2[Profit]/Table2[Sales]</f>
        <v>0.125</v>
      </c>
    </row>
    <row r="1784" spans="1:23" x14ac:dyDescent="0.25">
      <c r="A1784">
        <v>1783</v>
      </c>
      <c r="B1784" t="s">
        <v>6613</v>
      </c>
      <c r="C1784" s="1">
        <v>42709</v>
      </c>
      <c r="D1784" s="1">
        <v>42711</v>
      </c>
      <c r="E1784" t="s">
        <v>22</v>
      </c>
      <c r="F1784" t="s">
        <v>4175</v>
      </c>
      <c r="G1784" t="s">
        <v>4176</v>
      </c>
      <c r="H1784" t="s">
        <v>25</v>
      </c>
      <c r="I1784" t="s">
        <v>26</v>
      </c>
      <c r="J1784" t="s">
        <v>263</v>
      </c>
      <c r="K1784" t="s">
        <v>264</v>
      </c>
      <c r="L1784">
        <v>10024</v>
      </c>
      <c r="M1784" t="s">
        <v>145</v>
      </c>
      <c r="N1784" t="s">
        <v>5963</v>
      </c>
      <c r="O1784" t="s">
        <v>45</v>
      </c>
      <c r="P1784" t="s">
        <v>58</v>
      </c>
      <c r="Q1784" t="s">
        <v>5964</v>
      </c>
      <c r="R1784">
        <v>465.18</v>
      </c>
      <c r="S1784">
        <v>3</v>
      </c>
      <c r="T1784">
        <v>0</v>
      </c>
      <c r="U1784">
        <v>120.9468</v>
      </c>
      <c r="V1784" t="str">
        <f t="shared" si="27"/>
        <v>James Galang</v>
      </c>
      <c r="W1784">
        <f>Table2[Profit]/Table2[Sales]</f>
        <v>0.26</v>
      </c>
    </row>
    <row r="1785" spans="1:23" x14ac:dyDescent="0.25">
      <c r="A1785">
        <v>1784</v>
      </c>
      <c r="B1785" t="s">
        <v>6614</v>
      </c>
      <c r="C1785" s="1">
        <v>42624</v>
      </c>
      <c r="D1785" s="1">
        <v>42630</v>
      </c>
      <c r="E1785" t="s">
        <v>49</v>
      </c>
      <c r="F1785" t="s">
        <v>1060</v>
      </c>
      <c r="G1785" t="s">
        <v>1061</v>
      </c>
      <c r="H1785" t="s">
        <v>101</v>
      </c>
      <c r="I1785" t="s">
        <v>26</v>
      </c>
      <c r="J1785" t="s">
        <v>2797</v>
      </c>
      <c r="K1785" t="s">
        <v>491</v>
      </c>
      <c r="L1785">
        <v>43615</v>
      </c>
      <c r="M1785" t="s">
        <v>145</v>
      </c>
      <c r="N1785" t="s">
        <v>1700</v>
      </c>
      <c r="O1785" t="s">
        <v>45</v>
      </c>
      <c r="P1785" t="s">
        <v>74</v>
      </c>
      <c r="Q1785" t="s">
        <v>1701</v>
      </c>
      <c r="R1785">
        <v>22.428000000000001</v>
      </c>
      <c r="S1785">
        <v>3</v>
      </c>
      <c r="T1785">
        <v>0.7</v>
      </c>
      <c r="U1785">
        <v>-17.942399999999999</v>
      </c>
      <c r="V1785" t="str">
        <f t="shared" si="27"/>
        <v>Nick Zandusky</v>
      </c>
      <c r="W1785">
        <f>Table2[Profit]/Table2[Sales]</f>
        <v>-0.79999999999999993</v>
      </c>
    </row>
    <row r="1786" spans="1:23" x14ac:dyDescent="0.25">
      <c r="A1786">
        <v>1785</v>
      </c>
      <c r="B1786" t="s">
        <v>6615</v>
      </c>
      <c r="C1786" s="1">
        <v>43078</v>
      </c>
      <c r="D1786" s="1">
        <v>43084</v>
      </c>
      <c r="E1786" t="s">
        <v>49</v>
      </c>
      <c r="F1786" t="s">
        <v>2977</v>
      </c>
      <c r="G1786" t="s">
        <v>2978</v>
      </c>
      <c r="H1786" t="s">
        <v>40</v>
      </c>
      <c r="I1786" t="s">
        <v>26</v>
      </c>
      <c r="J1786" t="s">
        <v>143</v>
      </c>
      <c r="K1786" t="s">
        <v>144</v>
      </c>
      <c r="L1786">
        <v>19143</v>
      </c>
      <c r="M1786" t="s">
        <v>145</v>
      </c>
      <c r="N1786" t="s">
        <v>1356</v>
      </c>
      <c r="O1786" t="s">
        <v>45</v>
      </c>
      <c r="P1786" t="s">
        <v>67</v>
      </c>
      <c r="Q1786" t="s">
        <v>1357</v>
      </c>
      <c r="R1786">
        <v>2.6240000000000001</v>
      </c>
      <c r="S1786">
        <v>1</v>
      </c>
      <c r="T1786">
        <v>0.2</v>
      </c>
      <c r="U1786">
        <v>0.4264</v>
      </c>
      <c r="V1786" t="str">
        <f t="shared" si="27"/>
        <v>Kalyca Meade</v>
      </c>
      <c r="W1786">
        <f>Table2[Profit]/Table2[Sales]</f>
        <v>0.16250000000000001</v>
      </c>
    </row>
    <row r="1787" spans="1:23" x14ac:dyDescent="0.25">
      <c r="A1787">
        <v>1786</v>
      </c>
      <c r="B1787" t="s">
        <v>6616</v>
      </c>
      <c r="C1787" s="1">
        <v>41891</v>
      </c>
      <c r="D1787" s="1">
        <v>41896</v>
      </c>
      <c r="E1787" t="s">
        <v>22</v>
      </c>
      <c r="F1787" t="s">
        <v>806</v>
      </c>
      <c r="G1787" t="s">
        <v>807</v>
      </c>
      <c r="H1787" t="s">
        <v>25</v>
      </c>
      <c r="I1787" t="s">
        <v>26</v>
      </c>
      <c r="J1787" t="s">
        <v>143</v>
      </c>
      <c r="K1787" t="s">
        <v>144</v>
      </c>
      <c r="L1787">
        <v>19140</v>
      </c>
      <c r="M1787" t="s">
        <v>145</v>
      </c>
      <c r="N1787" t="s">
        <v>2844</v>
      </c>
      <c r="O1787" t="s">
        <v>45</v>
      </c>
      <c r="P1787" t="s">
        <v>89</v>
      </c>
      <c r="Q1787" t="s">
        <v>2845</v>
      </c>
      <c r="R1787">
        <v>15.552</v>
      </c>
      <c r="S1787">
        <v>3</v>
      </c>
      <c r="T1787">
        <v>0.2</v>
      </c>
      <c r="U1787">
        <v>5.4432</v>
      </c>
      <c r="V1787" t="str">
        <f t="shared" si="27"/>
        <v>Logan Currie</v>
      </c>
      <c r="W1787">
        <f>Table2[Profit]/Table2[Sales]</f>
        <v>0.35000000000000003</v>
      </c>
    </row>
    <row r="1788" spans="1:23" x14ac:dyDescent="0.25">
      <c r="A1788">
        <v>1787</v>
      </c>
      <c r="B1788" t="s">
        <v>6619</v>
      </c>
      <c r="C1788" s="1">
        <v>42912</v>
      </c>
      <c r="D1788" s="1">
        <v>42916</v>
      </c>
      <c r="E1788" t="s">
        <v>49</v>
      </c>
      <c r="F1788" t="s">
        <v>3417</v>
      </c>
      <c r="G1788" t="s">
        <v>3418</v>
      </c>
      <c r="H1788" t="s">
        <v>25</v>
      </c>
      <c r="I1788" t="s">
        <v>26</v>
      </c>
      <c r="J1788" t="s">
        <v>800</v>
      </c>
      <c r="K1788" t="s">
        <v>450</v>
      </c>
      <c r="L1788">
        <v>80219</v>
      </c>
      <c r="M1788" t="s">
        <v>43</v>
      </c>
      <c r="N1788" t="s">
        <v>3344</v>
      </c>
      <c r="O1788" t="s">
        <v>70</v>
      </c>
      <c r="P1788" t="s">
        <v>158</v>
      </c>
      <c r="Q1788" t="s">
        <v>3345</v>
      </c>
      <c r="R1788">
        <v>431.928</v>
      </c>
      <c r="S1788">
        <v>9</v>
      </c>
      <c r="T1788">
        <v>0.2</v>
      </c>
      <c r="U1788">
        <v>64.789199999999994</v>
      </c>
      <c r="V1788" t="str">
        <f t="shared" si="27"/>
        <v>Nora Preis</v>
      </c>
      <c r="W1788">
        <f>Table2[Profit]/Table2[Sales]</f>
        <v>0.15</v>
      </c>
    </row>
    <row r="1789" spans="1:23" x14ac:dyDescent="0.25">
      <c r="A1789">
        <v>1788</v>
      </c>
      <c r="B1789" t="s">
        <v>6620</v>
      </c>
      <c r="C1789" s="1">
        <v>41960</v>
      </c>
      <c r="D1789" s="1">
        <v>41967</v>
      </c>
      <c r="E1789" t="s">
        <v>49</v>
      </c>
      <c r="F1789" t="s">
        <v>6621</v>
      </c>
      <c r="G1789" t="s">
        <v>6622</v>
      </c>
      <c r="H1789" t="s">
        <v>25</v>
      </c>
      <c r="I1789" t="s">
        <v>26</v>
      </c>
      <c r="J1789" t="s">
        <v>143</v>
      </c>
      <c r="K1789" t="s">
        <v>144</v>
      </c>
      <c r="L1789">
        <v>19143</v>
      </c>
      <c r="M1789" t="s">
        <v>145</v>
      </c>
      <c r="N1789" t="s">
        <v>2165</v>
      </c>
      <c r="O1789" t="s">
        <v>45</v>
      </c>
      <c r="P1789" t="s">
        <v>89</v>
      </c>
      <c r="Q1789" t="s">
        <v>2166</v>
      </c>
      <c r="R1789">
        <v>12.448</v>
      </c>
      <c r="S1789">
        <v>2</v>
      </c>
      <c r="T1789">
        <v>0.2</v>
      </c>
      <c r="U1789">
        <v>3.89</v>
      </c>
      <c r="V1789" t="str">
        <f t="shared" si="27"/>
        <v>Randy Bradley</v>
      </c>
      <c r="W1789">
        <f>Table2[Profit]/Table2[Sales]</f>
        <v>0.3125</v>
      </c>
    </row>
    <row r="1790" spans="1:23" x14ac:dyDescent="0.25">
      <c r="A1790">
        <v>1789</v>
      </c>
      <c r="B1790" t="s">
        <v>6623</v>
      </c>
      <c r="C1790" s="1">
        <v>42968</v>
      </c>
      <c r="D1790" s="1">
        <v>42974</v>
      </c>
      <c r="E1790" t="s">
        <v>49</v>
      </c>
      <c r="F1790" t="s">
        <v>2252</v>
      </c>
      <c r="G1790" t="s">
        <v>2253</v>
      </c>
      <c r="H1790" t="s">
        <v>101</v>
      </c>
      <c r="I1790" t="s">
        <v>26</v>
      </c>
      <c r="J1790" t="s">
        <v>375</v>
      </c>
      <c r="K1790" t="s">
        <v>2699</v>
      </c>
      <c r="L1790">
        <v>21044</v>
      </c>
      <c r="M1790" t="s">
        <v>145</v>
      </c>
      <c r="N1790" t="s">
        <v>1706</v>
      </c>
      <c r="O1790" t="s">
        <v>45</v>
      </c>
      <c r="P1790" t="s">
        <v>89</v>
      </c>
      <c r="Q1790" t="s">
        <v>4903</v>
      </c>
      <c r="R1790">
        <v>277.39999999999998</v>
      </c>
      <c r="S1790">
        <v>5</v>
      </c>
      <c r="T1790">
        <v>0</v>
      </c>
      <c r="U1790">
        <v>133.15199999999999</v>
      </c>
      <c r="V1790" t="str">
        <f t="shared" si="27"/>
        <v>Tracy Hopkins</v>
      </c>
      <c r="W1790">
        <f>Table2[Profit]/Table2[Sales]</f>
        <v>0.48</v>
      </c>
    </row>
    <row r="1791" spans="1:23" x14ac:dyDescent="0.25">
      <c r="A1791">
        <v>1790</v>
      </c>
      <c r="B1791" t="s">
        <v>6624</v>
      </c>
      <c r="C1791" s="1">
        <v>42441</v>
      </c>
      <c r="D1791" s="1">
        <v>42445</v>
      </c>
      <c r="E1791" t="s">
        <v>22</v>
      </c>
      <c r="F1791" t="s">
        <v>2005</v>
      </c>
      <c r="G1791" t="s">
        <v>2006</v>
      </c>
      <c r="H1791" t="s">
        <v>25</v>
      </c>
      <c r="I1791" t="s">
        <v>26</v>
      </c>
      <c r="J1791" t="s">
        <v>263</v>
      </c>
      <c r="K1791" t="s">
        <v>264</v>
      </c>
      <c r="L1791">
        <v>10024</v>
      </c>
      <c r="M1791" t="s">
        <v>145</v>
      </c>
      <c r="N1791" t="s">
        <v>2719</v>
      </c>
      <c r="O1791" t="s">
        <v>45</v>
      </c>
      <c r="P1791" t="s">
        <v>170</v>
      </c>
      <c r="Q1791" t="s">
        <v>662</v>
      </c>
      <c r="R1791">
        <v>29.34</v>
      </c>
      <c r="S1791">
        <v>3</v>
      </c>
      <c r="T1791">
        <v>0</v>
      </c>
      <c r="U1791">
        <v>13.4964</v>
      </c>
      <c r="V1791" t="str">
        <f t="shared" si="27"/>
        <v>Clytie Kelty</v>
      </c>
      <c r="W1791">
        <f>Table2[Profit]/Table2[Sales]</f>
        <v>0.45999999999999996</v>
      </c>
    </row>
    <row r="1792" spans="1:23" x14ac:dyDescent="0.25">
      <c r="A1792">
        <v>1791</v>
      </c>
      <c r="B1792" t="s">
        <v>6625</v>
      </c>
      <c r="C1792" s="1">
        <v>41905</v>
      </c>
      <c r="D1792" s="1">
        <v>41910</v>
      </c>
      <c r="E1792" t="s">
        <v>22</v>
      </c>
      <c r="F1792" t="s">
        <v>3790</v>
      </c>
      <c r="G1792" t="s">
        <v>3791</v>
      </c>
      <c r="H1792" t="s">
        <v>25</v>
      </c>
      <c r="I1792" t="s">
        <v>26</v>
      </c>
      <c r="J1792" t="s">
        <v>263</v>
      </c>
      <c r="K1792" t="s">
        <v>264</v>
      </c>
      <c r="L1792">
        <v>10035</v>
      </c>
      <c r="M1792" t="s">
        <v>145</v>
      </c>
      <c r="N1792" t="s">
        <v>3498</v>
      </c>
      <c r="O1792" t="s">
        <v>45</v>
      </c>
      <c r="P1792" t="s">
        <v>74</v>
      </c>
      <c r="Q1792" t="s">
        <v>3499</v>
      </c>
      <c r="R1792">
        <v>139.44</v>
      </c>
      <c r="S1792">
        <v>3</v>
      </c>
      <c r="T1792">
        <v>0.2</v>
      </c>
      <c r="U1792">
        <v>47.061</v>
      </c>
      <c r="V1792" t="str">
        <f t="shared" si="27"/>
        <v>Shui Tom</v>
      </c>
      <c r="W1792">
        <f>Table2[Profit]/Table2[Sales]</f>
        <v>0.33750000000000002</v>
      </c>
    </row>
    <row r="1793" spans="1:23" x14ac:dyDescent="0.25">
      <c r="A1793">
        <v>1792</v>
      </c>
      <c r="B1793" t="s">
        <v>6626</v>
      </c>
      <c r="C1793" s="1">
        <v>41757</v>
      </c>
      <c r="D1793" s="1">
        <v>41762</v>
      </c>
      <c r="E1793" t="s">
        <v>49</v>
      </c>
      <c r="F1793" t="s">
        <v>2724</v>
      </c>
      <c r="G1793" t="s">
        <v>2725</v>
      </c>
      <c r="H1793" t="s">
        <v>40</v>
      </c>
      <c r="I1793" t="s">
        <v>26</v>
      </c>
      <c r="J1793" t="s">
        <v>600</v>
      </c>
      <c r="K1793" t="s">
        <v>491</v>
      </c>
      <c r="L1793">
        <v>43055</v>
      </c>
      <c r="M1793" t="s">
        <v>145</v>
      </c>
      <c r="N1793" t="s">
        <v>2878</v>
      </c>
      <c r="O1793" t="s">
        <v>45</v>
      </c>
      <c r="P1793" t="s">
        <v>46</v>
      </c>
      <c r="Q1793" t="s">
        <v>2879</v>
      </c>
      <c r="R1793">
        <v>6.9119999999999999</v>
      </c>
      <c r="S1793">
        <v>3</v>
      </c>
      <c r="T1793">
        <v>0.2</v>
      </c>
      <c r="U1793">
        <v>2.5055999999999998</v>
      </c>
      <c r="V1793" t="str">
        <f t="shared" si="27"/>
        <v>George Bell</v>
      </c>
      <c r="W1793">
        <f>Table2[Profit]/Table2[Sales]</f>
        <v>0.36249999999999999</v>
      </c>
    </row>
    <row r="1794" spans="1:23" x14ac:dyDescent="0.25">
      <c r="A1794">
        <v>1793</v>
      </c>
      <c r="B1794" t="s">
        <v>6627</v>
      </c>
      <c r="C1794" s="1">
        <v>42703</v>
      </c>
      <c r="D1794" s="1">
        <v>42705</v>
      </c>
      <c r="E1794" t="s">
        <v>22</v>
      </c>
      <c r="F1794" t="s">
        <v>6628</v>
      </c>
      <c r="G1794" t="s">
        <v>6629</v>
      </c>
      <c r="H1794" t="s">
        <v>40</v>
      </c>
      <c r="I1794" t="s">
        <v>26</v>
      </c>
      <c r="J1794" t="s">
        <v>808</v>
      </c>
      <c r="K1794" t="s">
        <v>103</v>
      </c>
      <c r="L1794">
        <v>75217</v>
      </c>
      <c r="M1794" t="s">
        <v>104</v>
      </c>
      <c r="N1794" t="s">
        <v>5269</v>
      </c>
      <c r="O1794" t="s">
        <v>70</v>
      </c>
      <c r="P1794" t="s">
        <v>158</v>
      </c>
      <c r="Q1794" t="s">
        <v>5270</v>
      </c>
      <c r="R1794">
        <v>58.415999999999997</v>
      </c>
      <c r="S1794">
        <v>2</v>
      </c>
      <c r="T1794">
        <v>0.2</v>
      </c>
      <c r="U1794">
        <v>16.794599999999999</v>
      </c>
      <c r="V1794" t="str">
        <f t="shared" si="27"/>
        <v>Nick Crebassa</v>
      </c>
      <c r="W1794">
        <f>Table2[Profit]/Table2[Sales]</f>
        <v>0.28749999999999998</v>
      </c>
    </row>
    <row r="1795" spans="1:23" x14ac:dyDescent="0.25">
      <c r="A1795">
        <v>1794</v>
      </c>
      <c r="B1795" t="s">
        <v>6630</v>
      </c>
      <c r="C1795" s="1">
        <v>42341</v>
      </c>
      <c r="D1795" s="1">
        <v>42346</v>
      </c>
      <c r="E1795" t="s">
        <v>49</v>
      </c>
      <c r="F1795" t="s">
        <v>3605</v>
      </c>
      <c r="G1795" t="s">
        <v>3606</v>
      </c>
      <c r="H1795" t="s">
        <v>101</v>
      </c>
      <c r="I1795" t="s">
        <v>26</v>
      </c>
      <c r="J1795" t="s">
        <v>143</v>
      </c>
      <c r="K1795" t="s">
        <v>144</v>
      </c>
      <c r="L1795">
        <v>19134</v>
      </c>
      <c r="M1795" t="s">
        <v>145</v>
      </c>
      <c r="N1795" t="s">
        <v>6469</v>
      </c>
      <c r="O1795" t="s">
        <v>45</v>
      </c>
      <c r="P1795" t="s">
        <v>89</v>
      </c>
      <c r="Q1795" t="s">
        <v>6470</v>
      </c>
      <c r="R1795">
        <v>16.448</v>
      </c>
      <c r="S1795">
        <v>2</v>
      </c>
      <c r="T1795">
        <v>0.2</v>
      </c>
      <c r="U1795">
        <v>5.5511999999999997</v>
      </c>
      <c r="V1795" t="str">
        <f t="shared" ref="V1795:V1858" si="28">TRIM(G1795)</f>
        <v>Alejandro Ballentine</v>
      </c>
      <c r="W1795">
        <f>Table2[Profit]/Table2[Sales]</f>
        <v>0.33749999999999997</v>
      </c>
    </row>
    <row r="1796" spans="1:23" x14ac:dyDescent="0.25">
      <c r="A1796">
        <v>1795</v>
      </c>
      <c r="B1796" t="s">
        <v>6631</v>
      </c>
      <c r="C1796" s="1">
        <v>43058</v>
      </c>
      <c r="D1796" s="1">
        <v>43060</v>
      </c>
      <c r="E1796" t="s">
        <v>185</v>
      </c>
      <c r="F1796" t="s">
        <v>348</v>
      </c>
      <c r="G1796" t="s">
        <v>349</v>
      </c>
      <c r="H1796" t="s">
        <v>40</v>
      </c>
      <c r="I1796" t="s">
        <v>26</v>
      </c>
      <c r="J1796" t="s">
        <v>671</v>
      </c>
      <c r="K1796" t="s">
        <v>103</v>
      </c>
      <c r="L1796">
        <v>78207</v>
      </c>
      <c r="M1796" t="s">
        <v>104</v>
      </c>
      <c r="N1796" t="s">
        <v>3741</v>
      </c>
      <c r="O1796" t="s">
        <v>31</v>
      </c>
      <c r="P1796" t="s">
        <v>55</v>
      </c>
      <c r="Q1796" t="s">
        <v>3742</v>
      </c>
      <c r="R1796">
        <v>718.11599999999999</v>
      </c>
      <c r="S1796">
        <v>6</v>
      </c>
      <c r="T1796">
        <v>0.3</v>
      </c>
      <c r="U1796">
        <v>-71.811599999999999</v>
      </c>
      <c r="V1796" t="str">
        <f t="shared" si="28"/>
        <v>Stewart Carmichael</v>
      </c>
      <c r="W1796">
        <f>Table2[Profit]/Table2[Sales]</f>
        <v>-0.1</v>
      </c>
    </row>
    <row r="1797" spans="1:23" x14ac:dyDescent="0.25">
      <c r="A1797">
        <v>1796</v>
      </c>
      <c r="B1797" t="s">
        <v>6632</v>
      </c>
      <c r="C1797" s="1">
        <v>42618</v>
      </c>
      <c r="D1797" s="1">
        <v>42622</v>
      </c>
      <c r="E1797" t="s">
        <v>49</v>
      </c>
      <c r="F1797" t="s">
        <v>1786</v>
      </c>
      <c r="G1797" t="s">
        <v>1787</v>
      </c>
      <c r="H1797" t="s">
        <v>25</v>
      </c>
      <c r="I1797" t="s">
        <v>26</v>
      </c>
      <c r="J1797" t="s">
        <v>143</v>
      </c>
      <c r="K1797" t="s">
        <v>144</v>
      </c>
      <c r="L1797">
        <v>19120</v>
      </c>
      <c r="M1797" t="s">
        <v>145</v>
      </c>
      <c r="N1797" t="s">
        <v>252</v>
      </c>
      <c r="O1797" t="s">
        <v>45</v>
      </c>
      <c r="P1797" t="s">
        <v>74</v>
      </c>
      <c r="Q1797" t="s">
        <v>253</v>
      </c>
      <c r="R1797">
        <v>9.5549999999999997</v>
      </c>
      <c r="S1797">
        <v>5</v>
      </c>
      <c r="T1797">
        <v>0.7</v>
      </c>
      <c r="U1797">
        <v>-7.3254999999999999</v>
      </c>
      <c r="V1797" t="str">
        <f t="shared" si="28"/>
        <v>Jasper Cacioppo</v>
      </c>
      <c r="W1797">
        <f>Table2[Profit]/Table2[Sales]</f>
        <v>-0.76666666666666672</v>
      </c>
    </row>
    <row r="1798" spans="1:23" x14ac:dyDescent="0.25">
      <c r="A1798">
        <v>1797</v>
      </c>
      <c r="B1798" t="s">
        <v>6633</v>
      </c>
      <c r="C1798" s="1">
        <v>42982</v>
      </c>
      <c r="D1798" s="1">
        <v>42986</v>
      </c>
      <c r="E1798" t="s">
        <v>49</v>
      </c>
      <c r="F1798" t="s">
        <v>2198</v>
      </c>
      <c r="G1798" t="s">
        <v>2199</v>
      </c>
      <c r="H1798" t="s">
        <v>25</v>
      </c>
      <c r="I1798" t="s">
        <v>26</v>
      </c>
      <c r="J1798" t="s">
        <v>41</v>
      </c>
      <c r="K1798" t="s">
        <v>42</v>
      </c>
      <c r="L1798">
        <v>90004</v>
      </c>
      <c r="M1798" t="s">
        <v>43</v>
      </c>
      <c r="N1798" t="s">
        <v>2177</v>
      </c>
      <c r="O1798" t="s">
        <v>45</v>
      </c>
      <c r="P1798" t="s">
        <v>74</v>
      </c>
      <c r="Q1798" t="s">
        <v>2178</v>
      </c>
      <c r="R1798">
        <v>487.98399999999998</v>
      </c>
      <c r="S1798">
        <v>2</v>
      </c>
      <c r="T1798">
        <v>0.2</v>
      </c>
      <c r="U1798">
        <v>152.495</v>
      </c>
      <c r="V1798" t="str">
        <f t="shared" si="28"/>
        <v>Ralph Arnett</v>
      </c>
      <c r="W1798">
        <f>Table2[Profit]/Table2[Sales]</f>
        <v>0.3125</v>
      </c>
    </row>
    <row r="1799" spans="1:23" x14ac:dyDescent="0.25">
      <c r="A1799">
        <v>1798</v>
      </c>
      <c r="B1799" t="s">
        <v>6634</v>
      </c>
      <c r="C1799" s="1">
        <v>42635</v>
      </c>
      <c r="D1799" s="1">
        <v>42642</v>
      </c>
      <c r="E1799" t="s">
        <v>49</v>
      </c>
      <c r="F1799" t="s">
        <v>578</v>
      </c>
      <c r="G1799" t="s">
        <v>579</v>
      </c>
      <c r="H1799" t="s">
        <v>40</v>
      </c>
      <c r="I1799" t="s">
        <v>26</v>
      </c>
      <c r="J1799" t="s">
        <v>3716</v>
      </c>
      <c r="K1799" t="s">
        <v>328</v>
      </c>
      <c r="L1799">
        <v>37167</v>
      </c>
      <c r="M1799" t="s">
        <v>29</v>
      </c>
      <c r="N1799" t="s">
        <v>5598</v>
      </c>
      <c r="O1799" t="s">
        <v>45</v>
      </c>
      <c r="P1799" t="s">
        <v>67</v>
      </c>
      <c r="Q1799" t="s">
        <v>5599</v>
      </c>
      <c r="R1799">
        <v>40.776000000000003</v>
      </c>
      <c r="S1799">
        <v>3</v>
      </c>
      <c r="T1799">
        <v>0.2</v>
      </c>
      <c r="U1799">
        <v>4.5872999999999999</v>
      </c>
      <c r="V1799" t="str">
        <f t="shared" si="28"/>
        <v>Sally Hughsby</v>
      </c>
      <c r="W1799">
        <f>Table2[Profit]/Table2[Sales]</f>
        <v>0.11249999999999999</v>
      </c>
    </row>
    <row r="1800" spans="1:23" x14ac:dyDescent="0.25">
      <c r="A1800">
        <v>1799</v>
      </c>
      <c r="B1800" t="s">
        <v>6637</v>
      </c>
      <c r="C1800" s="1">
        <v>41896</v>
      </c>
      <c r="D1800" s="1">
        <v>41901</v>
      </c>
      <c r="E1800" t="s">
        <v>49</v>
      </c>
      <c r="F1800" t="s">
        <v>4584</v>
      </c>
      <c r="G1800" t="s">
        <v>4585</v>
      </c>
      <c r="H1800" t="s">
        <v>25</v>
      </c>
      <c r="I1800" t="s">
        <v>26</v>
      </c>
      <c r="J1800" t="s">
        <v>3486</v>
      </c>
      <c r="K1800" t="s">
        <v>1260</v>
      </c>
      <c r="L1800">
        <v>31204</v>
      </c>
      <c r="M1800" t="s">
        <v>29</v>
      </c>
      <c r="N1800" t="s">
        <v>4489</v>
      </c>
      <c r="O1800" t="s">
        <v>31</v>
      </c>
      <c r="P1800" t="s">
        <v>64</v>
      </c>
      <c r="Q1800" t="s">
        <v>4490</v>
      </c>
      <c r="R1800">
        <v>142.4</v>
      </c>
      <c r="S1800">
        <v>5</v>
      </c>
      <c r="T1800">
        <v>0</v>
      </c>
      <c r="U1800">
        <v>52.688000000000002</v>
      </c>
      <c r="V1800" t="str">
        <f t="shared" si="28"/>
        <v>John Castell</v>
      </c>
      <c r="W1800">
        <f>Table2[Profit]/Table2[Sales]</f>
        <v>0.37</v>
      </c>
    </row>
    <row r="1801" spans="1:23" x14ac:dyDescent="0.25">
      <c r="A1801">
        <v>1800</v>
      </c>
      <c r="B1801" t="s">
        <v>6638</v>
      </c>
      <c r="C1801" s="1">
        <v>42874</v>
      </c>
      <c r="D1801" s="1">
        <v>42876</v>
      </c>
      <c r="E1801" t="s">
        <v>22</v>
      </c>
      <c r="F1801" t="s">
        <v>5210</v>
      </c>
      <c r="G1801" t="s">
        <v>5211</v>
      </c>
      <c r="H1801" t="s">
        <v>101</v>
      </c>
      <c r="I1801" t="s">
        <v>26</v>
      </c>
      <c r="J1801" t="s">
        <v>126</v>
      </c>
      <c r="K1801" t="s">
        <v>42</v>
      </c>
      <c r="L1801">
        <v>94109</v>
      </c>
      <c r="M1801" t="s">
        <v>43</v>
      </c>
      <c r="N1801" t="s">
        <v>1815</v>
      </c>
      <c r="O1801" t="s">
        <v>31</v>
      </c>
      <c r="P1801" t="s">
        <v>35</v>
      </c>
      <c r="Q1801" t="s">
        <v>1816</v>
      </c>
      <c r="R1801">
        <v>681.40800000000002</v>
      </c>
      <c r="S1801">
        <v>12</v>
      </c>
      <c r="T1801">
        <v>0.2</v>
      </c>
      <c r="U1801">
        <v>42.588000000000001</v>
      </c>
      <c r="V1801" t="str">
        <f t="shared" si="28"/>
        <v>Becky Castell</v>
      </c>
      <c r="W1801">
        <f>Table2[Profit]/Table2[Sales]</f>
        <v>6.25E-2</v>
      </c>
    </row>
    <row r="1802" spans="1:23" x14ac:dyDescent="0.25">
      <c r="A1802">
        <v>1801</v>
      </c>
      <c r="B1802" t="s">
        <v>6639</v>
      </c>
      <c r="C1802" s="1">
        <v>41860</v>
      </c>
      <c r="D1802" s="1">
        <v>41864</v>
      </c>
      <c r="E1802" t="s">
        <v>49</v>
      </c>
      <c r="F1802" t="s">
        <v>823</v>
      </c>
      <c r="G1802" t="s">
        <v>824</v>
      </c>
      <c r="H1802" t="s">
        <v>25</v>
      </c>
      <c r="I1802" t="s">
        <v>26</v>
      </c>
      <c r="J1802" t="s">
        <v>94</v>
      </c>
      <c r="K1802" t="s">
        <v>95</v>
      </c>
      <c r="L1802">
        <v>98103</v>
      </c>
      <c r="M1802" t="s">
        <v>43</v>
      </c>
      <c r="N1802" t="s">
        <v>6216</v>
      </c>
      <c r="O1802" t="s">
        <v>45</v>
      </c>
      <c r="P1802" t="s">
        <v>74</v>
      </c>
      <c r="Q1802" t="s">
        <v>6217</v>
      </c>
      <c r="R1802">
        <v>2060.7440000000001</v>
      </c>
      <c r="S1802">
        <v>7</v>
      </c>
      <c r="T1802">
        <v>0.2</v>
      </c>
      <c r="U1802">
        <v>643.98249999999996</v>
      </c>
      <c r="V1802" t="str">
        <f t="shared" si="28"/>
        <v>Joseph Holt</v>
      </c>
      <c r="W1802">
        <f>Table2[Profit]/Table2[Sales]</f>
        <v>0.31249999999999994</v>
      </c>
    </row>
    <row r="1803" spans="1:23" x14ac:dyDescent="0.25">
      <c r="A1803">
        <v>1802</v>
      </c>
      <c r="B1803" t="s">
        <v>6640</v>
      </c>
      <c r="C1803" s="1">
        <v>43065</v>
      </c>
      <c r="D1803" s="1">
        <v>43069</v>
      </c>
      <c r="E1803" t="s">
        <v>49</v>
      </c>
      <c r="F1803" t="s">
        <v>4849</v>
      </c>
      <c r="G1803" t="s">
        <v>4850</v>
      </c>
      <c r="H1803" t="s">
        <v>40</v>
      </c>
      <c r="I1803" t="s">
        <v>26</v>
      </c>
      <c r="J1803" t="s">
        <v>490</v>
      </c>
      <c r="K1803" t="s">
        <v>491</v>
      </c>
      <c r="L1803">
        <v>43229</v>
      </c>
      <c r="M1803" t="s">
        <v>145</v>
      </c>
      <c r="N1803" t="s">
        <v>4347</v>
      </c>
      <c r="O1803" t="s">
        <v>45</v>
      </c>
      <c r="P1803" t="s">
        <v>77</v>
      </c>
      <c r="Q1803" t="s">
        <v>4348</v>
      </c>
      <c r="R1803">
        <v>52.271999999999998</v>
      </c>
      <c r="S1803">
        <v>3</v>
      </c>
      <c r="T1803">
        <v>0.2</v>
      </c>
      <c r="U1803">
        <v>9.8010000000000002</v>
      </c>
      <c r="V1803" t="str">
        <f t="shared" si="28"/>
        <v>Corey Catlett</v>
      </c>
      <c r="W1803">
        <f>Table2[Profit]/Table2[Sales]</f>
        <v>0.1875</v>
      </c>
    </row>
    <row r="1804" spans="1:23" x14ac:dyDescent="0.25">
      <c r="A1804">
        <v>1803</v>
      </c>
      <c r="B1804" t="s">
        <v>6641</v>
      </c>
      <c r="C1804" s="1">
        <v>42858</v>
      </c>
      <c r="D1804" s="1">
        <v>42863</v>
      </c>
      <c r="E1804" t="s">
        <v>22</v>
      </c>
      <c r="F1804" t="s">
        <v>6642</v>
      </c>
      <c r="G1804" t="s">
        <v>6643</v>
      </c>
      <c r="H1804" t="s">
        <v>40</v>
      </c>
      <c r="I1804" t="s">
        <v>26</v>
      </c>
      <c r="J1804" t="s">
        <v>41</v>
      </c>
      <c r="K1804" t="s">
        <v>42</v>
      </c>
      <c r="L1804">
        <v>90004</v>
      </c>
      <c r="M1804" t="s">
        <v>43</v>
      </c>
      <c r="N1804" t="s">
        <v>4539</v>
      </c>
      <c r="O1804" t="s">
        <v>45</v>
      </c>
      <c r="P1804" t="s">
        <v>58</v>
      </c>
      <c r="Q1804" t="s">
        <v>4540</v>
      </c>
      <c r="R1804">
        <v>69.52</v>
      </c>
      <c r="S1804">
        <v>2</v>
      </c>
      <c r="T1804">
        <v>0</v>
      </c>
      <c r="U1804">
        <v>19.465599999999998</v>
      </c>
      <c r="V1804" t="str">
        <f t="shared" si="28"/>
        <v>Darren Budd</v>
      </c>
      <c r="W1804">
        <f>Table2[Profit]/Table2[Sales]</f>
        <v>0.27999999999999997</v>
      </c>
    </row>
    <row r="1805" spans="1:23" x14ac:dyDescent="0.25">
      <c r="A1805">
        <v>1804</v>
      </c>
      <c r="B1805" t="s">
        <v>6644</v>
      </c>
      <c r="C1805" s="1">
        <v>42684</v>
      </c>
      <c r="D1805" s="1">
        <v>42688</v>
      </c>
      <c r="E1805" t="s">
        <v>49</v>
      </c>
      <c r="F1805" t="s">
        <v>3714</v>
      </c>
      <c r="G1805" t="s">
        <v>3715</v>
      </c>
      <c r="H1805" t="s">
        <v>101</v>
      </c>
      <c r="I1805" t="s">
        <v>26</v>
      </c>
      <c r="J1805" t="s">
        <v>311</v>
      </c>
      <c r="K1805" t="s">
        <v>491</v>
      </c>
      <c r="L1805">
        <v>45503</v>
      </c>
      <c r="M1805" t="s">
        <v>145</v>
      </c>
      <c r="N1805" t="s">
        <v>2878</v>
      </c>
      <c r="O1805" t="s">
        <v>45</v>
      </c>
      <c r="P1805" t="s">
        <v>46</v>
      </c>
      <c r="Q1805" t="s">
        <v>2879</v>
      </c>
      <c r="R1805">
        <v>9.2159999999999993</v>
      </c>
      <c r="S1805">
        <v>4</v>
      </c>
      <c r="T1805">
        <v>0.2</v>
      </c>
      <c r="U1805">
        <v>3.3408000000000002</v>
      </c>
      <c r="V1805" t="str">
        <f t="shared" si="28"/>
        <v>Paul Prost</v>
      </c>
      <c r="W1805">
        <f>Table2[Profit]/Table2[Sales]</f>
        <v>0.36250000000000004</v>
      </c>
    </row>
    <row r="1806" spans="1:23" x14ac:dyDescent="0.25">
      <c r="A1806">
        <v>1805</v>
      </c>
      <c r="B1806" t="s">
        <v>6648</v>
      </c>
      <c r="C1806" s="1">
        <v>41993</v>
      </c>
      <c r="D1806" s="1">
        <v>41996</v>
      </c>
      <c r="E1806" t="s">
        <v>22</v>
      </c>
      <c r="F1806" t="s">
        <v>2193</v>
      </c>
      <c r="G1806" t="s">
        <v>2194</v>
      </c>
      <c r="H1806" t="s">
        <v>25</v>
      </c>
      <c r="I1806" t="s">
        <v>26</v>
      </c>
      <c r="J1806" t="s">
        <v>41</v>
      </c>
      <c r="K1806" t="s">
        <v>42</v>
      </c>
      <c r="L1806">
        <v>90008</v>
      </c>
      <c r="M1806" t="s">
        <v>43</v>
      </c>
      <c r="N1806" t="s">
        <v>2177</v>
      </c>
      <c r="O1806" t="s">
        <v>45</v>
      </c>
      <c r="P1806" t="s">
        <v>74</v>
      </c>
      <c r="Q1806" t="s">
        <v>2178</v>
      </c>
      <c r="R1806">
        <v>487.98399999999998</v>
      </c>
      <c r="S1806">
        <v>2</v>
      </c>
      <c r="T1806">
        <v>0.2</v>
      </c>
      <c r="U1806">
        <v>152.495</v>
      </c>
      <c r="V1806" t="str">
        <f t="shared" si="28"/>
        <v>Michael Chen</v>
      </c>
      <c r="W1806">
        <f>Table2[Profit]/Table2[Sales]</f>
        <v>0.3125</v>
      </c>
    </row>
    <row r="1807" spans="1:23" x14ac:dyDescent="0.25">
      <c r="A1807">
        <v>1806</v>
      </c>
      <c r="B1807" t="s">
        <v>6655</v>
      </c>
      <c r="C1807" s="1">
        <v>41845</v>
      </c>
      <c r="D1807" s="1">
        <v>41847</v>
      </c>
      <c r="E1807" t="s">
        <v>22</v>
      </c>
      <c r="F1807" t="s">
        <v>5906</v>
      </c>
      <c r="G1807" t="s">
        <v>5907</v>
      </c>
      <c r="H1807" t="s">
        <v>101</v>
      </c>
      <c r="I1807" t="s">
        <v>26</v>
      </c>
      <c r="J1807" t="s">
        <v>41</v>
      </c>
      <c r="K1807" t="s">
        <v>42</v>
      </c>
      <c r="L1807">
        <v>90045</v>
      </c>
      <c r="M1807" t="s">
        <v>43</v>
      </c>
      <c r="N1807" t="s">
        <v>2803</v>
      </c>
      <c r="O1807" t="s">
        <v>45</v>
      </c>
      <c r="P1807" t="s">
        <v>89</v>
      </c>
      <c r="Q1807" t="s">
        <v>6656</v>
      </c>
      <c r="R1807">
        <v>6.48</v>
      </c>
      <c r="S1807">
        <v>1</v>
      </c>
      <c r="T1807">
        <v>0</v>
      </c>
      <c r="U1807">
        <v>3.1751999999999998</v>
      </c>
      <c r="V1807" t="str">
        <f t="shared" si="28"/>
        <v>Vicky Freymann</v>
      </c>
      <c r="W1807">
        <f>Table2[Profit]/Table2[Sales]</f>
        <v>0.48999999999999994</v>
      </c>
    </row>
    <row r="1808" spans="1:23" x14ac:dyDescent="0.25">
      <c r="A1808">
        <v>1807</v>
      </c>
      <c r="B1808" t="s">
        <v>6659</v>
      </c>
      <c r="C1808" s="1">
        <v>42330</v>
      </c>
      <c r="D1808" s="1">
        <v>42335</v>
      </c>
      <c r="E1808" t="s">
        <v>49</v>
      </c>
      <c r="F1808" t="s">
        <v>4180</v>
      </c>
      <c r="G1808" t="s">
        <v>4181</v>
      </c>
      <c r="H1808" t="s">
        <v>25</v>
      </c>
      <c r="I1808" t="s">
        <v>26</v>
      </c>
      <c r="J1808" t="s">
        <v>327</v>
      </c>
      <c r="K1808" t="s">
        <v>328</v>
      </c>
      <c r="L1808">
        <v>38109</v>
      </c>
      <c r="M1808" t="s">
        <v>29</v>
      </c>
      <c r="N1808" t="s">
        <v>2673</v>
      </c>
      <c r="O1808" t="s">
        <v>45</v>
      </c>
      <c r="P1808" t="s">
        <v>74</v>
      </c>
      <c r="Q1808" t="s">
        <v>2674</v>
      </c>
      <c r="R1808">
        <v>2.9460000000000002</v>
      </c>
      <c r="S1808">
        <v>2</v>
      </c>
      <c r="T1808">
        <v>0.7</v>
      </c>
      <c r="U1808">
        <v>-2.0621999999999998</v>
      </c>
      <c r="V1808" t="str">
        <f t="shared" si="28"/>
        <v>Marc Crier</v>
      </c>
      <c r="W1808">
        <f>Table2[Profit]/Table2[Sales]</f>
        <v>-0.69999999999999984</v>
      </c>
    </row>
    <row r="1809" spans="1:23" x14ac:dyDescent="0.25">
      <c r="A1809">
        <v>1808</v>
      </c>
      <c r="B1809" t="s">
        <v>6660</v>
      </c>
      <c r="C1809" s="1">
        <v>43078</v>
      </c>
      <c r="D1809" s="1">
        <v>43080</v>
      </c>
      <c r="E1809" t="s">
        <v>22</v>
      </c>
      <c r="F1809" t="s">
        <v>1748</v>
      </c>
      <c r="G1809" t="s">
        <v>1749</v>
      </c>
      <c r="H1809" t="s">
        <v>25</v>
      </c>
      <c r="I1809" t="s">
        <v>26</v>
      </c>
      <c r="J1809" t="s">
        <v>873</v>
      </c>
      <c r="K1809" t="s">
        <v>235</v>
      </c>
      <c r="L1809">
        <v>48234</v>
      </c>
      <c r="M1809" t="s">
        <v>104</v>
      </c>
      <c r="N1809" t="s">
        <v>6661</v>
      </c>
      <c r="O1809" t="s">
        <v>70</v>
      </c>
      <c r="P1809" t="s">
        <v>158</v>
      </c>
      <c r="Q1809" t="s">
        <v>6662</v>
      </c>
      <c r="R1809">
        <v>104.88</v>
      </c>
      <c r="S1809">
        <v>6</v>
      </c>
      <c r="T1809">
        <v>0</v>
      </c>
      <c r="U1809">
        <v>41.951999999999998</v>
      </c>
      <c r="V1809" t="str">
        <f t="shared" si="28"/>
        <v>Dean Braden</v>
      </c>
      <c r="W1809">
        <f>Table2[Profit]/Table2[Sales]</f>
        <v>0.4</v>
      </c>
    </row>
    <row r="1810" spans="1:23" x14ac:dyDescent="0.25">
      <c r="A1810">
        <v>1809</v>
      </c>
      <c r="B1810" t="s">
        <v>6663</v>
      </c>
      <c r="C1810" s="1">
        <v>42978</v>
      </c>
      <c r="D1810" s="1">
        <v>42983</v>
      </c>
      <c r="E1810" t="s">
        <v>49</v>
      </c>
      <c r="F1810" t="s">
        <v>1861</v>
      </c>
      <c r="G1810" t="s">
        <v>1862</v>
      </c>
      <c r="H1810" t="s">
        <v>25</v>
      </c>
      <c r="I1810" t="s">
        <v>26</v>
      </c>
      <c r="J1810" t="s">
        <v>1465</v>
      </c>
      <c r="K1810" t="s">
        <v>251</v>
      </c>
      <c r="L1810">
        <v>46226</v>
      </c>
      <c r="M1810" t="s">
        <v>104</v>
      </c>
      <c r="N1810" t="s">
        <v>2122</v>
      </c>
      <c r="O1810" t="s">
        <v>45</v>
      </c>
      <c r="P1810" t="s">
        <v>77</v>
      </c>
      <c r="Q1810" t="s">
        <v>2123</v>
      </c>
      <c r="R1810">
        <v>638.73</v>
      </c>
      <c r="S1810">
        <v>9</v>
      </c>
      <c r="T1810">
        <v>0</v>
      </c>
      <c r="U1810">
        <v>166.06979999999999</v>
      </c>
      <c r="V1810" t="str">
        <f t="shared" si="28"/>
        <v>Ashley Jarboe</v>
      </c>
      <c r="W1810">
        <f>Table2[Profit]/Table2[Sales]</f>
        <v>0.25999999999999995</v>
      </c>
    </row>
    <row r="1811" spans="1:23" x14ac:dyDescent="0.25">
      <c r="A1811">
        <v>1810</v>
      </c>
      <c r="B1811" t="s">
        <v>6664</v>
      </c>
      <c r="C1811" s="1">
        <v>42849</v>
      </c>
      <c r="D1811" s="1">
        <v>42855</v>
      </c>
      <c r="E1811" t="s">
        <v>49</v>
      </c>
      <c r="F1811" t="s">
        <v>2375</v>
      </c>
      <c r="G1811" t="s">
        <v>2376</v>
      </c>
      <c r="H1811" t="s">
        <v>40</v>
      </c>
      <c r="I1811" t="s">
        <v>26</v>
      </c>
      <c r="J1811" t="s">
        <v>1507</v>
      </c>
      <c r="K1811" t="s">
        <v>53</v>
      </c>
      <c r="L1811">
        <v>32216</v>
      </c>
      <c r="M1811" t="s">
        <v>29</v>
      </c>
      <c r="N1811" t="s">
        <v>4063</v>
      </c>
      <c r="O1811" t="s">
        <v>45</v>
      </c>
      <c r="P1811" t="s">
        <v>58</v>
      </c>
      <c r="Q1811" t="s">
        <v>4064</v>
      </c>
      <c r="R1811">
        <v>113.568</v>
      </c>
      <c r="S1811">
        <v>2</v>
      </c>
      <c r="T1811">
        <v>0.2</v>
      </c>
      <c r="U1811">
        <v>-21.294</v>
      </c>
      <c r="V1811" t="str">
        <f t="shared" si="28"/>
        <v>Christine Phan</v>
      </c>
      <c r="W1811">
        <f>Table2[Profit]/Table2[Sales]</f>
        <v>-0.1875</v>
      </c>
    </row>
    <row r="1812" spans="1:23" x14ac:dyDescent="0.25">
      <c r="A1812">
        <v>1811</v>
      </c>
      <c r="B1812" t="s">
        <v>6665</v>
      </c>
      <c r="C1812" s="1">
        <v>42986</v>
      </c>
      <c r="D1812" s="1">
        <v>42992</v>
      </c>
      <c r="E1812" t="s">
        <v>49</v>
      </c>
      <c r="F1812" t="s">
        <v>5063</v>
      </c>
      <c r="G1812" t="s">
        <v>5064</v>
      </c>
      <c r="H1812" t="s">
        <v>40</v>
      </c>
      <c r="I1812" t="s">
        <v>26</v>
      </c>
      <c r="J1812" t="s">
        <v>859</v>
      </c>
      <c r="K1812" t="s">
        <v>491</v>
      </c>
      <c r="L1812">
        <v>43017</v>
      </c>
      <c r="M1812" t="s">
        <v>145</v>
      </c>
      <c r="N1812" t="s">
        <v>6666</v>
      </c>
      <c r="O1812" t="s">
        <v>70</v>
      </c>
      <c r="P1812" t="s">
        <v>158</v>
      </c>
      <c r="Q1812" t="s">
        <v>6667</v>
      </c>
      <c r="R1812">
        <v>9.0960000000000001</v>
      </c>
      <c r="S1812">
        <v>1</v>
      </c>
      <c r="T1812">
        <v>0.2</v>
      </c>
      <c r="U1812">
        <v>1.7055</v>
      </c>
      <c r="V1812" t="str">
        <f t="shared" si="28"/>
        <v>Dorothy Badders</v>
      </c>
      <c r="W1812">
        <f>Table2[Profit]/Table2[Sales]</f>
        <v>0.1875</v>
      </c>
    </row>
    <row r="1813" spans="1:23" x14ac:dyDescent="0.25">
      <c r="A1813">
        <v>1812</v>
      </c>
      <c r="B1813" t="s">
        <v>6668</v>
      </c>
      <c r="C1813" s="1">
        <v>42075</v>
      </c>
      <c r="D1813" s="1">
        <v>42080</v>
      </c>
      <c r="E1813" t="s">
        <v>49</v>
      </c>
      <c r="F1813" t="s">
        <v>4050</v>
      </c>
      <c r="G1813" t="s">
        <v>4051</v>
      </c>
      <c r="H1813" t="s">
        <v>40</v>
      </c>
      <c r="I1813" t="s">
        <v>26</v>
      </c>
      <c r="J1813" t="s">
        <v>6669</v>
      </c>
      <c r="K1813" t="s">
        <v>53</v>
      </c>
      <c r="L1813">
        <v>33317</v>
      </c>
      <c r="M1813" t="s">
        <v>29</v>
      </c>
      <c r="N1813" t="s">
        <v>582</v>
      </c>
      <c r="O1813" t="s">
        <v>45</v>
      </c>
      <c r="P1813" t="s">
        <v>170</v>
      </c>
      <c r="Q1813" t="s">
        <v>583</v>
      </c>
      <c r="R1813">
        <v>8.6880000000000006</v>
      </c>
      <c r="S1813">
        <v>3</v>
      </c>
      <c r="T1813">
        <v>0.2</v>
      </c>
      <c r="U1813">
        <v>2.9321999999999999</v>
      </c>
      <c r="V1813" t="str">
        <f t="shared" si="28"/>
        <v>Edward Becker</v>
      </c>
      <c r="W1813">
        <f>Table2[Profit]/Table2[Sales]</f>
        <v>0.33749999999999997</v>
      </c>
    </row>
    <row r="1814" spans="1:23" x14ac:dyDescent="0.25">
      <c r="A1814">
        <v>1813</v>
      </c>
      <c r="B1814" t="s">
        <v>6672</v>
      </c>
      <c r="C1814" s="1">
        <v>42569</v>
      </c>
      <c r="D1814" s="1">
        <v>42574</v>
      </c>
      <c r="E1814" t="s">
        <v>49</v>
      </c>
      <c r="F1814" t="s">
        <v>6194</v>
      </c>
      <c r="G1814" t="s">
        <v>6195</v>
      </c>
      <c r="H1814" t="s">
        <v>40</v>
      </c>
      <c r="I1814" t="s">
        <v>26</v>
      </c>
      <c r="J1814" t="s">
        <v>3860</v>
      </c>
      <c r="K1814" t="s">
        <v>303</v>
      </c>
      <c r="L1814">
        <v>85301</v>
      </c>
      <c r="M1814" t="s">
        <v>43</v>
      </c>
      <c r="N1814" t="s">
        <v>6673</v>
      </c>
      <c r="O1814" t="s">
        <v>45</v>
      </c>
      <c r="P1814" t="s">
        <v>572</v>
      </c>
      <c r="Q1814" t="s">
        <v>6674</v>
      </c>
      <c r="R1814">
        <v>33.799999999999997</v>
      </c>
      <c r="S1814">
        <v>5</v>
      </c>
      <c r="T1814">
        <v>0.2</v>
      </c>
      <c r="U1814">
        <v>4.2249999999999996</v>
      </c>
      <c r="V1814" t="str">
        <f t="shared" si="28"/>
        <v>Jennifer Patt</v>
      </c>
      <c r="W1814">
        <f>Table2[Profit]/Table2[Sales]</f>
        <v>0.125</v>
      </c>
    </row>
    <row r="1815" spans="1:23" x14ac:dyDescent="0.25">
      <c r="A1815">
        <v>1814</v>
      </c>
      <c r="B1815" t="s">
        <v>6675</v>
      </c>
      <c r="C1815" s="1">
        <v>42534</v>
      </c>
      <c r="D1815" s="1">
        <v>42536</v>
      </c>
      <c r="E1815" t="s">
        <v>22</v>
      </c>
      <c r="F1815" t="s">
        <v>2760</v>
      </c>
      <c r="G1815" t="s">
        <v>2761</v>
      </c>
      <c r="H1815" t="s">
        <v>101</v>
      </c>
      <c r="I1815" t="s">
        <v>26</v>
      </c>
      <c r="J1815" t="s">
        <v>321</v>
      </c>
      <c r="K1815" t="s">
        <v>235</v>
      </c>
      <c r="L1815">
        <v>49201</v>
      </c>
      <c r="M1815" t="s">
        <v>104</v>
      </c>
      <c r="N1815" t="s">
        <v>6581</v>
      </c>
      <c r="O1815" t="s">
        <v>70</v>
      </c>
      <c r="P1815" t="s">
        <v>71</v>
      </c>
      <c r="Q1815" t="s">
        <v>6582</v>
      </c>
      <c r="R1815">
        <v>377.97</v>
      </c>
      <c r="S1815">
        <v>3</v>
      </c>
      <c r="T1815">
        <v>0</v>
      </c>
      <c r="U1815">
        <v>94.492500000000007</v>
      </c>
      <c r="V1815" t="str">
        <f t="shared" si="28"/>
        <v>Sample Company A</v>
      </c>
      <c r="W1815">
        <f>Table2[Profit]/Table2[Sales]</f>
        <v>0.25</v>
      </c>
    </row>
    <row r="1816" spans="1:23" x14ac:dyDescent="0.25">
      <c r="A1816">
        <v>1815</v>
      </c>
      <c r="B1816" t="s">
        <v>6676</v>
      </c>
      <c r="C1816" s="1">
        <v>42919</v>
      </c>
      <c r="D1816" s="1">
        <v>42925</v>
      </c>
      <c r="E1816" t="s">
        <v>49</v>
      </c>
      <c r="F1816" t="s">
        <v>744</v>
      </c>
      <c r="G1816" t="s">
        <v>745</v>
      </c>
      <c r="H1816" t="s">
        <v>101</v>
      </c>
      <c r="I1816" t="s">
        <v>26</v>
      </c>
      <c r="J1816" t="s">
        <v>1309</v>
      </c>
      <c r="K1816" t="s">
        <v>1233</v>
      </c>
      <c r="L1816">
        <v>2169</v>
      </c>
      <c r="M1816" t="s">
        <v>145</v>
      </c>
      <c r="N1816" t="s">
        <v>4350</v>
      </c>
      <c r="O1816" t="s">
        <v>70</v>
      </c>
      <c r="P1816" t="s">
        <v>158</v>
      </c>
      <c r="Q1816" t="s">
        <v>4351</v>
      </c>
      <c r="R1816">
        <v>258.89999999999998</v>
      </c>
      <c r="S1816">
        <v>10</v>
      </c>
      <c r="T1816">
        <v>0</v>
      </c>
      <c r="U1816">
        <v>93.203999999999994</v>
      </c>
      <c r="V1816" t="str">
        <f t="shared" si="28"/>
        <v>Frank Merwin</v>
      </c>
      <c r="W1816">
        <f>Table2[Profit]/Table2[Sales]</f>
        <v>0.36</v>
      </c>
    </row>
    <row r="1817" spans="1:23" x14ac:dyDescent="0.25">
      <c r="A1817">
        <v>1816</v>
      </c>
      <c r="B1817" t="s">
        <v>6677</v>
      </c>
      <c r="C1817" s="1">
        <v>41981</v>
      </c>
      <c r="D1817" s="1">
        <v>41986</v>
      </c>
      <c r="E1817" t="s">
        <v>49</v>
      </c>
      <c r="F1817" t="s">
        <v>5446</v>
      </c>
      <c r="G1817" t="s">
        <v>5447</v>
      </c>
      <c r="H1817" t="s">
        <v>25</v>
      </c>
      <c r="I1817" t="s">
        <v>26</v>
      </c>
      <c r="J1817" t="s">
        <v>1948</v>
      </c>
      <c r="K1817" t="s">
        <v>413</v>
      </c>
      <c r="L1817">
        <v>97301</v>
      </c>
      <c r="M1817" t="s">
        <v>43</v>
      </c>
      <c r="N1817" t="s">
        <v>2461</v>
      </c>
      <c r="O1817" t="s">
        <v>45</v>
      </c>
      <c r="P1817" t="s">
        <v>46</v>
      </c>
      <c r="Q1817" t="s">
        <v>2462</v>
      </c>
      <c r="R1817">
        <v>27.888000000000002</v>
      </c>
      <c r="S1817">
        <v>7</v>
      </c>
      <c r="T1817">
        <v>0.2</v>
      </c>
      <c r="U1817">
        <v>9.0635999999999992</v>
      </c>
      <c r="V1817" t="str">
        <f t="shared" si="28"/>
        <v>Tim Brockman</v>
      </c>
      <c r="W1817">
        <f>Table2[Profit]/Table2[Sales]</f>
        <v>0.32499999999999996</v>
      </c>
    </row>
    <row r="1818" spans="1:23" x14ac:dyDescent="0.25">
      <c r="A1818">
        <v>1817</v>
      </c>
      <c r="B1818" t="s">
        <v>6684</v>
      </c>
      <c r="C1818" s="1">
        <v>42468</v>
      </c>
      <c r="D1818" s="1">
        <v>42474</v>
      </c>
      <c r="E1818" t="s">
        <v>49</v>
      </c>
      <c r="F1818" t="s">
        <v>2129</v>
      </c>
      <c r="G1818" t="s">
        <v>2130</v>
      </c>
      <c r="H1818" t="s">
        <v>101</v>
      </c>
      <c r="I1818" t="s">
        <v>26</v>
      </c>
      <c r="J1818" t="s">
        <v>271</v>
      </c>
      <c r="K1818" t="s">
        <v>491</v>
      </c>
      <c r="L1818">
        <v>45373</v>
      </c>
      <c r="M1818" t="s">
        <v>145</v>
      </c>
      <c r="N1818" t="s">
        <v>6105</v>
      </c>
      <c r="O1818" t="s">
        <v>45</v>
      </c>
      <c r="P1818" t="s">
        <v>170</v>
      </c>
      <c r="Q1818" t="s">
        <v>6106</v>
      </c>
      <c r="R1818">
        <v>8.8719999999999999</v>
      </c>
      <c r="S1818">
        <v>1</v>
      </c>
      <c r="T1818">
        <v>0.2</v>
      </c>
      <c r="U1818">
        <v>3.2161</v>
      </c>
      <c r="V1818" t="str">
        <f t="shared" si="28"/>
        <v>Eugene Hildebrand</v>
      </c>
      <c r="W1818">
        <f>Table2[Profit]/Table2[Sales]</f>
        <v>0.36249999999999999</v>
      </c>
    </row>
    <row r="1819" spans="1:23" x14ac:dyDescent="0.25">
      <c r="A1819">
        <v>1818</v>
      </c>
      <c r="B1819" t="s">
        <v>6685</v>
      </c>
      <c r="C1819" s="1">
        <v>43045</v>
      </c>
      <c r="D1819" s="1">
        <v>43050</v>
      </c>
      <c r="E1819" t="s">
        <v>49</v>
      </c>
      <c r="F1819" t="s">
        <v>5050</v>
      </c>
      <c r="G1819" t="s">
        <v>5051</v>
      </c>
      <c r="H1819" t="s">
        <v>25</v>
      </c>
      <c r="I1819" t="s">
        <v>26</v>
      </c>
      <c r="J1819" t="s">
        <v>143</v>
      </c>
      <c r="K1819" t="s">
        <v>144</v>
      </c>
      <c r="L1819">
        <v>19143</v>
      </c>
      <c r="M1819" t="s">
        <v>145</v>
      </c>
      <c r="N1819" t="s">
        <v>4737</v>
      </c>
      <c r="O1819" t="s">
        <v>31</v>
      </c>
      <c r="P1819" t="s">
        <v>35</v>
      </c>
      <c r="Q1819" t="s">
        <v>4738</v>
      </c>
      <c r="R1819">
        <v>127.372</v>
      </c>
      <c r="S1819">
        <v>2</v>
      </c>
      <c r="T1819">
        <v>0.3</v>
      </c>
      <c r="U1819">
        <v>-30.933199999999999</v>
      </c>
      <c r="V1819" t="str">
        <f t="shared" si="28"/>
        <v>Maris LaWare</v>
      </c>
      <c r="W1819">
        <f>Table2[Profit]/Table2[Sales]</f>
        <v>-0.24285714285714285</v>
      </c>
    </row>
    <row r="1820" spans="1:23" x14ac:dyDescent="0.25">
      <c r="A1820">
        <v>1819</v>
      </c>
      <c r="B1820" t="s">
        <v>6686</v>
      </c>
      <c r="C1820" s="1">
        <v>42343</v>
      </c>
      <c r="D1820" s="1">
        <v>42347</v>
      </c>
      <c r="E1820" t="s">
        <v>49</v>
      </c>
      <c r="F1820" t="s">
        <v>5068</v>
      </c>
      <c r="G1820" t="s">
        <v>5069</v>
      </c>
      <c r="H1820" t="s">
        <v>40</v>
      </c>
      <c r="I1820" t="s">
        <v>26</v>
      </c>
      <c r="J1820" t="s">
        <v>941</v>
      </c>
      <c r="K1820" t="s">
        <v>42</v>
      </c>
      <c r="L1820">
        <v>92105</v>
      </c>
      <c r="M1820" t="s">
        <v>43</v>
      </c>
      <c r="N1820" t="s">
        <v>2478</v>
      </c>
      <c r="O1820" t="s">
        <v>31</v>
      </c>
      <c r="P1820" t="s">
        <v>64</v>
      </c>
      <c r="Q1820" t="s">
        <v>2479</v>
      </c>
      <c r="R1820">
        <v>44.46</v>
      </c>
      <c r="S1820">
        <v>2</v>
      </c>
      <c r="T1820">
        <v>0</v>
      </c>
      <c r="U1820">
        <v>14.671799999999999</v>
      </c>
      <c r="V1820" t="str">
        <f t="shared" si="28"/>
        <v>Matt Hagelstein</v>
      </c>
      <c r="W1820">
        <f>Table2[Profit]/Table2[Sales]</f>
        <v>0.32999999999999996</v>
      </c>
    </row>
    <row r="1821" spans="1:23" x14ac:dyDescent="0.25">
      <c r="A1821">
        <v>1820</v>
      </c>
      <c r="B1821" t="s">
        <v>6687</v>
      </c>
      <c r="C1821" s="1">
        <v>42194</v>
      </c>
      <c r="D1821" s="1">
        <v>42199</v>
      </c>
      <c r="E1821" t="s">
        <v>49</v>
      </c>
      <c r="F1821" t="s">
        <v>4464</v>
      </c>
      <c r="G1821" t="s">
        <v>4465</v>
      </c>
      <c r="H1821" t="s">
        <v>25</v>
      </c>
      <c r="I1821" t="s">
        <v>26</v>
      </c>
      <c r="J1821" t="s">
        <v>3159</v>
      </c>
      <c r="K1821" t="s">
        <v>2699</v>
      </c>
      <c r="L1821">
        <v>20735</v>
      </c>
      <c r="M1821" t="s">
        <v>145</v>
      </c>
      <c r="N1821" t="s">
        <v>5839</v>
      </c>
      <c r="O1821" t="s">
        <v>45</v>
      </c>
      <c r="P1821" t="s">
        <v>266</v>
      </c>
      <c r="Q1821" t="s">
        <v>5840</v>
      </c>
      <c r="R1821">
        <v>15.8</v>
      </c>
      <c r="S1821">
        <v>4</v>
      </c>
      <c r="T1821">
        <v>0</v>
      </c>
      <c r="U1821">
        <v>5.056</v>
      </c>
      <c r="V1821" t="str">
        <f t="shared" si="28"/>
        <v>Brian Thompson</v>
      </c>
      <c r="W1821">
        <f>Table2[Profit]/Table2[Sales]</f>
        <v>0.32</v>
      </c>
    </row>
    <row r="1822" spans="1:23" x14ac:dyDescent="0.25">
      <c r="A1822">
        <v>1821</v>
      </c>
      <c r="B1822" t="s">
        <v>6692</v>
      </c>
      <c r="C1822" s="1">
        <v>42717</v>
      </c>
      <c r="D1822" s="1">
        <v>42723</v>
      </c>
      <c r="E1822" t="s">
        <v>49</v>
      </c>
      <c r="F1822" t="s">
        <v>1786</v>
      </c>
      <c r="G1822" t="s">
        <v>1787</v>
      </c>
      <c r="H1822" t="s">
        <v>25</v>
      </c>
      <c r="I1822" t="s">
        <v>26</v>
      </c>
      <c r="J1822" t="s">
        <v>2817</v>
      </c>
      <c r="K1822" t="s">
        <v>42</v>
      </c>
      <c r="L1822">
        <v>92503</v>
      </c>
      <c r="M1822" t="s">
        <v>43</v>
      </c>
      <c r="N1822" t="s">
        <v>1356</v>
      </c>
      <c r="O1822" t="s">
        <v>45</v>
      </c>
      <c r="P1822" t="s">
        <v>67</v>
      </c>
      <c r="Q1822" t="s">
        <v>1357</v>
      </c>
      <c r="R1822">
        <v>9.84</v>
      </c>
      <c r="S1822">
        <v>3</v>
      </c>
      <c r="T1822">
        <v>0</v>
      </c>
      <c r="U1822">
        <v>3.2471999999999999</v>
      </c>
      <c r="V1822" t="str">
        <f t="shared" si="28"/>
        <v>Jasper Cacioppo</v>
      </c>
      <c r="W1822">
        <f>Table2[Profit]/Table2[Sales]</f>
        <v>0.33</v>
      </c>
    </row>
    <row r="1823" spans="1:23" x14ac:dyDescent="0.25">
      <c r="A1823">
        <v>1822</v>
      </c>
      <c r="B1823" t="s">
        <v>6693</v>
      </c>
      <c r="C1823" s="1">
        <v>42510</v>
      </c>
      <c r="D1823" s="1">
        <v>42514</v>
      </c>
      <c r="E1823" t="s">
        <v>49</v>
      </c>
      <c r="F1823" t="s">
        <v>1748</v>
      </c>
      <c r="G1823" t="s">
        <v>1749</v>
      </c>
      <c r="H1823" t="s">
        <v>25</v>
      </c>
      <c r="I1823" t="s">
        <v>26</v>
      </c>
      <c r="J1823" t="s">
        <v>6694</v>
      </c>
      <c r="K1823" t="s">
        <v>53</v>
      </c>
      <c r="L1823">
        <v>34952</v>
      </c>
      <c r="M1823" t="s">
        <v>29</v>
      </c>
      <c r="N1823" t="s">
        <v>1206</v>
      </c>
      <c r="O1823" t="s">
        <v>45</v>
      </c>
      <c r="P1823" t="s">
        <v>74</v>
      </c>
      <c r="Q1823" t="s">
        <v>1207</v>
      </c>
      <c r="R1823">
        <v>2.694</v>
      </c>
      <c r="S1823">
        <v>2</v>
      </c>
      <c r="T1823">
        <v>0.7</v>
      </c>
      <c r="U1823">
        <v>-2.2450000000000001</v>
      </c>
      <c r="V1823" t="str">
        <f t="shared" si="28"/>
        <v>Dean Braden</v>
      </c>
      <c r="W1823">
        <f>Table2[Profit]/Table2[Sales]</f>
        <v>-0.83333333333333337</v>
      </c>
    </row>
    <row r="1824" spans="1:23" x14ac:dyDescent="0.25">
      <c r="A1824">
        <v>1823</v>
      </c>
      <c r="B1824" t="s">
        <v>6695</v>
      </c>
      <c r="C1824" s="1">
        <v>42888</v>
      </c>
      <c r="D1824" s="1">
        <v>42891</v>
      </c>
      <c r="E1824" t="s">
        <v>22</v>
      </c>
      <c r="F1824" t="s">
        <v>1339</v>
      </c>
      <c r="G1824" t="s">
        <v>1340</v>
      </c>
      <c r="H1824" t="s">
        <v>25</v>
      </c>
      <c r="I1824" t="s">
        <v>26</v>
      </c>
      <c r="J1824" t="s">
        <v>1799</v>
      </c>
      <c r="K1824" t="s">
        <v>303</v>
      </c>
      <c r="L1824">
        <v>85204</v>
      </c>
      <c r="M1824" t="s">
        <v>43</v>
      </c>
      <c r="N1824" t="s">
        <v>906</v>
      </c>
      <c r="O1824" t="s">
        <v>45</v>
      </c>
      <c r="P1824" t="s">
        <v>89</v>
      </c>
      <c r="Q1824" t="s">
        <v>907</v>
      </c>
      <c r="R1824">
        <v>25.344000000000001</v>
      </c>
      <c r="S1824">
        <v>6</v>
      </c>
      <c r="T1824">
        <v>0.2</v>
      </c>
      <c r="U1824">
        <v>7.92</v>
      </c>
      <c r="V1824" t="str">
        <f t="shared" si="28"/>
        <v>Denny Ordway</v>
      </c>
      <c r="W1824">
        <f>Table2[Profit]/Table2[Sales]</f>
        <v>0.3125</v>
      </c>
    </row>
    <row r="1825" spans="1:23" x14ac:dyDescent="0.25">
      <c r="A1825">
        <v>1824</v>
      </c>
      <c r="B1825" t="s">
        <v>6696</v>
      </c>
      <c r="C1825" s="1">
        <v>42307</v>
      </c>
      <c r="D1825" s="1">
        <v>42310</v>
      </c>
      <c r="E1825" t="s">
        <v>22</v>
      </c>
      <c r="F1825" t="s">
        <v>1159</v>
      </c>
      <c r="G1825" t="s">
        <v>1160</v>
      </c>
      <c r="H1825" t="s">
        <v>40</v>
      </c>
      <c r="I1825" t="s">
        <v>26</v>
      </c>
      <c r="J1825" t="s">
        <v>800</v>
      </c>
      <c r="K1825" t="s">
        <v>450</v>
      </c>
      <c r="L1825">
        <v>80219</v>
      </c>
      <c r="M1825" t="s">
        <v>43</v>
      </c>
      <c r="N1825" t="s">
        <v>5271</v>
      </c>
      <c r="O1825" t="s">
        <v>70</v>
      </c>
      <c r="P1825" t="s">
        <v>675</v>
      </c>
      <c r="Q1825" t="s">
        <v>5272</v>
      </c>
      <c r="R1825">
        <v>59.994</v>
      </c>
      <c r="S1825">
        <v>2</v>
      </c>
      <c r="T1825">
        <v>0.7</v>
      </c>
      <c r="U1825">
        <v>-45.995399999999997</v>
      </c>
      <c r="V1825" t="str">
        <f t="shared" si="28"/>
        <v>Frank Atkinson</v>
      </c>
      <c r="W1825">
        <f>Table2[Profit]/Table2[Sales]</f>
        <v>-0.76666666666666661</v>
      </c>
    </row>
    <row r="1826" spans="1:23" x14ac:dyDescent="0.25">
      <c r="A1826">
        <v>1825</v>
      </c>
      <c r="B1826" t="s">
        <v>6701</v>
      </c>
      <c r="C1826" s="1">
        <v>42658</v>
      </c>
      <c r="D1826" s="1">
        <v>42663</v>
      </c>
      <c r="E1826" t="s">
        <v>49</v>
      </c>
      <c r="F1826" t="s">
        <v>3530</v>
      </c>
      <c r="G1826" t="s">
        <v>3531</v>
      </c>
      <c r="H1826" t="s">
        <v>40</v>
      </c>
      <c r="I1826" t="s">
        <v>26</v>
      </c>
      <c r="J1826" t="s">
        <v>311</v>
      </c>
      <c r="K1826" t="s">
        <v>312</v>
      </c>
      <c r="L1826">
        <v>22153</v>
      </c>
      <c r="M1826" t="s">
        <v>29</v>
      </c>
      <c r="N1826" t="s">
        <v>4701</v>
      </c>
      <c r="O1826" t="s">
        <v>45</v>
      </c>
      <c r="P1826" t="s">
        <v>74</v>
      </c>
      <c r="Q1826" t="s">
        <v>4702</v>
      </c>
      <c r="R1826">
        <v>232.96</v>
      </c>
      <c r="S1826">
        <v>7</v>
      </c>
      <c r="T1826">
        <v>0</v>
      </c>
      <c r="U1826">
        <v>116.48</v>
      </c>
      <c r="V1826" t="str">
        <f t="shared" si="28"/>
        <v>Quincy Jones</v>
      </c>
      <c r="W1826">
        <f>Table2[Profit]/Table2[Sales]</f>
        <v>0.5</v>
      </c>
    </row>
    <row r="1827" spans="1:23" x14ac:dyDescent="0.25">
      <c r="A1827">
        <v>1826</v>
      </c>
      <c r="B1827" t="s">
        <v>6702</v>
      </c>
      <c r="C1827" s="1">
        <v>42327</v>
      </c>
      <c r="D1827" s="1">
        <v>42329</v>
      </c>
      <c r="E1827" t="s">
        <v>22</v>
      </c>
      <c r="F1827" t="s">
        <v>6115</v>
      </c>
      <c r="G1827" t="s">
        <v>6116</v>
      </c>
      <c r="H1827" t="s">
        <v>101</v>
      </c>
      <c r="I1827" t="s">
        <v>26</v>
      </c>
      <c r="J1827" t="s">
        <v>94</v>
      </c>
      <c r="K1827" t="s">
        <v>95</v>
      </c>
      <c r="L1827">
        <v>98115</v>
      </c>
      <c r="M1827" t="s">
        <v>43</v>
      </c>
      <c r="N1827" t="s">
        <v>6009</v>
      </c>
      <c r="O1827" t="s">
        <v>31</v>
      </c>
      <c r="P1827" t="s">
        <v>64</v>
      </c>
      <c r="Q1827" t="s">
        <v>6010</v>
      </c>
      <c r="R1827">
        <v>141.96</v>
      </c>
      <c r="S1827">
        <v>2</v>
      </c>
      <c r="T1827">
        <v>0</v>
      </c>
      <c r="U1827">
        <v>22.7136</v>
      </c>
      <c r="V1827" t="str">
        <f t="shared" si="28"/>
        <v>Tony Chapman</v>
      </c>
      <c r="W1827">
        <f>Table2[Profit]/Table2[Sales]</f>
        <v>0.15999999999999998</v>
      </c>
    </row>
    <row r="1828" spans="1:23" x14ac:dyDescent="0.25">
      <c r="A1828">
        <v>1827</v>
      </c>
      <c r="B1828" t="s">
        <v>6703</v>
      </c>
      <c r="C1828" s="1">
        <v>41895</v>
      </c>
      <c r="D1828" s="1">
        <v>41899</v>
      </c>
      <c r="E1828" t="s">
        <v>49</v>
      </c>
      <c r="F1828" t="s">
        <v>223</v>
      </c>
      <c r="G1828" t="s">
        <v>224</v>
      </c>
      <c r="H1828" t="s">
        <v>40</v>
      </c>
      <c r="I1828" t="s">
        <v>26</v>
      </c>
      <c r="J1828" t="s">
        <v>3989</v>
      </c>
      <c r="K1828" t="s">
        <v>303</v>
      </c>
      <c r="L1828">
        <v>85281</v>
      </c>
      <c r="M1828" t="s">
        <v>43</v>
      </c>
      <c r="N1828" t="s">
        <v>6704</v>
      </c>
      <c r="O1828" t="s">
        <v>45</v>
      </c>
      <c r="P1828" t="s">
        <v>58</v>
      </c>
      <c r="Q1828" t="s">
        <v>6705</v>
      </c>
      <c r="R1828">
        <v>79.400000000000006</v>
      </c>
      <c r="S1828">
        <v>5</v>
      </c>
      <c r="T1828">
        <v>0.2</v>
      </c>
      <c r="U1828">
        <v>5.9550000000000001</v>
      </c>
      <c r="V1828" t="str">
        <f t="shared" si="28"/>
        <v>Odella Nelson</v>
      </c>
      <c r="W1828">
        <f>Table2[Profit]/Table2[Sales]</f>
        <v>7.4999999999999997E-2</v>
      </c>
    </row>
    <row r="1829" spans="1:23" x14ac:dyDescent="0.25">
      <c r="A1829">
        <v>1828</v>
      </c>
      <c r="B1829" t="s">
        <v>6706</v>
      </c>
      <c r="C1829" s="1">
        <v>43052</v>
      </c>
      <c r="D1829" s="1">
        <v>43057</v>
      </c>
      <c r="E1829" t="s">
        <v>22</v>
      </c>
      <c r="F1829" t="s">
        <v>524</v>
      </c>
      <c r="G1829" t="s">
        <v>525</v>
      </c>
      <c r="H1829" t="s">
        <v>101</v>
      </c>
      <c r="I1829" t="s">
        <v>26</v>
      </c>
      <c r="J1829" t="s">
        <v>3137</v>
      </c>
      <c r="K1829" t="s">
        <v>264</v>
      </c>
      <c r="L1829">
        <v>10701</v>
      </c>
      <c r="M1829" t="s">
        <v>145</v>
      </c>
      <c r="N1829" t="s">
        <v>1460</v>
      </c>
      <c r="O1829" t="s">
        <v>70</v>
      </c>
      <c r="P1829" t="s">
        <v>158</v>
      </c>
      <c r="Q1829" t="s">
        <v>1461</v>
      </c>
      <c r="R1829">
        <v>163.96</v>
      </c>
      <c r="S1829">
        <v>4</v>
      </c>
      <c r="T1829">
        <v>0</v>
      </c>
      <c r="U1829">
        <v>70.502799999999993</v>
      </c>
      <c r="V1829" t="str">
        <f t="shared" si="28"/>
        <v>Alan Dominguez</v>
      </c>
      <c r="W1829">
        <f>Table2[Profit]/Table2[Sales]</f>
        <v>0.42999999999999994</v>
      </c>
    </row>
    <row r="1830" spans="1:23" x14ac:dyDescent="0.25">
      <c r="A1830">
        <v>1829</v>
      </c>
      <c r="B1830" t="s">
        <v>6707</v>
      </c>
      <c r="C1830" s="1">
        <v>43093</v>
      </c>
      <c r="D1830" s="1">
        <v>43098</v>
      </c>
      <c r="E1830" t="s">
        <v>49</v>
      </c>
      <c r="F1830" t="s">
        <v>4708</v>
      </c>
      <c r="G1830" t="s">
        <v>4709</v>
      </c>
      <c r="H1830" t="s">
        <v>40</v>
      </c>
      <c r="I1830" t="s">
        <v>26</v>
      </c>
      <c r="J1830" t="s">
        <v>382</v>
      </c>
      <c r="K1830" t="s">
        <v>264</v>
      </c>
      <c r="L1830">
        <v>14609</v>
      </c>
      <c r="M1830" t="s">
        <v>145</v>
      </c>
      <c r="N1830" t="s">
        <v>2964</v>
      </c>
      <c r="O1830" t="s">
        <v>31</v>
      </c>
      <c r="P1830" t="s">
        <v>64</v>
      </c>
      <c r="Q1830" t="s">
        <v>2965</v>
      </c>
      <c r="R1830">
        <v>37.93</v>
      </c>
      <c r="S1830">
        <v>1</v>
      </c>
      <c r="T1830">
        <v>0</v>
      </c>
      <c r="U1830">
        <v>6.8273999999999999</v>
      </c>
      <c r="V1830" t="str">
        <f t="shared" si="28"/>
        <v>Ann Chong</v>
      </c>
      <c r="W1830">
        <f>Table2[Profit]/Table2[Sales]</f>
        <v>0.18</v>
      </c>
    </row>
    <row r="1831" spans="1:23" x14ac:dyDescent="0.25">
      <c r="A1831">
        <v>1830</v>
      </c>
      <c r="B1831" t="s">
        <v>6708</v>
      </c>
      <c r="C1831" s="1">
        <v>42378</v>
      </c>
      <c r="D1831" s="1">
        <v>42382</v>
      </c>
      <c r="E1831" t="s">
        <v>22</v>
      </c>
      <c r="F1831" t="s">
        <v>6709</v>
      </c>
      <c r="G1831" t="s">
        <v>6710</v>
      </c>
      <c r="H1831" t="s">
        <v>40</v>
      </c>
      <c r="I1831" t="s">
        <v>26</v>
      </c>
      <c r="J1831" t="s">
        <v>2797</v>
      </c>
      <c r="K1831" t="s">
        <v>491</v>
      </c>
      <c r="L1831">
        <v>43615</v>
      </c>
      <c r="M1831" t="s">
        <v>145</v>
      </c>
      <c r="N1831" t="s">
        <v>6023</v>
      </c>
      <c r="O1831" t="s">
        <v>31</v>
      </c>
      <c r="P1831" t="s">
        <v>64</v>
      </c>
      <c r="Q1831" t="s">
        <v>6024</v>
      </c>
      <c r="R1831">
        <v>15.167999999999999</v>
      </c>
      <c r="S1831">
        <v>2</v>
      </c>
      <c r="T1831">
        <v>0.2</v>
      </c>
      <c r="U1831">
        <v>3.7919999999999998</v>
      </c>
      <c r="V1831" t="str">
        <f t="shared" si="28"/>
        <v>Maureen Fritzler</v>
      </c>
      <c r="W1831">
        <f>Table2[Profit]/Table2[Sales]</f>
        <v>0.25</v>
      </c>
    </row>
    <row r="1832" spans="1:23" x14ac:dyDescent="0.25">
      <c r="A1832">
        <v>1831</v>
      </c>
      <c r="B1832" t="s">
        <v>6711</v>
      </c>
      <c r="C1832" s="1">
        <v>42168</v>
      </c>
      <c r="D1832" s="1">
        <v>42174</v>
      </c>
      <c r="E1832" t="s">
        <v>49</v>
      </c>
      <c r="F1832" t="s">
        <v>6451</v>
      </c>
      <c r="G1832" t="s">
        <v>6452</v>
      </c>
      <c r="H1832" t="s">
        <v>40</v>
      </c>
      <c r="I1832" t="s">
        <v>26</v>
      </c>
      <c r="J1832" t="s">
        <v>350</v>
      </c>
      <c r="K1832" t="s">
        <v>351</v>
      </c>
      <c r="L1832">
        <v>35601</v>
      </c>
      <c r="M1832" t="s">
        <v>29</v>
      </c>
      <c r="N1832" t="s">
        <v>6651</v>
      </c>
      <c r="O1832" t="s">
        <v>45</v>
      </c>
      <c r="P1832" t="s">
        <v>67</v>
      </c>
      <c r="Q1832" t="s">
        <v>6652</v>
      </c>
      <c r="R1832">
        <v>24.78</v>
      </c>
      <c r="S1832">
        <v>6</v>
      </c>
      <c r="T1832">
        <v>0</v>
      </c>
      <c r="U1832">
        <v>6.9383999999999997</v>
      </c>
      <c r="V1832" t="str">
        <f t="shared" si="28"/>
        <v>Dave Hallsten</v>
      </c>
      <c r="W1832">
        <f>Table2[Profit]/Table2[Sales]</f>
        <v>0.27999999999999997</v>
      </c>
    </row>
    <row r="1833" spans="1:23" x14ac:dyDescent="0.25">
      <c r="A1833">
        <v>1832</v>
      </c>
      <c r="B1833" t="s">
        <v>6712</v>
      </c>
      <c r="C1833" s="1">
        <v>42812</v>
      </c>
      <c r="D1833" s="1">
        <v>42816</v>
      </c>
      <c r="E1833" t="s">
        <v>49</v>
      </c>
      <c r="F1833" t="s">
        <v>5592</v>
      </c>
      <c r="G1833" t="s">
        <v>5593</v>
      </c>
      <c r="H1833" t="s">
        <v>25</v>
      </c>
      <c r="I1833" t="s">
        <v>26</v>
      </c>
      <c r="J1833" t="s">
        <v>808</v>
      </c>
      <c r="K1833" t="s">
        <v>103</v>
      </c>
      <c r="L1833">
        <v>75220</v>
      </c>
      <c r="M1833" t="s">
        <v>104</v>
      </c>
      <c r="N1833" t="s">
        <v>4159</v>
      </c>
      <c r="O1833" t="s">
        <v>45</v>
      </c>
      <c r="P1833" t="s">
        <v>67</v>
      </c>
      <c r="Q1833" t="s">
        <v>4160</v>
      </c>
      <c r="R1833">
        <v>23.832000000000001</v>
      </c>
      <c r="S1833">
        <v>3</v>
      </c>
      <c r="T1833">
        <v>0.2</v>
      </c>
      <c r="U1833">
        <v>6.5537999999999998</v>
      </c>
      <c r="V1833" t="str">
        <f t="shared" si="28"/>
        <v>Edward Nazzal</v>
      </c>
      <c r="W1833">
        <f>Table2[Profit]/Table2[Sales]</f>
        <v>0.27499999999999997</v>
      </c>
    </row>
    <row r="1834" spans="1:23" x14ac:dyDescent="0.25">
      <c r="A1834">
        <v>1833</v>
      </c>
      <c r="B1834" t="s">
        <v>6713</v>
      </c>
      <c r="C1834" s="1">
        <v>41966</v>
      </c>
      <c r="D1834" s="1">
        <v>41970</v>
      </c>
      <c r="E1834" t="s">
        <v>49</v>
      </c>
      <c r="F1834" t="s">
        <v>1385</v>
      </c>
      <c r="G1834" t="s">
        <v>1386</v>
      </c>
      <c r="H1834" t="s">
        <v>40</v>
      </c>
      <c r="I1834" t="s">
        <v>26</v>
      </c>
      <c r="J1834" t="s">
        <v>4908</v>
      </c>
      <c r="K1834" t="s">
        <v>103</v>
      </c>
      <c r="L1834">
        <v>75150</v>
      </c>
      <c r="M1834" t="s">
        <v>104</v>
      </c>
      <c r="N1834" t="s">
        <v>2849</v>
      </c>
      <c r="O1834" t="s">
        <v>31</v>
      </c>
      <c r="P1834" t="s">
        <v>64</v>
      </c>
      <c r="Q1834" t="s">
        <v>916</v>
      </c>
      <c r="R1834">
        <v>6.3680000000000003</v>
      </c>
      <c r="S1834">
        <v>2</v>
      </c>
      <c r="T1834">
        <v>0.6</v>
      </c>
      <c r="U1834">
        <v>-2.5472000000000001</v>
      </c>
      <c r="V1834" t="str">
        <f t="shared" si="28"/>
        <v>Saphhira Shifley</v>
      </c>
      <c r="W1834">
        <f>Table2[Profit]/Table2[Sales]</f>
        <v>-0.4</v>
      </c>
    </row>
    <row r="1835" spans="1:23" x14ac:dyDescent="0.25">
      <c r="A1835">
        <v>1834</v>
      </c>
      <c r="B1835" t="s">
        <v>6714</v>
      </c>
      <c r="C1835" s="1">
        <v>43023</v>
      </c>
      <c r="D1835" s="1">
        <v>43025</v>
      </c>
      <c r="E1835" t="s">
        <v>185</v>
      </c>
      <c r="F1835" t="s">
        <v>2261</v>
      </c>
      <c r="G1835" t="s">
        <v>2262</v>
      </c>
      <c r="H1835" t="s">
        <v>40</v>
      </c>
      <c r="I1835" t="s">
        <v>26</v>
      </c>
      <c r="J1835" t="s">
        <v>41</v>
      </c>
      <c r="K1835" t="s">
        <v>42</v>
      </c>
      <c r="L1835">
        <v>90045</v>
      </c>
      <c r="M1835" t="s">
        <v>43</v>
      </c>
      <c r="N1835" t="s">
        <v>894</v>
      </c>
      <c r="O1835" t="s">
        <v>31</v>
      </c>
      <c r="P1835" t="s">
        <v>55</v>
      </c>
      <c r="Q1835" t="s">
        <v>895</v>
      </c>
      <c r="R1835">
        <v>510.24</v>
      </c>
      <c r="S1835">
        <v>3</v>
      </c>
      <c r="T1835">
        <v>0.2</v>
      </c>
      <c r="U1835">
        <v>6.3780000000000001</v>
      </c>
      <c r="V1835" t="str">
        <f t="shared" si="28"/>
        <v>Roland Schwarz</v>
      </c>
      <c r="W1835">
        <f>Table2[Profit]/Table2[Sales]</f>
        <v>1.2500000000000001E-2</v>
      </c>
    </row>
    <row r="1836" spans="1:23" x14ac:dyDescent="0.25">
      <c r="A1836">
        <v>1835</v>
      </c>
      <c r="B1836" t="s">
        <v>6715</v>
      </c>
      <c r="C1836" s="1">
        <v>42846</v>
      </c>
      <c r="D1836" s="1">
        <v>42849</v>
      </c>
      <c r="E1836" t="s">
        <v>185</v>
      </c>
      <c r="F1836" t="s">
        <v>4368</v>
      </c>
      <c r="G1836" t="s">
        <v>4369</v>
      </c>
      <c r="H1836" t="s">
        <v>25</v>
      </c>
      <c r="I1836" t="s">
        <v>26</v>
      </c>
      <c r="J1836" t="s">
        <v>94</v>
      </c>
      <c r="K1836" t="s">
        <v>95</v>
      </c>
      <c r="L1836">
        <v>98103</v>
      </c>
      <c r="M1836" t="s">
        <v>43</v>
      </c>
      <c r="N1836" t="s">
        <v>6716</v>
      </c>
      <c r="O1836" t="s">
        <v>70</v>
      </c>
      <c r="P1836" t="s">
        <v>158</v>
      </c>
      <c r="Q1836" t="s">
        <v>6717</v>
      </c>
      <c r="R1836">
        <v>11.54</v>
      </c>
      <c r="S1836">
        <v>1</v>
      </c>
      <c r="T1836">
        <v>0</v>
      </c>
      <c r="U1836">
        <v>3.4620000000000002</v>
      </c>
      <c r="V1836" t="str">
        <f t="shared" si="28"/>
        <v>Joni Wasserman</v>
      </c>
      <c r="W1836">
        <f>Table2[Profit]/Table2[Sales]</f>
        <v>0.30000000000000004</v>
      </c>
    </row>
    <row r="1837" spans="1:23" x14ac:dyDescent="0.25">
      <c r="A1837">
        <v>1836</v>
      </c>
      <c r="B1837" t="s">
        <v>6718</v>
      </c>
      <c r="C1837" s="1">
        <v>41981</v>
      </c>
      <c r="D1837" s="1">
        <v>41983</v>
      </c>
      <c r="E1837" t="s">
        <v>22</v>
      </c>
      <c r="F1837" t="s">
        <v>5171</v>
      </c>
      <c r="G1837" t="s">
        <v>5172</v>
      </c>
      <c r="H1837" t="s">
        <v>25</v>
      </c>
      <c r="I1837" t="s">
        <v>26</v>
      </c>
      <c r="J1837" t="s">
        <v>2967</v>
      </c>
      <c r="K1837" t="s">
        <v>95</v>
      </c>
      <c r="L1837">
        <v>98502</v>
      </c>
      <c r="M1837" t="s">
        <v>43</v>
      </c>
      <c r="N1837" t="s">
        <v>2312</v>
      </c>
      <c r="O1837" t="s">
        <v>45</v>
      </c>
      <c r="P1837" t="s">
        <v>89</v>
      </c>
      <c r="Q1837" t="s">
        <v>2313</v>
      </c>
      <c r="R1837">
        <v>45.68</v>
      </c>
      <c r="S1837">
        <v>2</v>
      </c>
      <c r="T1837">
        <v>0</v>
      </c>
      <c r="U1837">
        <v>21.012799999999999</v>
      </c>
      <c r="V1837" t="str">
        <f t="shared" si="28"/>
        <v>Jim Karlsson</v>
      </c>
      <c r="W1837">
        <f>Table2[Profit]/Table2[Sales]</f>
        <v>0.45999999999999996</v>
      </c>
    </row>
    <row r="1838" spans="1:23" x14ac:dyDescent="0.25">
      <c r="A1838">
        <v>1837</v>
      </c>
      <c r="B1838" t="s">
        <v>6719</v>
      </c>
      <c r="C1838" s="1">
        <v>42884</v>
      </c>
      <c r="D1838" s="1">
        <v>42888</v>
      </c>
      <c r="E1838" t="s">
        <v>49</v>
      </c>
      <c r="F1838" t="s">
        <v>2218</v>
      </c>
      <c r="G1838" t="s">
        <v>2219</v>
      </c>
      <c r="H1838" t="s">
        <v>101</v>
      </c>
      <c r="I1838" t="s">
        <v>26</v>
      </c>
      <c r="J1838" t="s">
        <v>2499</v>
      </c>
      <c r="K1838" t="s">
        <v>135</v>
      </c>
      <c r="L1838">
        <v>68104</v>
      </c>
      <c r="M1838" t="s">
        <v>104</v>
      </c>
      <c r="N1838" t="s">
        <v>4763</v>
      </c>
      <c r="O1838" t="s">
        <v>45</v>
      </c>
      <c r="P1838" t="s">
        <v>266</v>
      </c>
      <c r="Q1838" t="s">
        <v>4764</v>
      </c>
      <c r="R1838">
        <v>23.55</v>
      </c>
      <c r="S1838">
        <v>5</v>
      </c>
      <c r="T1838">
        <v>0</v>
      </c>
      <c r="U1838">
        <v>1.1775</v>
      </c>
      <c r="V1838" t="str">
        <f t="shared" si="28"/>
        <v>Jesus Ocampo</v>
      </c>
      <c r="W1838">
        <f>Table2[Profit]/Table2[Sales]</f>
        <v>4.9999999999999996E-2</v>
      </c>
    </row>
    <row r="1839" spans="1:23" x14ac:dyDescent="0.25">
      <c r="A1839">
        <v>1838</v>
      </c>
      <c r="B1839" t="s">
        <v>6720</v>
      </c>
      <c r="C1839" s="1">
        <v>42632</v>
      </c>
      <c r="D1839" s="1">
        <v>42636</v>
      </c>
      <c r="E1839" t="s">
        <v>49</v>
      </c>
      <c r="F1839" t="s">
        <v>1969</v>
      </c>
      <c r="G1839" t="s">
        <v>1970</v>
      </c>
      <c r="H1839" t="s">
        <v>25</v>
      </c>
      <c r="I1839" t="s">
        <v>26</v>
      </c>
      <c r="J1839" t="s">
        <v>490</v>
      </c>
      <c r="K1839" t="s">
        <v>1260</v>
      </c>
      <c r="L1839">
        <v>31907</v>
      </c>
      <c r="M1839" t="s">
        <v>29</v>
      </c>
      <c r="N1839" t="s">
        <v>6721</v>
      </c>
      <c r="O1839" t="s">
        <v>45</v>
      </c>
      <c r="P1839" t="s">
        <v>572</v>
      </c>
      <c r="Q1839" t="s">
        <v>6722</v>
      </c>
      <c r="R1839">
        <v>5.04</v>
      </c>
      <c r="S1839">
        <v>2</v>
      </c>
      <c r="T1839">
        <v>0</v>
      </c>
      <c r="U1839">
        <v>0.1512</v>
      </c>
      <c r="V1839" t="str">
        <f t="shared" si="28"/>
        <v>Theone Pippenger</v>
      </c>
      <c r="W1839">
        <f>Table2[Profit]/Table2[Sales]</f>
        <v>0.03</v>
      </c>
    </row>
    <row r="1840" spans="1:23" x14ac:dyDescent="0.25">
      <c r="A1840">
        <v>1839</v>
      </c>
      <c r="B1840" t="s">
        <v>6723</v>
      </c>
      <c r="C1840" s="1">
        <v>42630</v>
      </c>
      <c r="D1840" s="1">
        <v>42636</v>
      </c>
      <c r="E1840" t="s">
        <v>49</v>
      </c>
      <c r="F1840" t="s">
        <v>300</v>
      </c>
      <c r="G1840" t="s">
        <v>301</v>
      </c>
      <c r="H1840" t="s">
        <v>40</v>
      </c>
      <c r="I1840" t="s">
        <v>26</v>
      </c>
      <c r="J1840" t="s">
        <v>490</v>
      </c>
      <c r="K1840" t="s">
        <v>251</v>
      </c>
      <c r="L1840">
        <v>47201</v>
      </c>
      <c r="M1840" t="s">
        <v>104</v>
      </c>
      <c r="N1840" t="s">
        <v>681</v>
      </c>
      <c r="O1840" t="s">
        <v>45</v>
      </c>
      <c r="P1840" t="s">
        <v>67</v>
      </c>
      <c r="Q1840" t="s">
        <v>682</v>
      </c>
      <c r="R1840">
        <v>33.4</v>
      </c>
      <c r="S1840">
        <v>5</v>
      </c>
      <c r="T1840">
        <v>0</v>
      </c>
      <c r="U1840">
        <v>12.358000000000001</v>
      </c>
      <c r="V1840" t="str">
        <f t="shared" si="28"/>
        <v>Brendan Sweed</v>
      </c>
      <c r="W1840">
        <f>Table2[Profit]/Table2[Sales]</f>
        <v>0.37000000000000005</v>
      </c>
    </row>
    <row r="1841" spans="1:23" x14ac:dyDescent="0.25">
      <c r="A1841">
        <v>1840</v>
      </c>
      <c r="B1841" t="s">
        <v>6724</v>
      </c>
      <c r="C1841" s="1">
        <v>42724</v>
      </c>
      <c r="D1841" s="1">
        <v>42728</v>
      </c>
      <c r="E1841" t="s">
        <v>49</v>
      </c>
      <c r="F1841" t="s">
        <v>3605</v>
      </c>
      <c r="G1841" t="s">
        <v>3606</v>
      </c>
      <c r="H1841" t="s">
        <v>101</v>
      </c>
      <c r="I1841" t="s">
        <v>26</v>
      </c>
      <c r="J1841" t="s">
        <v>321</v>
      </c>
      <c r="K1841" t="s">
        <v>1473</v>
      </c>
      <c r="L1841">
        <v>39212</v>
      </c>
      <c r="M1841" t="s">
        <v>29</v>
      </c>
      <c r="N1841" t="s">
        <v>1126</v>
      </c>
      <c r="O1841" t="s">
        <v>31</v>
      </c>
      <c r="P1841" t="s">
        <v>64</v>
      </c>
      <c r="Q1841" t="s">
        <v>1127</v>
      </c>
      <c r="R1841">
        <v>18.920000000000002</v>
      </c>
      <c r="S1841">
        <v>4</v>
      </c>
      <c r="T1841">
        <v>0</v>
      </c>
      <c r="U1841">
        <v>7.3788</v>
      </c>
      <c r="V1841" t="str">
        <f t="shared" si="28"/>
        <v>Alejandro Ballentine</v>
      </c>
      <c r="W1841">
        <f>Table2[Profit]/Table2[Sales]</f>
        <v>0.38999999999999996</v>
      </c>
    </row>
    <row r="1842" spans="1:23" x14ac:dyDescent="0.25">
      <c r="A1842">
        <v>1841</v>
      </c>
      <c r="B1842" t="s">
        <v>6725</v>
      </c>
      <c r="C1842" s="1">
        <v>43061</v>
      </c>
      <c r="D1842" s="1">
        <v>43065</v>
      </c>
      <c r="E1842" t="s">
        <v>49</v>
      </c>
      <c r="F1842" t="s">
        <v>3109</v>
      </c>
      <c r="G1842" t="s">
        <v>3110</v>
      </c>
      <c r="H1842" t="s">
        <v>25</v>
      </c>
      <c r="I1842" t="s">
        <v>26</v>
      </c>
      <c r="J1842" t="s">
        <v>181</v>
      </c>
      <c r="K1842" t="s">
        <v>103</v>
      </c>
      <c r="L1842">
        <v>77070</v>
      </c>
      <c r="M1842" t="s">
        <v>104</v>
      </c>
      <c r="N1842" t="s">
        <v>1220</v>
      </c>
      <c r="O1842" t="s">
        <v>45</v>
      </c>
      <c r="P1842" t="s">
        <v>67</v>
      </c>
      <c r="Q1842" t="s">
        <v>1221</v>
      </c>
      <c r="R1842">
        <v>35.712000000000003</v>
      </c>
      <c r="S1842">
        <v>8</v>
      </c>
      <c r="T1842">
        <v>0.2</v>
      </c>
      <c r="U1842">
        <v>2.2320000000000002</v>
      </c>
      <c r="V1842" t="str">
        <f t="shared" si="28"/>
        <v>Frank Olsen</v>
      </c>
      <c r="W1842">
        <f>Table2[Profit]/Table2[Sales]</f>
        <v>6.25E-2</v>
      </c>
    </row>
    <row r="1843" spans="1:23" x14ac:dyDescent="0.25">
      <c r="A1843">
        <v>1842</v>
      </c>
      <c r="B1843" t="s">
        <v>6726</v>
      </c>
      <c r="C1843" s="1">
        <v>42003</v>
      </c>
      <c r="D1843" s="1">
        <v>42008</v>
      </c>
      <c r="E1843" t="s">
        <v>49</v>
      </c>
      <c r="F1843" t="s">
        <v>6709</v>
      </c>
      <c r="G1843" t="s">
        <v>6710</v>
      </c>
      <c r="H1843" t="s">
        <v>40</v>
      </c>
      <c r="I1843" t="s">
        <v>26</v>
      </c>
      <c r="J1843" t="s">
        <v>537</v>
      </c>
      <c r="K1843" t="s">
        <v>303</v>
      </c>
      <c r="L1843">
        <v>85023</v>
      </c>
      <c r="M1843" t="s">
        <v>43</v>
      </c>
      <c r="N1843" t="s">
        <v>6216</v>
      </c>
      <c r="O1843" t="s">
        <v>45</v>
      </c>
      <c r="P1843" t="s">
        <v>74</v>
      </c>
      <c r="Q1843" t="s">
        <v>6217</v>
      </c>
      <c r="R1843">
        <v>551.98500000000001</v>
      </c>
      <c r="S1843">
        <v>5</v>
      </c>
      <c r="T1843">
        <v>0.7</v>
      </c>
      <c r="U1843">
        <v>-459.98750000000001</v>
      </c>
      <c r="V1843" t="str">
        <f t="shared" si="28"/>
        <v>Maureen Fritzler</v>
      </c>
      <c r="W1843">
        <f>Table2[Profit]/Table2[Sales]</f>
        <v>-0.83333333333333337</v>
      </c>
    </row>
    <row r="1844" spans="1:23" x14ac:dyDescent="0.25">
      <c r="A1844">
        <v>1843</v>
      </c>
      <c r="B1844" t="s">
        <v>6727</v>
      </c>
      <c r="C1844" s="1">
        <v>42828</v>
      </c>
      <c r="D1844" s="1">
        <v>42830</v>
      </c>
      <c r="E1844" t="s">
        <v>185</v>
      </c>
      <c r="F1844" t="s">
        <v>1650</v>
      </c>
      <c r="G1844" t="s">
        <v>1651</v>
      </c>
      <c r="H1844" t="s">
        <v>25</v>
      </c>
      <c r="I1844" t="s">
        <v>26</v>
      </c>
      <c r="J1844" t="s">
        <v>296</v>
      </c>
      <c r="K1844" t="s">
        <v>208</v>
      </c>
      <c r="L1844">
        <v>60653</v>
      </c>
      <c r="M1844" t="s">
        <v>104</v>
      </c>
      <c r="N1844" t="s">
        <v>1626</v>
      </c>
      <c r="O1844" t="s">
        <v>45</v>
      </c>
      <c r="P1844" t="s">
        <v>67</v>
      </c>
      <c r="Q1844" t="s">
        <v>1627</v>
      </c>
      <c r="R1844">
        <v>7.056</v>
      </c>
      <c r="S1844">
        <v>3</v>
      </c>
      <c r="T1844">
        <v>0.2</v>
      </c>
      <c r="U1844">
        <v>2.2050000000000001</v>
      </c>
      <c r="V1844" t="str">
        <f t="shared" si="28"/>
        <v>Sue Ann Reed</v>
      </c>
      <c r="W1844">
        <f>Table2[Profit]/Table2[Sales]</f>
        <v>0.3125</v>
      </c>
    </row>
    <row r="1845" spans="1:23" x14ac:dyDescent="0.25">
      <c r="A1845">
        <v>1844</v>
      </c>
      <c r="B1845" t="s">
        <v>6728</v>
      </c>
      <c r="C1845" s="1">
        <v>42730</v>
      </c>
      <c r="D1845" s="1">
        <v>42737</v>
      </c>
      <c r="E1845" t="s">
        <v>49</v>
      </c>
      <c r="F1845" t="s">
        <v>578</v>
      </c>
      <c r="G1845" t="s">
        <v>579</v>
      </c>
      <c r="H1845" t="s">
        <v>40</v>
      </c>
      <c r="I1845" t="s">
        <v>26</v>
      </c>
      <c r="J1845" t="s">
        <v>800</v>
      </c>
      <c r="K1845" t="s">
        <v>450</v>
      </c>
      <c r="L1845">
        <v>80219</v>
      </c>
      <c r="M1845" t="s">
        <v>43</v>
      </c>
      <c r="N1845" t="s">
        <v>5029</v>
      </c>
      <c r="O1845" t="s">
        <v>45</v>
      </c>
      <c r="P1845" t="s">
        <v>77</v>
      </c>
      <c r="Q1845" t="s">
        <v>5030</v>
      </c>
      <c r="R1845">
        <v>18.72</v>
      </c>
      <c r="S1845">
        <v>2</v>
      </c>
      <c r="T1845">
        <v>0.2</v>
      </c>
      <c r="U1845">
        <v>3.51</v>
      </c>
      <c r="V1845" t="str">
        <f t="shared" si="28"/>
        <v>Sally Hughsby</v>
      </c>
      <c r="W1845">
        <f>Table2[Profit]/Table2[Sales]</f>
        <v>0.1875</v>
      </c>
    </row>
    <row r="1846" spans="1:23" x14ac:dyDescent="0.25">
      <c r="A1846">
        <v>1845</v>
      </c>
      <c r="B1846" t="s">
        <v>6729</v>
      </c>
      <c r="C1846" s="1">
        <v>42526</v>
      </c>
      <c r="D1846" s="1">
        <v>42532</v>
      </c>
      <c r="E1846" t="s">
        <v>49</v>
      </c>
      <c r="F1846" t="s">
        <v>4474</v>
      </c>
      <c r="G1846" t="s">
        <v>4475</v>
      </c>
      <c r="H1846" t="s">
        <v>25</v>
      </c>
      <c r="I1846" t="s">
        <v>26</v>
      </c>
      <c r="J1846" t="s">
        <v>600</v>
      </c>
      <c r="K1846" t="s">
        <v>242</v>
      </c>
      <c r="L1846">
        <v>19711</v>
      </c>
      <c r="M1846" t="s">
        <v>145</v>
      </c>
      <c r="N1846" t="s">
        <v>2832</v>
      </c>
      <c r="O1846" t="s">
        <v>45</v>
      </c>
      <c r="P1846" t="s">
        <v>58</v>
      </c>
      <c r="Q1846" t="s">
        <v>2833</v>
      </c>
      <c r="R1846">
        <v>360.38</v>
      </c>
      <c r="S1846">
        <v>2</v>
      </c>
      <c r="T1846">
        <v>0</v>
      </c>
      <c r="U1846">
        <v>93.698800000000006</v>
      </c>
      <c r="V1846" t="str">
        <f t="shared" si="28"/>
        <v>Janet Lee</v>
      </c>
      <c r="W1846">
        <f>Table2[Profit]/Table2[Sales]</f>
        <v>0.26</v>
      </c>
    </row>
    <row r="1847" spans="1:23" x14ac:dyDescent="0.25">
      <c r="A1847">
        <v>1846</v>
      </c>
      <c r="B1847" t="s">
        <v>6730</v>
      </c>
      <c r="C1847" s="1">
        <v>42265</v>
      </c>
      <c r="D1847" s="1">
        <v>42270</v>
      </c>
      <c r="E1847" t="s">
        <v>49</v>
      </c>
      <c r="F1847" t="s">
        <v>1489</v>
      </c>
      <c r="G1847" t="s">
        <v>1490</v>
      </c>
      <c r="H1847" t="s">
        <v>40</v>
      </c>
      <c r="I1847" t="s">
        <v>26</v>
      </c>
      <c r="J1847" t="s">
        <v>3159</v>
      </c>
      <c r="K1847" t="s">
        <v>2699</v>
      </c>
      <c r="L1847">
        <v>20735</v>
      </c>
      <c r="M1847" t="s">
        <v>145</v>
      </c>
      <c r="N1847" t="s">
        <v>3930</v>
      </c>
      <c r="O1847" t="s">
        <v>45</v>
      </c>
      <c r="P1847" t="s">
        <v>58</v>
      </c>
      <c r="Q1847" t="s">
        <v>3931</v>
      </c>
      <c r="R1847">
        <v>41.96</v>
      </c>
      <c r="S1847">
        <v>2</v>
      </c>
      <c r="T1847">
        <v>0</v>
      </c>
      <c r="U1847">
        <v>7.9724000000000004</v>
      </c>
      <c r="V1847" t="str">
        <f t="shared" si="28"/>
        <v>Ken Heidel</v>
      </c>
      <c r="W1847">
        <f>Table2[Profit]/Table2[Sales]</f>
        <v>0.19</v>
      </c>
    </row>
    <row r="1848" spans="1:23" x14ac:dyDescent="0.25">
      <c r="A1848">
        <v>1847</v>
      </c>
      <c r="B1848" t="s">
        <v>6733</v>
      </c>
      <c r="C1848" s="1">
        <v>42800</v>
      </c>
      <c r="D1848" s="1">
        <v>42805</v>
      </c>
      <c r="E1848" t="s">
        <v>22</v>
      </c>
      <c r="F1848" t="s">
        <v>6734</v>
      </c>
      <c r="G1848" t="s">
        <v>6735</v>
      </c>
      <c r="H1848" t="s">
        <v>25</v>
      </c>
      <c r="I1848" t="s">
        <v>26</v>
      </c>
      <c r="J1848" t="s">
        <v>263</v>
      </c>
      <c r="K1848" t="s">
        <v>264</v>
      </c>
      <c r="L1848">
        <v>10011</v>
      </c>
      <c r="M1848" t="s">
        <v>145</v>
      </c>
      <c r="N1848" t="s">
        <v>625</v>
      </c>
      <c r="O1848" t="s">
        <v>45</v>
      </c>
      <c r="P1848" t="s">
        <v>89</v>
      </c>
      <c r="Q1848" t="s">
        <v>626</v>
      </c>
      <c r="R1848">
        <v>26.38</v>
      </c>
      <c r="S1848">
        <v>1</v>
      </c>
      <c r="T1848">
        <v>0</v>
      </c>
      <c r="U1848">
        <v>12.1348</v>
      </c>
      <c r="V1848" t="str">
        <f t="shared" si="28"/>
        <v>Roland Murray</v>
      </c>
      <c r="W1848">
        <f>Table2[Profit]/Table2[Sales]</f>
        <v>0.46</v>
      </c>
    </row>
    <row r="1849" spans="1:23" x14ac:dyDescent="0.25">
      <c r="A1849">
        <v>1848</v>
      </c>
      <c r="B1849" t="s">
        <v>6736</v>
      </c>
      <c r="C1849" s="1">
        <v>42446</v>
      </c>
      <c r="D1849" s="1">
        <v>42446</v>
      </c>
      <c r="E1849" t="s">
        <v>1278</v>
      </c>
      <c r="F1849" t="s">
        <v>6737</v>
      </c>
      <c r="G1849" t="s">
        <v>6738</v>
      </c>
      <c r="H1849" t="s">
        <v>25</v>
      </c>
      <c r="I1849" t="s">
        <v>26</v>
      </c>
      <c r="J1849" t="s">
        <v>600</v>
      </c>
      <c r="K1849" t="s">
        <v>242</v>
      </c>
      <c r="L1849">
        <v>19711</v>
      </c>
      <c r="M1849" t="s">
        <v>145</v>
      </c>
      <c r="N1849" t="s">
        <v>5738</v>
      </c>
      <c r="O1849" t="s">
        <v>70</v>
      </c>
      <c r="P1849" t="s">
        <v>71</v>
      </c>
      <c r="Q1849" t="s">
        <v>5739</v>
      </c>
      <c r="R1849">
        <v>129.97999999999999</v>
      </c>
      <c r="S1849">
        <v>2</v>
      </c>
      <c r="T1849">
        <v>0</v>
      </c>
      <c r="U1849">
        <v>62.3904</v>
      </c>
      <c r="V1849" t="str">
        <f t="shared" si="28"/>
        <v>Vivian Mathis</v>
      </c>
      <c r="W1849">
        <f>Table2[Profit]/Table2[Sales]</f>
        <v>0.48000000000000004</v>
      </c>
    </row>
    <row r="1850" spans="1:23" x14ac:dyDescent="0.25">
      <c r="A1850">
        <v>1849</v>
      </c>
      <c r="B1850" t="s">
        <v>6739</v>
      </c>
      <c r="C1850" s="1">
        <v>42713</v>
      </c>
      <c r="D1850" s="1">
        <v>42717</v>
      </c>
      <c r="E1850" t="s">
        <v>49</v>
      </c>
      <c r="F1850" t="s">
        <v>934</v>
      </c>
      <c r="G1850" t="s">
        <v>935</v>
      </c>
      <c r="H1850" t="s">
        <v>25</v>
      </c>
      <c r="I1850" t="s">
        <v>26</v>
      </c>
      <c r="J1850" t="s">
        <v>321</v>
      </c>
      <c r="K1850" t="s">
        <v>235</v>
      </c>
      <c r="L1850">
        <v>49201</v>
      </c>
      <c r="M1850" t="s">
        <v>104</v>
      </c>
      <c r="N1850" t="s">
        <v>245</v>
      </c>
      <c r="O1850" t="s">
        <v>70</v>
      </c>
      <c r="P1850" t="s">
        <v>71</v>
      </c>
      <c r="Q1850" t="s">
        <v>246</v>
      </c>
      <c r="R1850">
        <v>10.9</v>
      </c>
      <c r="S1850">
        <v>1</v>
      </c>
      <c r="T1850">
        <v>0</v>
      </c>
      <c r="U1850">
        <v>3.052</v>
      </c>
      <c r="V1850" t="str">
        <f t="shared" si="28"/>
        <v>Logan Haushalter</v>
      </c>
      <c r="W1850">
        <f>Table2[Profit]/Table2[Sales]</f>
        <v>0.27999999999999997</v>
      </c>
    </row>
    <row r="1851" spans="1:23" x14ac:dyDescent="0.25">
      <c r="A1851">
        <v>1850</v>
      </c>
      <c r="B1851" t="s">
        <v>6740</v>
      </c>
      <c r="C1851" s="1">
        <v>42384</v>
      </c>
      <c r="D1851" s="1">
        <v>42390</v>
      </c>
      <c r="E1851" t="s">
        <v>49</v>
      </c>
      <c r="F1851" t="s">
        <v>4951</v>
      </c>
      <c r="G1851" t="s">
        <v>4952</v>
      </c>
      <c r="H1851" t="s">
        <v>25</v>
      </c>
      <c r="I1851" t="s">
        <v>26</v>
      </c>
      <c r="J1851" t="s">
        <v>263</v>
      </c>
      <c r="K1851" t="s">
        <v>264</v>
      </c>
      <c r="L1851">
        <v>10011</v>
      </c>
      <c r="M1851" t="s">
        <v>145</v>
      </c>
      <c r="N1851" t="s">
        <v>1250</v>
      </c>
      <c r="O1851" t="s">
        <v>45</v>
      </c>
      <c r="P1851" t="s">
        <v>170</v>
      </c>
      <c r="Q1851" t="s">
        <v>1251</v>
      </c>
      <c r="R1851">
        <v>16.52</v>
      </c>
      <c r="S1851">
        <v>4</v>
      </c>
      <c r="T1851">
        <v>0</v>
      </c>
      <c r="U1851">
        <v>7.5991999999999997</v>
      </c>
      <c r="V1851" t="str">
        <f t="shared" si="28"/>
        <v>William Brown</v>
      </c>
      <c r="W1851">
        <f>Table2[Profit]/Table2[Sales]</f>
        <v>0.46</v>
      </c>
    </row>
    <row r="1852" spans="1:23" x14ac:dyDescent="0.25">
      <c r="A1852">
        <v>1851</v>
      </c>
      <c r="B1852" t="s">
        <v>6741</v>
      </c>
      <c r="C1852" s="1">
        <v>41936</v>
      </c>
      <c r="D1852" s="1">
        <v>41936</v>
      </c>
      <c r="E1852" t="s">
        <v>1278</v>
      </c>
      <c r="F1852" t="s">
        <v>2255</v>
      </c>
      <c r="G1852" t="s">
        <v>2256</v>
      </c>
      <c r="H1852" t="s">
        <v>25</v>
      </c>
      <c r="I1852" t="s">
        <v>26</v>
      </c>
      <c r="J1852" t="s">
        <v>6742</v>
      </c>
      <c r="K1852" t="s">
        <v>376</v>
      </c>
      <c r="L1852">
        <v>29730</v>
      </c>
      <c r="M1852" t="s">
        <v>29</v>
      </c>
      <c r="N1852" t="s">
        <v>5839</v>
      </c>
      <c r="O1852" t="s">
        <v>45</v>
      </c>
      <c r="P1852" t="s">
        <v>266</v>
      </c>
      <c r="Q1852" t="s">
        <v>5840</v>
      </c>
      <c r="R1852">
        <v>11.85</v>
      </c>
      <c r="S1852">
        <v>3</v>
      </c>
      <c r="T1852">
        <v>0</v>
      </c>
      <c r="U1852">
        <v>3.7919999999999998</v>
      </c>
      <c r="V1852" t="str">
        <f t="shared" si="28"/>
        <v>Arthur Prichep</v>
      </c>
      <c r="W1852">
        <f>Table2[Profit]/Table2[Sales]</f>
        <v>0.32</v>
      </c>
    </row>
    <row r="1853" spans="1:23" x14ac:dyDescent="0.25">
      <c r="A1853">
        <v>1852</v>
      </c>
      <c r="B1853" t="s">
        <v>6743</v>
      </c>
      <c r="C1853" s="1">
        <v>42636</v>
      </c>
      <c r="D1853" s="1">
        <v>42641</v>
      </c>
      <c r="E1853" t="s">
        <v>22</v>
      </c>
      <c r="F1853" t="s">
        <v>1318</v>
      </c>
      <c r="G1853" t="s">
        <v>1319</v>
      </c>
      <c r="H1853" t="s">
        <v>25</v>
      </c>
      <c r="I1853" t="s">
        <v>26</v>
      </c>
      <c r="J1853" t="s">
        <v>490</v>
      </c>
      <c r="K1853" t="s">
        <v>1260</v>
      </c>
      <c r="L1853">
        <v>31907</v>
      </c>
      <c r="M1853" t="s">
        <v>29</v>
      </c>
      <c r="N1853" t="s">
        <v>1526</v>
      </c>
      <c r="O1853" t="s">
        <v>45</v>
      </c>
      <c r="P1853" t="s">
        <v>58</v>
      </c>
      <c r="Q1853" t="s">
        <v>1527</v>
      </c>
      <c r="R1853">
        <v>118.25</v>
      </c>
      <c r="S1853">
        <v>5</v>
      </c>
      <c r="T1853">
        <v>0</v>
      </c>
      <c r="U1853">
        <v>34.292499999999997</v>
      </c>
      <c r="V1853" t="str">
        <f t="shared" si="28"/>
        <v>Russell Applegate</v>
      </c>
      <c r="W1853">
        <f>Table2[Profit]/Table2[Sales]</f>
        <v>0.28999999999999998</v>
      </c>
    </row>
    <row r="1854" spans="1:23" x14ac:dyDescent="0.25">
      <c r="A1854">
        <v>1853</v>
      </c>
      <c r="B1854" t="s">
        <v>6744</v>
      </c>
      <c r="C1854" s="1">
        <v>42974</v>
      </c>
      <c r="D1854" s="1">
        <v>42976</v>
      </c>
      <c r="E1854" t="s">
        <v>22</v>
      </c>
      <c r="F1854" t="s">
        <v>952</v>
      </c>
      <c r="G1854" t="s">
        <v>953</v>
      </c>
      <c r="H1854" t="s">
        <v>40</v>
      </c>
      <c r="I1854" t="s">
        <v>26</v>
      </c>
      <c r="J1854" t="s">
        <v>1019</v>
      </c>
      <c r="K1854" t="s">
        <v>42</v>
      </c>
      <c r="L1854">
        <v>90301</v>
      </c>
      <c r="M1854" t="s">
        <v>43</v>
      </c>
      <c r="N1854" t="s">
        <v>4170</v>
      </c>
      <c r="O1854" t="s">
        <v>31</v>
      </c>
      <c r="P1854" t="s">
        <v>64</v>
      </c>
      <c r="Q1854" t="s">
        <v>4171</v>
      </c>
      <c r="R1854">
        <v>198.46</v>
      </c>
      <c r="S1854">
        <v>2</v>
      </c>
      <c r="T1854">
        <v>0</v>
      </c>
      <c r="U1854">
        <v>99.23</v>
      </c>
      <c r="V1854" t="str">
        <f t="shared" si="28"/>
        <v>Dan Reichenbach</v>
      </c>
      <c r="W1854">
        <f>Table2[Profit]/Table2[Sales]</f>
        <v>0.5</v>
      </c>
    </row>
    <row r="1855" spans="1:23" x14ac:dyDescent="0.25">
      <c r="A1855">
        <v>1854</v>
      </c>
      <c r="B1855" t="s">
        <v>6745</v>
      </c>
      <c r="C1855" s="1">
        <v>42432</v>
      </c>
      <c r="D1855" s="1">
        <v>42435</v>
      </c>
      <c r="E1855" t="s">
        <v>185</v>
      </c>
      <c r="F1855" t="s">
        <v>6162</v>
      </c>
      <c r="G1855" t="s">
        <v>6163</v>
      </c>
      <c r="H1855" t="s">
        <v>40</v>
      </c>
      <c r="I1855" t="s">
        <v>26</v>
      </c>
      <c r="J1855" t="s">
        <v>6746</v>
      </c>
      <c r="K1855" t="s">
        <v>103</v>
      </c>
      <c r="L1855">
        <v>79762</v>
      </c>
      <c r="M1855" t="s">
        <v>104</v>
      </c>
      <c r="N1855" t="s">
        <v>3185</v>
      </c>
      <c r="O1855" t="s">
        <v>45</v>
      </c>
      <c r="P1855" t="s">
        <v>89</v>
      </c>
      <c r="Q1855" t="s">
        <v>3186</v>
      </c>
      <c r="R1855">
        <v>42.783999999999999</v>
      </c>
      <c r="S1855">
        <v>7</v>
      </c>
      <c r="T1855">
        <v>0.2</v>
      </c>
      <c r="U1855">
        <v>15.5092</v>
      </c>
      <c r="V1855" t="str">
        <f t="shared" si="28"/>
        <v>Jason Gross</v>
      </c>
      <c r="W1855">
        <f>Table2[Profit]/Table2[Sales]</f>
        <v>0.36249999999999999</v>
      </c>
    </row>
    <row r="1856" spans="1:23" x14ac:dyDescent="0.25">
      <c r="A1856">
        <v>1855</v>
      </c>
      <c r="B1856" t="s">
        <v>6749</v>
      </c>
      <c r="C1856" s="1">
        <v>42429</v>
      </c>
      <c r="D1856" s="1">
        <v>42433</v>
      </c>
      <c r="E1856" t="s">
        <v>49</v>
      </c>
      <c r="F1856" t="s">
        <v>447</v>
      </c>
      <c r="G1856" t="s">
        <v>448</v>
      </c>
      <c r="H1856" t="s">
        <v>25</v>
      </c>
      <c r="I1856" t="s">
        <v>26</v>
      </c>
      <c r="J1856" t="s">
        <v>600</v>
      </c>
      <c r="K1856" t="s">
        <v>491</v>
      </c>
      <c r="L1856">
        <v>43055</v>
      </c>
      <c r="M1856" t="s">
        <v>145</v>
      </c>
      <c r="N1856" t="s">
        <v>6229</v>
      </c>
      <c r="O1856" t="s">
        <v>45</v>
      </c>
      <c r="P1856" t="s">
        <v>67</v>
      </c>
      <c r="Q1856" t="s">
        <v>6230</v>
      </c>
      <c r="R1856">
        <v>111.104</v>
      </c>
      <c r="S1856">
        <v>7</v>
      </c>
      <c r="T1856">
        <v>0.2</v>
      </c>
      <c r="U1856">
        <v>8.3328000000000007</v>
      </c>
      <c r="V1856" t="str">
        <f t="shared" si="28"/>
        <v>Lena Cacioppo</v>
      </c>
      <c r="W1856">
        <f>Table2[Profit]/Table2[Sales]</f>
        <v>7.5000000000000011E-2</v>
      </c>
    </row>
    <row r="1857" spans="1:23" x14ac:dyDescent="0.25">
      <c r="A1857">
        <v>1856</v>
      </c>
      <c r="B1857" t="s">
        <v>6750</v>
      </c>
      <c r="C1857" s="1">
        <v>42265</v>
      </c>
      <c r="D1857" s="1">
        <v>42270</v>
      </c>
      <c r="E1857" t="s">
        <v>49</v>
      </c>
      <c r="F1857" t="s">
        <v>2724</v>
      </c>
      <c r="G1857" t="s">
        <v>2725</v>
      </c>
      <c r="H1857" t="s">
        <v>40</v>
      </c>
      <c r="I1857" t="s">
        <v>26</v>
      </c>
      <c r="J1857" t="s">
        <v>41</v>
      </c>
      <c r="K1857" t="s">
        <v>42</v>
      </c>
      <c r="L1857">
        <v>90049</v>
      </c>
      <c r="M1857" t="s">
        <v>43</v>
      </c>
      <c r="N1857" t="s">
        <v>990</v>
      </c>
      <c r="O1857" t="s">
        <v>45</v>
      </c>
      <c r="P1857" t="s">
        <v>67</v>
      </c>
      <c r="Q1857" t="s">
        <v>991</v>
      </c>
      <c r="R1857">
        <v>11.68</v>
      </c>
      <c r="S1857">
        <v>2</v>
      </c>
      <c r="T1857">
        <v>0</v>
      </c>
      <c r="U1857">
        <v>5.4896000000000003</v>
      </c>
      <c r="V1857" t="str">
        <f t="shared" si="28"/>
        <v>George Bell</v>
      </c>
      <c r="W1857">
        <f>Table2[Profit]/Table2[Sales]</f>
        <v>0.47000000000000003</v>
      </c>
    </row>
    <row r="1858" spans="1:23" x14ac:dyDescent="0.25">
      <c r="A1858">
        <v>1857</v>
      </c>
      <c r="B1858" t="s">
        <v>6751</v>
      </c>
      <c r="C1858" s="1">
        <v>42867</v>
      </c>
      <c r="D1858" s="1">
        <v>42872</v>
      </c>
      <c r="E1858" t="s">
        <v>49</v>
      </c>
      <c r="F1858" t="s">
        <v>1974</v>
      </c>
      <c r="G1858" t="s">
        <v>1975</v>
      </c>
      <c r="H1858" t="s">
        <v>25</v>
      </c>
      <c r="I1858" t="s">
        <v>26</v>
      </c>
      <c r="J1858" t="s">
        <v>4010</v>
      </c>
      <c r="K1858" t="s">
        <v>1233</v>
      </c>
      <c r="L1858">
        <v>2149</v>
      </c>
      <c r="M1858" t="s">
        <v>145</v>
      </c>
      <c r="N1858" t="s">
        <v>690</v>
      </c>
      <c r="O1858" t="s">
        <v>45</v>
      </c>
      <c r="P1858" t="s">
        <v>89</v>
      </c>
      <c r="Q1858" t="s">
        <v>5260</v>
      </c>
      <c r="R1858">
        <v>87.6</v>
      </c>
      <c r="S1858">
        <v>5</v>
      </c>
      <c r="T1858">
        <v>0</v>
      </c>
      <c r="U1858">
        <v>42.048000000000002</v>
      </c>
      <c r="V1858" t="str">
        <f t="shared" si="28"/>
        <v>Chloris Kastensmidt</v>
      </c>
      <c r="W1858">
        <f>Table2[Profit]/Table2[Sales]</f>
        <v>0.48000000000000004</v>
      </c>
    </row>
    <row r="1859" spans="1:23" x14ac:dyDescent="0.25">
      <c r="A1859">
        <v>1858</v>
      </c>
      <c r="B1859" t="s">
        <v>6752</v>
      </c>
      <c r="C1859" s="1">
        <v>42595</v>
      </c>
      <c r="D1859" s="1">
        <v>42600</v>
      </c>
      <c r="E1859" t="s">
        <v>22</v>
      </c>
      <c r="F1859" t="s">
        <v>3084</v>
      </c>
      <c r="G1859" t="s">
        <v>3085</v>
      </c>
      <c r="H1859" t="s">
        <v>40</v>
      </c>
      <c r="I1859" t="s">
        <v>26</v>
      </c>
      <c r="J1859" t="s">
        <v>6753</v>
      </c>
      <c r="K1859" t="s">
        <v>113</v>
      </c>
      <c r="L1859">
        <v>53214</v>
      </c>
      <c r="M1859" t="s">
        <v>104</v>
      </c>
      <c r="N1859" t="s">
        <v>1645</v>
      </c>
      <c r="O1859" t="s">
        <v>31</v>
      </c>
      <c r="P1859" t="s">
        <v>32</v>
      </c>
      <c r="Q1859" t="s">
        <v>1646</v>
      </c>
      <c r="R1859">
        <v>241.96</v>
      </c>
      <c r="S1859">
        <v>2</v>
      </c>
      <c r="T1859">
        <v>0</v>
      </c>
      <c r="U1859">
        <v>24.196000000000002</v>
      </c>
      <c r="V1859" t="str">
        <f t="shared" ref="V1859:V1922" si="29">TRIM(G1859)</f>
        <v>Theresa Swint</v>
      </c>
      <c r="W1859">
        <f>Table2[Profit]/Table2[Sales]</f>
        <v>0.1</v>
      </c>
    </row>
    <row r="1860" spans="1:23" x14ac:dyDescent="0.25">
      <c r="A1860">
        <v>1859</v>
      </c>
      <c r="B1860" t="s">
        <v>6754</v>
      </c>
      <c r="C1860" s="1">
        <v>42791</v>
      </c>
      <c r="D1860" s="1">
        <v>42796</v>
      </c>
      <c r="E1860" t="s">
        <v>49</v>
      </c>
      <c r="F1860" t="s">
        <v>5857</v>
      </c>
      <c r="G1860" t="s">
        <v>5858</v>
      </c>
      <c r="H1860" t="s">
        <v>25</v>
      </c>
      <c r="I1860" t="s">
        <v>26</v>
      </c>
      <c r="J1860" t="s">
        <v>296</v>
      </c>
      <c r="K1860" t="s">
        <v>208</v>
      </c>
      <c r="L1860">
        <v>60623</v>
      </c>
      <c r="M1860" t="s">
        <v>104</v>
      </c>
      <c r="N1860" t="s">
        <v>439</v>
      </c>
      <c r="O1860" t="s">
        <v>45</v>
      </c>
      <c r="P1860" t="s">
        <v>74</v>
      </c>
      <c r="Q1860" t="s">
        <v>440</v>
      </c>
      <c r="R1860">
        <v>1.788</v>
      </c>
      <c r="S1860">
        <v>3</v>
      </c>
      <c r="T1860">
        <v>0.8</v>
      </c>
      <c r="U1860">
        <v>-3.0396000000000001</v>
      </c>
      <c r="V1860" t="str">
        <f t="shared" si="29"/>
        <v>Michelle Huthwaite</v>
      </c>
      <c r="W1860">
        <f>Table2[Profit]/Table2[Sales]</f>
        <v>-1.7</v>
      </c>
    </row>
    <row r="1861" spans="1:23" x14ac:dyDescent="0.25">
      <c r="A1861">
        <v>1860</v>
      </c>
      <c r="B1861" t="s">
        <v>6755</v>
      </c>
      <c r="C1861" s="1">
        <v>42450</v>
      </c>
      <c r="D1861" s="1">
        <v>42454</v>
      </c>
      <c r="E1861" t="s">
        <v>49</v>
      </c>
      <c r="F1861" t="s">
        <v>6094</v>
      </c>
      <c r="G1861" t="s">
        <v>6095</v>
      </c>
      <c r="H1861" t="s">
        <v>40</v>
      </c>
      <c r="I1861" t="s">
        <v>26</v>
      </c>
      <c r="J1861" t="s">
        <v>181</v>
      </c>
      <c r="K1861" t="s">
        <v>103</v>
      </c>
      <c r="L1861">
        <v>77036</v>
      </c>
      <c r="M1861" t="s">
        <v>104</v>
      </c>
      <c r="N1861" t="s">
        <v>4579</v>
      </c>
      <c r="O1861" t="s">
        <v>31</v>
      </c>
      <c r="P1861" t="s">
        <v>55</v>
      </c>
      <c r="Q1861" t="s">
        <v>4580</v>
      </c>
      <c r="R1861">
        <v>99.372</v>
      </c>
      <c r="S1861">
        <v>2</v>
      </c>
      <c r="T1861">
        <v>0.3</v>
      </c>
      <c r="U1861">
        <v>-1.4196</v>
      </c>
      <c r="V1861" t="str">
        <f t="shared" si="29"/>
        <v>Dario Medina</v>
      </c>
      <c r="W1861">
        <f>Table2[Profit]/Table2[Sales]</f>
        <v>-1.4285714285714285E-2</v>
      </c>
    </row>
    <row r="1862" spans="1:23" x14ac:dyDescent="0.25">
      <c r="A1862">
        <v>1861</v>
      </c>
      <c r="B1862" t="s">
        <v>6756</v>
      </c>
      <c r="C1862" s="1">
        <v>42346</v>
      </c>
      <c r="D1862" s="1">
        <v>42348</v>
      </c>
      <c r="E1862" t="s">
        <v>22</v>
      </c>
      <c r="F1862" t="s">
        <v>2794</v>
      </c>
      <c r="G1862" t="s">
        <v>2795</v>
      </c>
      <c r="H1862" t="s">
        <v>101</v>
      </c>
      <c r="I1862" t="s">
        <v>26</v>
      </c>
      <c r="J1862" t="s">
        <v>181</v>
      </c>
      <c r="K1862" t="s">
        <v>103</v>
      </c>
      <c r="L1862">
        <v>77036</v>
      </c>
      <c r="M1862" t="s">
        <v>104</v>
      </c>
      <c r="N1862" t="s">
        <v>732</v>
      </c>
      <c r="O1862" t="s">
        <v>70</v>
      </c>
      <c r="P1862" t="s">
        <v>71</v>
      </c>
      <c r="Q1862" t="s">
        <v>733</v>
      </c>
      <c r="R1862">
        <v>119.96</v>
      </c>
      <c r="S1862">
        <v>5</v>
      </c>
      <c r="T1862">
        <v>0.2</v>
      </c>
      <c r="U1862">
        <v>11.996</v>
      </c>
      <c r="V1862" t="str">
        <f t="shared" si="29"/>
        <v>Joel Jenkins</v>
      </c>
      <c r="W1862">
        <f>Table2[Profit]/Table2[Sales]</f>
        <v>0.1</v>
      </c>
    </row>
    <row r="1863" spans="1:23" x14ac:dyDescent="0.25">
      <c r="A1863">
        <v>1862</v>
      </c>
      <c r="B1863" t="s">
        <v>6757</v>
      </c>
      <c r="C1863" s="1">
        <v>41989</v>
      </c>
      <c r="D1863" s="1">
        <v>41993</v>
      </c>
      <c r="E1863" t="s">
        <v>22</v>
      </c>
      <c r="F1863" t="s">
        <v>132</v>
      </c>
      <c r="G1863" t="s">
        <v>133</v>
      </c>
      <c r="H1863" t="s">
        <v>40</v>
      </c>
      <c r="I1863" t="s">
        <v>26</v>
      </c>
      <c r="J1863" t="s">
        <v>2298</v>
      </c>
      <c r="K1863" t="s">
        <v>53</v>
      </c>
      <c r="L1863">
        <v>33012</v>
      </c>
      <c r="M1863" t="s">
        <v>29</v>
      </c>
      <c r="N1863" t="s">
        <v>4525</v>
      </c>
      <c r="O1863" t="s">
        <v>31</v>
      </c>
      <c r="P1863" t="s">
        <v>35</v>
      </c>
      <c r="Q1863" t="s">
        <v>4526</v>
      </c>
      <c r="R1863">
        <v>1013.832</v>
      </c>
      <c r="S1863">
        <v>9</v>
      </c>
      <c r="T1863">
        <v>0.2</v>
      </c>
      <c r="U1863">
        <v>101.3832</v>
      </c>
      <c r="V1863" t="str">
        <f t="shared" si="29"/>
        <v>Ken Black</v>
      </c>
      <c r="W1863">
        <f>Table2[Profit]/Table2[Sales]</f>
        <v>0.1</v>
      </c>
    </row>
    <row r="1864" spans="1:23" x14ac:dyDescent="0.25">
      <c r="A1864">
        <v>1863</v>
      </c>
      <c r="B1864" t="s">
        <v>6758</v>
      </c>
      <c r="C1864" s="1">
        <v>42721</v>
      </c>
      <c r="D1864" s="1">
        <v>42725</v>
      </c>
      <c r="E1864" t="s">
        <v>49</v>
      </c>
      <c r="F1864" t="s">
        <v>3098</v>
      </c>
      <c r="G1864" t="s">
        <v>3099</v>
      </c>
      <c r="H1864" t="s">
        <v>25</v>
      </c>
      <c r="I1864" t="s">
        <v>26</v>
      </c>
      <c r="J1864" t="s">
        <v>126</v>
      </c>
      <c r="K1864" t="s">
        <v>42</v>
      </c>
      <c r="L1864">
        <v>94122</v>
      </c>
      <c r="M1864" t="s">
        <v>43</v>
      </c>
      <c r="N1864" t="s">
        <v>1870</v>
      </c>
      <c r="O1864" t="s">
        <v>31</v>
      </c>
      <c r="P1864" t="s">
        <v>55</v>
      </c>
      <c r="Q1864" t="s">
        <v>1871</v>
      </c>
      <c r="R1864">
        <v>2003.52</v>
      </c>
      <c r="S1864">
        <v>6</v>
      </c>
      <c r="T1864">
        <v>0.2</v>
      </c>
      <c r="U1864">
        <v>-325.572</v>
      </c>
      <c r="V1864" t="str">
        <f t="shared" si="29"/>
        <v>Charles McCrossin</v>
      </c>
      <c r="W1864">
        <f>Table2[Profit]/Table2[Sales]</f>
        <v>-0.16250000000000001</v>
      </c>
    </row>
    <row r="1865" spans="1:23" x14ac:dyDescent="0.25">
      <c r="A1865">
        <v>1864</v>
      </c>
      <c r="B1865" t="s">
        <v>6759</v>
      </c>
      <c r="C1865" s="1">
        <v>42502</v>
      </c>
      <c r="D1865" s="1">
        <v>42507</v>
      </c>
      <c r="E1865" t="s">
        <v>49</v>
      </c>
      <c r="F1865" t="s">
        <v>4337</v>
      </c>
      <c r="G1865" t="s">
        <v>4338</v>
      </c>
      <c r="H1865" t="s">
        <v>40</v>
      </c>
      <c r="I1865" t="s">
        <v>26</v>
      </c>
      <c r="J1865" t="s">
        <v>143</v>
      </c>
      <c r="K1865" t="s">
        <v>144</v>
      </c>
      <c r="L1865">
        <v>19140</v>
      </c>
      <c r="M1865" t="s">
        <v>145</v>
      </c>
      <c r="N1865" t="s">
        <v>954</v>
      </c>
      <c r="O1865" t="s">
        <v>45</v>
      </c>
      <c r="P1865" t="s">
        <v>58</v>
      </c>
      <c r="Q1865" t="s">
        <v>955</v>
      </c>
      <c r="R1865">
        <v>82.367999999999995</v>
      </c>
      <c r="S1865">
        <v>2</v>
      </c>
      <c r="T1865">
        <v>0.2</v>
      </c>
      <c r="U1865">
        <v>-19.5624</v>
      </c>
      <c r="V1865" t="str">
        <f t="shared" si="29"/>
        <v>Filia McAdams</v>
      </c>
      <c r="W1865">
        <f>Table2[Profit]/Table2[Sales]</f>
        <v>-0.23750000000000002</v>
      </c>
    </row>
    <row r="1866" spans="1:23" x14ac:dyDescent="0.25">
      <c r="A1866">
        <v>1865</v>
      </c>
      <c r="B1866" t="s">
        <v>6760</v>
      </c>
      <c r="C1866" s="1">
        <v>41857</v>
      </c>
      <c r="D1866" s="1">
        <v>41862</v>
      </c>
      <c r="E1866" t="s">
        <v>22</v>
      </c>
      <c r="F1866" t="s">
        <v>2352</v>
      </c>
      <c r="G1866" t="s">
        <v>2353</v>
      </c>
      <c r="H1866" t="s">
        <v>25</v>
      </c>
      <c r="I1866" t="s">
        <v>26</v>
      </c>
      <c r="J1866" t="s">
        <v>375</v>
      </c>
      <c r="K1866" t="s">
        <v>376</v>
      </c>
      <c r="L1866">
        <v>29203</v>
      </c>
      <c r="M1866" t="s">
        <v>29</v>
      </c>
      <c r="N1866" t="s">
        <v>3489</v>
      </c>
      <c r="O1866" t="s">
        <v>70</v>
      </c>
      <c r="P1866" t="s">
        <v>158</v>
      </c>
      <c r="Q1866" t="s">
        <v>3490</v>
      </c>
      <c r="R1866">
        <v>62.91</v>
      </c>
      <c r="S1866">
        <v>3</v>
      </c>
      <c r="T1866">
        <v>0</v>
      </c>
      <c r="U1866">
        <v>22.647600000000001</v>
      </c>
      <c r="V1866" t="str">
        <f t="shared" si="29"/>
        <v>Roland Fjeld</v>
      </c>
      <c r="W1866">
        <f>Table2[Profit]/Table2[Sales]</f>
        <v>0.36000000000000004</v>
      </c>
    </row>
    <row r="1867" spans="1:23" x14ac:dyDescent="0.25">
      <c r="A1867">
        <v>1866</v>
      </c>
      <c r="B1867" t="s">
        <v>6761</v>
      </c>
      <c r="C1867" s="1">
        <v>41740</v>
      </c>
      <c r="D1867" s="1">
        <v>41742</v>
      </c>
      <c r="E1867" t="s">
        <v>22</v>
      </c>
      <c r="F1867" t="s">
        <v>2234</v>
      </c>
      <c r="G1867" t="s">
        <v>2235</v>
      </c>
      <c r="H1867" t="s">
        <v>25</v>
      </c>
      <c r="I1867" t="s">
        <v>26</v>
      </c>
      <c r="J1867" t="s">
        <v>1406</v>
      </c>
      <c r="K1867" t="s">
        <v>53</v>
      </c>
      <c r="L1867">
        <v>33180</v>
      </c>
      <c r="M1867" t="s">
        <v>29</v>
      </c>
      <c r="N1867" t="s">
        <v>6762</v>
      </c>
      <c r="O1867" t="s">
        <v>45</v>
      </c>
      <c r="P1867" t="s">
        <v>266</v>
      </c>
      <c r="Q1867" t="s">
        <v>6763</v>
      </c>
      <c r="R1867">
        <v>6.9119999999999999</v>
      </c>
      <c r="S1867">
        <v>3</v>
      </c>
      <c r="T1867">
        <v>0.2</v>
      </c>
      <c r="U1867">
        <v>2.3328000000000002</v>
      </c>
      <c r="V1867" t="str">
        <f t="shared" si="29"/>
        <v>Jay Kimmel</v>
      </c>
      <c r="W1867">
        <f>Table2[Profit]/Table2[Sales]</f>
        <v>0.33750000000000002</v>
      </c>
    </row>
    <row r="1868" spans="1:23" x14ac:dyDescent="0.25">
      <c r="A1868">
        <v>1867</v>
      </c>
      <c r="B1868" t="s">
        <v>6766</v>
      </c>
      <c r="C1868" s="1">
        <v>42127</v>
      </c>
      <c r="D1868" s="1">
        <v>42132</v>
      </c>
      <c r="E1868" t="s">
        <v>49</v>
      </c>
      <c r="F1868" t="s">
        <v>6043</v>
      </c>
      <c r="G1868" t="s">
        <v>6044</v>
      </c>
      <c r="H1868" t="s">
        <v>101</v>
      </c>
      <c r="I1868" t="s">
        <v>26</v>
      </c>
      <c r="J1868" t="s">
        <v>6767</v>
      </c>
      <c r="K1868" t="s">
        <v>42</v>
      </c>
      <c r="L1868">
        <v>91911</v>
      </c>
      <c r="M1868" t="s">
        <v>43</v>
      </c>
      <c r="N1868" t="s">
        <v>5286</v>
      </c>
      <c r="O1868" t="s">
        <v>31</v>
      </c>
      <c r="P1868" t="s">
        <v>64</v>
      </c>
      <c r="Q1868" t="s">
        <v>5287</v>
      </c>
      <c r="R1868">
        <v>665.88</v>
      </c>
      <c r="S1868">
        <v>6</v>
      </c>
      <c r="T1868">
        <v>0</v>
      </c>
      <c r="U1868">
        <v>106.5408</v>
      </c>
      <c r="V1868" t="str">
        <f t="shared" si="29"/>
        <v>Julia Barnett</v>
      </c>
      <c r="W1868">
        <f>Table2[Profit]/Table2[Sales]</f>
        <v>0.16</v>
      </c>
    </row>
    <row r="1869" spans="1:23" x14ac:dyDescent="0.25">
      <c r="A1869">
        <v>1868</v>
      </c>
      <c r="B1869" t="s">
        <v>6768</v>
      </c>
      <c r="C1869" s="1">
        <v>43069</v>
      </c>
      <c r="D1869" s="1">
        <v>43071</v>
      </c>
      <c r="E1869" t="s">
        <v>22</v>
      </c>
      <c r="F1869" t="s">
        <v>417</v>
      </c>
      <c r="G1869" t="s">
        <v>418</v>
      </c>
      <c r="H1869" t="s">
        <v>101</v>
      </c>
      <c r="I1869" t="s">
        <v>26</v>
      </c>
      <c r="J1869" t="s">
        <v>1406</v>
      </c>
      <c r="K1869" t="s">
        <v>53</v>
      </c>
      <c r="L1869">
        <v>33180</v>
      </c>
      <c r="M1869" t="s">
        <v>29</v>
      </c>
      <c r="N1869" t="s">
        <v>3813</v>
      </c>
      <c r="O1869" t="s">
        <v>70</v>
      </c>
      <c r="P1869" t="s">
        <v>71</v>
      </c>
      <c r="Q1869" t="s">
        <v>3814</v>
      </c>
      <c r="R1869">
        <v>71.975999999999999</v>
      </c>
      <c r="S1869">
        <v>3</v>
      </c>
      <c r="T1869">
        <v>0.2</v>
      </c>
      <c r="U1869">
        <v>8.9969999999999999</v>
      </c>
      <c r="V1869" t="str">
        <f t="shared" si="29"/>
        <v>Parhena Norris</v>
      </c>
      <c r="W1869">
        <f>Table2[Profit]/Table2[Sales]</f>
        <v>0.125</v>
      </c>
    </row>
    <row r="1870" spans="1:23" x14ac:dyDescent="0.25">
      <c r="A1870">
        <v>1869</v>
      </c>
      <c r="B1870" t="s">
        <v>6769</v>
      </c>
      <c r="C1870" s="1">
        <v>42782</v>
      </c>
      <c r="D1870" s="1">
        <v>42786</v>
      </c>
      <c r="E1870" t="s">
        <v>49</v>
      </c>
      <c r="F1870" t="s">
        <v>1404</v>
      </c>
      <c r="G1870" t="s">
        <v>1405</v>
      </c>
      <c r="H1870" t="s">
        <v>25</v>
      </c>
      <c r="I1870" t="s">
        <v>26</v>
      </c>
      <c r="J1870" t="s">
        <v>263</v>
      </c>
      <c r="K1870" t="s">
        <v>264</v>
      </c>
      <c r="L1870">
        <v>10035</v>
      </c>
      <c r="M1870" t="s">
        <v>145</v>
      </c>
      <c r="N1870" t="s">
        <v>1615</v>
      </c>
      <c r="O1870" t="s">
        <v>45</v>
      </c>
      <c r="P1870" t="s">
        <v>89</v>
      </c>
      <c r="Q1870" t="s">
        <v>1616</v>
      </c>
      <c r="R1870">
        <v>37.94</v>
      </c>
      <c r="S1870">
        <v>2</v>
      </c>
      <c r="T1870">
        <v>0</v>
      </c>
      <c r="U1870">
        <v>18.211200000000002</v>
      </c>
      <c r="V1870" t="str">
        <f t="shared" si="29"/>
        <v>Luke Foster</v>
      </c>
      <c r="W1870">
        <f>Table2[Profit]/Table2[Sales]</f>
        <v>0.48000000000000009</v>
      </c>
    </row>
    <row r="1871" spans="1:23" x14ac:dyDescent="0.25">
      <c r="A1871">
        <v>1870</v>
      </c>
      <c r="B1871" t="s">
        <v>6770</v>
      </c>
      <c r="C1871" s="1">
        <v>41959</v>
      </c>
      <c r="D1871" s="1">
        <v>41963</v>
      </c>
      <c r="E1871" t="s">
        <v>49</v>
      </c>
      <c r="F1871" t="s">
        <v>4797</v>
      </c>
      <c r="G1871" t="s">
        <v>4798</v>
      </c>
      <c r="H1871" t="s">
        <v>101</v>
      </c>
      <c r="I1871" t="s">
        <v>26</v>
      </c>
      <c r="J1871" t="s">
        <v>6771</v>
      </c>
      <c r="K1871" t="s">
        <v>4436</v>
      </c>
      <c r="L1871">
        <v>66502</v>
      </c>
      <c r="M1871" t="s">
        <v>104</v>
      </c>
      <c r="N1871" t="s">
        <v>4193</v>
      </c>
      <c r="O1871" t="s">
        <v>70</v>
      </c>
      <c r="P1871" t="s">
        <v>71</v>
      </c>
      <c r="Q1871" t="s">
        <v>4194</v>
      </c>
      <c r="R1871">
        <v>273.95999999999998</v>
      </c>
      <c r="S1871">
        <v>2</v>
      </c>
      <c r="T1871">
        <v>0</v>
      </c>
      <c r="U1871">
        <v>10.958399999999999</v>
      </c>
      <c r="V1871" t="str">
        <f t="shared" si="29"/>
        <v>Rick Huthwaite</v>
      </c>
      <c r="W1871">
        <f>Table2[Profit]/Table2[Sales]</f>
        <v>0.04</v>
      </c>
    </row>
    <row r="1872" spans="1:23" x14ac:dyDescent="0.25">
      <c r="A1872">
        <v>1871</v>
      </c>
      <c r="B1872" t="s">
        <v>6772</v>
      </c>
      <c r="C1872" s="1">
        <v>42194</v>
      </c>
      <c r="D1872" s="1">
        <v>42199</v>
      </c>
      <c r="E1872" t="s">
        <v>22</v>
      </c>
      <c r="F1872" t="s">
        <v>3573</v>
      </c>
      <c r="G1872" t="s">
        <v>3574</v>
      </c>
      <c r="H1872" t="s">
        <v>25</v>
      </c>
      <c r="I1872" t="s">
        <v>26</v>
      </c>
      <c r="J1872" t="s">
        <v>143</v>
      </c>
      <c r="K1872" t="s">
        <v>144</v>
      </c>
      <c r="L1872">
        <v>19120</v>
      </c>
      <c r="M1872" t="s">
        <v>145</v>
      </c>
      <c r="N1872" t="s">
        <v>5340</v>
      </c>
      <c r="O1872" t="s">
        <v>70</v>
      </c>
      <c r="P1872" t="s">
        <v>71</v>
      </c>
      <c r="Q1872" t="s">
        <v>5341</v>
      </c>
      <c r="R1872">
        <v>269.98200000000003</v>
      </c>
      <c r="S1872">
        <v>3</v>
      </c>
      <c r="T1872">
        <v>0.4</v>
      </c>
      <c r="U1872">
        <v>40.497300000000003</v>
      </c>
      <c r="V1872" t="str">
        <f t="shared" si="29"/>
        <v>Matt Collins</v>
      </c>
      <c r="W1872">
        <f>Table2[Profit]/Table2[Sales]</f>
        <v>0.15</v>
      </c>
    </row>
    <row r="1873" spans="1:23" x14ac:dyDescent="0.25">
      <c r="A1873">
        <v>1872</v>
      </c>
      <c r="B1873" t="s">
        <v>6773</v>
      </c>
      <c r="C1873" s="1">
        <v>43052</v>
      </c>
      <c r="D1873" s="1">
        <v>43055</v>
      </c>
      <c r="E1873" t="s">
        <v>22</v>
      </c>
      <c r="F1873" t="s">
        <v>3608</v>
      </c>
      <c r="G1873" t="s">
        <v>3609</v>
      </c>
      <c r="H1873" t="s">
        <v>25</v>
      </c>
      <c r="I1873" t="s">
        <v>26</v>
      </c>
      <c r="J1873" t="s">
        <v>327</v>
      </c>
      <c r="K1873" t="s">
        <v>328</v>
      </c>
      <c r="L1873">
        <v>38109</v>
      </c>
      <c r="M1873" t="s">
        <v>29</v>
      </c>
      <c r="N1873" t="s">
        <v>4313</v>
      </c>
      <c r="O1873" t="s">
        <v>45</v>
      </c>
      <c r="P1873" t="s">
        <v>89</v>
      </c>
      <c r="Q1873" t="s">
        <v>4314</v>
      </c>
      <c r="R1873">
        <v>8.9039999999999999</v>
      </c>
      <c r="S1873">
        <v>3</v>
      </c>
      <c r="T1873">
        <v>0.2</v>
      </c>
      <c r="U1873">
        <v>3.339</v>
      </c>
      <c r="V1873" t="str">
        <f t="shared" si="29"/>
        <v>Michael Nguyen</v>
      </c>
      <c r="W1873">
        <f>Table2[Profit]/Table2[Sales]</f>
        <v>0.375</v>
      </c>
    </row>
    <row r="1874" spans="1:23" x14ac:dyDescent="0.25">
      <c r="A1874">
        <v>1873</v>
      </c>
      <c r="B1874" t="s">
        <v>6774</v>
      </c>
      <c r="C1874" s="1">
        <v>42947</v>
      </c>
      <c r="D1874" s="1">
        <v>42951</v>
      </c>
      <c r="E1874" t="s">
        <v>49</v>
      </c>
      <c r="F1874" t="s">
        <v>2129</v>
      </c>
      <c r="G1874" t="s">
        <v>2130</v>
      </c>
      <c r="H1874" t="s">
        <v>101</v>
      </c>
      <c r="I1874" t="s">
        <v>26</v>
      </c>
      <c r="J1874" t="s">
        <v>52</v>
      </c>
      <c r="K1874" t="s">
        <v>53</v>
      </c>
      <c r="L1874">
        <v>33311</v>
      </c>
      <c r="M1874" t="s">
        <v>29</v>
      </c>
      <c r="N1874" t="s">
        <v>4350</v>
      </c>
      <c r="O1874" t="s">
        <v>70</v>
      </c>
      <c r="P1874" t="s">
        <v>158</v>
      </c>
      <c r="Q1874" t="s">
        <v>4351</v>
      </c>
      <c r="R1874">
        <v>41.423999999999999</v>
      </c>
      <c r="S1874">
        <v>2</v>
      </c>
      <c r="T1874">
        <v>0.2</v>
      </c>
      <c r="U1874">
        <v>8.2848000000000006</v>
      </c>
      <c r="V1874" t="str">
        <f t="shared" si="29"/>
        <v>Eugene Hildebrand</v>
      </c>
      <c r="W1874">
        <f>Table2[Profit]/Table2[Sales]</f>
        <v>0.2</v>
      </c>
    </row>
    <row r="1875" spans="1:23" x14ac:dyDescent="0.25">
      <c r="A1875">
        <v>1874</v>
      </c>
      <c r="B1875" t="s">
        <v>6775</v>
      </c>
      <c r="C1875" s="1">
        <v>43095</v>
      </c>
      <c r="D1875" s="1">
        <v>43099</v>
      </c>
      <c r="E1875" t="s">
        <v>49</v>
      </c>
      <c r="F1875" t="s">
        <v>3535</v>
      </c>
      <c r="G1875" t="s">
        <v>3536</v>
      </c>
      <c r="H1875" t="s">
        <v>101</v>
      </c>
      <c r="I1875" t="s">
        <v>26</v>
      </c>
      <c r="J1875" t="s">
        <v>490</v>
      </c>
      <c r="K1875" t="s">
        <v>491</v>
      </c>
      <c r="L1875">
        <v>43229</v>
      </c>
      <c r="M1875" t="s">
        <v>145</v>
      </c>
      <c r="N1875" t="s">
        <v>6776</v>
      </c>
      <c r="O1875" t="s">
        <v>45</v>
      </c>
      <c r="P1875" t="s">
        <v>74</v>
      </c>
      <c r="Q1875" t="s">
        <v>6777</v>
      </c>
      <c r="R1875">
        <v>3.1320000000000001</v>
      </c>
      <c r="S1875">
        <v>2</v>
      </c>
      <c r="T1875">
        <v>0.7</v>
      </c>
      <c r="U1875">
        <v>-2.61</v>
      </c>
      <c r="V1875" t="str">
        <f t="shared" si="29"/>
        <v>Tracy Collins</v>
      </c>
      <c r="W1875">
        <f>Table2[Profit]/Table2[Sales]</f>
        <v>-0.83333333333333326</v>
      </c>
    </row>
    <row r="1876" spans="1:23" x14ac:dyDescent="0.25">
      <c r="A1876">
        <v>1875</v>
      </c>
      <c r="B1876" t="s">
        <v>6778</v>
      </c>
      <c r="C1876" s="1">
        <v>42674</v>
      </c>
      <c r="D1876" s="1">
        <v>42678</v>
      </c>
      <c r="E1876" t="s">
        <v>49</v>
      </c>
      <c r="F1876" t="s">
        <v>575</v>
      </c>
      <c r="G1876" t="s">
        <v>576</v>
      </c>
      <c r="H1876" t="s">
        <v>40</v>
      </c>
      <c r="I1876" t="s">
        <v>26</v>
      </c>
      <c r="J1876" t="s">
        <v>41</v>
      </c>
      <c r="K1876" t="s">
        <v>42</v>
      </c>
      <c r="L1876">
        <v>90045</v>
      </c>
      <c r="M1876" t="s">
        <v>43</v>
      </c>
      <c r="N1876" t="s">
        <v>5963</v>
      </c>
      <c r="O1876" t="s">
        <v>45</v>
      </c>
      <c r="P1876" t="s">
        <v>58</v>
      </c>
      <c r="Q1876" t="s">
        <v>5964</v>
      </c>
      <c r="R1876">
        <v>1085.42</v>
      </c>
      <c r="S1876">
        <v>7</v>
      </c>
      <c r="T1876">
        <v>0</v>
      </c>
      <c r="U1876">
        <v>282.20920000000001</v>
      </c>
      <c r="V1876" t="str">
        <f t="shared" si="29"/>
        <v>Jonathan Doherty</v>
      </c>
      <c r="W1876">
        <f>Table2[Profit]/Table2[Sales]</f>
        <v>0.26</v>
      </c>
    </row>
    <row r="1877" spans="1:23" x14ac:dyDescent="0.25">
      <c r="A1877">
        <v>1876</v>
      </c>
      <c r="B1877" t="s">
        <v>6779</v>
      </c>
      <c r="C1877" s="1">
        <v>42617</v>
      </c>
      <c r="D1877" s="1">
        <v>42622</v>
      </c>
      <c r="E1877" t="s">
        <v>49</v>
      </c>
      <c r="F1877" t="s">
        <v>5007</v>
      </c>
      <c r="G1877" t="s">
        <v>5008</v>
      </c>
      <c r="H1877" t="s">
        <v>25</v>
      </c>
      <c r="I1877" t="s">
        <v>26</v>
      </c>
      <c r="J1877" t="s">
        <v>181</v>
      </c>
      <c r="K1877" t="s">
        <v>103</v>
      </c>
      <c r="L1877">
        <v>77041</v>
      </c>
      <c r="M1877" t="s">
        <v>104</v>
      </c>
      <c r="N1877" t="s">
        <v>1120</v>
      </c>
      <c r="O1877" t="s">
        <v>45</v>
      </c>
      <c r="P1877" t="s">
        <v>67</v>
      </c>
      <c r="Q1877" t="s">
        <v>1121</v>
      </c>
      <c r="R1877">
        <v>3.9119999999999999</v>
      </c>
      <c r="S1877">
        <v>1</v>
      </c>
      <c r="T1877">
        <v>0.2</v>
      </c>
      <c r="U1877">
        <v>1.0268999999999999</v>
      </c>
      <c r="V1877" t="str">
        <f t="shared" si="29"/>
        <v>Ivan Liston</v>
      </c>
      <c r="W1877">
        <f>Table2[Profit]/Table2[Sales]</f>
        <v>0.26250000000000001</v>
      </c>
    </row>
    <row r="1878" spans="1:23" x14ac:dyDescent="0.25">
      <c r="A1878">
        <v>1877</v>
      </c>
      <c r="B1878" t="s">
        <v>6780</v>
      </c>
      <c r="C1878" s="1">
        <v>42477</v>
      </c>
      <c r="D1878" s="1">
        <v>42481</v>
      </c>
      <c r="E1878" t="s">
        <v>49</v>
      </c>
      <c r="F1878" t="s">
        <v>6123</v>
      </c>
      <c r="G1878" t="s">
        <v>6124</v>
      </c>
      <c r="H1878" t="s">
        <v>101</v>
      </c>
      <c r="I1878" t="s">
        <v>26</v>
      </c>
      <c r="J1878" t="s">
        <v>2499</v>
      </c>
      <c r="K1878" t="s">
        <v>135</v>
      </c>
      <c r="L1878">
        <v>68104</v>
      </c>
      <c r="M1878" t="s">
        <v>104</v>
      </c>
      <c r="N1878" t="s">
        <v>830</v>
      </c>
      <c r="O1878" t="s">
        <v>45</v>
      </c>
      <c r="P1878" t="s">
        <v>266</v>
      </c>
      <c r="Q1878" t="s">
        <v>831</v>
      </c>
      <c r="R1878">
        <v>29.05</v>
      </c>
      <c r="S1878">
        <v>5</v>
      </c>
      <c r="T1878">
        <v>0</v>
      </c>
      <c r="U1878">
        <v>9.0054999999999996</v>
      </c>
      <c r="V1878" t="str">
        <f t="shared" si="29"/>
        <v>Sean Wendt</v>
      </c>
      <c r="W1878">
        <f>Table2[Profit]/Table2[Sales]</f>
        <v>0.31</v>
      </c>
    </row>
    <row r="1879" spans="1:23" x14ac:dyDescent="0.25">
      <c r="A1879">
        <v>1878</v>
      </c>
      <c r="B1879" t="s">
        <v>6781</v>
      </c>
      <c r="C1879" s="1">
        <v>41825</v>
      </c>
      <c r="D1879" s="1">
        <v>41831</v>
      </c>
      <c r="E1879" t="s">
        <v>49</v>
      </c>
      <c r="F1879" t="s">
        <v>4121</v>
      </c>
      <c r="G1879" t="s">
        <v>4122</v>
      </c>
      <c r="H1879" t="s">
        <v>101</v>
      </c>
      <c r="I1879" t="s">
        <v>26</v>
      </c>
      <c r="J1879" t="s">
        <v>41</v>
      </c>
      <c r="K1879" t="s">
        <v>42</v>
      </c>
      <c r="L1879">
        <v>90004</v>
      </c>
      <c r="M1879" t="s">
        <v>43</v>
      </c>
      <c r="N1879" t="s">
        <v>1698</v>
      </c>
      <c r="O1879" t="s">
        <v>45</v>
      </c>
      <c r="P1879" t="s">
        <v>74</v>
      </c>
      <c r="Q1879" t="s">
        <v>1699</v>
      </c>
      <c r="R1879">
        <v>180.96</v>
      </c>
      <c r="S1879">
        <v>6</v>
      </c>
      <c r="T1879">
        <v>0.2</v>
      </c>
      <c r="U1879">
        <v>67.86</v>
      </c>
      <c r="V1879" t="str">
        <f t="shared" si="29"/>
        <v>Dennis Pardue</v>
      </c>
      <c r="W1879">
        <f>Table2[Profit]/Table2[Sales]</f>
        <v>0.375</v>
      </c>
    </row>
    <row r="1880" spans="1:23" x14ac:dyDescent="0.25">
      <c r="A1880">
        <v>1879</v>
      </c>
      <c r="B1880" t="s">
        <v>6782</v>
      </c>
      <c r="C1880" s="1">
        <v>42062</v>
      </c>
      <c r="D1880" s="1">
        <v>42063</v>
      </c>
      <c r="E1880" t="s">
        <v>185</v>
      </c>
      <c r="F1880" t="s">
        <v>3131</v>
      </c>
      <c r="G1880" t="s">
        <v>3132</v>
      </c>
      <c r="H1880" t="s">
        <v>40</v>
      </c>
      <c r="I1880" t="s">
        <v>26</v>
      </c>
      <c r="J1880" t="s">
        <v>6783</v>
      </c>
      <c r="K1880" t="s">
        <v>144</v>
      </c>
      <c r="L1880">
        <v>16602</v>
      </c>
      <c r="M1880" t="s">
        <v>145</v>
      </c>
      <c r="N1880" t="s">
        <v>787</v>
      </c>
      <c r="O1880" t="s">
        <v>45</v>
      </c>
      <c r="P1880" t="s">
        <v>74</v>
      </c>
      <c r="Q1880" t="s">
        <v>788</v>
      </c>
      <c r="R1880">
        <v>4.4189999999999996</v>
      </c>
      <c r="S1880">
        <v>3</v>
      </c>
      <c r="T1880">
        <v>0.7</v>
      </c>
      <c r="U1880">
        <v>-3.3879000000000001</v>
      </c>
      <c r="V1880" t="str">
        <f t="shared" si="29"/>
        <v>Bill Tyler</v>
      </c>
      <c r="W1880">
        <f>Table2[Profit]/Table2[Sales]</f>
        <v>-0.76666666666666672</v>
      </c>
    </row>
    <row r="1881" spans="1:23" x14ac:dyDescent="0.25">
      <c r="A1881">
        <v>1880</v>
      </c>
      <c r="B1881" t="s">
        <v>6784</v>
      </c>
      <c r="C1881" s="1">
        <v>42335</v>
      </c>
      <c r="D1881" s="1">
        <v>42339</v>
      </c>
      <c r="E1881" t="s">
        <v>49</v>
      </c>
      <c r="F1881" t="s">
        <v>1621</v>
      </c>
      <c r="G1881" t="s">
        <v>1622</v>
      </c>
      <c r="H1881" t="s">
        <v>25</v>
      </c>
      <c r="I1881" t="s">
        <v>26</v>
      </c>
      <c r="J1881" t="s">
        <v>263</v>
      </c>
      <c r="K1881" t="s">
        <v>264</v>
      </c>
      <c r="L1881">
        <v>10024</v>
      </c>
      <c r="M1881" t="s">
        <v>145</v>
      </c>
      <c r="N1881" t="s">
        <v>4159</v>
      </c>
      <c r="O1881" t="s">
        <v>45</v>
      </c>
      <c r="P1881" t="s">
        <v>67</v>
      </c>
      <c r="Q1881" t="s">
        <v>4160</v>
      </c>
      <c r="R1881">
        <v>29.79</v>
      </c>
      <c r="S1881">
        <v>3</v>
      </c>
      <c r="T1881">
        <v>0</v>
      </c>
      <c r="U1881">
        <v>12.511799999999999</v>
      </c>
      <c r="V1881" t="str">
        <f t="shared" si="29"/>
        <v>Jeremy Ellison</v>
      </c>
      <c r="W1881">
        <f>Table2[Profit]/Table2[Sales]</f>
        <v>0.42</v>
      </c>
    </row>
    <row r="1882" spans="1:23" x14ac:dyDescent="0.25">
      <c r="A1882">
        <v>1881</v>
      </c>
      <c r="B1882" t="s">
        <v>6785</v>
      </c>
      <c r="C1882" s="1">
        <v>41666</v>
      </c>
      <c r="D1882" s="1">
        <v>41672</v>
      </c>
      <c r="E1882" t="s">
        <v>49</v>
      </c>
      <c r="F1882" t="s">
        <v>6786</v>
      </c>
      <c r="G1882" t="s">
        <v>6787</v>
      </c>
      <c r="H1882" t="s">
        <v>25</v>
      </c>
      <c r="I1882" t="s">
        <v>26</v>
      </c>
      <c r="J1882" t="s">
        <v>941</v>
      </c>
      <c r="K1882" t="s">
        <v>42</v>
      </c>
      <c r="L1882">
        <v>92037</v>
      </c>
      <c r="M1882" t="s">
        <v>43</v>
      </c>
      <c r="N1882" t="s">
        <v>5092</v>
      </c>
      <c r="O1882" t="s">
        <v>45</v>
      </c>
      <c r="P1882" t="s">
        <v>58</v>
      </c>
      <c r="Q1882" t="s">
        <v>5093</v>
      </c>
      <c r="R1882">
        <v>57.23</v>
      </c>
      <c r="S1882">
        <v>1</v>
      </c>
      <c r="T1882">
        <v>0</v>
      </c>
      <c r="U1882">
        <v>14.307499999999999</v>
      </c>
      <c r="V1882" t="str">
        <f t="shared" si="29"/>
        <v>Ed Jacobs</v>
      </c>
      <c r="W1882">
        <f>Table2[Profit]/Table2[Sales]</f>
        <v>0.25</v>
      </c>
    </row>
    <row r="1883" spans="1:23" x14ac:dyDescent="0.25">
      <c r="A1883">
        <v>1882</v>
      </c>
      <c r="B1883" t="s">
        <v>6792</v>
      </c>
      <c r="C1883" s="1">
        <v>43001</v>
      </c>
      <c r="D1883" s="1">
        <v>43004</v>
      </c>
      <c r="E1883" t="s">
        <v>185</v>
      </c>
      <c r="F1883" t="s">
        <v>5712</v>
      </c>
      <c r="G1883" t="s">
        <v>5713</v>
      </c>
      <c r="H1883" t="s">
        <v>25</v>
      </c>
      <c r="I1883" t="s">
        <v>26</v>
      </c>
      <c r="J1883" t="s">
        <v>1406</v>
      </c>
      <c r="K1883" t="s">
        <v>53</v>
      </c>
      <c r="L1883">
        <v>33178</v>
      </c>
      <c r="M1883" t="s">
        <v>29</v>
      </c>
      <c r="N1883" t="s">
        <v>2528</v>
      </c>
      <c r="O1883" t="s">
        <v>45</v>
      </c>
      <c r="P1883" t="s">
        <v>89</v>
      </c>
      <c r="Q1883" t="s">
        <v>2529</v>
      </c>
      <c r="R1883">
        <v>251.64</v>
      </c>
      <c r="S1883">
        <v>3</v>
      </c>
      <c r="T1883">
        <v>0.2</v>
      </c>
      <c r="U1883">
        <v>88.073999999999998</v>
      </c>
      <c r="V1883" t="str">
        <f t="shared" si="29"/>
        <v>Bobby Elias</v>
      </c>
      <c r="W1883">
        <f>Table2[Profit]/Table2[Sales]</f>
        <v>0.35000000000000003</v>
      </c>
    </row>
    <row r="1884" spans="1:23" x14ac:dyDescent="0.25">
      <c r="A1884">
        <v>1883</v>
      </c>
      <c r="B1884" t="s">
        <v>6793</v>
      </c>
      <c r="C1884" s="1">
        <v>43043</v>
      </c>
      <c r="D1884" s="1">
        <v>43044</v>
      </c>
      <c r="E1884" t="s">
        <v>185</v>
      </c>
      <c r="F1884" t="s">
        <v>1071</v>
      </c>
      <c r="G1884" t="s">
        <v>1072</v>
      </c>
      <c r="H1884" t="s">
        <v>40</v>
      </c>
      <c r="I1884" t="s">
        <v>26</v>
      </c>
      <c r="J1884" t="s">
        <v>4396</v>
      </c>
      <c r="K1884" t="s">
        <v>87</v>
      </c>
      <c r="L1884">
        <v>27405</v>
      </c>
      <c r="M1884" t="s">
        <v>29</v>
      </c>
      <c r="N1884" t="s">
        <v>1213</v>
      </c>
      <c r="O1884" t="s">
        <v>31</v>
      </c>
      <c r="P1884" t="s">
        <v>55</v>
      </c>
      <c r="Q1884" t="s">
        <v>1214</v>
      </c>
      <c r="R1884">
        <v>523.76400000000001</v>
      </c>
      <c r="S1884">
        <v>3</v>
      </c>
      <c r="T1884">
        <v>0.4</v>
      </c>
      <c r="U1884">
        <v>-192.04679999999999</v>
      </c>
      <c r="V1884" t="str">
        <f t="shared" si="29"/>
        <v>Kelly Lampkin</v>
      </c>
      <c r="W1884">
        <f>Table2[Profit]/Table2[Sales]</f>
        <v>-0.36666666666666664</v>
      </c>
    </row>
    <row r="1885" spans="1:23" x14ac:dyDescent="0.25">
      <c r="A1885">
        <v>1884</v>
      </c>
      <c r="B1885" t="s">
        <v>6794</v>
      </c>
      <c r="C1885" s="1">
        <v>42657</v>
      </c>
      <c r="D1885" s="1">
        <v>42663</v>
      </c>
      <c r="E1885" t="s">
        <v>49</v>
      </c>
      <c r="F1885" t="s">
        <v>6795</v>
      </c>
      <c r="G1885" t="s">
        <v>6796</v>
      </c>
      <c r="H1885" t="s">
        <v>25</v>
      </c>
      <c r="I1885" t="s">
        <v>26</v>
      </c>
      <c r="J1885" t="s">
        <v>1507</v>
      </c>
      <c r="K1885" t="s">
        <v>87</v>
      </c>
      <c r="L1885">
        <v>28540</v>
      </c>
      <c r="M1885" t="s">
        <v>29</v>
      </c>
      <c r="N1885" t="s">
        <v>6797</v>
      </c>
      <c r="O1885" t="s">
        <v>31</v>
      </c>
      <c r="P1885" t="s">
        <v>35</v>
      </c>
      <c r="Q1885" t="s">
        <v>6798</v>
      </c>
      <c r="R1885">
        <v>102.592</v>
      </c>
      <c r="S1885">
        <v>1</v>
      </c>
      <c r="T1885">
        <v>0.2</v>
      </c>
      <c r="U1885">
        <v>10.2592</v>
      </c>
      <c r="V1885" t="str">
        <f t="shared" si="29"/>
        <v>Nathan Cano</v>
      </c>
      <c r="W1885">
        <f>Table2[Profit]/Table2[Sales]</f>
        <v>0.1</v>
      </c>
    </row>
    <row r="1886" spans="1:23" x14ac:dyDescent="0.25">
      <c r="A1886">
        <v>1885</v>
      </c>
      <c r="B1886" t="s">
        <v>6799</v>
      </c>
      <c r="C1886" s="1">
        <v>42320</v>
      </c>
      <c r="D1886" s="1">
        <v>42327</v>
      </c>
      <c r="E1886" t="s">
        <v>49</v>
      </c>
      <c r="F1886" t="s">
        <v>6483</v>
      </c>
      <c r="G1886" t="s">
        <v>6484</v>
      </c>
      <c r="H1886" t="s">
        <v>40</v>
      </c>
      <c r="I1886" t="s">
        <v>26</v>
      </c>
      <c r="J1886" t="s">
        <v>6669</v>
      </c>
      <c r="K1886" t="s">
        <v>53</v>
      </c>
      <c r="L1886">
        <v>33317</v>
      </c>
      <c r="M1886" t="s">
        <v>29</v>
      </c>
      <c r="N1886" t="s">
        <v>1734</v>
      </c>
      <c r="O1886" t="s">
        <v>45</v>
      </c>
      <c r="P1886" t="s">
        <v>67</v>
      </c>
      <c r="Q1886" t="s">
        <v>1735</v>
      </c>
      <c r="R1886">
        <v>11.76</v>
      </c>
      <c r="S1886">
        <v>5</v>
      </c>
      <c r="T1886">
        <v>0.2</v>
      </c>
      <c r="U1886">
        <v>1.323</v>
      </c>
      <c r="V1886" t="str">
        <f t="shared" si="29"/>
        <v>Anna Häberlin</v>
      </c>
      <c r="W1886">
        <f>Table2[Profit]/Table2[Sales]</f>
        <v>0.1125</v>
      </c>
    </row>
    <row r="1887" spans="1:23" x14ac:dyDescent="0.25">
      <c r="A1887">
        <v>1886</v>
      </c>
      <c r="B1887" t="s">
        <v>6802</v>
      </c>
      <c r="C1887" s="1">
        <v>42799</v>
      </c>
      <c r="D1887" s="1">
        <v>42799</v>
      </c>
      <c r="E1887" t="s">
        <v>1278</v>
      </c>
      <c r="F1887" t="s">
        <v>110</v>
      </c>
      <c r="G1887" t="s">
        <v>111</v>
      </c>
      <c r="H1887" t="s">
        <v>25</v>
      </c>
      <c r="I1887" t="s">
        <v>26</v>
      </c>
      <c r="J1887" t="s">
        <v>2517</v>
      </c>
      <c r="K1887" t="s">
        <v>113</v>
      </c>
      <c r="L1887">
        <v>53209</v>
      </c>
      <c r="M1887" t="s">
        <v>104</v>
      </c>
      <c r="N1887" t="s">
        <v>6803</v>
      </c>
      <c r="O1887" t="s">
        <v>45</v>
      </c>
      <c r="P1887" t="s">
        <v>46</v>
      </c>
      <c r="Q1887" t="s">
        <v>6804</v>
      </c>
      <c r="R1887">
        <v>25.06</v>
      </c>
      <c r="S1887">
        <v>2</v>
      </c>
      <c r="T1887">
        <v>0</v>
      </c>
      <c r="U1887">
        <v>11.7782</v>
      </c>
      <c r="V1887" t="str">
        <f t="shared" si="29"/>
        <v>Pete Kriz</v>
      </c>
      <c r="W1887">
        <f>Table2[Profit]/Table2[Sales]</f>
        <v>0.47000000000000003</v>
      </c>
    </row>
    <row r="1888" spans="1:23" x14ac:dyDescent="0.25">
      <c r="A1888">
        <v>1887</v>
      </c>
      <c r="B1888" t="s">
        <v>6805</v>
      </c>
      <c r="C1888" s="1">
        <v>42313</v>
      </c>
      <c r="D1888" s="1">
        <v>42317</v>
      </c>
      <c r="E1888" t="s">
        <v>49</v>
      </c>
      <c r="F1888" t="s">
        <v>1354</v>
      </c>
      <c r="G1888" t="s">
        <v>1355</v>
      </c>
      <c r="H1888" t="s">
        <v>25</v>
      </c>
      <c r="I1888" t="s">
        <v>26</v>
      </c>
      <c r="J1888" t="s">
        <v>1309</v>
      </c>
      <c r="K1888" t="s">
        <v>208</v>
      </c>
      <c r="L1888">
        <v>62301</v>
      </c>
      <c r="M1888" t="s">
        <v>104</v>
      </c>
      <c r="N1888" t="s">
        <v>2382</v>
      </c>
      <c r="O1888" t="s">
        <v>45</v>
      </c>
      <c r="P1888" t="s">
        <v>46</v>
      </c>
      <c r="Q1888" t="s">
        <v>2383</v>
      </c>
      <c r="R1888">
        <v>19.824000000000002</v>
      </c>
      <c r="S1888">
        <v>6</v>
      </c>
      <c r="T1888">
        <v>0.2</v>
      </c>
      <c r="U1888">
        <v>6.4428000000000001</v>
      </c>
      <c r="V1888" t="str">
        <f t="shared" si="29"/>
        <v>Nathan Gelder</v>
      </c>
      <c r="W1888">
        <f>Table2[Profit]/Table2[Sales]</f>
        <v>0.32499999999999996</v>
      </c>
    </row>
    <row r="1889" spans="1:23" x14ac:dyDescent="0.25">
      <c r="A1889">
        <v>1888</v>
      </c>
      <c r="B1889" t="s">
        <v>6806</v>
      </c>
      <c r="C1889" s="1">
        <v>42559</v>
      </c>
      <c r="D1889" s="1">
        <v>42559</v>
      </c>
      <c r="E1889" t="s">
        <v>1278</v>
      </c>
      <c r="F1889" t="s">
        <v>124</v>
      </c>
      <c r="G1889" t="s">
        <v>125</v>
      </c>
      <c r="H1889" t="s">
        <v>25</v>
      </c>
      <c r="I1889" t="s">
        <v>26</v>
      </c>
      <c r="J1889" t="s">
        <v>1507</v>
      </c>
      <c r="K1889" t="s">
        <v>53</v>
      </c>
      <c r="L1889">
        <v>32216</v>
      </c>
      <c r="M1889" t="s">
        <v>29</v>
      </c>
      <c r="N1889" t="s">
        <v>4561</v>
      </c>
      <c r="O1889" t="s">
        <v>70</v>
      </c>
      <c r="P1889" t="s">
        <v>71</v>
      </c>
      <c r="Q1889" t="s">
        <v>4562</v>
      </c>
      <c r="R1889">
        <v>823.96</v>
      </c>
      <c r="S1889">
        <v>5</v>
      </c>
      <c r="T1889">
        <v>0.2</v>
      </c>
      <c r="U1889">
        <v>51.497500000000002</v>
      </c>
      <c r="V1889" t="str">
        <f t="shared" si="29"/>
        <v>Zuschuss Donatelli</v>
      </c>
      <c r="W1889">
        <f>Table2[Profit]/Table2[Sales]</f>
        <v>6.25E-2</v>
      </c>
    </row>
    <row r="1890" spans="1:23" x14ac:dyDescent="0.25">
      <c r="A1890">
        <v>1889</v>
      </c>
      <c r="B1890" t="s">
        <v>6807</v>
      </c>
      <c r="C1890" s="1">
        <v>42262</v>
      </c>
      <c r="D1890" s="1">
        <v>42266</v>
      </c>
      <c r="E1890" t="s">
        <v>49</v>
      </c>
      <c r="F1890" t="s">
        <v>4190</v>
      </c>
      <c r="G1890" t="s">
        <v>4191</v>
      </c>
      <c r="H1890" t="s">
        <v>25</v>
      </c>
      <c r="I1890" t="s">
        <v>26</v>
      </c>
      <c r="J1890" t="s">
        <v>3829</v>
      </c>
      <c r="K1890" t="s">
        <v>351</v>
      </c>
      <c r="L1890">
        <v>36608</v>
      </c>
      <c r="M1890" t="s">
        <v>29</v>
      </c>
      <c r="N1890" t="s">
        <v>5582</v>
      </c>
      <c r="O1890" t="s">
        <v>31</v>
      </c>
      <c r="P1890" t="s">
        <v>55</v>
      </c>
      <c r="Q1890" t="s">
        <v>5583</v>
      </c>
      <c r="R1890">
        <v>801.96</v>
      </c>
      <c r="S1890">
        <v>2</v>
      </c>
      <c r="T1890">
        <v>0</v>
      </c>
      <c r="U1890">
        <v>200.49</v>
      </c>
      <c r="V1890" t="str">
        <f t="shared" si="29"/>
        <v>Natalie Webber</v>
      </c>
      <c r="W1890">
        <f>Table2[Profit]/Table2[Sales]</f>
        <v>0.25</v>
      </c>
    </row>
    <row r="1891" spans="1:23" x14ac:dyDescent="0.25">
      <c r="A1891">
        <v>1890</v>
      </c>
      <c r="B1891" t="s">
        <v>6808</v>
      </c>
      <c r="C1891" s="1">
        <v>43017</v>
      </c>
      <c r="D1891" s="1">
        <v>43022</v>
      </c>
      <c r="E1891" t="s">
        <v>49</v>
      </c>
      <c r="F1891" t="s">
        <v>5946</v>
      </c>
      <c r="G1891" t="s">
        <v>5947</v>
      </c>
      <c r="H1891" t="s">
        <v>25</v>
      </c>
      <c r="I1891" t="s">
        <v>26</v>
      </c>
      <c r="J1891" t="s">
        <v>263</v>
      </c>
      <c r="K1891" t="s">
        <v>264</v>
      </c>
      <c r="L1891">
        <v>10024</v>
      </c>
      <c r="M1891" t="s">
        <v>145</v>
      </c>
      <c r="N1891" t="s">
        <v>3357</v>
      </c>
      <c r="O1891" t="s">
        <v>45</v>
      </c>
      <c r="P1891" t="s">
        <v>74</v>
      </c>
      <c r="Q1891" t="s">
        <v>3358</v>
      </c>
      <c r="R1891">
        <v>12.816000000000001</v>
      </c>
      <c r="S1891">
        <v>3</v>
      </c>
      <c r="T1891">
        <v>0.2</v>
      </c>
      <c r="U1891">
        <v>4.3254000000000001</v>
      </c>
      <c r="V1891" t="str">
        <f t="shared" si="29"/>
        <v>Harry Greene</v>
      </c>
      <c r="W1891">
        <f>Table2[Profit]/Table2[Sales]</f>
        <v>0.33749999999999997</v>
      </c>
    </row>
    <row r="1892" spans="1:23" x14ac:dyDescent="0.25">
      <c r="A1892">
        <v>1891</v>
      </c>
      <c r="B1892" t="s">
        <v>6811</v>
      </c>
      <c r="C1892" s="1">
        <v>42261</v>
      </c>
      <c r="D1892" s="1">
        <v>42265</v>
      </c>
      <c r="E1892" t="s">
        <v>49</v>
      </c>
      <c r="F1892" t="s">
        <v>4394</v>
      </c>
      <c r="G1892" t="s">
        <v>4395</v>
      </c>
      <c r="H1892" t="s">
        <v>25</v>
      </c>
      <c r="I1892" t="s">
        <v>26</v>
      </c>
      <c r="J1892" t="s">
        <v>263</v>
      </c>
      <c r="K1892" t="s">
        <v>264</v>
      </c>
      <c r="L1892">
        <v>10011</v>
      </c>
      <c r="M1892" t="s">
        <v>145</v>
      </c>
      <c r="N1892" t="s">
        <v>2087</v>
      </c>
      <c r="O1892" t="s">
        <v>45</v>
      </c>
      <c r="P1892" t="s">
        <v>58</v>
      </c>
      <c r="Q1892" t="s">
        <v>2088</v>
      </c>
      <c r="R1892">
        <v>991.2</v>
      </c>
      <c r="S1892">
        <v>6</v>
      </c>
      <c r="T1892">
        <v>0</v>
      </c>
      <c r="U1892">
        <v>257.71199999999999</v>
      </c>
      <c r="V1892" t="str">
        <f t="shared" si="29"/>
        <v>Craig Carroll</v>
      </c>
      <c r="W1892">
        <f>Table2[Profit]/Table2[Sales]</f>
        <v>0.25999999999999995</v>
      </c>
    </row>
    <row r="1893" spans="1:23" x14ac:dyDescent="0.25">
      <c r="A1893">
        <v>1892</v>
      </c>
      <c r="B1893" t="s">
        <v>6812</v>
      </c>
      <c r="C1893" s="1">
        <v>41919</v>
      </c>
      <c r="D1893" s="1">
        <v>41924</v>
      </c>
      <c r="E1893" t="s">
        <v>49</v>
      </c>
      <c r="F1893" t="s">
        <v>1624</v>
      </c>
      <c r="G1893" t="s">
        <v>1625</v>
      </c>
      <c r="H1893" t="s">
        <v>40</v>
      </c>
      <c r="I1893" t="s">
        <v>26</v>
      </c>
      <c r="J1893" t="s">
        <v>808</v>
      </c>
      <c r="K1893" t="s">
        <v>103</v>
      </c>
      <c r="L1893">
        <v>75217</v>
      </c>
      <c r="M1893" t="s">
        <v>104</v>
      </c>
      <c r="N1893" t="s">
        <v>947</v>
      </c>
      <c r="O1893" t="s">
        <v>45</v>
      </c>
      <c r="P1893" t="s">
        <v>58</v>
      </c>
      <c r="Q1893" t="s">
        <v>948</v>
      </c>
      <c r="R1893">
        <v>107.44</v>
      </c>
      <c r="S1893">
        <v>10</v>
      </c>
      <c r="T1893">
        <v>0.2</v>
      </c>
      <c r="U1893">
        <v>10.744</v>
      </c>
      <c r="V1893" t="str">
        <f t="shared" si="29"/>
        <v>John Grady</v>
      </c>
      <c r="W1893">
        <f>Table2[Profit]/Table2[Sales]</f>
        <v>0.1</v>
      </c>
    </row>
    <row r="1894" spans="1:23" x14ac:dyDescent="0.25">
      <c r="A1894">
        <v>1893</v>
      </c>
      <c r="B1894" t="s">
        <v>6813</v>
      </c>
      <c r="C1894" s="1">
        <v>42862</v>
      </c>
      <c r="D1894" s="1">
        <v>42866</v>
      </c>
      <c r="E1894" t="s">
        <v>49</v>
      </c>
      <c r="F1894" t="s">
        <v>3769</v>
      </c>
      <c r="G1894" t="s">
        <v>3770</v>
      </c>
      <c r="H1894" t="s">
        <v>40</v>
      </c>
      <c r="I1894" t="s">
        <v>26</v>
      </c>
      <c r="J1894" t="s">
        <v>873</v>
      </c>
      <c r="K1894" t="s">
        <v>235</v>
      </c>
      <c r="L1894">
        <v>48234</v>
      </c>
      <c r="M1894" t="s">
        <v>104</v>
      </c>
      <c r="N1894" t="s">
        <v>1128</v>
      </c>
      <c r="O1894" t="s">
        <v>31</v>
      </c>
      <c r="P1894" t="s">
        <v>35</v>
      </c>
      <c r="Q1894" t="s">
        <v>1129</v>
      </c>
      <c r="R1894">
        <v>1458.65</v>
      </c>
      <c r="S1894">
        <v>5</v>
      </c>
      <c r="T1894">
        <v>0</v>
      </c>
      <c r="U1894">
        <v>423.00850000000003</v>
      </c>
      <c r="V1894" t="str">
        <f t="shared" si="29"/>
        <v>Rick Wilson</v>
      </c>
      <c r="W1894">
        <f>Table2[Profit]/Table2[Sales]</f>
        <v>0.28999999999999998</v>
      </c>
    </row>
    <row r="1895" spans="1:23" x14ac:dyDescent="0.25">
      <c r="A1895">
        <v>1894</v>
      </c>
      <c r="B1895" t="s">
        <v>6814</v>
      </c>
      <c r="C1895" s="1">
        <v>42322</v>
      </c>
      <c r="D1895" s="1">
        <v>42327</v>
      </c>
      <c r="E1895" t="s">
        <v>49</v>
      </c>
      <c r="F1895" t="s">
        <v>6815</v>
      </c>
      <c r="G1895" t="s">
        <v>6816</v>
      </c>
      <c r="H1895" t="s">
        <v>25</v>
      </c>
      <c r="I1895" t="s">
        <v>26</v>
      </c>
      <c r="J1895" t="s">
        <v>241</v>
      </c>
      <c r="K1895" t="s">
        <v>242</v>
      </c>
      <c r="L1895">
        <v>19901</v>
      </c>
      <c r="M1895" t="s">
        <v>145</v>
      </c>
      <c r="N1895" t="s">
        <v>898</v>
      </c>
      <c r="O1895" t="s">
        <v>31</v>
      </c>
      <c r="P1895" t="s">
        <v>64</v>
      </c>
      <c r="Q1895" t="s">
        <v>6817</v>
      </c>
      <c r="R1895">
        <v>76.14</v>
      </c>
      <c r="S1895">
        <v>3</v>
      </c>
      <c r="T1895">
        <v>0</v>
      </c>
      <c r="U1895">
        <v>26.649000000000001</v>
      </c>
      <c r="V1895" t="str">
        <f t="shared" si="29"/>
        <v>Lycoris Saunders</v>
      </c>
      <c r="W1895">
        <f>Table2[Profit]/Table2[Sales]</f>
        <v>0.35000000000000003</v>
      </c>
    </row>
    <row r="1896" spans="1:23" x14ac:dyDescent="0.25">
      <c r="A1896">
        <v>1895</v>
      </c>
      <c r="B1896" t="s">
        <v>6818</v>
      </c>
      <c r="C1896" s="1">
        <v>41967</v>
      </c>
      <c r="D1896" s="1">
        <v>41967</v>
      </c>
      <c r="E1896" t="s">
        <v>1278</v>
      </c>
      <c r="F1896" t="s">
        <v>4107</v>
      </c>
      <c r="G1896" t="s">
        <v>4108</v>
      </c>
      <c r="H1896" t="s">
        <v>40</v>
      </c>
      <c r="I1896" t="s">
        <v>26</v>
      </c>
      <c r="J1896" t="s">
        <v>490</v>
      </c>
      <c r="K1896" t="s">
        <v>491</v>
      </c>
      <c r="L1896">
        <v>43229</v>
      </c>
      <c r="M1896" t="s">
        <v>145</v>
      </c>
      <c r="N1896" t="s">
        <v>2909</v>
      </c>
      <c r="O1896" t="s">
        <v>70</v>
      </c>
      <c r="P1896" t="s">
        <v>71</v>
      </c>
      <c r="Q1896" t="s">
        <v>2910</v>
      </c>
      <c r="R1896">
        <v>1049.97</v>
      </c>
      <c r="S1896">
        <v>5</v>
      </c>
      <c r="T1896">
        <v>0.4</v>
      </c>
      <c r="U1896">
        <v>-209.994</v>
      </c>
      <c r="V1896" t="str">
        <f t="shared" si="29"/>
        <v>Muhammed Yedwab</v>
      </c>
      <c r="W1896">
        <f>Table2[Profit]/Table2[Sales]</f>
        <v>-0.19999999999999998</v>
      </c>
    </row>
    <row r="1897" spans="1:23" x14ac:dyDescent="0.25">
      <c r="A1897">
        <v>1896</v>
      </c>
      <c r="B1897" t="s">
        <v>6819</v>
      </c>
      <c r="C1897" s="1">
        <v>41737</v>
      </c>
      <c r="D1897" s="1">
        <v>41744</v>
      </c>
      <c r="E1897" t="s">
        <v>49</v>
      </c>
      <c r="F1897" t="s">
        <v>4000</v>
      </c>
      <c r="G1897" t="s">
        <v>4001</v>
      </c>
      <c r="H1897" t="s">
        <v>40</v>
      </c>
      <c r="I1897" t="s">
        <v>26</v>
      </c>
      <c r="J1897" t="s">
        <v>3860</v>
      </c>
      <c r="K1897" t="s">
        <v>303</v>
      </c>
      <c r="L1897">
        <v>85301</v>
      </c>
      <c r="M1897" t="s">
        <v>43</v>
      </c>
      <c r="N1897" t="s">
        <v>4227</v>
      </c>
      <c r="O1897" t="s">
        <v>45</v>
      </c>
      <c r="P1897" t="s">
        <v>266</v>
      </c>
      <c r="Q1897" t="s">
        <v>4228</v>
      </c>
      <c r="R1897">
        <v>2.3679999999999999</v>
      </c>
      <c r="S1897">
        <v>2</v>
      </c>
      <c r="T1897">
        <v>0.2</v>
      </c>
      <c r="U1897">
        <v>0.82879999999999998</v>
      </c>
      <c r="V1897" t="str">
        <f t="shared" si="29"/>
        <v>Jim Mitchum</v>
      </c>
      <c r="W1897">
        <f>Table2[Profit]/Table2[Sales]</f>
        <v>0.35000000000000003</v>
      </c>
    </row>
    <row r="1898" spans="1:23" x14ac:dyDescent="0.25">
      <c r="A1898">
        <v>1897</v>
      </c>
      <c r="B1898" t="s">
        <v>6822</v>
      </c>
      <c r="C1898" s="1">
        <v>41846</v>
      </c>
      <c r="D1898" s="1">
        <v>41853</v>
      </c>
      <c r="E1898" t="s">
        <v>49</v>
      </c>
      <c r="F1898" t="s">
        <v>283</v>
      </c>
      <c r="G1898" t="s">
        <v>284</v>
      </c>
      <c r="H1898" t="s">
        <v>25</v>
      </c>
      <c r="I1898" t="s">
        <v>26</v>
      </c>
      <c r="J1898" t="s">
        <v>3961</v>
      </c>
      <c r="K1898" t="s">
        <v>1381</v>
      </c>
      <c r="L1898">
        <v>89031</v>
      </c>
      <c r="M1898" t="s">
        <v>43</v>
      </c>
      <c r="N1898" t="s">
        <v>1652</v>
      </c>
      <c r="O1898" t="s">
        <v>70</v>
      </c>
      <c r="P1898" t="s">
        <v>71</v>
      </c>
      <c r="Q1898" t="s">
        <v>1653</v>
      </c>
      <c r="R1898">
        <v>911.98400000000004</v>
      </c>
      <c r="S1898">
        <v>2</v>
      </c>
      <c r="T1898">
        <v>0.2</v>
      </c>
      <c r="U1898">
        <v>113.998</v>
      </c>
      <c r="V1898" t="str">
        <f t="shared" si="29"/>
        <v>Kunst Miller</v>
      </c>
      <c r="W1898">
        <f>Table2[Profit]/Table2[Sales]</f>
        <v>0.125</v>
      </c>
    </row>
    <row r="1899" spans="1:23" x14ac:dyDescent="0.25">
      <c r="A1899">
        <v>1898</v>
      </c>
      <c r="B1899" t="s">
        <v>6823</v>
      </c>
      <c r="C1899" s="1">
        <v>41798</v>
      </c>
      <c r="D1899" s="1">
        <v>41802</v>
      </c>
      <c r="E1899" t="s">
        <v>49</v>
      </c>
      <c r="F1899" t="s">
        <v>6824</v>
      </c>
      <c r="G1899" t="s">
        <v>6825</v>
      </c>
      <c r="H1899" t="s">
        <v>40</v>
      </c>
      <c r="I1899" t="s">
        <v>26</v>
      </c>
      <c r="J1899" t="s">
        <v>508</v>
      </c>
      <c r="K1899" t="s">
        <v>328</v>
      </c>
      <c r="L1899">
        <v>37620</v>
      </c>
      <c r="M1899" t="s">
        <v>29</v>
      </c>
      <c r="N1899" t="s">
        <v>1815</v>
      </c>
      <c r="O1899" t="s">
        <v>31</v>
      </c>
      <c r="P1899" t="s">
        <v>35</v>
      </c>
      <c r="Q1899" t="s">
        <v>1816</v>
      </c>
      <c r="R1899">
        <v>170.352</v>
      </c>
      <c r="S1899">
        <v>3</v>
      </c>
      <c r="T1899">
        <v>0.2</v>
      </c>
      <c r="U1899">
        <v>10.647</v>
      </c>
      <c r="V1899" t="str">
        <f t="shared" si="29"/>
        <v>Katrina Edelman</v>
      </c>
      <c r="W1899">
        <f>Table2[Profit]/Table2[Sales]</f>
        <v>6.25E-2</v>
      </c>
    </row>
    <row r="1900" spans="1:23" x14ac:dyDescent="0.25">
      <c r="A1900">
        <v>1899</v>
      </c>
      <c r="B1900" t="s">
        <v>6826</v>
      </c>
      <c r="C1900" s="1">
        <v>41940</v>
      </c>
      <c r="D1900" s="1">
        <v>41943</v>
      </c>
      <c r="E1900" t="s">
        <v>185</v>
      </c>
      <c r="F1900" t="s">
        <v>3918</v>
      </c>
      <c r="G1900" t="s">
        <v>3919</v>
      </c>
      <c r="H1900" t="s">
        <v>40</v>
      </c>
      <c r="I1900" t="s">
        <v>26</v>
      </c>
      <c r="J1900" t="s">
        <v>41</v>
      </c>
      <c r="K1900" t="s">
        <v>42</v>
      </c>
      <c r="L1900">
        <v>90049</v>
      </c>
      <c r="M1900" t="s">
        <v>43</v>
      </c>
      <c r="N1900" t="s">
        <v>1206</v>
      </c>
      <c r="O1900" t="s">
        <v>45</v>
      </c>
      <c r="P1900" t="s">
        <v>74</v>
      </c>
      <c r="Q1900" t="s">
        <v>1207</v>
      </c>
      <c r="R1900">
        <v>7.1840000000000002</v>
      </c>
      <c r="S1900">
        <v>2</v>
      </c>
      <c r="T1900">
        <v>0.2</v>
      </c>
      <c r="U1900">
        <v>2.2450000000000001</v>
      </c>
      <c r="V1900" t="str">
        <f t="shared" si="29"/>
        <v>Todd Sumrall</v>
      </c>
      <c r="W1900">
        <f>Table2[Profit]/Table2[Sales]</f>
        <v>0.3125</v>
      </c>
    </row>
    <row r="1901" spans="1:23" x14ac:dyDescent="0.25">
      <c r="A1901">
        <v>1900</v>
      </c>
      <c r="B1901" t="s">
        <v>6829</v>
      </c>
      <c r="C1901" s="1">
        <v>43064</v>
      </c>
      <c r="D1901" s="1">
        <v>43066</v>
      </c>
      <c r="E1901" t="s">
        <v>22</v>
      </c>
      <c r="F1901" t="s">
        <v>3687</v>
      </c>
      <c r="G1901" t="s">
        <v>3688</v>
      </c>
      <c r="H1901" t="s">
        <v>101</v>
      </c>
      <c r="I1901" t="s">
        <v>26</v>
      </c>
      <c r="J1901" t="s">
        <v>1477</v>
      </c>
      <c r="K1901" t="s">
        <v>235</v>
      </c>
      <c r="L1901">
        <v>48187</v>
      </c>
      <c r="M1901" t="s">
        <v>104</v>
      </c>
      <c r="N1901" t="s">
        <v>2887</v>
      </c>
      <c r="O1901" t="s">
        <v>45</v>
      </c>
      <c r="P1901" t="s">
        <v>58</v>
      </c>
      <c r="Q1901" t="s">
        <v>2888</v>
      </c>
      <c r="R1901">
        <v>501.81</v>
      </c>
      <c r="S1901">
        <v>3</v>
      </c>
      <c r="T1901">
        <v>0</v>
      </c>
      <c r="U1901">
        <v>0</v>
      </c>
      <c r="V1901" t="str">
        <f t="shared" si="29"/>
        <v>Sam Zeldin</v>
      </c>
      <c r="W1901">
        <f>Table2[Profit]/Table2[Sales]</f>
        <v>0</v>
      </c>
    </row>
    <row r="1902" spans="1:23" x14ac:dyDescent="0.25">
      <c r="A1902">
        <v>1901</v>
      </c>
      <c r="B1902" t="s">
        <v>6830</v>
      </c>
      <c r="C1902" s="1">
        <v>43000</v>
      </c>
      <c r="D1902" s="1">
        <v>43001</v>
      </c>
      <c r="E1902" t="s">
        <v>185</v>
      </c>
      <c r="F1902" t="s">
        <v>325</v>
      </c>
      <c r="G1902" t="s">
        <v>326</v>
      </c>
      <c r="H1902" t="s">
        <v>25</v>
      </c>
      <c r="I1902" t="s">
        <v>26</v>
      </c>
      <c r="J1902" t="s">
        <v>1682</v>
      </c>
      <c r="K1902" t="s">
        <v>1683</v>
      </c>
      <c r="L1902">
        <v>72701</v>
      </c>
      <c r="M1902" t="s">
        <v>29</v>
      </c>
      <c r="N1902" t="s">
        <v>6831</v>
      </c>
      <c r="O1902" t="s">
        <v>45</v>
      </c>
      <c r="P1902" t="s">
        <v>74</v>
      </c>
      <c r="Q1902" t="s">
        <v>6832</v>
      </c>
      <c r="R1902">
        <v>691.96</v>
      </c>
      <c r="S1902">
        <v>4</v>
      </c>
      <c r="T1902">
        <v>0</v>
      </c>
      <c r="U1902">
        <v>318.30160000000001</v>
      </c>
      <c r="V1902" t="str">
        <f t="shared" si="29"/>
        <v>Joel Eaton</v>
      </c>
      <c r="W1902">
        <f>Table2[Profit]/Table2[Sales]</f>
        <v>0.45999999999999996</v>
      </c>
    </row>
    <row r="1903" spans="1:23" x14ac:dyDescent="0.25">
      <c r="A1903">
        <v>1902</v>
      </c>
      <c r="B1903" t="s">
        <v>6833</v>
      </c>
      <c r="C1903" s="1">
        <v>42342</v>
      </c>
      <c r="D1903" s="1">
        <v>42347</v>
      </c>
      <c r="E1903" t="s">
        <v>49</v>
      </c>
      <c r="F1903" t="s">
        <v>835</v>
      </c>
      <c r="G1903" t="s">
        <v>836</v>
      </c>
      <c r="H1903" t="s">
        <v>40</v>
      </c>
      <c r="I1903" t="s">
        <v>26</v>
      </c>
      <c r="J1903" t="s">
        <v>311</v>
      </c>
      <c r="K1903" t="s">
        <v>590</v>
      </c>
      <c r="L1903">
        <v>65807</v>
      </c>
      <c r="M1903" t="s">
        <v>104</v>
      </c>
      <c r="N1903" t="s">
        <v>1239</v>
      </c>
      <c r="O1903" t="s">
        <v>45</v>
      </c>
      <c r="P1903" t="s">
        <v>89</v>
      </c>
      <c r="Q1903" t="s">
        <v>1240</v>
      </c>
      <c r="R1903">
        <v>85.96</v>
      </c>
      <c r="S1903">
        <v>7</v>
      </c>
      <c r="T1903">
        <v>0</v>
      </c>
      <c r="U1903">
        <v>40.401200000000003</v>
      </c>
      <c r="V1903" t="str">
        <f t="shared" si="29"/>
        <v>Michael Stewart</v>
      </c>
      <c r="W1903">
        <f>Table2[Profit]/Table2[Sales]</f>
        <v>0.47000000000000008</v>
      </c>
    </row>
    <row r="1904" spans="1:23" x14ac:dyDescent="0.25">
      <c r="A1904">
        <v>1903</v>
      </c>
      <c r="B1904" t="s">
        <v>6834</v>
      </c>
      <c r="C1904" s="1">
        <v>42268</v>
      </c>
      <c r="D1904" s="1">
        <v>42268</v>
      </c>
      <c r="E1904" t="s">
        <v>1278</v>
      </c>
      <c r="F1904" t="s">
        <v>6835</v>
      </c>
      <c r="G1904" t="s">
        <v>6836</v>
      </c>
      <c r="H1904" t="s">
        <v>101</v>
      </c>
      <c r="I1904" t="s">
        <v>26</v>
      </c>
      <c r="J1904" t="s">
        <v>1309</v>
      </c>
      <c r="K1904" t="s">
        <v>1233</v>
      </c>
      <c r="L1904">
        <v>2169</v>
      </c>
      <c r="M1904" t="s">
        <v>145</v>
      </c>
      <c r="N1904" t="s">
        <v>453</v>
      </c>
      <c r="O1904" t="s">
        <v>31</v>
      </c>
      <c r="P1904" t="s">
        <v>64</v>
      </c>
      <c r="Q1904" t="s">
        <v>454</v>
      </c>
      <c r="R1904">
        <v>85.3</v>
      </c>
      <c r="S1904">
        <v>2</v>
      </c>
      <c r="T1904">
        <v>0</v>
      </c>
      <c r="U1904">
        <v>14.500999999999999</v>
      </c>
      <c r="V1904" t="str">
        <f t="shared" si="29"/>
        <v>Duane Huffman</v>
      </c>
      <c r="W1904">
        <f>Table2[Profit]/Table2[Sales]</f>
        <v>0.17</v>
      </c>
    </row>
    <row r="1905" spans="1:23" x14ac:dyDescent="0.25">
      <c r="A1905">
        <v>1904</v>
      </c>
      <c r="B1905" t="s">
        <v>6837</v>
      </c>
      <c r="C1905" s="1">
        <v>43065</v>
      </c>
      <c r="D1905" s="1">
        <v>43068</v>
      </c>
      <c r="E1905" t="s">
        <v>185</v>
      </c>
      <c r="F1905" t="s">
        <v>1289</v>
      </c>
      <c r="G1905" t="s">
        <v>1290</v>
      </c>
      <c r="H1905" t="s">
        <v>25</v>
      </c>
      <c r="I1905" t="s">
        <v>26</v>
      </c>
      <c r="J1905" t="s">
        <v>3049</v>
      </c>
      <c r="K1905" t="s">
        <v>208</v>
      </c>
      <c r="L1905">
        <v>61107</v>
      </c>
      <c r="M1905" t="s">
        <v>104</v>
      </c>
      <c r="N1905" t="s">
        <v>1187</v>
      </c>
      <c r="O1905" t="s">
        <v>45</v>
      </c>
      <c r="P1905" t="s">
        <v>74</v>
      </c>
      <c r="Q1905" t="s">
        <v>1188</v>
      </c>
      <c r="R1905">
        <v>33.567999999999998</v>
      </c>
      <c r="S1905">
        <v>8</v>
      </c>
      <c r="T1905">
        <v>0.8</v>
      </c>
      <c r="U1905">
        <v>-53.708799999999997</v>
      </c>
      <c r="V1905" t="str">
        <f t="shared" si="29"/>
        <v>Guy Thornton</v>
      </c>
      <c r="W1905">
        <f>Table2[Profit]/Table2[Sales]</f>
        <v>-1.6</v>
      </c>
    </row>
    <row r="1906" spans="1:23" x14ac:dyDescent="0.25">
      <c r="A1906">
        <v>1905</v>
      </c>
      <c r="B1906" t="s">
        <v>6838</v>
      </c>
      <c r="C1906" s="1">
        <v>42892</v>
      </c>
      <c r="D1906" s="1">
        <v>42896</v>
      </c>
      <c r="E1906" t="s">
        <v>49</v>
      </c>
      <c r="F1906" t="s">
        <v>6219</v>
      </c>
      <c r="G1906" t="s">
        <v>6220</v>
      </c>
      <c r="H1906" t="s">
        <v>101</v>
      </c>
      <c r="I1906" t="s">
        <v>26</v>
      </c>
      <c r="J1906" t="s">
        <v>126</v>
      </c>
      <c r="K1906" t="s">
        <v>42</v>
      </c>
      <c r="L1906">
        <v>94122</v>
      </c>
      <c r="M1906" t="s">
        <v>43</v>
      </c>
      <c r="N1906" t="s">
        <v>6839</v>
      </c>
      <c r="O1906" t="s">
        <v>31</v>
      </c>
      <c r="P1906" t="s">
        <v>64</v>
      </c>
      <c r="Q1906" t="s">
        <v>6840</v>
      </c>
      <c r="R1906">
        <v>4.95</v>
      </c>
      <c r="S1906">
        <v>1</v>
      </c>
      <c r="T1906">
        <v>0</v>
      </c>
      <c r="U1906">
        <v>2.1779999999999999</v>
      </c>
      <c r="V1906" t="str">
        <f t="shared" si="29"/>
        <v>Gary Hansen</v>
      </c>
      <c r="W1906">
        <f>Table2[Profit]/Table2[Sales]</f>
        <v>0.43999999999999995</v>
      </c>
    </row>
    <row r="1907" spans="1:23" x14ac:dyDescent="0.25">
      <c r="A1907">
        <v>1906</v>
      </c>
      <c r="B1907" t="s">
        <v>6841</v>
      </c>
      <c r="C1907" s="1">
        <v>43031</v>
      </c>
      <c r="D1907" s="1">
        <v>43036</v>
      </c>
      <c r="E1907" t="s">
        <v>22</v>
      </c>
      <c r="F1907" t="s">
        <v>5868</v>
      </c>
      <c r="G1907" t="s">
        <v>5869</v>
      </c>
      <c r="H1907" t="s">
        <v>25</v>
      </c>
      <c r="I1907" t="s">
        <v>26</v>
      </c>
      <c r="J1907" t="s">
        <v>671</v>
      </c>
      <c r="K1907" t="s">
        <v>103</v>
      </c>
      <c r="L1907">
        <v>78207</v>
      </c>
      <c r="M1907" t="s">
        <v>104</v>
      </c>
      <c r="N1907" t="s">
        <v>3799</v>
      </c>
      <c r="O1907" t="s">
        <v>45</v>
      </c>
      <c r="P1907" t="s">
        <v>74</v>
      </c>
      <c r="Q1907" t="s">
        <v>1202</v>
      </c>
      <c r="R1907">
        <v>3.5640000000000001</v>
      </c>
      <c r="S1907">
        <v>3</v>
      </c>
      <c r="T1907">
        <v>0.8</v>
      </c>
      <c r="U1907">
        <v>-6.2370000000000001</v>
      </c>
      <c r="V1907" t="str">
        <f t="shared" si="29"/>
        <v>Darrin Martin</v>
      </c>
      <c r="W1907">
        <f>Table2[Profit]/Table2[Sales]</f>
        <v>-1.75</v>
      </c>
    </row>
    <row r="1908" spans="1:23" x14ac:dyDescent="0.25">
      <c r="A1908">
        <v>1907</v>
      </c>
      <c r="B1908" t="s">
        <v>6842</v>
      </c>
      <c r="C1908" s="1">
        <v>41993</v>
      </c>
      <c r="D1908" s="1">
        <v>41993</v>
      </c>
      <c r="E1908" t="s">
        <v>1278</v>
      </c>
      <c r="F1908" t="s">
        <v>5682</v>
      </c>
      <c r="G1908" t="s">
        <v>5683</v>
      </c>
      <c r="H1908" t="s">
        <v>25</v>
      </c>
      <c r="I1908" t="s">
        <v>26</v>
      </c>
      <c r="J1908" t="s">
        <v>6843</v>
      </c>
      <c r="K1908" t="s">
        <v>450</v>
      </c>
      <c r="L1908">
        <v>80229</v>
      </c>
      <c r="M1908" t="s">
        <v>43</v>
      </c>
      <c r="N1908" t="s">
        <v>6844</v>
      </c>
      <c r="O1908" t="s">
        <v>70</v>
      </c>
      <c r="P1908" t="s">
        <v>158</v>
      </c>
      <c r="Q1908" t="s">
        <v>6845</v>
      </c>
      <c r="R1908">
        <v>447.94400000000002</v>
      </c>
      <c r="S1908">
        <v>7</v>
      </c>
      <c r="T1908">
        <v>0.2</v>
      </c>
      <c r="U1908">
        <v>89.588800000000006</v>
      </c>
      <c r="V1908" t="str">
        <f t="shared" si="29"/>
        <v>Toby Carlisle</v>
      </c>
      <c r="W1908">
        <f>Table2[Profit]/Table2[Sales]</f>
        <v>0.2</v>
      </c>
    </row>
    <row r="1909" spans="1:23" x14ac:dyDescent="0.25">
      <c r="A1909">
        <v>1908</v>
      </c>
      <c r="B1909" t="s">
        <v>6846</v>
      </c>
      <c r="C1909" s="1">
        <v>42783</v>
      </c>
      <c r="D1909" s="1">
        <v>42788</v>
      </c>
      <c r="E1909" t="s">
        <v>49</v>
      </c>
      <c r="F1909" t="s">
        <v>3711</v>
      </c>
      <c r="G1909" t="s">
        <v>3712</v>
      </c>
      <c r="H1909" t="s">
        <v>101</v>
      </c>
      <c r="I1909" t="s">
        <v>26</v>
      </c>
      <c r="J1909" t="s">
        <v>296</v>
      </c>
      <c r="K1909" t="s">
        <v>208</v>
      </c>
      <c r="L1909">
        <v>60653</v>
      </c>
      <c r="M1909" t="s">
        <v>104</v>
      </c>
      <c r="N1909" t="s">
        <v>3262</v>
      </c>
      <c r="O1909" t="s">
        <v>31</v>
      </c>
      <c r="P1909" t="s">
        <v>55</v>
      </c>
      <c r="Q1909" t="s">
        <v>3263</v>
      </c>
      <c r="R1909">
        <v>480.96</v>
      </c>
      <c r="S1909">
        <v>3</v>
      </c>
      <c r="T1909">
        <v>0.5</v>
      </c>
      <c r="U1909">
        <v>-269.33760000000001</v>
      </c>
      <c r="V1909" t="str">
        <f t="shared" si="29"/>
        <v>Julie Kriz</v>
      </c>
      <c r="W1909">
        <f>Table2[Profit]/Table2[Sales]</f>
        <v>-0.56000000000000005</v>
      </c>
    </row>
    <row r="1910" spans="1:23" x14ac:dyDescent="0.25">
      <c r="A1910">
        <v>1909</v>
      </c>
      <c r="B1910" t="s">
        <v>6849</v>
      </c>
      <c r="C1910" s="1">
        <v>41762</v>
      </c>
      <c r="D1910" s="1">
        <v>41769</v>
      </c>
      <c r="E1910" t="s">
        <v>49</v>
      </c>
      <c r="F1910" t="s">
        <v>6795</v>
      </c>
      <c r="G1910" t="s">
        <v>6796</v>
      </c>
      <c r="H1910" t="s">
        <v>25</v>
      </c>
      <c r="I1910" t="s">
        <v>26</v>
      </c>
      <c r="J1910" t="s">
        <v>3137</v>
      </c>
      <c r="K1910" t="s">
        <v>264</v>
      </c>
      <c r="L1910">
        <v>10701</v>
      </c>
      <c r="M1910" t="s">
        <v>145</v>
      </c>
      <c r="N1910" t="s">
        <v>6850</v>
      </c>
      <c r="O1910" t="s">
        <v>45</v>
      </c>
      <c r="P1910" t="s">
        <v>74</v>
      </c>
      <c r="Q1910" t="s">
        <v>6851</v>
      </c>
      <c r="R1910">
        <v>40.176000000000002</v>
      </c>
      <c r="S1910">
        <v>3</v>
      </c>
      <c r="T1910">
        <v>0.2</v>
      </c>
      <c r="U1910">
        <v>14.563800000000001</v>
      </c>
      <c r="V1910" t="str">
        <f t="shared" si="29"/>
        <v>Nathan Cano</v>
      </c>
      <c r="W1910">
        <f>Table2[Profit]/Table2[Sales]</f>
        <v>0.36249999999999999</v>
      </c>
    </row>
    <row r="1911" spans="1:23" x14ac:dyDescent="0.25">
      <c r="A1911">
        <v>1910</v>
      </c>
      <c r="B1911" t="s">
        <v>6852</v>
      </c>
      <c r="C1911" s="1">
        <v>43025</v>
      </c>
      <c r="D1911" s="1">
        <v>43027</v>
      </c>
      <c r="E1911" t="s">
        <v>22</v>
      </c>
      <c r="F1911" t="s">
        <v>1663</v>
      </c>
      <c r="G1911" t="s">
        <v>1664</v>
      </c>
      <c r="H1911" t="s">
        <v>25</v>
      </c>
      <c r="I1911" t="s">
        <v>26</v>
      </c>
      <c r="J1911" t="s">
        <v>941</v>
      </c>
      <c r="K1911" t="s">
        <v>42</v>
      </c>
      <c r="L1911">
        <v>92037</v>
      </c>
      <c r="M1911" t="s">
        <v>43</v>
      </c>
      <c r="N1911" t="s">
        <v>6853</v>
      </c>
      <c r="O1911" t="s">
        <v>45</v>
      </c>
      <c r="P1911" t="s">
        <v>67</v>
      </c>
      <c r="Q1911" t="s">
        <v>6854</v>
      </c>
      <c r="R1911">
        <v>10.64</v>
      </c>
      <c r="S1911">
        <v>4</v>
      </c>
      <c r="T1911">
        <v>0</v>
      </c>
      <c r="U1911">
        <v>2.7664</v>
      </c>
      <c r="V1911" t="str">
        <f t="shared" si="29"/>
        <v>Astrea Jones</v>
      </c>
      <c r="W1911">
        <f>Table2[Profit]/Table2[Sales]</f>
        <v>0.26</v>
      </c>
    </row>
    <row r="1912" spans="1:23" x14ac:dyDescent="0.25">
      <c r="A1912">
        <v>1911</v>
      </c>
      <c r="B1912" t="s">
        <v>6855</v>
      </c>
      <c r="C1912" s="1">
        <v>42336</v>
      </c>
      <c r="D1912" s="1">
        <v>42341</v>
      </c>
      <c r="E1912" t="s">
        <v>49</v>
      </c>
      <c r="F1912" t="s">
        <v>558</v>
      </c>
      <c r="G1912" t="s">
        <v>559</v>
      </c>
      <c r="H1912" t="s">
        <v>25</v>
      </c>
      <c r="I1912" t="s">
        <v>26</v>
      </c>
      <c r="J1912" t="s">
        <v>6856</v>
      </c>
      <c r="K1912" t="s">
        <v>208</v>
      </c>
      <c r="L1912">
        <v>61821</v>
      </c>
      <c r="M1912" t="s">
        <v>104</v>
      </c>
      <c r="N1912" t="s">
        <v>6857</v>
      </c>
      <c r="O1912" t="s">
        <v>31</v>
      </c>
      <c r="P1912" t="s">
        <v>64</v>
      </c>
      <c r="Q1912" t="s">
        <v>6858</v>
      </c>
      <c r="R1912">
        <v>151.96</v>
      </c>
      <c r="S1912">
        <v>5</v>
      </c>
      <c r="T1912">
        <v>0.6</v>
      </c>
      <c r="U1912">
        <v>-182.352</v>
      </c>
      <c r="V1912" t="str">
        <f t="shared" si="29"/>
        <v>Lena Creighton</v>
      </c>
      <c r="W1912">
        <f>Table2[Profit]/Table2[Sales]</f>
        <v>-1.2</v>
      </c>
    </row>
    <row r="1913" spans="1:23" x14ac:dyDescent="0.25">
      <c r="A1913">
        <v>1912</v>
      </c>
      <c r="B1913" t="s">
        <v>6859</v>
      </c>
      <c r="C1913" s="1">
        <v>41847</v>
      </c>
      <c r="D1913" s="1">
        <v>41849</v>
      </c>
      <c r="E1913" t="s">
        <v>22</v>
      </c>
      <c r="F1913" t="s">
        <v>4531</v>
      </c>
      <c r="G1913" t="s">
        <v>4532</v>
      </c>
      <c r="H1913" t="s">
        <v>25</v>
      </c>
      <c r="I1913" t="s">
        <v>26</v>
      </c>
      <c r="J1913" t="s">
        <v>126</v>
      </c>
      <c r="K1913" t="s">
        <v>42</v>
      </c>
      <c r="L1913">
        <v>94122</v>
      </c>
      <c r="M1913" t="s">
        <v>43</v>
      </c>
      <c r="N1913" t="s">
        <v>4712</v>
      </c>
      <c r="O1913" t="s">
        <v>70</v>
      </c>
      <c r="P1913" t="s">
        <v>158</v>
      </c>
      <c r="Q1913" t="s">
        <v>4713</v>
      </c>
      <c r="R1913">
        <v>238</v>
      </c>
      <c r="S1913">
        <v>2</v>
      </c>
      <c r="T1913">
        <v>0</v>
      </c>
      <c r="U1913">
        <v>38.08</v>
      </c>
      <c r="V1913" t="str">
        <f t="shared" si="29"/>
        <v>Giulietta Weimer</v>
      </c>
      <c r="W1913">
        <f>Table2[Profit]/Table2[Sales]</f>
        <v>0.16</v>
      </c>
    </row>
    <row r="1914" spans="1:23" x14ac:dyDescent="0.25">
      <c r="A1914">
        <v>1913</v>
      </c>
      <c r="B1914" t="s">
        <v>6860</v>
      </c>
      <c r="C1914" s="1">
        <v>42848</v>
      </c>
      <c r="D1914" s="1">
        <v>42850</v>
      </c>
      <c r="E1914" t="s">
        <v>22</v>
      </c>
      <c r="F1914" t="s">
        <v>2092</v>
      </c>
      <c r="G1914" t="s">
        <v>2093</v>
      </c>
      <c r="H1914" t="s">
        <v>25</v>
      </c>
      <c r="I1914" t="s">
        <v>26</v>
      </c>
      <c r="J1914" t="s">
        <v>1465</v>
      </c>
      <c r="K1914" t="s">
        <v>251</v>
      </c>
      <c r="L1914">
        <v>46226</v>
      </c>
      <c r="M1914" t="s">
        <v>104</v>
      </c>
      <c r="N1914" t="s">
        <v>4350</v>
      </c>
      <c r="O1914" t="s">
        <v>70</v>
      </c>
      <c r="P1914" t="s">
        <v>158</v>
      </c>
      <c r="Q1914" t="s">
        <v>4351</v>
      </c>
      <c r="R1914">
        <v>155.34</v>
      </c>
      <c r="S1914">
        <v>6</v>
      </c>
      <c r="T1914">
        <v>0</v>
      </c>
      <c r="U1914">
        <v>55.922400000000003</v>
      </c>
      <c r="V1914" t="str">
        <f t="shared" si="29"/>
        <v>Sean Christensen</v>
      </c>
      <c r="W1914">
        <f>Table2[Profit]/Table2[Sales]</f>
        <v>0.36</v>
      </c>
    </row>
    <row r="1915" spans="1:23" x14ac:dyDescent="0.25">
      <c r="A1915">
        <v>1914</v>
      </c>
      <c r="B1915" t="s">
        <v>6861</v>
      </c>
      <c r="C1915" s="1">
        <v>42300</v>
      </c>
      <c r="D1915" s="1">
        <v>42304</v>
      </c>
      <c r="E1915" t="s">
        <v>22</v>
      </c>
      <c r="F1915" t="s">
        <v>2302</v>
      </c>
      <c r="G1915" t="s">
        <v>2303</v>
      </c>
      <c r="H1915" t="s">
        <v>25</v>
      </c>
      <c r="I1915" t="s">
        <v>26</v>
      </c>
      <c r="J1915" t="s">
        <v>941</v>
      </c>
      <c r="K1915" t="s">
        <v>42</v>
      </c>
      <c r="L1915">
        <v>92105</v>
      </c>
      <c r="M1915" t="s">
        <v>43</v>
      </c>
      <c r="N1915" t="s">
        <v>2598</v>
      </c>
      <c r="O1915" t="s">
        <v>70</v>
      </c>
      <c r="P1915" t="s">
        <v>158</v>
      </c>
      <c r="Q1915" t="s">
        <v>2599</v>
      </c>
      <c r="R1915">
        <v>148.32</v>
      </c>
      <c r="S1915">
        <v>9</v>
      </c>
      <c r="T1915">
        <v>0</v>
      </c>
      <c r="U1915">
        <v>63.7776</v>
      </c>
      <c r="V1915" t="str">
        <f t="shared" si="29"/>
        <v>Jay Fein</v>
      </c>
      <c r="W1915">
        <f>Table2[Profit]/Table2[Sales]</f>
        <v>0.43</v>
      </c>
    </row>
    <row r="1916" spans="1:23" x14ac:dyDescent="0.25">
      <c r="A1916">
        <v>1915</v>
      </c>
      <c r="B1916" t="s">
        <v>6862</v>
      </c>
      <c r="C1916" s="1">
        <v>42618</v>
      </c>
      <c r="D1916" s="1">
        <v>42620</v>
      </c>
      <c r="E1916" t="s">
        <v>22</v>
      </c>
      <c r="F1916" t="s">
        <v>5868</v>
      </c>
      <c r="G1916" t="s">
        <v>5869</v>
      </c>
      <c r="H1916" t="s">
        <v>25</v>
      </c>
      <c r="I1916" t="s">
        <v>26</v>
      </c>
      <c r="J1916" t="s">
        <v>4783</v>
      </c>
      <c r="K1916" t="s">
        <v>328</v>
      </c>
      <c r="L1916">
        <v>37604</v>
      </c>
      <c r="M1916" t="s">
        <v>29</v>
      </c>
      <c r="N1916" t="s">
        <v>2719</v>
      </c>
      <c r="O1916" t="s">
        <v>45</v>
      </c>
      <c r="P1916" t="s">
        <v>170</v>
      </c>
      <c r="Q1916" t="s">
        <v>662</v>
      </c>
      <c r="R1916">
        <v>23.472000000000001</v>
      </c>
      <c r="S1916">
        <v>3</v>
      </c>
      <c r="T1916">
        <v>0.2</v>
      </c>
      <c r="U1916">
        <v>7.6284000000000001</v>
      </c>
      <c r="V1916" t="str">
        <f t="shared" si="29"/>
        <v>Darrin Martin</v>
      </c>
      <c r="W1916">
        <f>Table2[Profit]/Table2[Sales]</f>
        <v>0.32500000000000001</v>
      </c>
    </row>
    <row r="1917" spans="1:23" x14ac:dyDescent="0.25">
      <c r="A1917">
        <v>1916</v>
      </c>
      <c r="B1917" t="s">
        <v>6863</v>
      </c>
      <c r="C1917" s="1">
        <v>42671</v>
      </c>
      <c r="D1917" s="1">
        <v>42676</v>
      </c>
      <c r="E1917" t="s">
        <v>49</v>
      </c>
      <c r="F1917" t="s">
        <v>1803</v>
      </c>
      <c r="G1917" t="s">
        <v>1804</v>
      </c>
      <c r="H1917" t="s">
        <v>25</v>
      </c>
      <c r="I1917" t="s">
        <v>26</v>
      </c>
      <c r="J1917" t="s">
        <v>893</v>
      </c>
      <c r="K1917" t="s">
        <v>53</v>
      </c>
      <c r="L1917">
        <v>33614</v>
      </c>
      <c r="M1917" t="s">
        <v>29</v>
      </c>
      <c r="N1917" t="s">
        <v>3784</v>
      </c>
      <c r="O1917" t="s">
        <v>45</v>
      </c>
      <c r="P1917" t="s">
        <v>74</v>
      </c>
      <c r="Q1917" t="s">
        <v>3785</v>
      </c>
      <c r="R1917">
        <v>38.19</v>
      </c>
      <c r="S1917">
        <v>5</v>
      </c>
      <c r="T1917">
        <v>0.7</v>
      </c>
      <c r="U1917">
        <v>-26.733000000000001</v>
      </c>
      <c r="V1917" t="str">
        <f t="shared" si="29"/>
        <v>Emily Phan</v>
      </c>
      <c r="W1917">
        <f>Table2[Profit]/Table2[Sales]</f>
        <v>-0.70000000000000007</v>
      </c>
    </row>
    <row r="1918" spans="1:23" x14ac:dyDescent="0.25">
      <c r="A1918">
        <v>1917</v>
      </c>
      <c r="B1918" t="s">
        <v>6864</v>
      </c>
      <c r="C1918" s="1">
        <v>41734</v>
      </c>
      <c r="D1918" s="1">
        <v>41736</v>
      </c>
      <c r="E1918" t="s">
        <v>185</v>
      </c>
      <c r="F1918" t="s">
        <v>1624</v>
      </c>
      <c r="G1918" t="s">
        <v>1625</v>
      </c>
      <c r="H1918" t="s">
        <v>40</v>
      </c>
      <c r="I1918" t="s">
        <v>26</v>
      </c>
      <c r="J1918" t="s">
        <v>350</v>
      </c>
      <c r="K1918" t="s">
        <v>208</v>
      </c>
      <c r="L1918">
        <v>62521</v>
      </c>
      <c r="M1918" t="s">
        <v>104</v>
      </c>
      <c r="N1918" t="s">
        <v>721</v>
      </c>
      <c r="O1918" t="s">
        <v>45</v>
      </c>
      <c r="P1918" t="s">
        <v>58</v>
      </c>
      <c r="Q1918" t="s">
        <v>722</v>
      </c>
      <c r="R1918">
        <v>49.631999999999998</v>
      </c>
      <c r="S1918">
        <v>4</v>
      </c>
      <c r="T1918">
        <v>0.2</v>
      </c>
      <c r="U1918">
        <v>3.7223999999999999</v>
      </c>
      <c r="V1918" t="str">
        <f t="shared" si="29"/>
        <v>John Grady</v>
      </c>
      <c r="W1918">
        <f>Table2[Profit]/Table2[Sales]</f>
        <v>7.4999999999999997E-2</v>
      </c>
    </row>
    <row r="1919" spans="1:23" x14ac:dyDescent="0.25">
      <c r="A1919">
        <v>1918</v>
      </c>
      <c r="B1919" t="s">
        <v>6865</v>
      </c>
      <c r="C1919" s="1">
        <v>42170</v>
      </c>
      <c r="D1919" s="1">
        <v>42175</v>
      </c>
      <c r="E1919" t="s">
        <v>49</v>
      </c>
      <c r="F1919" t="s">
        <v>6866</v>
      </c>
      <c r="G1919" t="s">
        <v>6867</v>
      </c>
      <c r="H1919" t="s">
        <v>25</v>
      </c>
      <c r="I1919" t="s">
        <v>26</v>
      </c>
      <c r="J1919" t="s">
        <v>302</v>
      </c>
      <c r="K1919" t="s">
        <v>303</v>
      </c>
      <c r="L1919">
        <v>85234</v>
      </c>
      <c r="M1919" t="s">
        <v>43</v>
      </c>
      <c r="N1919" t="s">
        <v>5450</v>
      </c>
      <c r="O1919" t="s">
        <v>45</v>
      </c>
      <c r="P1919" t="s">
        <v>89</v>
      </c>
      <c r="Q1919" t="s">
        <v>5451</v>
      </c>
      <c r="R1919">
        <v>9.5679999999999996</v>
      </c>
      <c r="S1919">
        <v>2</v>
      </c>
      <c r="T1919">
        <v>0.2</v>
      </c>
      <c r="U1919">
        <v>2.99</v>
      </c>
      <c r="V1919" t="str">
        <f t="shared" si="29"/>
        <v>Peter Fuller</v>
      </c>
      <c r="W1919">
        <f>Table2[Profit]/Table2[Sales]</f>
        <v>0.31250000000000006</v>
      </c>
    </row>
    <row r="1920" spans="1:23" x14ac:dyDescent="0.25">
      <c r="A1920">
        <v>1919</v>
      </c>
      <c r="B1920" t="s">
        <v>6870</v>
      </c>
      <c r="C1920" s="1">
        <v>41825</v>
      </c>
      <c r="D1920" s="1">
        <v>41832</v>
      </c>
      <c r="E1920" t="s">
        <v>49</v>
      </c>
      <c r="F1920" t="s">
        <v>6301</v>
      </c>
      <c r="G1920" t="s">
        <v>6302</v>
      </c>
      <c r="H1920" t="s">
        <v>40</v>
      </c>
      <c r="I1920" t="s">
        <v>26</v>
      </c>
      <c r="J1920" t="s">
        <v>5032</v>
      </c>
      <c r="K1920" t="s">
        <v>328</v>
      </c>
      <c r="L1920">
        <v>37918</v>
      </c>
      <c r="M1920" t="s">
        <v>29</v>
      </c>
      <c r="N1920" t="s">
        <v>66</v>
      </c>
      <c r="O1920" t="s">
        <v>45</v>
      </c>
      <c r="P1920" t="s">
        <v>67</v>
      </c>
      <c r="Q1920" t="s">
        <v>68</v>
      </c>
      <c r="R1920">
        <v>4.3680000000000003</v>
      </c>
      <c r="S1920">
        <v>3</v>
      </c>
      <c r="T1920">
        <v>0.2</v>
      </c>
      <c r="U1920">
        <v>0.38219999999999998</v>
      </c>
      <c r="V1920" t="str">
        <f t="shared" si="29"/>
        <v>David Wiener</v>
      </c>
      <c r="W1920">
        <f>Table2[Profit]/Table2[Sales]</f>
        <v>8.7499999999999994E-2</v>
      </c>
    </row>
    <row r="1921" spans="1:23" x14ac:dyDescent="0.25">
      <c r="A1921">
        <v>1920</v>
      </c>
      <c r="B1921" t="s">
        <v>6871</v>
      </c>
      <c r="C1921" s="1">
        <v>42764</v>
      </c>
      <c r="D1921" s="1">
        <v>42768</v>
      </c>
      <c r="E1921" t="s">
        <v>49</v>
      </c>
      <c r="F1921" t="s">
        <v>2005</v>
      </c>
      <c r="G1921" t="s">
        <v>2006</v>
      </c>
      <c r="H1921" t="s">
        <v>25</v>
      </c>
      <c r="I1921" t="s">
        <v>26</v>
      </c>
      <c r="J1921" t="s">
        <v>296</v>
      </c>
      <c r="K1921" t="s">
        <v>208</v>
      </c>
      <c r="L1921">
        <v>60653</v>
      </c>
      <c r="M1921" t="s">
        <v>104</v>
      </c>
      <c r="N1921" t="s">
        <v>1112</v>
      </c>
      <c r="O1921" t="s">
        <v>45</v>
      </c>
      <c r="P1921" t="s">
        <v>74</v>
      </c>
      <c r="Q1921" t="s">
        <v>1113</v>
      </c>
      <c r="R1921">
        <v>12.128</v>
      </c>
      <c r="S1921">
        <v>4</v>
      </c>
      <c r="T1921">
        <v>0.8</v>
      </c>
      <c r="U1921">
        <v>-20.617599999999999</v>
      </c>
      <c r="V1921" t="str">
        <f t="shared" si="29"/>
        <v>Clytie Kelty</v>
      </c>
      <c r="W1921">
        <f>Table2[Profit]/Table2[Sales]</f>
        <v>-1.7</v>
      </c>
    </row>
    <row r="1922" spans="1:23" x14ac:dyDescent="0.25">
      <c r="A1922">
        <v>1921</v>
      </c>
      <c r="B1922" t="s">
        <v>6872</v>
      </c>
      <c r="C1922" s="1">
        <v>42432</v>
      </c>
      <c r="D1922" s="1">
        <v>42437</v>
      </c>
      <c r="E1922" t="s">
        <v>22</v>
      </c>
      <c r="F1922" t="s">
        <v>959</v>
      </c>
      <c r="G1922" t="s">
        <v>960</v>
      </c>
      <c r="H1922" t="s">
        <v>25</v>
      </c>
      <c r="I1922" t="s">
        <v>26</v>
      </c>
      <c r="J1922" t="s">
        <v>531</v>
      </c>
      <c r="K1922" t="s">
        <v>251</v>
      </c>
      <c r="L1922">
        <v>47401</v>
      </c>
      <c r="M1922" t="s">
        <v>104</v>
      </c>
      <c r="N1922" t="s">
        <v>6339</v>
      </c>
      <c r="O1922" t="s">
        <v>70</v>
      </c>
      <c r="P1922" t="s">
        <v>71</v>
      </c>
      <c r="Q1922" t="s">
        <v>6340</v>
      </c>
      <c r="R1922">
        <v>134.85</v>
      </c>
      <c r="S1922">
        <v>3</v>
      </c>
      <c r="T1922">
        <v>0</v>
      </c>
      <c r="U1922">
        <v>37.758000000000003</v>
      </c>
      <c r="V1922" t="str">
        <f t="shared" si="29"/>
        <v>Craig Carreira</v>
      </c>
      <c r="W1922">
        <f>Table2[Profit]/Table2[Sales]</f>
        <v>0.28000000000000003</v>
      </c>
    </row>
    <row r="1923" spans="1:23" x14ac:dyDescent="0.25">
      <c r="A1923">
        <v>1922</v>
      </c>
      <c r="B1923" t="s">
        <v>6873</v>
      </c>
      <c r="C1923" s="1">
        <v>41792</v>
      </c>
      <c r="D1923" s="1">
        <v>41796</v>
      </c>
      <c r="E1923" t="s">
        <v>49</v>
      </c>
      <c r="F1923" t="s">
        <v>5686</v>
      </c>
      <c r="G1923" t="s">
        <v>5687</v>
      </c>
      <c r="H1923" t="s">
        <v>25</v>
      </c>
      <c r="I1923" t="s">
        <v>26</v>
      </c>
      <c r="J1923" t="s">
        <v>3203</v>
      </c>
      <c r="K1923" t="s">
        <v>1260</v>
      </c>
      <c r="L1923">
        <v>30076</v>
      </c>
      <c r="M1923" t="s">
        <v>29</v>
      </c>
      <c r="N1923" t="s">
        <v>4945</v>
      </c>
      <c r="O1923" t="s">
        <v>45</v>
      </c>
      <c r="P1923" t="s">
        <v>67</v>
      </c>
      <c r="Q1923" t="s">
        <v>4946</v>
      </c>
      <c r="R1923">
        <v>8.56</v>
      </c>
      <c r="S1923">
        <v>2</v>
      </c>
      <c r="T1923">
        <v>0</v>
      </c>
      <c r="U1923">
        <v>2.6536</v>
      </c>
      <c r="V1923" t="str">
        <f t="shared" ref="V1923:V1986" si="30">TRIM(G1923)</f>
        <v>Stewart Visinsky</v>
      </c>
      <c r="W1923">
        <f>Table2[Profit]/Table2[Sales]</f>
        <v>0.31</v>
      </c>
    </row>
    <row r="1924" spans="1:23" x14ac:dyDescent="0.25">
      <c r="A1924">
        <v>1923</v>
      </c>
      <c r="B1924" t="s">
        <v>6874</v>
      </c>
      <c r="C1924" s="1">
        <v>42698</v>
      </c>
      <c r="D1924" s="1">
        <v>42704</v>
      </c>
      <c r="E1924" t="s">
        <v>49</v>
      </c>
      <c r="F1924" t="s">
        <v>1147</v>
      </c>
      <c r="G1924" t="s">
        <v>1148</v>
      </c>
      <c r="H1924" t="s">
        <v>40</v>
      </c>
      <c r="I1924" t="s">
        <v>26</v>
      </c>
      <c r="J1924" t="s">
        <v>41</v>
      </c>
      <c r="K1924" t="s">
        <v>42</v>
      </c>
      <c r="L1924">
        <v>90036</v>
      </c>
      <c r="M1924" t="s">
        <v>43</v>
      </c>
      <c r="N1924" t="s">
        <v>2945</v>
      </c>
      <c r="O1924" t="s">
        <v>70</v>
      </c>
      <c r="P1924" t="s">
        <v>158</v>
      </c>
      <c r="Q1924" t="s">
        <v>2946</v>
      </c>
      <c r="R1924">
        <v>659.9</v>
      </c>
      <c r="S1924">
        <v>2</v>
      </c>
      <c r="T1924">
        <v>0</v>
      </c>
      <c r="U1924">
        <v>217.767</v>
      </c>
      <c r="V1924" t="str">
        <f t="shared" si="30"/>
        <v>Sung Pak</v>
      </c>
      <c r="W1924">
        <f>Table2[Profit]/Table2[Sales]</f>
        <v>0.33</v>
      </c>
    </row>
    <row r="1925" spans="1:23" x14ac:dyDescent="0.25">
      <c r="A1925">
        <v>1924</v>
      </c>
      <c r="B1925" t="s">
        <v>6875</v>
      </c>
      <c r="C1925" s="1">
        <v>42684</v>
      </c>
      <c r="D1925" s="1">
        <v>42688</v>
      </c>
      <c r="E1925" t="s">
        <v>49</v>
      </c>
      <c r="F1925" t="s">
        <v>3903</v>
      </c>
      <c r="G1925" t="s">
        <v>3904</v>
      </c>
      <c r="H1925" t="s">
        <v>25</v>
      </c>
      <c r="I1925" t="s">
        <v>26</v>
      </c>
      <c r="J1925" t="s">
        <v>181</v>
      </c>
      <c r="K1925" t="s">
        <v>103</v>
      </c>
      <c r="L1925">
        <v>77036</v>
      </c>
      <c r="M1925" t="s">
        <v>104</v>
      </c>
      <c r="N1925" t="s">
        <v>2500</v>
      </c>
      <c r="O1925" t="s">
        <v>70</v>
      </c>
      <c r="P1925" t="s">
        <v>158</v>
      </c>
      <c r="Q1925" t="s">
        <v>2501</v>
      </c>
      <c r="R1925">
        <v>279.94400000000002</v>
      </c>
      <c r="S1925">
        <v>7</v>
      </c>
      <c r="T1925">
        <v>0.2</v>
      </c>
      <c r="U1925">
        <v>48.990200000000002</v>
      </c>
      <c r="V1925" t="str">
        <f t="shared" si="30"/>
        <v>Maxwell Schwartz</v>
      </c>
      <c r="W1925">
        <f>Table2[Profit]/Table2[Sales]</f>
        <v>0.17499999999999999</v>
      </c>
    </row>
    <row r="1926" spans="1:23" x14ac:dyDescent="0.25">
      <c r="A1926">
        <v>1925</v>
      </c>
      <c r="B1926" t="s">
        <v>6876</v>
      </c>
      <c r="C1926" s="1">
        <v>41965</v>
      </c>
      <c r="D1926" s="1">
        <v>41971</v>
      </c>
      <c r="E1926" t="s">
        <v>49</v>
      </c>
      <c r="F1926" t="s">
        <v>6115</v>
      </c>
      <c r="G1926" t="s">
        <v>6116</v>
      </c>
      <c r="H1926" t="s">
        <v>101</v>
      </c>
      <c r="I1926" t="s">
        <v>26</v>
      </c>
      <c r="J1926" t="s">
        <v>6158</v>
      </c>
      <c r="K1926" t="s">
        <v>208</v>
      </c>
      <c r="L1926">
        <v>60440</v>
      </c>
      <c r="M1926" t="s">
        <v>104</v>
      </c>
      <c r="N1926" t="s">
        <v>4837</v>
      </c>
      <c r="O1926" t="s">
        <v>45</v>
      </c>
      <c r="P1926" t="s">
        <v>74</v>
      </c>
      <c r="Q1926" t="s">
        <v>4838</v>
      </c>
      <c r="R1926">
        <v>9.98</v>
      </c>
      <c r="S1926">
        <v>5</v>
      </c>
      <c r="T1926">
        <v>0.8</v>
      </c>
      <c r="U1926">
        <v>-16.466999999999999</v>
      </c>
      <c r="V1926" t="str">
        <f t="shared" si="30"/>
        <v>Tony Chapman</v>
      </c>
      <c r="W1926">
        <f>Table2[Profit]/Table2[Sales]</f>
        <v>-1.65</v>
      </c>
    </row>
    <row r="1927" spans="1:23" x14ac:dyDescent="0.25">
      <c r="A1927">
        <v>1926</v>
      </c>
      <c r="B1927" t="s">
        <v>6877</v>
      </c>
      <c r="C1927" s="1">
        <v>42856</v>
      </c>
      <c r="D1927" s="1">
        <v>42860</v>
      </c>
      <c r="E1927" t="s">
        <v>49</v>
      </c>
      <c r="F1927" t="s">
        <v>2620</v>
      </c>
      <c r="G1927" t="s">
        <v>2621</v>
      </c>
      <c r="H1927" t="s">
        <v>101</v>
      </c>
      <c r="I1927" t="s">
        <v>26</v>
      </c>
      <c r="J1927" t="s">
        <v>6878</v>
      </c>
      <c r="K1927" t="s">
        <v>1683</v>
      </c>
      <c r="L1927">
        <v>71854</v>
      </c>
      <c r="M1927" t="s">
        <v>29</v>
      </c>
      <c r="N1927" t="s">
        <v>6879</v>
      </c>
      <c r="O1927" t="s">
        <v>70</v>
      </c>
      <c r="P1927" t="s">
        <v>158</v>
      </c>
      <c r="Q1927" t="s">
        <v>6880</v>
      </c>
      <c r="R1927">
        <v>48.9</v>
      </c>
      <c r="S1927">
        <v>5</v>
      </c>
      <c r="T1927">
        <v>0</v>
      </c>
      <c r="U1927">
        <v>18.093</v>
      </c>
      <c r="V1927" t="str">
        <f t="shared" si="30"/>
        <v>Sanjit Jacobs</v>
      </c>
      <c r="W1927">
        <f>Table2[Profit]/Table2[Sales]</f>
        <v>0.37</v>
      </c>
    </row>
    <row r="1928" spans="1:23" x14ac:dyDescent="0.25">
      <c r="A1928">
        <v>1927</v>
      </c>
      <c r="B1928" t="s">
        <v>6881</v>
      </c>
      <c r="C1928" s="1">
        <v>43076</v>
      </c>
      <c r="D1928" s="1">
        <v>43081</v>
      </c>
      <c r="E1928" t="s">
        <v>49</v>
      </c>
      <c r="F1928" t="s">
        <v>871</v>
      </c>
      <c r="G1928" t="s">
        <v>872</v>
      </c>
      <c r="H1928" t="s">
        <v>40</v>
      </c>
      <c r="I1928" t="s">
        <v>26</v>
      </c>
      <c r="J1928" t="s">
        <v>671</v>
      </c>
      <c r="K1928" t="s">
        <v>103</v>
      </c>
      <c r="L1928">
        <v>78207</v>
      </c>
      <c r="M1928" t="s">
        <v>104</v>
      </c>
      <c r="N1928" t="s">
        <v>4227</v>
      </c>
      <c r="O1928" t="s">
        <v>45</v>
      </c>
      <c r="P1928" t="s">
        <v>266</v>
      </c>
      <c r="Q1928" t="s">
        <v>4228</v>
      </c>
      <c r="R1928">
        <v>3.552</v>
      </c>
      <c r="S1928">
        <v>3</v>
      </c>
      <c r="T1928">
        <v>0.2</v>
      </c>
      <c r="U1928">
        <v>1.2432000000000001</v>
      </c>
      <c r="V1928" t="str">
        <f t="shared" si="30"/>
        <v>David Smith</v>
      </c>
      <c r="W1928">
        <f>Table2[Profit]/Table2[Sales]</f>
        <v>0.35000000000000003</v>
      </c>
    </row>
    <row r="1929" spans="1:23" x14ac:dyDescent="0.25">
      <c r="A1929">
        <v>1928</v>
      </c>
      <c r="B1929" t="s">
        <v>6882</v>
      </c>
      <c r="C1929" s="1">
        <v>43069</v>
      </c>
      <c r="D1929" s="1">
        <v>43073</v>
      </c>
      <c r="E1929" t="s">
        <v>49</v>
      </c>
      <c r="F1929" t="s">
        <v>4785</v>
      </c>
      <c r="G1929" t="s">
        <v>4786</v>
      </c>
      <c r="H1929" t="s">
        <v>25</v>
      </c>
      <c r="I1929" t="s">
        <v>26</v>
      </c>
      <c r="J1929" t="s">
        <v>6883</v>
      </c>
      <c r="K1929" t="s">
        <v>103</v>
      </c>
      <c r="L1929">
        <v>78539</v>
      </c>
      <c r="M1929" t="s">
        <v>104</v>
      </c>
      <c r="N1929" t="s">
        <v>4227</v>
      </c>
      <c r="O1929" t="s">
        <v>45</v>
      </c>
      <c r="P1929" t="s">
        <v>266</v>
      </c>
      <c r="Q1929" t="s">
        <v>4228</v>
      </c>
      <c r="R1929">
        <v>2.3679999999999999</v>
      </c>
      <c r="S1929">
        <v>2</v>
      </c>
      <c r="T1929">
        <v>0.2</v>
      </c>
      <c r="U1929">
        <v>0.82879999999999998</v>
      </c>
      <c r="V1929" t="str">
        <f t="shared" si="30"/>
        <v>Stuart Calhoun</v>
      </c>
      <c r="W1929">
        <f>Table2[Profit]/Table2[Sales]</f>
        <v>0.35000000000000003</v>
      </c>
    </row>
    <row r="1930" spans="1:23" x14ac:dyDescent="0.25">
      <c r="A1930">
        <v>1929</v>
      </c>
      <c r="B1930" t="s">
        <v>6884</v>
      </c>
      <c r="C1930" s="1">
        <v>43076</v>
      </c>
      <c r="D1930" s="1">
        <v>43078</v>
      </c>
      <c r="E1930" t="s">
        <v>185</v>
      </c>
      <c r="F1930" t="s">
        <v>1117</v>
      </c>
      <c r="G1930" t="s">
        <v>1118</v>
      </c>
      <c r="H1930" t="s">
        <v>25</v>
      </c>
      <c r="I1930" t="s">
        <v>26</v>
      </c>
      <c r="J1930" t="s">
        <v>2797</v>
      </c>
      <c r="K1930" t="s">
        <v>491</v>
      </c>
      <c r="L1930">
        <v>43615</v>
      </c>
      <c r="M1930" t="s">
        <v>145</v>
      </c>
      <c r="N1930" t="s">
        <v>1638</v>
      </c>
      <c r="O1930" t="s">
        <v>70</v>
      </c>
      <c r="P1930" t="s">
        <v>158</v>
      </c>
      <c r="Q1930" t="s">
        <v>1639</v>
      </c>
      <c r="R1930">
        <v>127.98399999999999</v>
      </c>
      <c r="S1930">
        <v>2</v>
      </c>
      <c r="T1930">
        <v>0.2</v>
      </c>
      <c r="U1930">
        <v>25.596800000000002</v>
      </c>
      <c r="V1930" t="str">
        <f t="shared" si="30"/>
        <v>Shahid Hopkins</v>
      </c>
      <c r="W1930">
        <f>Table2[Profit]/Table2[Sales]</f>
        <v>0.2</v>
      </c>
    </row>
    <row r="1931" spans="1:23" x14ac:dyDescent="0.25">
      <c r="A1931">
        <v>1930</v>
      </c>
      <c r="B1931" t="s">
        <v>6885</v>
      </c>
      <c r="C1931" s="1">
        <v>42007</v>
      </c>
      <c r="D1931" s="1">
        <v>42012</v>
      </c>
      <c r="E1931" t="s">
        <v>49</v>
      </c>
      <c r="F1931" t="s">
        <v>2027</v>
      </c>
      <c r="G1931" t="s">
        <v>2028</v>
      </c>
      <c r="H1931" t="s">
        <v>40</v>
      </c>
      <c r="I1931" t="s">
        <v>26</v>
      </c>
      <c r="J1931" t="s">
        <v>6886</v>
      </c>
      <c r="K1931" t="s">
        <v>103</v>
      </c>
      <c r="L1931">
        <v>77520</v>
      </c>
      <c r="M1931" t="s">
        <v>104</v>
      </c>
      <c r="N1931" t="s">
        <v>1144</v>
      </c>
      <c r="O1931" t="s">
        <v>45</v>
      </c>
      <c r="P1931" t="s">
        <v>89</v>
      </c>
      <c r="Q1931" t="s">
        <v>1145</v>
      </c>
      <c r="R1931">
        <v>10.368</v>
      </c>
      <c r="S1931">
        <v>2</v>
      </c>
      <c r="T1931">
        <v>0.2</v>
      </c>
      <c r="U1931">
        <v>3.6288</v>
      </c>
      <c r="V1931" t="str">
        <f t="shared" si="30"/>
        <v>Sylvia Foulston</v>
      </c>
      <c r="W1931">
        <f>Table2[Profit]/Table2[Sales]</f>
        <v>0.35</v>
      </c>
    </row>
    <row r="1932" spans="1:23" x14ac:dyDescent="0.25">
      <c r="A1932">
        <v>1931</v>
      </c>
      <c r="B1932" t="s">
        <v>6887</v>
      </c>
      <c r="C1932" s="1">
        <v>42322</v>
      </c>
      <c r="D1932" s="1">
        <v>42328</v>
      </c>
      <c r="E1932" t="s">
        <v>49</v>
      </c>
      <c r="F1932" t="s">
        <v>598</v>
      </c>
      <c r="G1932" t="s">
        <v>599</v>
      </c>
      <c r="H1932" t="s">
        <v>101</v>
      </c>
      <c r="I1932" t="s">
        <v>26</v>
      </c>
      <c r="J1932" t="s">
        <v>143</v>
      </c>
      <c r="K1932" t="s">
        <v>144</v>
      </c>
      <c r="L1932">
        <v>19143</v>
      </c>
      <c r="M1932" t="s">
        <v>145</v>
      </c>
      <c r="N1932" t="s">
        <v>6888</v>
      </c>
      <c r="O1932" t="s">
        <v>70</v>
      </c>
      <c r="P1932" t="s">
        <v>158</v>
      </c>
      <c r="Q1932" t="s">
        <v>6889</v>
      </c>
      <c r="R1932">
        <v>47.984000000000002</v>
      </c>
      <c r="S1932">
        <v>2</v>
      </c>
      <c r="T1932">
        <v>0.2</v>
      </c>
      <c r="U1932">
        <v>-1.1996</v>
      </c>
      <c r="V1932" t="str">
        <f t="shared" si="30"/>
        <v>Maureen Gastineau</v>
      </c>
      <c r="W1932">
        <f>Table2[Profit]/Table2[Sales]</f>
        <v>-2.4999999999999998E-2</v>
      </c>
    </row>
    <row r="1933" spans="1:23" x14ac:dyDescent="0.25">
      <c r="A1933">
        <v>1932</v>
      </c>
      <c r="B1933" t="s">
        <v>6890</v>
      </c>
      <c r="C1933" s="1">
        <v>42279</v>
      </c>
      <c r="D1933" s="1">
        <v>42284</v>
      </c>
      <c r="E1933" t="s">
        <v>22</v>
      </c>
      <c r="F1933" t="s">
        <v>370</v>
      </c>
      <c r="G1933" t="s">
        <v>371</v>
      </c>
      <c r="H1933" t="s">
        <v>101</v>
      </c>
      <c r="I1933" t="s">
        <v>26</v>
      </c>
      <c r="J1933" t="s">
        <v>41</v>
      </c>
      <c r="K1933" t="s">
        <v>42</v>
      </c>
      <c r="L1933">
        <v>90045</v>
      </c>
      <c r="M1933" t="s">
        <v>43</v>
      </c>
      <c r="N1933" t="s">
        <v>4787</v>
      </c>
      <c r="O1933" t="s">
        <v>45</v>
      </c>
      <c r="P1933" t="s">
        <v>58</v>
      </c>
      <c r="Q1933" t="s">
        <v>4788</v>
      </c>
      <c r="R1933">
        <v>270.33999999999997</v>
      </c>
      <c r="S1933">
        <v>14</v>
      </c>
      <c r="T1933">
        <v>0</v>
      </c>
      <c r="U1933">
        <v>75.6952</v>
      </c>
      <c r="V1933" t="str">
        <f t="shared" si="30"/>
        <v>Christopher Schild</v>
      </c>
      <c r="W1933">
        <f>Table2[Profit]/Table2[Sales]</f>
        <v>0.28000000000000003</v>
      </c>
    </row>
    <row r="1934" spans="1:23" x14ac:dyDescent="0.25">
      <c r="A1934">
        <v>1933</v>
      </c>
      <c r="B1934" t="s">
        <v>6891</v>
      </c>
      <c r="C1934" s="1">
        <v>42099</v>
      </c>
      <c r="D1934" s="1">
        <v>42104</v>
      </c>
      <c r="E1934" t="s">
        <v>49</v>
      </c>
      <c r="F1934" t="s">
        <v>6892</v>
      </c>
      <c r="G1934" t="s">
        <v>6893</v>
      </c>
      <c r="H1934" t="s">
        <v>101</v>
      </c>
      <c r="I1934" t="s">
        <v>26</v>
      </c>
      <c r="J1934" t="s">
        <v>143</v>
      </c>
      <c r="K1934" t="s">
        <v>144</v>
      </c>
      <c r="L1934">
        <v>19143</v>
      </c>
      <c r="M1934" t="s">
        <v>145</v>
      </c>
      <c r="N1934" t="s">
        <v>5183</v>
      </c>
      <c r="O1934" t="s">
        <v>45</v>
      </c>
      <c r="P1934" t="s">
        <v>77</v>
      </c>
      <c r="Q1934" t="s">
        <v>5184</v>
      </c>
      <c r="R1934">
        <v>98.111999999999995</v>
      </c>
      <c r="S1934">
        <v>7</v>
      </c>
      <c r="T1934">
        <v>0.2</v>
      </c>
      <c r="U1934">
        <v>18.396000000000001</v>
      </c>
      <c r="V1934" t="str">
        <f t="shared" si="30"/>
        <v>Valerie Takahito</v>
      </c>
      <c r="W1934">
        <f>Table2[Profit]/Table2[Sales]</f>
        <v>0.18750000000000003</v>
      </c>
    </row>
    <row r="1935" spans="1:23" x14ac:dyDescent="0.25">
      <c r="A1935">
        <v>1934</v>
      </c>
      <c r="B1935" t="s">
        <v>6896</v>
      </c>
      <c r="C1935" s="1">
        <v>42891</v>
      </c>
      <c r="D1935" s="1">
        <v>42892</v>
      </c>
      <c r="E1935" t="s">
        <v>185</v>
      </c>
      <c r="F1935" t="s">
        <v>3751</v>
      </c>
      <c r="G1935" t="s">
        <v>3752</v>
      </c>
      <c r="H1935" t="s">
        <v>25</v>
      </c>
      <c r="I1935" t="s">
        <v>26</v>
      </c>
      <c r="J1935" t="s">
        <v>6277</v>
      </c>
      <c r="K1935" t="s">
        <v>103</v>
      </c>
      <c r="L1935">
        <v>77581</v>
      </c>
      <c r="M1935" t="s">
        <v>104</v>
      </c>
      <c r="N1935" t="s">
        <v>6897</v>
      </c>
      <c r="O1935" t="s">
        <v>70</v>
      </c>
      <c r="P1935" t="s">
        <v>71</v>
      </c>
      <c r="Q1935" t="s">
        <v>6898</v>
      </c>
      <c r="R1935">
        <v>470.37599999999998</v>
      </c>
      <c r="S1935">
        <v>3</v>
      </c>
      <c r="T1935">
        <v>0.2</v>
      </c>
      <c r="U1935">
        <v>52.917299999999997</v>
      </c>
      <c r="V1935" t="str">
        <f t="shared" si="30"/>
        <v>Adrian Barton</v>
      </c>
      <c r="W1935">
        <f>Table2[Profit]/Table2[Sales]</f>
        <v>0.1125</v>
      </c>
    </row>
    <row r="1936" spans="1:23" x14ac:dyDescent="0.25">
      <c r="A1936">
        <v>1935</v>
      </c>
      <c r="B1936" t="s">
        <v>6899</v>
      </c>
      <c r="C1936" s="1">
        <v>42996</v>
      </c>
      <c r="D1936" s="1">
        <v>43003</v>
      </c>
      <c r="E1936" t="s">
        <v>49</v>
      </c>
      <c r="F1936" t="s">
        <v>1307</v>
      </c>
      <c r="G1936" t="s">
        <v>1308</v>
      </c>
      <c r="H1936" t="s">
        <v>40</v>
      </c>
      <c r="I1936" t="s">
        <v>26</v>
      </c>
      <c r="J1936" t="s">
        <v>263</v>
      </c>
      <c r="K1936" t="s">
        <v>264</v>
      </c>
      <c r="L1936">
        <v>10035</v>
      </c>
      <c r="M1936" t="s">
        <v>145</v>
      </c>
      <c r="N1936" t="s">
        <v>3793</v>
      </c>
      <c r="O1936" t="s">
        <v>45</v>
      </c>
      <c r="P1936" t="s">
        <v>89</v>
      </c>
      <c r="Q1936" t="s">
        <v>3794</v>
      </c>
      <c r="R1936">
        <v>19.440000000000001</v>
      </c>
      <c r="S1936">
        <v>3</v>
      </c>
      <c r="T1936">
        <v>0</v>
      </c>
      <c r="U1936">
        <v>9.3312000000000008</v>
      </c>
      <c r="V1936" t="str">
        <f t="shared" si="30"/>
        <v>Muhammed MacIntyre</v>
      </c>
      <c r="W1936">
        <f>Table2[Profit]/Table2[Sales]</f>
        <v>0.48000000000000004</v>
      </c>
    </row>
    <row r="1937" spans="1:23" x14ac:dyDescent="0.25">
      <c r="A1937">
        <v>1936</v>
      </c>
      <c r="B1937" t="s">
        <v>6900</v>
      </c>
      <c r="C1937" s="1">
        <v>42934</v>
      </c>
      <c r="D1937" s="1">
        <v>42939</v>
      </c>
      <c r="E1937" t="s">
        <v>49</v>
      </c>
      <c r="F1937" t="s">
        <v>5050</v>
      </c>
      <c r="G1937" t="s">
        <v>5051</v>
      </c>
      <c r="H1937" t="s">
        <v>25</v>
      </c>
      <c r="I1937" t="s">
        <v>26</v>
      </c>
      <c r="J1937" t="s">
        <v>537</v>
      </c>
      <c r="K1937" t="s">
        <v>303</v>
      </c>
      <c r="L1937">
        <v>85023</v>
      </c>
      <c r="M1937" t="s">
        <v>43</v>
      </c>
      <c r="N1937" t="s">
        <v>3262</v>
      </c>
      <c r="O1937" t="s">
        <v>31</v>
      </c>
      <c r="P1937" t="s">
        <v>55</v>
      </c>
      <c r="Q1937" t="s">
        <v>3263</v>
      </c>
      <c r="R1937">
        <v>801.6</v>
      </c>
      <c r="S1937">
        <v>5</v>
      </c>
      <c r="T1937">
        <v>0.5</v>
      </c>
      <c r="U1937">
        <v>-448.89600000000002</v>
      </c>
      <c r="V1937" t="str">
        <f t="shared" si="30"/>
        <v>Maris LaWare</v>
      </c>
      <c r="W1937">
        <f>Table2[Profit]/Table2[Sales]</f>
        <v>-0.56000000000000005</v>
      </c>
    </row>
    <row r="1938" spans="1:23" x14ac:dyDescent="0.25">
      <c r="A1938">
        <v>1937</v>
      </c>
      <c r="B1938" t="s">
        <v>6903</v>
      </c>
      <c r="C1938" s="1">
        <v>42339</v>
      </c>
      <c r="D1938" s="1">
        <v>42345</v>
      </c>
      <c r="E1938" t="s">
        <v>49</v>
      </c>
      <c r="F1938" t="s">
        <v>3857</v>
      </c>
      <c r="G1938" t="s">
        <v>3858</v>
      </c>
      <c r="H1938" t="s">
        <v>40</v>
      </c>
      <c r="I1938" t="s">
        <v>26</v>
      </c>
      <c r="J1938" t="s">
        <v>4771</v>
      </c>
      <c r="K1938" t="s">
        <v>312</v>
      </c>
      <c r="L1938">
        <v>23320</v>
      </c>
      <c r="M1938" t="s">
        <v>29</v>
      </c>
      <c r="N1938" t="s">
        <v>1611</v>
      </c>
      <c r="O1938" t="s">
        <v>45</v>
      </c>
      <c r="P1938" t="s">
        <v>58</v>
      </c>
      <c r="Q1938" t="s">
        <v>1612</v>
      </c>
      <c r="R1938">
        <v>61.68</v>
      </c>
      <c r="S1938">
        <v>4</v>
      </c>
      <c r="T1938">
        <v>0</v>
      </c>
      <c r="U1938">
        <v>16.653600000000001</v>
      </c>
      <c r="V1938" t="str">
        <f t="shared" si="30"/>
        <v>Keith Dawkins</v>
      </c>
      <c r="W1938">
        <f>Table2[Profit]/Table2[Sales]</f>
        <v>0.27</v>
      </c>
    </row>
    <row r="1939" spans="1:23" x14ac:dyDescent="0.25">
      <c r="A1939">
        <v>1938</v>
      </c>
      <c r="B1939" t="s">
        <v>6904</v>
      </c>
      <c r="C1939" s="1">
        <v>42549</v>
      </c>
      <c r="D1939" s="1">
        <v>42553</v>
      </c>
      <c r="E1939" t="s">
        <v>22</v>
      </c>
      <c r="F1939" t="s">
        <v>2352</v>
      </c>
      <c r="G1939" t="s">
        <v>2353</v>
      </c>
      <c r="H1939" t="s">
        <v>25</v>
      </c>
      <c r="I1939" t="s">
        <v>26</v>
      </c>
      <c r="J1939" t="s">
        <v>296</v>
      </c>
      <c r="K1939" t="s">
        <v>208</v>
      </c>
      <c r="L1939">
        <v>60610</v>
      </c>
      <c r="M1939" t="s">
        <v>104</v>
      </c>
      <c r="N1939" t="s">
        <v>6231</v>
      </c>
      <c r="O1939" t="s">
        <v>70</v>
      </c>
      <c r="P1939" t="s">
        <v>71</v>
      </c>
      <c r="Q1939" t="s">
        <v>6232</v>
      </c>
      <c r="R1939">
        <v>359.976</v>
      </c>
      <c r="S1939">
        <v>3</v>
      </c>
      <c r="T1939">
        <v>0.2</v>
      </c>
      <c r="U1939">
        <v>35.997599999999998</v>
      </c>
      <c r="V1939" t="str">
        <f t="shared" si="30"/>
        <v>Roland Fjeld</v>
      </c>
      <c r="W1939">
        <f>Table2[Profit]/Table2[Sales]</f>
        <v>9.9999999999999992E-2</v>
      </c>
    </row>
    <row r="1940" spans="1:23" x14ac:dyDescent="0.25">
      <c r="A1940">
        <v>1939</v>
      </c>
      <c r="B1940" t="s">
        <v>6905</v>
      </c>
      <c r="C1940" s="1">
        <v>42975</v>
      </c>
      <c r="D1940" s="1">
        <v>42979</v>
      </c>
      <c r="E1940" t="s">
        <v>49</v>
      </c>
      <c r="F1940" t="s">
        <v>2092</v>
      </c>
      <c r="G1940" t="s">
        <v>2093</v>
      </c>
      <c r="H1940" t="s">
        <v>25</v>
      </c>
      <c r="I1940" t="s">
        <v>26</v>
      </c>
      <c r="J1940" t="s">
        <v>296</v>
      </c>
      <c r="K1940" t="s">
        <v>208</v>
      </c>
      <c r="L1940">
        <v>60623</v>
      </c>
      <c r="M1940" t="s">
        <v>104</v>
      </c>
      <c r="N1940" t="s">
        <v>906</v>
      </c>
      <c r="O1940" t="s">
        <v>45</v>
      </c>
      <c r="P1940" t="s">
        <v>89</v>
      </c>
      <c r="Q1940" t="s">
        <v>907</v>
      </c>
      <c r="R1940">
        <v>25.344000000000001</v>
      </c>
      <c r="S1940">
        <v>6</v>
      </c>
      <c r="T1940">
        <v>0.2</v>
      </c>
      <c r="U1940">
        <v>7.92</v>
      </c>
      <c r="V1940" t="str">
        <f t="shared" si="30"/>
        <v>Sean Christensen</v>
      </c>
      <c r="W1940">
        <f>Table2[Profit]/Table2[Sales]</f>
        <v>0.3125</v>
      </c>
    </row>
    <row r="1941" spans="1:23" x14ac:dyDescent="0.25">
      <c r="A1941">
        <v>1940</v>
      </c>
      <c r="B1941" t="s">
        <v>6906</v>
      </c>
      <c r="C1941" s="1">
        <v>41899</v>
      </c>
      <c r="D1941" s="1">
        <v>41903</v>
      </c>
      <c r="E1941" t="s">
        <v>49</v>
      </c>
      <c r="F1941" t="s">
        <v>1730</v>
      </c>
      <c r="G1941" t="s">
        <v>1731</v>
      </c>
      <c r="H1941" t="s">
        <v>25</v>
      </c>
      <c r="I1941" t="s">
        <v>26</v>
      </c>
      <c r="J1941" t="s">
        <v>94</v>
      </c>
      <c r="K1941" t="s">
        <v>95</v>
      </c>
      <c r="L1941">
        <v>98103</v>
      </c>
      <c r="M1941" t="s">
        <v>43</v>
      </c>
      <c r="N1941" t="s">
        <v>1774</v>
      </c>
      <c r="O1941" t="s">
        <v>45</v>
      </c>
      <c r="P1941" t="s">
        <v>58</v>
      </c>
      <c r="Q1941" t="s">
        <v>1775</v>
      </c>
      <c r="R1941">
        <v>30.28</v>
      </c>
      <c r="S1941">
        <v>2</v>
      </c>
      <c r="T1941">
        <v>0</v>
      </c>
      <c r="U1941">
        <v>1.2112000000000001</v>
      </c>
      <c r="V1941" t="str">
        <f t="shared" si="30"/>
        <v>Bradley Nguyen</v>
      </c>
      <c r="W1941">
        <f>Table2[Profit]/Table2[Sales]</f>
        <v>0.04</v>
      </c>
    </row>
    <row r="1942" spans="1:23" x14ac:dyDescent="0.25">
      <c r="A1942">
        <v>1941</v>
      </c>
      <c r="B1942" t="s">
        <v>6907</v>
      </c>
      <c r="C1942" s="1">
        <v>42443</v>
      </c>
      <c r="D1942" s="1">
        <v>42446</v>
      </c>
      <c r="E1942" t="s">
        <v>185</v>
      </c>
      <c r="F1942" t="s">
        <v>2971</v>
      </c>
      <c r="G1942" t="s">
        <v>2972</v>
      </c>
      <c r="H1942" t="s">
        <v>25</v>
      </c>
      <c r="I1942" t="s">
        <v>26</v>
      </c>
      <c r="J1942" t="s">
        <v>1291</v>
      </c>
      <c r="K1942" t="s">
        <v>103</v>
      </c>
      <c r="L1942">
        <v>78550</v>
      </c>
      <c r="M1942" t="s">
        <v>104</v>
      </c>
      <c r="N1942" t="s">
        <v>2431</v>
      </c>
      <c r="O1942" t="s">
        <v>31</v>
      </c>
      <c r="P1942" t="s">
        <v>32</v>
      </c>
      <c r="Q1942" t="s">
        <v>2432</v>
      </c>
      <c r="R1942">
        <v>241.33199999999999</v>
      </c>
      <c r="S1942">
        <v>5</v>
      </c>
      <c r="T1942">
        <v>0.32</v>
      </c>
      <c r="U1942">
        <v>-14.196</v>
      </c>
      <c r="V1942" t="str">
        <f t="shared" si="30"/>
        <v>John Stevenson</v>
      </c>
      <c r="W1942">
        <f>Table2[Profit]/Table2[Sales]</f>
        <v>-5.8823529411764705E-2</v>
      </c>
    </row>
    <row r="1943" spans="1:23" x14ac:dyDescent="0.25">
      <c r="A1943">
        <v>1942</v>
      </c>
      <c r="B1943" t="s">
        <v>6908</v>
      </c>
      <c r="C1943" s="1">
        <v>42608</v>
      </c>
      <c r="D1943" s="1">
        <v>42615</v>
      </c>
      <c r="E1943" t="s">
        <v>49</v>
      </c>
      <c r="F1943" t="s">
        <v>4104</v>
      </c>
      <c r="G1943" t="s">
        <v>4105</v>
      </c>
      <c r="H1943" t="s">
        <v>40</v>
      </c>
      <c r="I1943" t="s">
        <v>26</v>
      </c>
      <c r="J1943" t="s">
        <v>143</v>
      </c>
      <c r="K1943" t="s">
        <v>144</v>
      </c>
      <c r="L1943">
        <v>19140</v>
      </c>
      <c r="M1943" t="s">
        <v>145</v>
      </c>
      <c r="N1943" t="s">
        <v>6909</v>
      </c>
      <c r="O1943" t="s">
        <v>45</v>
      </c>
      <c r="P1943" t="s">
        <v>67</v>
      </c>
      <c r="Q1943" t="s">
        <v>6910</v>
      </c>
      <c r="R1943">
        <v>5.4720000000000004</v>
      </c>
      <c r="S1943">
        <v>3</v>
      </c>
      <c r="T1943">
        <v>0.2</v>
      </c>
      <c r="U1943">
        <v>1.6415999999999999</v>
      </c>
      <c r="V1943" t="str">
        <f t="shared" si="30"/>
        <v>Vivek Grady</v>
      </c>
      <c r="W1943">
        <f>Table2[Profit]/Table2[Sales]</f>
        <v>0.3</v>
      </c>
    </row>
    <row r="1944" spans="1:23" x14ac:dyDescent="0.25">
      <c r="A1944">
        <v>1943</v>
      </c>
      <c r="B1944" t="s">
        <v>6911</v>
      </c>
      <c r="C1944" s="1">
        <v>42980</v>
      </c>
      <c r="D1944" s="1">
        <v>42986</v>
      </c>
      <c r="E1944" t="s">
        <v>49</v>
      </c>
      <c r="F1944" t="s">
        <v>4067</v>
      </c>
      <c r="G1944" t="s">
        <v>4068</v>
      </c>
      <c r="H1944" t="s">
        <v>25</v>
      </c>
      <c r="I1944" t="s">
        <v>26</v>
      </c>
      <c r="J1944" t="s">
        <v>5826</v>
      </c>
      <c r="K1944" t="s">
        <v>42</v>
      </c>
      <c r="L1944">
        <v>93309</v>
      </c>
      <c r="M1944" t="s">
        <v>43</v>
      </c>
      <c r="N1944" t="s">
        <v>3320</v>
      </c>
      <c r="O1944" t="s">
        <v>45</v>
      </c>
      <c r="P1944" t="s">
        <v>67</v>
      </c>
      <c r="Q1944" t="s">
        <v>3321</v>
      </c>
      <c r="R1944">
        <v>9.4</v>
      </c>
      <c r="S1944">
        <v>5</v>
      </c>
      <c r="T1944">
        <v>0</v>
      </c>
      <c r="U1944">
        <v>2.726</v>
      </c>
      <c r="V1944" t="str">
        <f t="shared" si="30"/>
        <v>Anthony Witt</v>
      </c>
      <c r="W1944">
        <f>Table2[Profit]/Table2[Sales]</f>
        <v>0.28999999999999998</v>
      </c>
    </row>
    <row r="1945" spans="1:23" x14ac:dyDescent="0.25">
      <c r="A1945">
        <v>1944</v>
      </c>
      <c r="B1945" t="s">
        <v>6912</v>
      </c>
      <c r="C1945" s="1">
        <v>42171</v>
      </c>
      <c r="D1945" s="1">
        <v>42175</v>
      </c>
      <c r="E1945" t="s">
        <v>49</v>
      </c>
      <c r="F1945" t="s">
        <v>6815</v>
      </c>
      <c r="G1945" t="s">
        <v>6816</v>
      </c>
      <c r="H1945" t="s">
        <v>25</v>
      </c>
      <c r="I1945" t="s">
        <v>26</v>
      </c>
      <c r="J1945" t="s">
        <v>751</v>
      </c>
      <c r="K1945" t="s">
        <v>103</v>
      </c>
      <c r="L1945">
        <v>75051</v>
      </c>
      <c r="M1945" t="s">
        <v>104</v>
      </c>
      <c r="N1945" t="s">
        <v>6913</v>
      </c>
      <c r="O1945" t="s">
        <v>45</v>
      </c>
      <c r="P1945" t="s">
        <v>170</v>
      </c>
      <c r="Q1945" t="s">
        <v>662</v>
      </c>
      <c r="R1945">
        <v>28.751999999999999</v>
      </c>
      <c r="S1945">
        <v>3</v>
      </c>
      <c r="T1945">
        <v>0.2</v>
      </c>
      <c r="U1945">
        <v>9.3444000000000003</v>
      </c>
      <c r="V1945" t="str">
        <f t="shared" si="30"/>
        <v>Lycoris Saunders</v>
      </c>
      <c r="W1945">
        <f>Table2[Profit]/Table2[Sales]</f>
        <v>0.32500000000000001</v>
      </c>
    </row>
    <row r="1946" spans="1:23" x14ac:dyDescent="0.25">
      <c r="A1946">
        <v>1945</v>
      </c>
      <c r="B1946" t="s">
        <v>6914</v>
      </c>
      <c r="C1946" s="1">
        <v>42714</v>
      </c>
      <c r="D1946" s="1">
        <v>42714</v>
      </c>
      <c r="E1946" t="s">
        <v>1278</v>
      </c>
      <c r="F1946" t="s">
        <v>6508</v>
      </c>
      <c r="G1946" t="s">
        <v>6509</v>
      </c>
      <c r="H1946" t="s">
        <v>25</v>
      </c>
      <c r="I1946" t="s">
        <v>26</v>
      </c>
      <c r="J1946" t="s">
        <v>6915</v>
      </c>
      <c r="K1946" t="s">
        <v>251</v>
      </c>
      <c r="L1946">
        <v>46142</v>
      </c>
      <c r="M1946" t="s">
        <v>104</v>
      </c>
      <c r="N1946" t="s">
        <v>1769</v>
      </c>
      <c r="O1946" t="s">
        <v>31</v>
      </c>
      <c r="P1946" t="s">
        <v>35</v>
      </c>
      <c r="Q1946" t="s">
        <v>1770</v>
      </c>
      <c r="R1946">
        <v>1424.9</v>
      </c>
      <c r="S1946">
        <v>5</v>
      </c>
      <c r="T1946">
        <v>0</v>
      </c>
      <c r="U1946">
        <v>356.22500000000002</v>
      </c>
      <c r="V1946" t="str">
        <f t="shared" si="30"/>
        <v>Mark Hamilton</v>
      </c>
      <c r="W1946">
        <f>Table2[Profit]/Table2[Sales]</f>
        <v>0.25</v>
      </c>
    </row>
    <row r="1947" spans="1:23" x14ac:dyDescent="0.25">
      <c r="A1947">
        <v>1946</v>
      </c>
      <c r="B1947" t="s">
        <v>6916</v>
      </c>
      <c r="C1947" s="1">
        <v>42873</v>
      </c>
      <c r="D1947" s="1">
        <v>42878</v>
      </c>
      <c r="E1947" t="s">
        <v>49</v>
      </c>
      <c r="F1947" t="s">
        <v>2917</v>
      </c>
      <c r="G1947" t="s">
        <v>2918</v>
      </c>
      <c r="H1947" t="s">
        <v>25</v>
      </c>
      <c r="I1947" t="s">
        <v>26</v>
      </c>
      <c r="J1947" t="s">
        <v>263</v>
      </c>
      <c r="K1947" t="s">
        <v>264</v>
      </c>
      <c r="L1947">
        <v>10024</v>
      </c>
      <c r="M1947" t="s">
        <v>145</v>
      </c>
      <c r="N1947" t="s">
        <v>3980</v>
      </c>
      <c r="O1947" t="s">
        <v>31</v>
      </c>
      <c r="P1947" t="s">
        <v>64</v>
      </c>
      <c r="Q1947" t="s">
        <v>3981</v>
      </c>
      <c r="R1947">
        <v>14.56</v>
      </c>
      <c r="S1947">
        <v>2</v>
      </c>
      <c r="T1947">
        <v>0</v>
      </c>
      <c r="U1947">
        <v>6.2607999999999997</v>
      </c>
      <c r="V1947" t="str">
        <f t="shared" si="30"/>
        <v>Toby Swindell</v>
      </c>
      <c r="W1947">
        <f>Table2[Profit]/Table2[Sales]</f>
        <v>0.42999999999999994</v>
      </c>
    </row>
    <row r="1948" spans="1:23" x14ac:dyDescent="0.25">
      <c r="A1948">
        <v>1947</v>
      </c>
      <c r="B1948" t="s">
        <v>6917</v>
      </c>
      <c r="C1948" s="1">
        <v>42882</v>
      </c>
      <c r="D1948" s="1">
        <v>42884</v>
      </c>
      <c r="E1948" t="s">
        <v>22</v>
      </c>
      <c r="F1948" t="s">
        <v>153</v>
      </c>
      <c r="G1948" t="s">
        <v>154</v>
      </c>
      <c r="H1948" t="s">
        <v>25</v>
      </c>
      <c r="I1948" t="s">
        <v>26</v>
      </c>
      <c r="J1948" t="s">
        <v>327</v>
      </c>
      <c r="K1948" t="s">
        <v>328</v>
      </c>
      <c r="L1948">
        <v>38109</v>
      </c>
      <c r="M1948" t="s">
        <v>29</v>
      </c>
      <c r="N1948" t="s">
        <v>3002</v>
      </c>
      <c r="O1948" t="s">
        <v>45</v>
      </c>
      <c r="P1948" t="s">
        <v>89</v>
      </c>
      <c r="Q1948" t="s">
        <v>3003</v>
      </c>
      <c r="R1948">
        <v>25.92</v>
      </c>
      <c r="S1948">
        <v>5</v>
      </c>
      <c r="T1948">
        <v>0.2</v>
      </c>
      <c r="U1948">
        <v>9.0719999999999992</v>
      </c>
      <c r="V1948" t="str">
        <f t="shared" si="30"/>
        <v>Eric Hoffmann</v>
      </c>
      <c r="W1948">
        <f>Table2[Profit]/Table2[Sales]</f>
        <v>0.34999999999999992</v>
      </c>
    </row>
    <row r="1949" spans="1:23" x14ac:dyDescent="0.25">
      <c r="A1949">
        <v>1948</v>
      </c>
      <c r="B1949" t="s">
        <v>6918</v>
      </c>
      <c r="C1949" s="1">
        <v>42544</v>
      </c>
      <c r="D1949" s="1">
        <v>42551</v>
      </c>
      <c r="E1949" t="s">
        <v>49</v>
      </c>
      <c r="F1949" t="s">
        <v>6919</v>
      </c>
      <c r="G1949" t="s">
        <v>6920</v>
      </c>
      <c r="H1949" t="s">
        <v>25</v>
      </c>
      <c r="I1949" t="s">
        <v>26</v>
      </c>
      <c r="J1949" t="s">
        <v>3383</v>
      </c>
      <c r="K1949" t="s">
        <v>264</v>
      </c>
      <c r="L1949">
        <v>14215</v>
      </c>
      <c r="M1949" t="s">
        <v>145</v>
      </c>
      <c r="N1949" t="s">
        <v>5766</v>
      </c>
      <c r="O1949" t="s">
        <v>45</v>
      </c>
      <c r="P1949" t="s">
        <v>572</v>
      </c>
      <c r="Q1949" t="s">
        <v>5767</v>
      </c>
      <c r="R1949">
        <v>835.17</v>
      </c>
      <c r="S1949">
        <v>7</v>
      </c>
      <c r="T1949">
        <v>0</v>
      </c>
      <c r="U1949">
        <v>16.703399999999998</v>
      </c>
      <c r="V1949" t="str">
        <f t="shared" si="30"/>
        <v>Maureen Gnade</v>
      </c>
      <c r="W1949">
        <f>Table2[Profit]/Table2[Sales]</f>
        <v>0.02</v>
      </c>
    </row>
    <row r="1950" spans="1:23" x14ac:dyDescent="0.25">
      <c r="A1950">
        <v>1949</v>
      </c>
      <c r="B1950" t="s">
        <v>6921</v>
      </c>
      <c r="C1950" s="1">
        <v>42506</v>
      </c>
      <c r="D1950" s="1">
        <v>42511</v>
      </c>
      <c r="E1950" t="s">
        <v>22</v>
      </c>
      <c r="F1950" t="s">
        <v>1339</v>
      </c>
      <c r="G1950" t="s">
        <v>1340</v>
      </c>
      <c r="H1950" t="s">
        <v>25</v>
      </c>
      <c r="I1950" t="s">
        <v>26</v>
      </c>
      <c r="J1950" t="s">
        <v>41</v>
      </c>
      <c r="K1950" t="s">
        <v>42</v>
      </c>
      <c r="L1950">
        <v>90036</v>
      </c>
      <c r="M1950" t="s">
        <v>43</v>
      </c>
      <c r="N1950" t="s">
        <v>2340</v>
      </c>
      <c r="O1950" t="s">
        <v>45</v>
      </c>
      <c r="P1950" t="s">
        <v>89</v>
      </c>
      <c r="Q1950" t="s">
        <v>2341</v>
      </c>
      <c r="R1950">
        <v>17.34</v>
      </c>
      <c r="S1950">
        <v>3</v>
      </c>
      <c r="T1950">
        <v>0</v>
      </c>
      <c r="U1950">
        <v>8.4966000000000008</v>
      </c>
      <c r="V1950" t="str">
        <f t="shared" si="30"/>
        <v>Denny Ordway</v>
      </c>
      <c r="W1950">
        <f>Table2[Profit]/Table2[Sales]</f>
        <v>0.49000000000000005</v>
      </c>
    </row>
    <row r="1951" spans="1:23" x14ac:dyDescent="0.25">
      <c r="A1951">
        <v>1950</v>
      </c>
      <c r="B1951" t="s">
        <v>6922</v>
      </c>
      <c r="C1951" s="1">
        <v>43057</v>
      </c>
      <c r="D1951" s="1">
        <v>43062</v>
      </c>
      <c r="E1951" t="s">
        <v>49</v>
      </c>
      <c r="F1951" t="s">
        <v>4974</v>
      </c>
      <c r="G1951" t="s">
        <v>4975</v>
      </c>
      <c r="H1951" t="s">
        <v>25</v>
      </c>
      <c r="I1951" t="s">
        <v>26</v>
      </c>
      <c r="J1951" t="s">
        <v>3223</v>
      </c>
      <c r="K1951" t="s">
        <v>53</v>
      </c>
      <c r="L1951">
        <v>33030</v>
      </c>
      <c r="M1951" t="s">
        <v>29</v>
      </c>
      <c r="N1951" t="s">
        <v>6155</v>
      </c>
      <c r="O1951" t="s">
        <v>45</v>
      </c>
      <c r="P1951" t="s">
        <v>89</v>
      </c>
      <c r="Q1951" t="s">
        <v>6156</v>
      </c>
      <c r="R1951">
        <v>44.384</v>
      </c>
      <c r="S1951">
        <v>1</v>
      </c>
      <c r="T1951">
        <v>0.2</v>
      </c>
      <c r="U1951">
        <v>15.5344</v>
      </c>
      <c r="V1951" t="str">
        <f t="shared" si="30"/>
        <v>Art Ferguson</v>
      </c>
      <c r="W1951">
        <f>Table2[Profit]/Table2[Sales]</f>
        <v>0.35</v>
      </c>
    </row>
    <row r="1952" spans="1:23" x14ac:dyDescent="0.25">
      <c r="A1952">
        <v>1951</v>
      </c>
      <c r="B1952" t="s">
        <v>6923</v>
      </c>
      <c r="C1952" s="1">
        <v>42692</v>
      </c>
      <c r="D1952" s="1">
        <v>42696</v>
      </c>
      <c r="E1952" t="s">
        <v>49</v>
      </c>
      <c r="F1952" t="s">
        <v>194</v>
      </c>
      <c r="G1952" t="s">
        <v>195</v>
      </c>
      <c r="H1952" t="s">
        <v>101</v>
      </c>
      <c r="I1952" t="s">
        <v>26</v>
      </c>
      <c r="J1952" t="s">
        <v>596</v>
      </c>
      <c r="K1952" t="s">
        <v>103</v>
      </c>
      <c r="L1952">
        <v>77506</v>
      </c>
      <c r="M1952" t="s">
        <v>104</v>
      </c>
      <c r="N1952" t="s">
        <v>763</v>
      </c>
      <c r="O1952" t="s">
        <v>45</v>
      </c>
      <c r="P1952" t="s">
        <v>67</v>
      </c>
      <c r="Q1952" t="s">
        <v>764</v>
      </c>
      <c r="R1952">
        <v>6.3680000000000003</v>
      </c>
      <c r="S1952">
        <v>2</v>
      </c>
      <c r="T1952">
        <v>0.2</v>
      </c>
      <c r="U1952">
        <v>1.0347999999999999</v>
      </c>
      <c r="V1952" t="str">
        <f t="shared" si="30"/>
        <v>Steve Nguyen</v>
      </c>
      <c r="W1952">
        <f>Table2[Profit]/Table2[Sales]</f>
        <v>0.16249999999999998</v>
      </c>
    </row>
    <row r="1953" spans="1:23" x14ac:dyDescent="0.25">
      <c r="A1953">
        <v>1952</v>
      </c>
      <c r="B1953" t="s">
        <v>6924</v>
      </c>
      <c r="C1953" s="1">
        <v>41971</v>
      </c>
      <c r="D1953" s="1">
        <v>41973</v>
      </c>
      <c r="E1953" t="s">
        <v>22</v>
      </c>
      <c r="F1953" t="s">
        <v>3037</v>
      </c>
      <c r="G1953" t="s">
        <v>3038</v>
      </c>
      <c r="H1953" t="s">
        <v>25</v>
      </c>
      <c r="I1953" t="s">
        <v>26</v>
      </c>
      <c r="J1953" t="s">
        <v>3637</v>
      </c>
      <c r="K1953" t="s">
        <v>264</v>
      </c>
      <c r="L1953">
        <v>11520</v>
      </c>
      <c r="M1953" t="s">
        <v>145</v>
      </c>
      <c r="N1953" t="s">
        <v>3188</v>
      </c>
      <c r="O1953" t="s">
        <v>45</v>
      </c>
      <c r="P1953" t="s">
        <v>74</v>
      </c>
      <c r="Q1953" t="s">
        <v>3189</v>
      </c>
      <c r="R1953">
        <v>17.248000000000001</v>
      </c>
      <c r="S1953">
        <v>2</v>
      </c>
      <c r="T1953">
        <v>0.2</v>
      </c>
      <c r="U1953">
        <v>6.0368000000000004</v>
      </c>
      <c r="V1953" t="str">
        <f t="shared" si="30"/>
        <v>Mary O'Rourke</v>
      </c>
      <c r="W1953">
        <f>Table2[Profit]/Table2[Sales]</f>
        <v>0.35</v>
      </c>
    </row>
    <row r="1954" spans="1:23" x14ac:dyDescent="0.25">
      <c r="A1954">
        <v>1953</v>
      </c>
      <c r="B1954" t="s">
        <v>6925</v>
      </c>
      <c r="C1954" s="1">
        <v>42430</v>
      </c>
      <c r="D1954" s="1">
        <v>42437</v>
      </c>
      <c r="E1954" t="s">
        <v>49</v>
      </c>
      <c r="F1954" t="s">
        <v>223</v>
      </c>
      <c r="G1954" t="s">
        <v>224</v>
      </c>
      <c r="H1954" t="s">
        <v>40</v>
      </c>
      <c r="I1954" t="s">
        <v>26</v>
      </c>
      <c r="J1954" t="s">
        <v>800</v>
      </c>
      <c r="K1954" t="s">
        <v>450</v>
      </c>
      <c r="L1954">
        <v>80219</v>
      </c>
      <c r="M1954" t="s">
        <v>43</v>
      </c>
      <c r="N1954" t="s">
        <v>6926</v>
      </c>
      <c r="O1954" t="s">
        <v>70</v>
      </c>
      <c r="P1954" t="s">
        <v>71</v>
      </c>
      <c r="Q1954" t="s">
        <v>6927</v>
      </c>
      <c r="R1954">
        <v>159.98400000000001</v>
      </c>
      <c r="S1954">
        <v>2</v>
      </c>
      <c r="T1954">
        <v>0.2</v>
      </c>
      <c r="U1954">
        <v>13.9986</v>
      </c>
      <c r="V1954" t="str">
        <f t="shared" si="30"/>
        <v>Odella Nelson</v>
      </c>
      <c r="W1954">
        <f>Table2[Profit]/Table2[Sales]</f>
        <v>8.7499999999999994E-2</v>
      </c>
    </row>
    <row r="1955" spans="1:23" x14ac:dyDescent="0.25">
      <c r="A1955">
        <v>1954</v>
      </c>
      <c r="B1955" t="s">
        <v>6928</v>
      </c>
      <c r="C1955" s="1">
        <v>42750</v>
      </c>
      <c r="D1955" s="1">
        <v>42754</v>
      </c>
      <c r="E1955" t="s">
        <v>49</v>
      </c>
      <c r="F1955" t="s">
        <v>1561</v>
      </c>
      <c r="G1955" t="s">
        <v>1562</v>
      </c>
      <c r="H1955" t="s">
        <v>25</v>
      </c>
      <c r="I1955" t="s">
        <v>26</v>
      </c>
      <c r="J1955" t="s">
        <v>1309</v>
      </c>
      <c r="K1955" t="s">
        <v>1233</v>
      </c>
      <c r="L1955">
        <v>2169</v>
      </c>
      <c r="M1955" t="s">
        <v>145</v>
      </c>
      <c r="N1955" t="s">
        <v>322</v>
      </c>
      <c r="O1955" t="s">
        <v>45</v>
      </c>
      <c r="P1955" t="s">
        <v>89</v>
      </c>
      <c r="Q1955" t="s">
        <v>323</v>
      </c>
      <c r="R1955">
        <v>12.7</v>
      </c>
      <c r="S1955">
        <v>2</v>
      </c>
      <c r="T1955">
        <v>0</v>
      </c>
      <c r="U1955">
        <v>5.8419999999999996</v>
      </c>
      <c r="V1955" t="str">
        <f t="shared" si="30"/>
        <v>Sanjit Chand</v>
      </c>
      <c r="W1955">
        <f>Table2[Profit]/Table2[Sales]</f>
        <v>0.46</v>
      </c>
    </row>
    <row r="1956" spans="1:23" x14ac:dyDescent="0.25">
      <c r="A1956">
        <v>1955</v>
      </c>
      <c r="B1956" t="s">
        <v>6929</v>
      </c>
      <c r="C1956" s="1">
        <v>41733</v>
      </c>
      <c r="D1956" s="1">
        <v>41738</v>
      </c>
      <c r="E1956" t="s">
        <v>49</v>
      </c>
      <c r="F1956" t="s">
        <v>3114</v>
      </c>
      <c r="G1956" t="s">
        <v>3115</v>
      </c>
      <c r="H1956" t="s">
        <v>25</v>
      </c>
      <c r="I1956" t="s">
        <v>26</v>
      </c>
      <c r="J1956" t="s">
        <v>873</v>
      </c>
      <c r="K1956" t="s">
        <v>235</v>
      </c>
      <c r="L1956">
        <v>48205</v>
      </c>
      <c r="M1956" t="s">
        <v>104</v>
      </c>
      <c r="N1956" t="s">
        <v>1884</v>
      </c>
      <c r="O1956" t="s">
        <v>31</v>
      </c>
      <c r="P1956" t="s">
        <v>64</v>
      </c>
      <c r="Q1956" t="s">
        <v>1885</v>
      </c>
      <c r="R1956">
        <v>5.47</v>
      </c>
      <c r="S1956">
        <v>1</v>
      </c>
      <c r="T1956">
        <v>0</v>
      </c>
      <c r="U1956">
        <v>2.3521000000000001</v>
      </c>
      <c r="V1956" t="str">
        <f t="shared" si="30"/>
        <v>Maurice Satty</v>
      </c>
      <c r="W1956">
        <f>Table2[Profit]/Table2[Sales]</f>
        <v>0.43000000000000005</v>
      </c>
    </row>
    <row r="1957" spans="1:23" x14ac:dyDescent="0.25">
      <c r="A1957">
        <v>1956</v>
      </c>
      <c r="B1957" t="s">
        <v>6930</v>
      </c>
      <c r="C1957" s="1">
        <v>42547</v>
      </c>
      <c r="D1957" s="1">
        <v>42554</v>
      </c>
      <c r="E1957" t="s">
        <v>49</v>
      </c>
      <c r="F1957" t="s">
        <v>357</v>
      </c>
      <c r="G1957" t="s">
        <v>358</v>
      </c>
      <c r="H1957" t="s">
        <v>25</v>
      </c>
      <c r="I1957" t="s">
        <v>26</v>
      </c>
      <c r="J1957" t="s">
        <v>126</v>
      </c>
      <c r="K1957" t="s">
        <v>42</v>
      </c>
      <c r="L1957">
        <v>94109</v>
      </c>
      <c r="M1957" t="s">
        <v>43</v>
      </c>
      <c r="N1957" t="s">
        <v>4958</v>
      </c>
      <c r="O1957" t="s">
        <v>31</v>
      </c>
      <c r="P1957" t="s">
        <v>64</v>
      </c>
      <c r="Q1957" t="s">
        <v>4959</v>
      </c>
      <c r="R1957">
        <v>22.14</v>
      </c>
      <c r="S1957">
        <v>3</v>
      </c>
      <c r="T1957">
        <v>0</v>
      </c>
      <c r="U1957">
        <v>6.4206000000000003</v>
      </c>
      <c r="V1957" t="str">
        <f t="shared" si="30"/>
        <v>Duane Noonan</v>
      </c>
      <c r="W1957">
        <f>Table2[Profit]/Table2[Sales]</f>
        <v>0.28999999999999998</v>
      </c>
    </row>
    <row r="1958" spans="1:23" x14ac:dyDescent="0.25">
      <c r="A1958">
        <v>1957</v>
      </c>
      <c r="B1958" t="s">
        <v>6931</v>
      </c>
      <c r="C1958" s="1">
        <v>42519</v>
      </c>
      <c r="D1958" s="1">
        <v>42523</v>
      </c>
      <c r="E1958" t="s">
        <v>49</v>
      </c>
      <c r="F1958" t="s">
        <v>1538</v>
      </c>
      <c r="G1958" t="s">
        <v>1539</v>
      </c>
      <c r="H1958" t="s">
        <v>25</v>
      </c>
      <c r="I1958" t="s">
        <v>26</v>
      </c>
      <c r="J1958" t="s">
        <v>5545</v>
      </c>
      <c r="K1958" t="s">
        <v>328</v>
      </c>
      <c r="L1958">
        <v>37211</v>
      </c>
      <c r="M1958" t="s">
        <v>29</v>
      </c>
      <c r="N1958" t="s">
        <v>4281</v>
      </c>
      <c r="O1958" t="s">
        <v>45</v>
      </c>
      <c r="P1958" t="s">
        <v>74</v>
      </c>
      <c r="Q1958" t="s">
        <v>4282</v>
      </c>
      <c r="R1958">
        <v>11.276999999999999</v>
      </c>
      <c r="S1958">
        <v>3</v>
      </c>
      <c r="T1958">
        <v>0.7</v>
      </c>
      <c r="U1958">
        <v>-8.6456999999999997</v>
      </c>
      <c r="V1958" t="str">
        <f t="shared" si="30"/>
        <v>Raymond Buch</v>
      </c>
      <c r="W1958">
        <f>Table2[Profit]/Table2[Sales]</f>
        <v>-0.76666666666666672</v>
      </c>
    </row>
    <row r="1959" spans="1:23" x14ac:dyDescent="0.25">
      <c r="A1959">
        <v>1958</v>
      </c>
      <c r="B1959" t="s">
        <v>6934</v>
      </c>
      <c r="C1959" s="1">
        <v>42296</v>
      </c>
      <c r="D1959" s="1">
        <v>42301</v>
      </c>
      <c r="E1959" t="s">
        <v>49</v>
      </c>
      <c r="F1959" t="s">
        <v>3842</v>
      </c>
      <c r="G1959" t="s">
        <v>3843</v>
      </c>
      <c r="H1959" t="s">
        <v>40</v>
      </c>
      <c r="I1959" t="s">
        <v>26</v>
      </c>
      <c r="J1959" t="s">
        <v>873</v>
      </c>
      <c r="K1959" t="s">
        <v>235</v>
      </c>
      <c r="L1959">
        <v>48227</v>
      </c>
      <c r="M1959" t="s">
        <v>104</v>
      </c>
      <c r="N1959" t="s">
        <v>4732</v>
      </c>
      <c r="O1959" t="s">
        <v>45</v>
      </c>
      <c r="P1959" t="s">
        <v>74</v>
      </c>
      <c r="Q1959" t="s">
        <v>4733</v>
      </c>
      <c r="R1959">
        <v>38.28</v>
      </c>
      <c r="S1959">
        <v>6</v>
      </c>
      <c r="T1959">
        <v>0</v>
      </c>
      <c r="U1959">
        <v>17.608799999999999</v>
      </c>
      <c r="V1959" t="str">
        <f t="shared" si="30"/>
        <v>Nicole Hansen</v>
      </c>
      <c r="W1959">
        <f>Table2[Profit]/Table2[Sales]</f>
        <v>0.45999999999999996</v>
      </c>
    </row>
    <row r="1960" spans="1:23" x14ac:dyDescent="0.25">
      <c r="A1960">
        <v>1959</v>
      </c>
      <c r="B1960" t="s">
        <v>6935</v>
      </c>
      <c r="C1960" s="1">
        <v>42785</v>
      </c>
      <c r="D1960" s="1">
        <v>42786</v>
      </c>
      <c r="E1960" t="s">
        <v>185</v>
      </c>
      <c r="F1960" t="s">
        <v>4353</v>
      </c>
      <c r="G1960" t="s">
        <v>4354</v>
      </c>
      <c r="H1960" t="s">
        <v>101</v>
      </c>
      <c r="I1960" t="s">
        <v>26</v>
      </c>
      <c r="J1960" t="s">
        <v>41</v>
      </c>
      <c r="K1960" t="s">
        <v>42</v>
      </c>
      <c r="L1960">
        <v>90045</v>
      </c>
      <c r="M1960" t="s">
        <v>43</v>
      </c>
      <c r="N1960" t="s">
        <v>3866</v>
      </c>
      <c r="O1960" t="s">
        <v>45</v>
      </c>
      <c r="P1960" t="s">
        <v>67</v>
      </c>
      <c r="Q1960" t="s">
        <v>3867</v>
      </c>
      <c r="R1960">
        <v>12.84</v>
      </c>
      <c r="S1960">
        <v>3</v>
      </c>
      <c r="T1960">
        <v>0</v>
      </c>
      <c r="U1960">
        <v>3.4668000000000001</v>
      </c>
      <c r="V1960" t="str">
        <f t="shared" si="30"/>
        <v>Emily Ducich</v>
      </c>
      <c r="W1960">
        <f>Table2[Profit]/Table2[Sales]</f>
        <v>0.27</v>
      </c>
    </row>
    <row r="1961" spans="1:23" x14ac:dyDescent="0.25">
      <c r="A1961">
        <v>1960</v>
      </c>
      <c r="B1961" t="s">
        <v>6936</v>
      </c>
      <c r="C1961" s="1">
        <v>42635</v>
      </c>
      <c r="D1961" s="1">
        <v>42641</v>
      </c>
      <c r="E1961" t="s">
        <v>49</v>
      </c>
      <c r="F1961" t="s">
        <v>5386</v>
      </c>
      <c r="G1961" t="s">
        <v>5387</v>
      </c>
      <c r="H1961" t="s">
        <v>25</v>
      </c>
      <c r="I1961" t="s">
        <v>26</v>
      </c>
      <c r="J1961" t="s">
        <v>143</v>
      </c>
      <c r="K1961" t="s">
        <v>144</v>
      </c>
      <c r="L1961">
        <v>19140</v>
      </c>
      <c r="M1961" t="s">
        <v>145</v>
      </c>
      <c r="N1961" t="s">
        <v>6937</v>
      </c>
      <c r="O1961" t="s">
        <v>45</v>
      </c>
      <c r="P1961" t="s">
        <v>67</v>
      </c>
      <c r="Q1961" t="s">
        <v>6938</v>
      </c>
      <c r="R1961">
        <v>7.8719999999999999</v>
      </c>
      <c r="S1961">
        <v>3</v>
      </c>
      <c r="T1961">
        <v>0.2</v>
      </c>
      <c r="U1961">
        <v>0.88560000000000005</v>
      </c>
      <c r="V1961" t="str">
        <f t="shared" si="30"/>
        <v>Pierre Wener</v>
      </c>
      <c r="W1961">
        <f>Table2[Profit]/Table2[Sales]</f>
        <v>0.1125</v>
      </c>
    </row>
    <row r="1962" spans="1:23" x14ac:dyDescent="0.25">
      <c r="A1962">
        <v>1961</v>
      </c>
      <c r="B1962" t="s">
        <v>6939</v>
      </c>
      <c r="C1962" s="1">
        <v>41955</v>
      </c>
      <c r="D1962" s="1">
        <v>41960</v>
      </c>
      <c r="E1962" t="s">
        <v>22</v>
      </c>
      <c r="F1962" t="s">
        <v>5899</v>
      </c>
      <c r="G1962" t="s">
        <v>5900</v>
      </c>
      <c r="H1962" t="s">
        <v>40</v>
      </c>
      <c r="I1962" t="s">
        <v>26</v>
      </c>
      <c r="J1962" t="s">
        <v>2455</v>
      </c>
      <c r="K1962" t="s">
        <v>87</v>
      </c>
      <c r="L1962">
        <v>28806</v>
      </c>
      <c r="M1962" t="s">
        <v>29</v>
      </c>
      <c r="N1962" t="s">
        <v>1106</v>
      </c>
      <c r="O1962" t="s">
        <v>45</v>
      </c>
      <c r="P1962" t="s">
        <v>67</v>
      </c>
      <c r="Q1962" t="s">
        <v>1107</v>
      </c>
      <c r="R1962">
        <v>7.8719999999999999</v>
      </c>
      <c r="S1962">
        <v>3</v>
      </c>
      <c r="T1962">
        <v>0.2</v>
      </c>
      <c r="U1962">
        <v>0.88560000000000005</v>
      </c>
      <c r="V1962" t="str">
        <f t="shared" si="30"/>
        <v>Denise Monton</v>
      </c>
      <c r="W1962">
        <f>Table2[Profit]/Table2[Sales]</f>
        <v>0.1125</v>
      </c>
    </row>
    <row r="1963" spans="1:23" x14ac:dyDescent="0.25">
      <c r="A1963">
        <v>1962</v>
      </c>
      <c r="B1963" t="s">
        <v>6940</v>
      </c>
      <c r="C1963" s="1">
        <v>42461</v>
      </c>
      <c r="D1963" s="1">
        <v>42466</v>
      </c>
      <c r="E1963" t="s">
        <v>49</v>
      </c>
      <c r="F1963" t="s">
        <v>3126</v>
      </c>
      <c r="G1963" t="s">
        <v>3127</v>
      </c>
      <c r="H1963" t="s">
        <v>25</v>
      </c>
      <c r="I1963" t="s">
        <v>26</v>
      </c>
      <c r="J1963" t="s">
        <v>263</v>
      </c>
      <c r="K1963" t="s">
        <v>264</v>
      </c>
      <c r="L1963">
        <v>10024</v>
      </c>
      <c r="M1963" t="s">
        <v>145</v>
      </c>
      <c r="N1963" t="s">
        <v>2556</v>
      </c>
      <c r="O1963" t="s">
        <v>45</v>
      </c>
      <c r="P1963" t="s">
        <v>67</v>
      </c>
      <c r="Q1963" t="s">
        <v>2557</v>
      </c>
      <c r="R1963">
        <v>88.04</v>
      </c>
      <c r="S1963">
        <v>4</v>
      </c>
      <c r="T1963">
        <v>0</v>
      </c>
      <c r="U1963">
        <v>22.8904</v>
      </c>
      <c r="V1963" t="str">
        <f t="shared" si="30"/>
        <v>Don Weiss</v>
      </c>
      <c r="W1963">
        <f>Table2[Profit]/Table2[Sales]</f>
        <v>0.25999999999999995</v>
      </c>
    </row>
    <row r="1964" spans="1:23" x14ac:dyDescent="0.25">
      <c r="A1964">
        <v>1963</v>
      </c>
      <c r="B1964" t="s">
        <v>6941</v>
      </c>
      <c r="C1964" s="1">
        <v>42510</v>
      </c>
      <c r="D1964" s="1">
        <v>42513</v>
      </c>
      <c r="E1964" t="s">
        <v>185</v>
      </c>
      <c r="F1964" t="s">
        <v>2129</v>
      </c>
      <c r="G1964" t="s">
        <v>2130</v>
      </c>
      <c r="H1964" t="s">
        <v>101</v>
      </c>
      <c r="I1964" t="s">
        <v>26</v>
      </c>
      <c r="J1964" t="s">
        <v>1073</v>
      </c>
      <c r="K1964" t="s">
        <v>450</v>
      </c>
      <c r="L1964">
        <v>80906</v>
      </c>
      <c r="M1964" t="s">
        <v>43</v>
      </c>
      <c r="N1964" t="s">
        <v>2355</v>
      </c>
      <c r="O1964" t="s">
        <v>45</v>
      </c>
      <c r="P1964" t="s">
        <v>74</v>
      </c>
      <c r="Q1964" t="s">
        <v>2356</v>
      </c>
      <c r="R1964">
        <v>40.634999999999998</v>
      </c>
      <c r="S1964">
        <v>7</v>
      </c>
      <c r="T1964">
        <v>0.7</v>
      </c>
      <c r="U1964">
        <v>-32.508000000000003</v>
      </c>
      <c r="V1964" t="str">
        <f t="shared" si="30"/>
        <v>Eugene Hildebrand</v>
      </c>
      <c r="W1964">
        <f>Table2[Profit]/Table2[Sales]</f>
        <v>-0.80000000000000016</v>
      </c>
    </row>
    <row r="1965" spans="1:23" x14ac:dyDescent="0.25">
      <c r="A1965">
        <v>1964</v>
      </c>
      <c r="B1965" t="s">
        <v>6942</v>
      </c>
      <c r="C1965" s="1">
        <v>42156</v>
      </c>
      <c r="D1965" s="1">
        <v>42160</v>
      </c>
      <c r="E1965" t="s">
        <v>49</v>
      </c>
      <c r="F1965" t="s">
        <v>6824</v>
      </c>
      <c r="G1965" t="s">
        <v>6825</v>
      </c>
      <c r="H1965" t="s">
        <v>40</v>
      </c>
      <c r="I1965" t="s">
        <v>26</v>
      </c>
      <c r="J1965" t="s">
        <v>671</v>
      </c>
      <c r="K1965" t="s">
        <v>103</v>
      </c>
      <c r="L1965">
        <v>78207</v>
      </c>
      <c r="M1965" t="s">
        <v>104</v>
      </c>
      <c r="N1965" t="s">
        <v>741</v>
      </c>
      <c r="O1965" t="s">
        <v>45</v>
      </c>
      <c r="P1965" t="s">
        <v>74</v>
      </c>
      <c r="Q1965" t="s">
        <v>742</v>
      </c>
      <c r="R1965">
        <v>5.7279999999999998</v>
      </c>
      <c r="S1965">
        <v>8</v>
      </c>
      <c r="T1965">
        <v>0.8</v>
      </c>
      <c r="U1965">
        <v>-9.1647999999999996</v>
      </c>
      <c r="V1965" t="str">
        <f t="shared" si="30"/>
        <v>Katrina Edelman</v>
      </c>
      <c r="W1965">
        <f>Table2[Profit]/Table2[Sales]</f>
        <v>-1.6</v>
      </c>
    </row>
    <row r="1966" spans="1:23" x14ac:dyDescent="0.25">
      <c r="A1966">
        <v>1965</v>
      </c>
      <c r="B1966" t="s">
        <v>6945</v>
      </c>
      <c r="C1966" s="1">
        <v>41965</v>
      </c>
      <c r="D1966" s="1">
        <v>41969</v>
      </c>
      <c r="E1966" t="s">
        <v>49</v>
      </c>
      <c r="F1966" t="s">
        <v>6946</v>
      </c>
      <c r="G1966" t="s">
        <v>6947</v>
      </c>
      <c r="H1966" t="s">
        <v>25</v>
      </c>
      <c r="I1966" t="s">
        <v>26</v>
      </c>
      <c r="J1966" t="s">
        <v>41</v>
      </c>
      <c r="K1966" t="s">
        <v>42</v>
      </c>
      <c r="L1966">
        <v>90036</v>
      </c>
      <c r="M1966" t="s">
        <v>43</v>
      </c>
      <c r="N1966" t="s">
        <v>5450</v>
      </c>
      <c r="O1966" t="s">
        <v>45</v>
      </c>
      <c r="P1966" t="s">
        <v>89</v>
      </c>
      <c r="Q1966" t="s">
        <v>5451</v>
      </c>
      <c r="R1966">
        <v>53.82</v>
      </c>
      <c r="S1966">
        <v>9</v>
      </c>
      <c r="T1966">
        <v>0</v>
      </c>
      <c r="U1966">
        <v>24.219000000000001</v>
      </c>
      <c r="V1966" t="str">
        <f t="shared" si="30"/>
        <v>Susan Pistek</v>
      </c>
      <c r="W1966">
        <f>Table2[Profit]/Table2[Sales]</f>
        <v>0.45</v>
      </c>
    </row>
    <row r="1967" spans="1:23" x14ac:dyDescent="0.25">
      <c r="A1967">
        <v>1966</v>
      </c>
      <c r="B1967" t="s">
        <v>6948</v>
      </c>
      <c r="C1967" s="1">
        <v>42057</v>
      </c>
      <c r="D1967" s="1">
        <v>42059</v>
      </c>
      <c r="E1967" t="s">
        <v>22</v>
      </c>
      <c r="F1967" t="s">
        <v>3163</v>
      </c>
      <c r="G1967" t="s">
        <v>3164</v>
      </c>
      <c r="H1967" t="s">
        <v>101</v>
      </c>
      <c r="I1967" t="s">
        <v>26</v>
      </c>
      <c r="J1967" t="s">
        <v>6057</v>
      </c>
      <c r="K1967" t="s">
        <v>235</v>
      </c>
      <c r="L1967">
        <v>48310</v>
      </c>
      <c r="M1967" t="s">
        <v>104</v>
      </c>
      <c r="N1967" t="s">
        <v>6229</v>
      </c>
      <c r="O1967" t="s">
        <v>45</v>
      </c>
      <c r="P1967" t="s">
        <v>67</v>
      </c>
      <c r="Q1967" t="s">
        <v>6230</v>
      </c>
      <c r="R1967">
        <v>79.36</v>
      </c>
      <c r="S1967">
        <v>4</v>
      </c>
      <c r="T1967">
        <v>0</v>
      </c>
      <c r="U1967">
        <v>20.633600000000001</v>
      </c>
      <c r="V1967" t="str">
        <f t="shared" si="30"/>
        <v>Penelope Sewall</v>
      </c>
      <c r="W1967">
        <f>Table2[Profit]/Table2[Sales]</f>
        <v>0.26</v>
      </c>
    </row>
    <row r="1968" spans="1:23" x14ac:dyDescent="0.25">
      <c r="A1968">
        <v>1967</v>
      </c>
      <c r="B1968" t="s">
        <v>6949</v>
      </c>
      <c r="C1968" s="1">
        <v>42458</v>
      </c>
      <c r="D1968" s="1">
        <v>42462</v>
      </c>
      <c r="E1968" t="s">
        <v>49</v>
      </c>
      <c r="F1968" t="s">
        <v>458</v>
      </c>
      <c r="G1968" t="s">
        <v>459</v>
      </c>
      <c r="H1968" t="s">
        <v>25</v>
      </c>
      <c r="I1968" t="s">
        <v>26</v>
      </c>
      <c r="J1968" t="s">
        <v>263</v>
      </c>
      <c r="K1968" t="s">
        <v>264</v>
      </c>
      <c r="L1968">
        <v>10009</v>
      </c>
      <c r="M1968" t="s">
        <v>145</v>
      </c>
      <c r="N1968" t="s">
        <v>3643</v>
      </c>
      <c r="O1968" t="s">
        <v>45</v>
      </c>
      <c r="P1968" t="s">
        <v>89</v>
      </c>
      <c r="Q1968" t="s">
        <v>3644</v>
      </c>
      <c r="R1968">
        <v>13.48</v>
      </c>
      <c r="S1968">
        <v>2</v>
      </c>
      <c r="T1968">
        <v>0</v>
      </c>
      <c r="U1968">
        <v>6.74</v>
      </c>
      <c r="V1968" t="str">
        <f t="shared" si="30"/>
        <v>Janet Martin</v>
      </c>
      <c r="W1968">
        <f>Table2[Profit]/Table2[Sales]</f>
        <v>0.5</v>
      </c>
    </row>
    <row r="1969" spans="1:23" x14ac:dyDescent="0.25">
      <c r="A1969">
        <v>1968</v>
      </c>
      <c r="B1969" t="s">
        <v>6950</v>
      </c>
      <c r="C1969" s="1">
        <v>42665</v>
      </c>
      <c r="D1969" s="1">
        <v>42667</v>
      </c>
      <c r="E1969" t="s">
        <v>185</v>
      </c>
      <c r="F1969" t="s">
        <v>4267</v>
      </c>
      <c r="G1969" t="s">
        <v>4268</v>
      </c>
      <c r="H1969" t="s">
        <v>25</v>
      </c>
      <c r="I1969" t="s">
        <v>26</v>
      </c>
      <c r="J1969" t="s">
        <v>1450</v>
      </c>
      <c r="K1969" t="s">
        <v>312</v>
      </c>
      <c r="L1969">
        <v>23223</v>
      </c>
      <c r="M1969" t="s">
        <v>29</v>
      </c>
      <c r="N1969" t="s">
        <v>6951</v>
      </c>
      <c r="O1969" t="s">
        <v>31</v>
      </c>
      <c r="P1969" t="s">
        <v>64</v>
      </c>
      <c r="Q1969" t="s">
        <v>6952</v>
      </c>
      <c r="R1969">
        <v>39.92</v>
      </c>
      <c r="S1969">
        <v>4</v>
      </c>
      <c r="T1969">
        <v>0</v>
      </c>
      <c r="U1969">
        <v>11.1776</v>
      </c>
      <c r="V1969" t="str">
        <f t="shared" si="30"/>
        <v>Eric Barreto</v>
      </c>
      <c r="W1969">
        <f>Table2[Profit]/Table2[Sales]</f>
        <v>0.27999999999999997</v>
      </c>
    </row>
    <row r="1970" spans="1:23" x14ac:dyDescent="0.25">
      <c r="A1970">
        <v>1969</v>
      </c>
      <c r="B1970" t="s">
        <v>6953</v>
      </c>
      <c r="C1970" s="1">
        <v>43010</v>
      </c>
      <c r="D1970" s="1">
        <v>43015</v>
      </c>
      <c r="E1970" t="s">
        <v>49</v>
      </c>
      <c r="F1970" t="s">
        <v>3597</v>
      </c>
      <c r="G1970" t="s">
        <v>3598</v>
      </c>
      <c r="H1970" t="s">
        <v>101</v>
      </c>
      <c r="I1970" t="s">
        <v>26</v>
      </c>
      <c r="J1970" t="s">
        <v>94</v>
      </c>
      <c r="K1970" t="s">
        <v>95</v>
      </c>
      <c r="L1970">
        <v>98105</v>
      </c>
      <c r="M1970" t="s">
        <v>43</v>
      </c>
      <c r="N1970" t="s">
        <v>555</v>
      </c>
      <c r="O1970" t="s">
        <v>45</v>
      </c>
      <c r="P1970" t="s">
        <v>266</v>
      </c>
      <c r="Q1970" t="s">
        <v>556</v>
      </c>
      <c r="R1970">
        <v>8.94</v>
      </c>
      <c r="S1970">
        <v>3</v>
      </c>
      <c r="T1970">
        <v>0</v>
      </c>
      <c r="U1970">
        <v>4.1124000000000001</v>
      </c>
      <c r="V1970" t="str">
        <f t="shared" si="30"/>
        <v>Frank Gastineau</v>
      </c>
      <c r="W1970">
        <f>Table2[Profit]/Table2[Sales]</f>
        <v>0.46</v>
      </c>
    </row>
    <row r="1971" spans="1:23" x14ac:dyDescent="0.25">
      <c r="A1971">
        <v>1970</v>
      </c>
      <c r="B1971" t="s">
        <v>6954</v>
      </c>
      <c r="C1971" s="1">
        <v>41996</v>
      </c>
      <c r="D1971" s="1">
        <v>42000</v>
      </c>
      <c r="E1971" t="s">
        <v>49</v>
      </c>
      <c r="F1971" t="s">
        <v>2139</v>
      </c>
      <c r="G1971" t="s">
        <v>2140</v>
      </c>
      <c r="H1971" t="s">
        <v>40</v>
      </c>
      <c r="I1971" t="s">
        <v>26</v>
      </c>
      <c r="J1971" t="s">
        <v>263</v>
      </c>
      <c r="K1971" t="s">
        <v>264</v>
      </c>
      <c r="L1971">
        <v>10024</v>
      </c>
      <c r="M1971" t="s">
        <v>145</v>
      </c>
      <c r="N1971" t="s">
        <v>3730</v>
      </c>
      <c r="O1971" t="s">
        <v>31</v>
      </c>
      <c r="P1971" t="s">
        <v>55</v>
      </c>
      <c r="Q1971" t="s">
        <v>3731</v>
      </c>
      <c r="R1971">
        <v>53.316000000000003</v>
      </c>
      <c r="S1971">
        <v>2</v>
      </c>
      <c r="T1971">
        <v>0.4</v>
      </c>
      <c r="U1971">
        <v>-19.549199999999999</v>
      </c>
      <c r="V1971" t="str">
        <f t="shared" si="30"/>
        <v>Tiffany House</v>
      </c>
      <c r="W1971">
        <f>Table2[Profit]/Table2[Sales]</f>
        <v>-0.36666666666666664</v>
      </c>
    </row>
    <row r="1972" spans="1:23" x14ac:dyDescent="0.25">
      <c r="A1972">
        <v>1971</v>
      </c>
      <c r="B1972" t="s">
        <v>6955</v>
      </c>
      <c r="C1972" s="1">
        <v>43084</v>
      </c>
      <c r="D1972" s="1">
        <v>43089</v>
      </c>
      <c r="E1972" t="s">
        <v>49</v>
      </c>
      <c r="F1972" t="s">
        <v>3967</v>
      </c>
      <c r="G1972" t="s">
        <v>3968</v>
      </c>
      <c r="H1972" t="s">
        <v>101</v>
      </c>
      <c r="I1972" t="s">
        <v>26</v>
      </c>
      <c r="J1972" t="s">
        <v>94</v>
      </c>
      <c r="K1972" t="s">
        <v>95</v>
      </c>
      <c r="L1972">
        <v>98115</v>
      </c>
      <c r="M1972" t="s">
        <v>43</v>
      </c>
      <c r="N1972" t="s">
        <v>2149</v>
      </c>
      <c r="O1972" t="s">
        <v>31</v>
      </c>
      <c r="P1972" t="s">
        <v>64</v>
      </c>
      <c r="Q1972" t="s">
        <v>2150</v>
      </c>
      <c r="R1972">
        <v>22.77</v>
      </c>
      <c r="S1972">
        <v>3</v>
      </c>
      <c r="T1972">
        <v>0</v>
      </c>
      <c r="U1972">
        <v>9.7911000000000001</v>
      </c>
      <c r="V1972" t="str">
        <f t="shared" si="30"/>
        <v>Paul Lucas</v>
      </c>
      <c r="W1972">
        <f>Table2[Profit]/Table2[Sales]</f>
        <v>0.43</v>
      </c>
    </row>
    <row r="1973" spans="1:23" x14ac:dyDescent="0.25">
      <c r="A1973">
        <v>1972</v>
      </c>
      <c r="B1973" t="s">
        <v>6956</v>
      </c>
      <c r="C1973" s="1">
        <v>42558</v>
      </c>
      <c r="D1973" s="1">
        <v>42560</v>
      </c>
      <c r="E1973" t="s">
        <v>22</v>
      </c>
      <c r="F1973" t="s">
        <v>5915</v>
      </c>
      <c r="G1973" t="s">
        <v>5916</v>
      </c>
      <c r="H1973" t="s">
        <v>25</v>
      </c>
      <c r="I1973" t="s">
        <v>26</v>
      </c>
      <c r="J1973" t="s">
        <v>41</v>
      </c>
      <c r="K1973" t="s">
        <v>42</v>
      </c>
      <c r="L1973">
        <v>90045</v>
      </c>
      <c r="M1973" t="s">
        <v>43</v>
      </c>
      <c r="N1973" t="s">
        <v>258</v>
      </c>
      <c r="O1973" t="s">
        <v>31</v>
      </c>
      <c r="P1973" t="s">
        <v>35</v>
      </c>
      <c r="Q1973" t="s">
        <v>259</v>
      </c>
      <c r="R1973">
        <v>287.96800000000002</v>
      </c>
      <c r="S1973">
        <v>4</v>
      </c>
      <c r="T1973">
        <v>0.2</v>
      </c>
      <c r="U1973">
        <v>-3.5996000000000001</v>
      </c>
      <c r="V1973" t="str">
        <f t="shared" si="30"/>
        <v>Christopher Conant</v>
      </c>
      <c r="W1973">
        <f>Table2[Profit]/Table2[Sales]</f>
        <v>-1.2499999999999999E-2</v>
      </c>
    </row>
    <row r="1974" spans="1:23" x14ac:dyDescent="0.25">
      <c r="A1974">
        <v>1973</v>
      </c>
      <c r="B1974" t="s">
        <v>6957</v>
      </c>
      <c r="C1974" s="1">
        <v>42477</v>
      </c>
      <c r="D1974" s="1">
        <v>42481</v>
      </c>
      <c r="E1974" t="s">
        <v>49</v>
      </c>
      <c r="F1974" t="s">
        <v>2787</v>
      </c>
      <c r="G1974" t="s">
        <v>2788</v>
      </c>
      <c r="H1974" t="s">
        <v>25</v>
      </c>
      <c r="I1974" t="s">
        <v>26</v>
      </c>
      <c r="J1974" t="s">
        <v>1111</v>
      </c>
      <c r="K1974" t="s">
        <v>42</v>
      </c>
      <c r="L1974">
        <v>90712</v>
      </c>
      <c r="M1974" t="s">
        <v>43</v>
      </c>
      <c r="N1974" t="s">
        <v>2746</v>
      </c>
      <c r="O1974" t="s">
        <v>31</v>
      </c>
      <c r="P1974" t="s">
        <v>32</v>
      </c>
      <c r="Q1974" t="s">
        <v>2747</v>
      </c>
      <c r="R1974">
        <v>257.49900000000002</v>
      </c>
      <c r="S1974">
        <v>3</v>
      </c>
      <c r="T1974">
        <v>0.15</v>
      </c>
      <c r="U1974">
        <v>24.235199999999999</v>
      </c>
      <c r="V1974" t="str">
        <f t="shared" si="30"/>
        <v>Jessica Myrick</v>
      </c>
      <c r="W1974">
        <f>Table2[Profit]/Table2[Sales]</f>
        <v>9.4117647058823514E-2</v>
      </c>
    </row>
    <row r="1975" spans="1:23" x14ac:dyDescent="0.25">
      <c r="A1975">
        <v>1974</v>
      </c>
      <c r="B1975" t="s">
        <v>6958</v>
      </c>
      <c r="C1975" s="1">
        <v>42833</v>
      </c>
      <c r="D1975" s="1">
        <v>42839</v>
      </c>
      <c r="E1975" t="s">
        <v>49</v>
      </c>
      <c r="F1975" t="s">
        <v>4995</v>
      </c>
      <c r="G1975" t="s">
        <v>4996</v>
      </c>
      <c r="H1975" t="s">
        <v>101</v>
      </c>
      <c r="I1975" t="s">
        <v>26</v>
      </c>
      <c r="J1975" t="s">
        <v>2096</v>
      </c>
      <c r="K1975" t="s">
        <v>781</v>
      </c>
      <c r="L1975">
        <v>7060</v>
      </c>
      <c r="M1975" t="s">
        <v>145</v>
      </c>
      <c r="N1975" t="s">
        <v>1858</v>
      </c>
      <c r="O1975" t="s">
        <v>45</v>
      </c>
      <c r="P1975" t="s">
        <v>58</v>
      </c>
      <c r="Q1975" t="s">
        <v>1859</v>
      </c>
      <c r="R1975">
        <v>2591.56</v>
      </c>
      <c r="S1975">
        <v>4</v>
      </c>
      <c r="T1975">
        <v>0</v>
      </c>
      <c r="U1975">
        <v>621.97439999999995</v>
      </c>
      <c r="V1975" t="str">
        <f t="shared" si="30"/>
        <v>Karen Ferguson</v>
      </c>
      <c r="W1975">
        <f>Table2[Profit]/Table2[Sales]</f>
        <v>0.24</v>
      </c>
    </row>
    <row r="1976" spans="1:23" x14ac:dyDescent="0.25">
      <c r="A1976">
        <v>1975</v>
      </c>
      <c r="B1976" t="s">
        <v>6961</v>
      </c>
      <c r="C1976" s="1">
        <v>42477</v>
      </c>
      <c r="D1976" s="1">
        <v>42482</v>
      </c>
      <c r="E1976" t="s">
        <v>49</v>
      </c>
      <c r="F1976" t="s">
        <v>6962</v>
      </c>
      <c r="G1976" t="s">
        <v>6963</v>
      </c>
      <c r="H1976" t="s">
        <v>40</v>
      </c>
      <c r="I1976" t="s">
        <v>26</v>
      </c>
      <c r="J1976" t="s">
        <v>375</v>
      </c>
      <c r="K1976" t="s">
        <v>328</v>
      </c>
      <c r="L1976">
        <v>38401</v>
      </c>
      <c r="M1976" t="s">
        <v>29</v>
      </c>
      <c r="N1976" t="s">
        <v>6964</v>
      </c>
      <c r="O1976" t="s">
        <v>31</v>
      </c>
      <c r="P1976" t="s">
        <v>64</v>
      </c>
      <c r="Q1976" t="s">
        <v>6965</v>
      </c>
      <c r="R1976">
        <v>79.12</v>
      </c>
      <c r="S1976">
        <v>5</v>
      </c>
      <c r="T1976">
        <v>0.2</v>
      </c>
      <c r="U1976">
        <v>13.846</v>
      </c>
      <c r="V1976" t="str">
        <f t="shared" si="30"/>
        <v>Charles Sheldon</v>
      </c>
      <c r="W1976">
        <f>Table2[Profit]/Table2[Sales]</f>
        <v>0.17499999999999999</v>
      </c>
    </row>
    <row r="1977" spans="1:23" x14ac:dyDescent="0.25">
      <c r="A1977">
        <v>1976</v>
      </c>
      <c r="B1977" t="s">
        <v>6966</v>
      </c>
      <c r="C1977" s="1">
        <v>41968</v>
      </c>
      <c r="D1977" s="1">
        <v>41970</v>
      </c>
      <c r="E1977" t="s">
        <v>22</v>
      </c>
      <c r="F1977" t="s">
        <v>3945</v>
      </c>
      <c r="G1977" t="s">
        <v>3946</v>
      </c>
      <c r="H1977" t="s">
        <v>25</v>
      </c>
      <c r="I1977" t="s">
        <v>26</v>
      </c>
      <c r="J1977" t="s">
        <v>6967</v>
      </c>
      <c r="K1977" t="s">
        <v>1388</v>
      </c>
      <c r="L1977">
        <v>2895</v>
      </c>
      <c r="M1977" t="s">
        <v>145</v>
      </c>
      <c r="N1977" t="s">
        <v>2890</v>
      </c>
      <c r="O1977" t="s">
        <v>31</v>
      </c>
      <c r="P1977" t="s">
        <v>64</v>
      </c>
      <c r="Q1977" t="s">
        <v>2891</v>
      </c>
      <c r="R1977">
        <v>52.96</v>
      </c>
      <c r="S1977">
        <v>2</v>
      </c>
      <c r="T1977">
        <v>0</v>
      </c>
      <c r="U1977">
        <v>20.1248</v>
      </c>
      <c r="V1977" t="str">
        <f t="shared" si="30"/>
        <v>Andy Reiter</v>
      </c>
      <c r="W1977">
        <f>Table2[Profit]/Table2[Sales]</f>
        <v>0.38</v>
      </c>
    </row>
    <row r="1978" spans="1:23" x14ac:dyDescent="0.25">
      <c r="A1978">
        <v>1977</v>
      </c>
      <c r="B1978" t="s">
        <v>6968</v>
      </c>
      <c r="C1978" s="1">
        <v>41946</v>
      </c>
      <c r="D1978" s="1">
        <v>41951</v>
      </c>
      <c r="E1978" t="s">
        <v>49</v>
      </c>
      <c r="F1978" t="s">
        <v>3903</v>
      </c>
      <c r="G1978" t="s">
        <v>3904</v>
      </c>
      <c r="H1978" t="s">
        <v>25</v>
      </c>
      <c r="I1978" t="s">
        <v>26</v>
      </c>
      <c r="J1978" t="s">
        <v>2439</v>
      </c>
      <c r="K1978" t="s">
        <v>144</v>
      </c>
      <c r="L1978">
        <v>17602</v>
      </c>
      <c r="M1978" t="s">
        <v>145</v>
      </c>
      <c r="N1978" t="s">
        <v>5766</v>
      </c>
      <c r="O1978" t="s">
        <v>45</v>
      </c>
      <c r="P1978" t="s">
        <v>572</v>
      </c>
      <c r="Q1978" t="s">
        <v>5767</v>
      </c>
      <c r="R1978">
        <v>286.34399999999999</v>
      </c>
      <c r="S1978">
        <v>3</v>
      </c>
      <c r="T1978">
        <v>0.2</v>
      </c>
      <c r="U1978">
        <v>-64.427400000000006</v>
      </c>
      <c r="V1978" t="str">
        <f t="shared" si="30"/>
        <v>Maxwell Schwartz</v>
      </c>
      <c r="W1978">
        <f>Table2[Profit]/Table2[Sales]</f>
        <v>-0.22500000000000003</v>
      </c>
    </row>
    <row r="1979" spans="1:23" x14ac:dyDescent="0.25">
      <c r="A1979">
        <v>1978</v>
      </c>
      <c r="B1979" t="s">
        <v>6969</v>
      </c>
      <c r="C1979" s="1">
        <v>42125</v>
      </c>
      <c r="D1979" s="1">
        <v>42129</v>
      </c>
      <c r="E1979" t="s">
        <v>49</v>
      </c>
      <c r="F1979" t="s">
        <v>903</v>
      </c>
      <c r="G1979" t="s">
        <v>904</v>
      </c>
      <c r="H1979" t="s">
        <v>40</v>
      </c>
      <c r="I1979" t="s">
        <v>26</v>
      </c>
      <c r="J1979" t="s">
        <v>893</v>
      </c>
      <c r="K1979" t="s">
        <v>53</v>
      </c>
      <c r="L1979">
        <v>33614</v>
      </c>
      <c r="M1979" t="s">
        <v>29</v>
      </c>
      <c r="N1979" t="s">
        <v>2890</v>
      </c>
      <c r="O1979" t="s">
        <v>31</v>
      </c>
      <c r="P1979" t="s">
        <v>64</v>
      </c>
      <c r="Q1979" t="s">
        <v>2891</v>
      </c>
      <c r="R1979">
        <v>63.552</v>
      </c>
      <c r="S1979">
        <v>3</v>
      </c>
      <c r="T1979">
        <v>0.2</v>
      </c>
      <c r="U1979">
        <v>14.299200000000001</v>
      </c>
      <c r="V1979" t="str">
        <f t="shared" si="30"/>
        <v>David Bremer</v>
      </c>
      <c r="W1979">
        <f>Table2[Profit]/Table2[Sales]</f>
        <v>0.22500000000000001</v>
      </c>
    </row>
    <row r="1980" spans="1:23" x14ac:dyDescent="0.25">
      <c r="A1980">
        <v>1979</v>
      </c>
      <c r="B1980" t="s">
        <v>6970</v>
      </c>
      <c r="C1980" s="1">
        <v>42071</v>
      </c>
      <c r="D1980" s="1">
        <v>42075</v>
      </c>
      <c r="E1980" t="s">
        <v>49</v>
      </c>
      <c r="F1980" t="s">
        <v>6971</v>
      </c>
      <c r="G1980" t="s">
        <v>6972</v>
      </c>
      <c r="H1980" t="s">
        <v>25</v>
      </c>
      <c r="I1980" t="s">
        <v>26</v>
      </c>
      <c r="J1980" t="s">
        <v>4422</v>
      </c>
      <c r="K1980" t="s">
        <v>113</v>
      </c>
      <c r="L1980">
        <v>53142</v>
      </c>
      <c r="M1980" t="s">
        <v>104</v>
      </c>
      <c r="N1980" t="s">
        <v>6406</v>
      </c>
      <c r="O1980" t="s">
        <v>31</v>
      </c>
      <c r="P1980" t="s">
        <v>32</v>
      </c>
      <c r="Q1980" t="s">
        <v>6407</v>
      </c>
      <c r="R1980">
        <v>512.94000000000005</v>
      </c>
      <c r="S1980">
        <v>3</v>
      </c>
      <c r="T1980">
        <v>0</v>
      </c>
      <c r="U1980">
        <v>97.458600000000004</v>
      </c>
      <c r="V1980" t="str">
        <f t="shared" si="30"/>
        <v>Dana Kaydos</v>
      </c>
      <c r="W1980">
        <f>Table2[Profit]/Table2[Sales]</f>
        <v>0.18999999999999997</v>
      </c>
    </row>
    <row r="1981" spans="1:23" x14ac:dyDescent="0.25">
      <c r="A1981">
        <v>1980</v>
      </c>
      <c r="B1981" t="s">
        <v>6973</v>
      </c>
      <c r="C1981" s="1">
        <v>42202</v>
      </c>
      <c r="D1981" s="1">
        <v>42205</v>
      </c>
      <c r="E1981" t="s">
        <v>22</v>
      </c>
      <c r="F1981" t="s">
        <v>1463</v>
      </c>
      <c r="G1981" t="s">
        <v>1464</v>
      </c>
      <c r="H1981" t="s">
        <v>40</v>
      </c>
      <c r="I1981" t="s">
        <v>26</v>
      </c>
      <c r="J1981" t="s">
        <v>6694</v>
      </c>
      <c r="K1981" t="s">
        <v>53</v>
      </c>
      <c r="L1981">
        <v>34952</v>
      </c>
      <c r="M1981" t="s">
        <v>29</v>
      </c>
      <c r="N1981" t="s">
        <v>1068</v>
      </c>
      <c r="O1981" t="s">
        <v>31</v>
      </c>
      <c r="P1981" t="s">
        <v>32</v>
      </c>
      <c r="Q1981" t="s">
        <v>1069</v>
      </c>
      <c r="R1981">
        <v>231.92</v>
      </c>
      <c r="S1981">
        <v>5</v>
      </c>
      <c r="T1981">
        <v>0.2</v>
      </c>
      <c r="U1981">
        <v>5.798</v>
      </c>
      <c r="V1981" t="str">
        <f t="shared" si="30"/>
        <v>Michael Paige</v>
      </c>
      <c r="W1981">
        <f>Table2[Profit]/Table2[Sales]</f>
        <v>2.5000000000000001E-2</v>
      </c>
    </row>
    <row r="1982" spans="1:23" x14ac:dyDescent="0.25">
      <c r="A1982">
        <v>1981</v>
      </c>
      <c r="B1982" t="s">
        <v>6974</v>
      </c>
      <c r="C1982" s="1">
        <v>41923</v>
      </c>
      <c r="D1982" s="1">
        <v>41928</v>
      </c>
      <c r="E1982" t="s">
        <v>49</v>
      </c>
      <c r="F1982" t="s">
        <v>5800</v>
      </c>
      <c r="G1982" t="s">
        <v>5801</v>
      </c>
      <c r="H1982" t="s">
        <v>101</v>
      </c>
      <c r="I1982" t="s">
        <v>26</v>
      </c>
      <c r="J1982" t="s">
        <v>94</v>
      </c>
      <c r="K1982" t="s">
        <v>95</v>
      </c>
      <c r="L1982">
        <v>98115</v>
      </c>
      <c r="M1982" t="s">
        <v>43</v>
      </c>
      <c r="N1982" t="s">
        <v>4458</v>
      </c>
      <c r="O1982" t="s">
        <v>31</v>
      </c>
      <c r="P1982" t="s">
        <v>64</v>
      </c>
      <c r="Q1982" t="s">
        <v>4459</v>
      </c>
      <c r="R1982">
        <v>63.47</v>
      </c>
      <c r="S1982">
        <v>11</v>
      </c>
      <c r="T1982">
        <v>0</v>
      </c>
      <c r="U1982">
        <v>19.041</v>
      </c>
      <c r="V1982" t="str">
        <f t="shared" si="30"/>
        <v>Dean percer</v>
      </c>
      <c r="W1982">
        <f>Table2[Profit]/Table2[Sales]</f>
        <v>0.3</v>
      </c>
    </row>
    <row r="1983" spans="1:23" x14ac:dyDescent="0.25">
      <c r="A1983">
        <v>1982</v>
      </c>
      <c r="B1983" t="s">
        <v>6977</v>
      </c>
      <c r="C1983" s="1">
        <v>42432</v>
      </c>
      <c r="D1983" s="1">
        <v>42437</v>
      </c>
      <c r="E1983" t="s">
        <v>49</v>
      </c>
      <c r="F1983" t="s">
        <v>3456</v>
      </c>
      <c r="G1983" t="s">
        <v>3457</v>
      </c>
      <c r="H1983" t="s">
        <v>25</v>
      </c>
      <c r="I1983" t="s">
        <v>26</v>
      </c>
      <c r="J1983" t="s">
        <v>671</v>
      </c>
      <c r="K1983" t="s">
        <v>103</v>
      </c>
      <c r="L1983">
        <v>78207</v>
      </c>
      <c r="M1983" t="s">
        <v>104</v>
      </c>
      <c r="N1983" t="s">
        <v>1315</v>
      </c>
      <c r="O1983" t="s">
        <v>31</v>
      </c>
      <c r="P1983" t="s">
        <v>55</v>
      </c>
      <c r="Q1983" t="s">
        <v>1316</v>
      </c>
      <c r="R1983">
        <v>637.89599999999996</v>
      </c>
      <c r="S1983">
        <v>3</v>
      </c>
      <c r="T1983">
        <v>0.3</v>
      </c>
      <c r="U1983">
        <v>-127.5792</v>
      </c>
      <c r="V1983" t="str">
        <f t="shared" si="30"/>
        <v>Chris Cortes</v>
      </c>
      <c r="W1983">
        <f>Table2[Profit]/Table2[Sales]</f>
        <v>-0.2</v>
      </c>
    </row>
    <row r="1984" spans="1:23" x14ac:dyDescent="0.25">
      <c r="A1984">
        <v>1983</v>
      </c>
      <c r="B1984" t="s">
        <v>6978</v>
      </c>
      <c r="C1984" s="1">
        <v>42348</v>
      </c>
      <c r="D1984" s="1">
        <v>42354</v>
      </c>
      <c r="E1984" t="s">
        <v>49</v>
      </c>
      <c r="F1984" t="s">
        <v>6979</v>
      </c>
      <c r="G1984" t="s">
        <v>6980</v>
      </c>
      <c r="H1984" t="s">
        <v>25</v>
      </c>
      <c r="I1984" t="s">
        <v>26</v>
      </c>
      <c r="J1984" t="s">
        <v>3203</v>
      </c>
      <c r="K1984" t="s">
        <v>1260</v>
      </c>
      <c r="L1984">
        <v>30076</v>
      </c>
      <c r="M1984" t="s">
        <v>29</v>
      </c>
      <c r="N1984" t="s">
        <v>5309</v>
      </c>
      <c r="O1984" t="s">
        <v>45</v>
      </c>
      <c r="P1984" t="s">
        <v>67</v>
      </c>
      <c r="Q1984" t="s">
        <v>2988</v>
      </c>
      <c r="R1984">
        <v>1.78</v>
      </c>
      <c r="S1984">
        <v>1</v>
      </c>
      <c r="T1984">
        <v>0</v>
      </c>
      <c r="U1984">
        <v>0.49840000000000001</v>
      </c>
      <c r="V1984" t="str">
        <f t="shared" si="30"/>
        <v>Khloe Miller</v>
      </c>
      <c r="W1984">
        <f>Table2[Profit]/Table2[Sales]</f>
        <v>0.28000000000000003</v>
      </c>
    </row>
    <row r="1985" spans="1:23" x14ac:dyDescent="0.25">
      <c r="A1985">
        <v>1984</v>
      </c>
      <c r="B1985" t="s">
        <v>6983</v>
      </c>
      <c r="C1985" s="1">
        <v>42356</v>
      </c>
      <c r="D1985" s="1">
        <v>42360</v>
      </c>
      <c r="E1985" t="s">
        <v>49</v>
      </c>
      <c r="F1985" t="s">
        <v>1279</v>
      </c>
      <c r="G1985" t="s">
        <v>1280</v>
      </c>
      <c r="H1985" t="s">
        <v>40</v>
      </c>
      <c r="I1985" t="s">
        <v>26</v>
      </c>
      <c r="J1985" t="s">
        <v>1459</v>
      </c>
      <c r="K1985" t="s">
        <v>450</v>
      </c>
      <c r="L1985">
        <v>80027</v>
      </c>
      <c r="M1985" t="s">
        <v>43</v>
      </c>
      <c r="N1985" t="s">
        <v>3866</v>
      </c>
      <c r="O1985" t="s">
        <v>45</v>
      </c>
      <c r="P1985" t="s">
        <v>67</v>
      </c>
      <c r="Q1985" t="s">
        <v>3867</v>
      </c>
      <c r="R1985">
        <v>6.8479999999999999</v>
      </c>
      <c r="S1985">
        <v>2</v>
      </c>
      <c r="T1985">
        <v>0.2</v>
      </c>
      <c r="U1985">
        <v>0.59919999999999995</v>
      </c>
      <c r="V1985" t="str">
        <f t="shared" si="30"/>
        <v>Michael Kennedy</v>
      </c>
      <c r="W1985">
        <f>Table2[Profit]/Table2[Sales]</f>
        <v>8.7499999999999994E-2</v>
      </c>
    </row>
    <row r="1986" spans="1:23" x14ac:dyDescent="0.25">
      <c r="A1986">
        <v>1985</v>
      </c>
      <c r="B1986" t="s">
        <v>6984</v>
      </c>
      <c r="C1986" s="1">
        <v>42736</v>
      </c>
      <c r="D1986" s="1">
        <v>42740</v>
      </c>
      <c r="E1986" t="s">
        <v>49</v>
      </c>
      <c r="F1986" t="s">
        <v>512</v>
      </c>
      <c r="G1986" t="s">
        <v>513</v>
      </c>
      <c r="H1986" t="s">
        <v>25</v>
      </c>
      <c r="I1986" t="s">
        <v>26</v>
      </c>
      <c r="J1986" t="s">
        <v>41</v>
      </c>
      <c r="K1986" t="s">
        <v>42</v>
      </c>
      <c r="L1986">
        <v>90036</v>
      </c>
      <c r="M1986" t="s">
        <v>43</v>
      </c>
      <c r="N1986" t="s">
        <v>6985</v>
      </c>
      <c r="O1986" t="s">
        <v>31</v>
      </c>
      <c r="P1986" t="s">
        <v>64</v>
      </c>
      <c r="Q1986" t="s">
        <v>6986</v>
      </c>
      <c r="R1986">
        <v>474.43</v>
      </c>
      <c r="S1986">
        <v>11</v>
      </c>
      <c r="T1986">
        <v>0</v>
      </c>
      <c r="U1986">
        <v>199.26060000000001</v>
      </c>
      <c r="V1986" t="str">
        <f t="shared" si="30"/>
        <v>Steven Cartwright</v>
      </c>
      <c r="W1986">
        <f>Table2[Profit]/Table2[Sales]</f>
        <v>0.42000000000000004</v>
      </c>
    </row>
    <row r="1987" spans="1:23" x14ac:dyDescent="0.25">
      <c r="A1987">
        <v>1986</v>
      </c>
      <c r="B1987" t="s">
        <v>6987</v>
      </c>
      <c r="C1987" s="1">
        <v>43060</v>
      </c>
      <c r="D1987" s="1">
        <v>43063</v>
      </c>
      <c r="E1987" t="s">
        <v>185</v>
      </c>
      <c r="F1987" t="s">
        <v>6298</v>
      </c>
      <c r="G1987" t="s">
        <v>6299</v>
      </c>
      <c r="H1987" t="s">
        <v>25</v>
      </c>
      <c r="I1987" t="s">
        <v>26</v>
      </c>
      <c r="J1987" t="s">
        <v>143</v>
      </c>
      <c r="K1987" t="s">
        <v>144</v>
      </c>
      <c r="L1987">
        <v>19143</v>
      </c>
      <c r="M1987" t="s">
        <v>145</v>
      </c>
      <c r="N1987" t="s">
        <v>2000</v>
      </c>
      <c r="O1987" t="s">
        <v>45</v>
      </c>
      <c r="P1987" t="s">
        <v>89</v>
      </c>
      <c r="Q1987" t="s">
        <v>2001</v>
      </c>
      <c r="R1987">
        <v>8.4480000000000004</v>
      </c>
      <c r="S1987">
        <v>2</v>
      </c>
      <c r="T1987">
        <v>0.2</v>
      </c>
      <c r="U1987">
        <v>2.64</v>
      </c>
      <c r="V1987" t="str">
        <f t="shared" ref="V1987:V2050" si="31">TRIM(G1987)</f>
        <v>Cindy Chapman</v>
      </c>
      <c r="W1987">
        <f>Table2[Profit]/Table2[Sales]</f>
        <v>0.3125</v>
      </c>
    </row>
    <row r="1988" spans="1:23" x14ac:dyDescent="0.25">
      <c r="A1988">
        <v>1987</v>
      </c>
      <c r="B1988" t="s">
        <v>6988</v>
      </c>
      <c r="C1988" s="1">
        <v>42360</v>
      </c>
      <c r="D1988" s="1">
        <v>42365</v>
      </c>
      <c r="E1988" t="s">
        <v>49</v>
      </c>
      <c r="F1988" t="s">
        <v>3761</v>
      </c>
      <c r="G1988" t="s">
        <v>3762</v>
      </c>
      <c r="H1988" t="s">
        <v>101</v>
      </c>
      <c r="I1988" t="s">
        <v>26</v>
      </c>
      <c r="J1988" t="s">
        <v>6989</v>
      </c>
      <c r="K1988" t="s">
        <v>113</v>
      </c>
      <c r="L1988">
        <v>54880</v>
      </c>
      <c r="M1988" t="s">
        <v>104</v>
      </c>
      <c r="N1988" t="s">
        <v>3030</v>
      </c>
      <c r="O1988" t="s">
        <v>45</v>
      </c>
      <c r="P1988" t="s">
        <v>67</v>
      </c>
      <c r="Q1988" t="s">
        <v>3031</v>
      </c>
      <c r="R1988">
        <v>17.12</v>
      </c>
      <c r="S1988">
        <v>4</v>
      </c>
      <c r="T1988">
        <v>0</v>
      </c>
      <c r="U1988">
        <v>4.9648000000000003</v>
      </c>
      <c r="V1988" t="str">
        <f t="shared" si="31"/>
        <v>Beth Thompson</v>
      </c>
      <c r="W1988">
        <f>Table2[Profit]/Table2[Sales]</f>
        <v>0.28999999999999998</v>
      </c>
    </row>
    <row r="1989" spans="1:23" x14ac:dyDescent="0.25">
      <c r="A1989">
        <v>1988</v>
      </c>
      <c r="B1989" t="s">
        <v>6990</v>
      </c>
      <c r="C1989" s="1">
        <v>42239</v>
      </c>
      <c r="D1989" s="1">
        <v>42244</v>
      </c>
      <c r="E1989" t="s">
        <v>49</v>
      </c>
      <c r="F1989" t="s">
        <v>5756</v>
      </c>
      <c r="G1989" t="s">
        <v>5757</v>
      </c>
      <c r="H1989" t="s">
        <v>25</v>
      </c>
      <c r="I1989" t="s">
        <v>26</v>
      </c>
      <c r="J1989" t="s">
        <v>1712</v>
      </c>
      <c r="K1989" t="s">
        <v>1260</v>
      </c>
      <c r="L1989">
        <v>30318</v>
      </c>
      <c r="M1989" t="s">
        <v>29</v>
      </c>
      <c r="N1989" t="s">
        <v>4332</v>
      </c>
      <c r="O1989" t="s">
        <v>45</v>
      </c>
      <c r="P1989" t="s">
        <v>77</v>
      </c>
      <c r="Q1989" t="s">
        <v>4333</v>
      </c>
      <c r="R1989">
        <v>542.94000000000005</v>
      </c>
      <c r="S1989">
        <v>3</v>
      </c>
      <c r="T1989">
        <v>0</v>
      </c>
      <c r="U1989">
        <v>152.0232</v>
      </c>
      <c r="V1989" t="str">
        <f t="shared" si="31"/>
        <v>Fred Harton</v>
      </c>
      <c r="W1989">
        <f>Table2[Profit]/Table2[Sales]</f>
        <v>0.27999999999999997</v>
      </c>
    </row>
    <row r="1990" spans="1:23" x14ac:dyDescent="0.25">
      <c r="A1990">
        <v>1989</v>
      </c>
      <c r="B1990" t="s">
        <v>6991</v>
      </c>
      <c r="C1990" s="1">
        <v>41812</v>
      </c>
      <c r="D1990" s="1">
        <v>41817</v>
      </c>
      <c r="E1990" t="s">
        <v>49</v>
      </c>
      <c r="F1990" t="s">
        <v>6992</v>
      </c>
      <c r="G1990" t="s">
        <v>6993</v>
      </c>
      <c r="H1990" t="s">
        <v>25</v>
      </c>
      <c r="I1990" t="s">
        <v>26</v>
      </c>
      <c r="J1990" t="s">
        <v>2220</v>
      </c>
      <c r="K1990" t="s">
        <v>144</v>
      </c>
      <c r="L1990">
        <v>19013</v>
      </c>
      <c r="M1990" t="s">
        <v>145</v>
      </c>
      <c r="N1990" t="s">
        <v>709</v>
      </c>
      <c r="O1990" t="s">
        <v>31</v>
      </c>
      <c r="P1990" t="s">
        <v>35</v>
      </c>
      <c r="Q1990" t="s">
        <v>710</v>
      </c>
      <c r="R1990">
        <v>170.05799999999999</v>
      </c>
      <c r="S1990">
        <v>3</v>
      </c>
      <c r="T1990">
        <v>0.3</v>
      </c>
      <c r="U1990">
        <v>-4.8587999999999996</v>
      </c>
      <c r="V1990" t="str">
        <f t="shared" si="31"/>
        <v>Anna Andreadi</v>
      </c>
      <c r="W1990">
        <f>Table2[Profit]/Table2[Sales]</f>
        <v>-2.8571428571428571E-2</v>
      </c>
    </row>
    <row r="1991" spans="1:23" x14ac:dyDescent="0.25">
      <c r="A1991">
        <v>1990</v>
      </c>
      <c r="B1991" t="s">
        <v>6994</v>
      </c>
      <c r="C1991" s="1">
        <v>43035</v>
      </c>
      <c r="D1991" s="1">
        <v>43036</v>
      </c>
      <c r="E1991" t="s">
        <v>185</v>
      </c>
      <c r="F1991" t="s">
        <v>6479</v>
      </c>
      <c r="G1991" t="s">
        <v>6480</v>
      </c>
      <c r="H1991" t="s">
        <v>40</v>
      </c>
      <c r="I1991" t="s">
        <v>26</v>
      </c>
      <c r="J1991" t="s">
        <v>126</v>
      </c>
      <c r="K1991" t="s">
        <v>42</v>
      </c>
      <c r="L1991">
        <v>94110</v>
      </c>
      <c r="M1991" t="s">
        <v>43</v>
      </c>
      <c r="N1991" t="s">
        <v>4780</v>
      </c>
      <c r="O1991" t="s">
        <v>31</v>
      </c>
      <c r="P1991" t="s">
        <v>32</v>
      </c>
      <c r="Q1991" t="s">
        <v>4781</v>
      </c>
      <c r="R1991">
        <v>556.66499999999996</v>
      </c>
      <c r="S1991">
        <v>5</v>
      </c>
      <c r="T1991">
        <v>0.15</v>
      </c>
      <c r="U1991">
        <v>6.5490000000000004</v>
      </c>
      <c r="V1991" t="str">
        <f t="shared" si="31"/>
        <v>Jack O'Briant</v>
      </c>
      <c r="W1991">
        <f>Table2[Profit]/Table2[Sales]</f>
        <v>1.1764705882352943E-2</v>
      </c>
    </row>
    <row r="1992" spans="1:23" x14ac:dyDescent="0.25">
      <c r="A1992">
        <v>1991</v>
      </c>
      <c r="B1992" t="s">
        <v>6997</v>
      </c>
      <c r="C1992" s="1">
        <v>42958</v>
      </c>
      <c r="D1992" s="1">
        <v>42960</v>
      </c>
      <c r="E1992" t="s">
        <v>185</v>
      </c>
      <c r="F1992" t="s">
        <v>2027</v>
      </c>
      <c r="G1992" t="s">
        <v>2028</v>
      </c>
      <c r="H1992" t="s">
        <v>40</v>
      </c>
      <c r="I1992" t="s">
        <v>26</v>
      </c>
      <c r="J1992" t="s">
        <v>6998</v>
      </c>
      <c r="K1992" t="s">
        <v>103</v>
      </c>
      <c r="L1992">
        <v>76021</v>
      </c>
      <c r="M1992" t="s">
        <v>104</v>
      </c>
      <c r="N1992" t="s">
        <v>5131</v>
      </c>
      <c r="O1992" t="s">
        <v>45</v>
      </c>
      <c r="P1992" t="s">
        <v>89</v>
      </c>
      <c r="Q1992" t="s">
        <v>5132</v>
      </c>
      <c r="R1992">
        <v>29.664000000000001</v>
      </c>
      <c r="S1992">
        <v>4</v>
      </c>
      <c r="T1992">
        <v>0.2</v>
      </c>
      <c r="U1992">
        <v>10.0116</v>
      </c>
      <c r="V1992" t="str">
        <f t="shared" si="31"/>
        <v>Sylvia Foulston</v>
      </c>
      <c r="W1992">
        <f>Table2[Profit]/Table2[Sales]</f>
        <v>0.33749999999999997</v>
      </c>
    </row>
    <row r="1993" spans="1:23" x14ac:dyDescent="0.25">
      <c r="A1993">
        <v>1992</v>
      </c>
      <c r="B1993" t="s">
        <v>6999</v>
      </c>
      <c r="C1993" s="1">
        <v>43093</v>
      </c>
      <c r="D1993" s="1">
        <v>43097</v>
      </c>
      <c r="E1993" t="s">
        <v>49</v>
      </c>
      <c r="F1993" t="s">
        <v>3201</v>
      </c>
      <c r="G1993" t="s">
        <v>3202</v>
      </c>
      <c r="H1993" t="s">
        <v>25</v>
      </c>
      <c r="I1993" t="s">
        <v>26</v>
      </c>
      <c r="J1993" t="s">
        <v>4182</v>
      </c>
      <c r="K1993" t="s">
        <v>729</v>
      </c>
      <c r="L1993">
        <v>70506</v>
      </c>
      <c r="M1993" t="s">
        <v>29</v>
      </c>
      <c r="N1993" t="s">
        <v>3682</v>
      </c>
      <c r="O1993" t="s">
        <v>70</v>
      </c>
      <c r="P1993" t="s">
        <v>675</v>
      </c>
      <c r="Q1993" t="s">
        <v>3683</v>
      </c>
      <c r="R1993">
        <v>479.97</v>
      </c>
      <c r="S1993">
        <v>3</v>
      </c>
      <c r="T1993">
        <v>0</v>
      </c>
      <c r="U1993">
        <v>239.98500000000001</v>
      </c>
      <c r="V1993" t="str">
        <f t="shared" si="31"/>
        <v>Christine Sundaresam</v>
      </c>
      <c r="W1993">
        <f>Table2[Profit]/Table2[Sales]</f>
        <v>0.5</v>
      </c>
    </row>
    <row r="1994" spans="1:23" x14ac:dyDescent="0.25">
      <c r="A1994">
        <v>1993</v>
      </c>
      <c r="B1994" t="s">
        <v>7000</v>
      </c>
      <c r="C1994" s="1">
        <v>42639</v>
      </c>
      <c r="D1994" s="1">
        <v>42643</v>
      </c>
      <c r="E1994" t="s">
        <v>49</v>
      </c>
      <c r="F1994" t="s">
        <v>194</v>
      </c>
      <c r="G1994" t="s">
        <v>195</v>
      </c>
      <c r="H1994" t="s">
        <v>101</v>
      </c>
      <c r="I1994" t="s">
        <v>26</v>
      </c>
      <c r="J1994" t="s">
        <v>7001</v>
      </c>
      <c r="K1994" t="s">
        <v>95</v>
      </c>
      <c r="L1994">
        <v>98042</v>
      </c>
      <c r="M1994" t="s">
        <v>43</v>
      </c>
      <c r="N1994" t="s">
        <v>2481</v>
      </c>
      <c r="O1994" t="s">
        <v>45</v>
      </c>
      <c r="P1994" t="s">
        <v>77</v>
      </c>
      <c r="Q1994" t="s">
        <v>2482</v>
      </c>
      <c r="R1994">
        <v>236.88</v>
      </c>
      <c r="S1994">
        <v>6</v>
      </c>
      <c r="T1994">
        <v>0</v>
      </c>
      <c r="U1994">
        <v>66.326400000000007</v>
      </c>
      <c r="V1994" t="str">
        <f t="shared" si="31"/>
        <v>Steve Nguyen</v>
      </c>
      <c r="W1994">
        <f>Table2[Profit]/Table2[Sales]</f>
        <v>0.28000000000000003</v>
      </c>
    </row>
    <row r="1995" spans="1:23" x14ac:dyDescent="0.25">
      <c r="A1995">
        <v>1994</v>
      </c>
      <c r="B1995" t="s">
        <v>7002</v>
      </c>
      <c r="C1995" s="1">
        <v>42716</v>
      </c>
      <c r="D1995" s="1">
        <v>42716</v>
      </c>
      <c r="E1995" t="s">
        <v>1278</v>
      </c>
      <c r="F1995" t="s">
        <v>4000</v>
      </c>
      <c r="G1995" t="s">
        <v>4001</v>
      </c>
      <c r="H1995" t="s">
        <v>40</v>
      </c>
      <c r="I1995" t="s">
        <v>26</v>
      </c>
      <c r="J1995" t="s">
        <v>2591</v>
      </c>
      <c r="K1995" t="s">
        <v>491</v>
      </c>
      <c r="L1995">
        <v>44052</v>
      </c>
      <c r="M1995" t="s">
        <v>145</v>
      </c>
      <c r="N1995" t="s">
        <v>1375</v>
      </c>
      <c r="O1995" t="s">
        <v>45</v>
      </c>
      <c r="P1995" t="s">
        <v>74</v>
      </c>
      <c r="Q1995" t="s">
        <v>1376</v>
      </c>
      <c r="R1995">
        <v>18.693000000000001</v>
      </c>
      <c r="S1995">
        <v>3</v>
      </c>
      <c r="T1995">
        <v>0.7</v>
      </c>
      <c r="U1995">
        <v>-14.331300000000001</v>
      </c>
      <c r="V1995" t="str">
        <f t="shared" si="31"/>
        <v>Jim Mitchum</v>
      </c>
      <c r="W1995">
        <f>Table2[Profit]/Table2[Sales]</f>
        <v>-0.76666666666666661</v>
      </c>
    </row>
    <row r="1996" spans="1:23" x14ac:dyDescent="0.25">
      <c r="A1996">
        <v>1995</v>
      </c>
      <c r="B1996" t="s">
        <v>7003</v>
      </c>
      <c r="C1996" s="1">
        <v>42366</v>
      </c>
      <c r="D1996" s="1">
        <v>42370</v>
      </c>
      <c r="E1996" t="s">
        <v>49</v>
      </c>
      <c r="F1996" t="s">
        <v>5756</v>
      </c>
      <c r="G1996" t="s">
        <v>5757</v>
      </c>
      <c r="H1996" t="s">
        <v>25</v>
      </c>
      <c r="I1996" t="s">
        <v>26</v>
      </c>
      <c r="J1996" t="s">
        <v>296</v>
      </c>
      <c r="K1996" t="s">
        <v>208</v>
      </c>
      <c r="L1996">
        <v>60623</v>
      </c>
      <c r="M1996" t="s">
        <v>104</v>
      </c>
      <c r="N1996" t="s">
        <v>3930</v>
      </c>
      <c r="O1996" t="s">
        <v>45</v>
      </c>
      <c r="P1996" t="s">
        <v>58</v>
      </c>
      <c r="Q1996" t="s">
        <v>6433</v>
      </c>
      <c r="R1996">
        <v>24.815999999999999</v>
      </c>
      <c r="S1996">
        <v>2</v>
      </c>
      <c r="T1996">
        <v>0.2</v>
      </c>
      <c r="U1996">
        <v>1.5509999999999999</v>
      </c>
      <c r="V1996" t="str">
        <f t="shared" si="31"/>
        <v>Fred Harton</v>
      </c>
      <c r="W1996">
        <f>Table2[Profit]/Table2[Sales]</f>
        <v>6.25E-2</v>
      </c>
    </row>
    <row r="1997" spans="1:23" x14ac:dyDescent="0.25">
      <c r="A1997">
        <v>1996</v>
      </c>
      <c r="B1997" t="s">
        <v>7004</v>
      </c>
      <c r="C1997" s="1">
        <v>42002</v>
      </c>
      <c r="D1997" s="1">
        <v>42006</v>
      </c>
      <c r="E1997" t="s">
        <v>49</v>
      </c>
      <c r="F1997" t="s">
        <v>2400</v>
      </c>
      <c r="G1997" t="s">
        <v>2401</v>
      </c>
      <c r="H1997" t="s">
        <v>40</v>
      </c>
      <c r="I1997" t="s">
        <v>26</v>
      </c>
      <c r="J1997" t="s">
        <v>126</v>
      </c>
      <c r="K1997" t="s">
        <v>42</v>
      </c>
      <c r="L1997">
        <v>94110</v>
      </c>
      <c r="M1997" t="s">
        <v>43</v>
      </c>
      <c r="N1997" t="s">
        <v>6054</v>
      </c>
      <c r="O1997" t="s">
        <v>31</v>
      </c>
      <c r="P1997" t="s">
        <v>64</v>
      </c>
      <c r="Q1997" t="s">
        <v>6055</v>
      </c>
      <c r="R1997">
        <v>24.9</v>
      </c>
      <c r="S1997">
        <v>5</v>
      </c>
      <c r="T1997">
        <v>0</v>
      </c>
      <c r="U1997">
        <v>8.2170000000000005</v>
      </c>
      <c r="V1997" t="str">
        <f t="shared" si="31"/>
        <v>Anthony Johnson</v>
      </c>
      <c r="W1997">
        <f>Table2[Profit]/Table2[Sales]</f>
        <v>0.33</v>
      </c>
    </row>
    <row r="1998" spans="1:23" x14ac:dyDescent="0.25">
      <c r="A1998">
        <v>1997</v>
      </c>
      <c r="B1998" t="s">
        <v>7005</v>
      </c>
      <c r="C1998" s="1">
        <v>42180</v>
      </c>
      <c r="D1998" s="1">
        <v>42185</v>
      </c>
      <c r="E1998" t="s">
        <v>49</v>
      </c>
      <c r="F1998" t="s">
        <v>4442</v>
      </c>
      <c r="G1998" t="s">
        <v>4443</v>
      </c>
      <c r="H1998" t="s">
        <v>25</v>
      </c>
      <c r="I1998" t="s">
        <v>26</v>
      </c>
      <c r="J1998" t="s">
        <v>126</v>
      </c>
      <c r="K1998" t="s">
        <v>42</v>
      </c>
      <c r="L1998">
        <v>94110</v>
      </c>
      <c r="M1998" t="s">
        <v>43</v>
      </c>
      <c r="N1998" t="s">
        <v>1966</v>
      </c>
      <c r="O1998" t="s">
        <v>31</v>
      </c>
      <c r="P1998" t="s">
        <v>64</v>
      </c>
      <c r="Q1998" t="s">
        <v>1967</v>
      </c>
      <c r="R1998">
        <v>204.85</v>
      </c>
      <c r="S1998">
        <v>5</v>
      </c>
      <c r="T1998">
        <v>0</v>
      </c>
      <c r="U1998">
        <v>57.357999999999997</v>
      </c>
      <c r="V1998" t="str">
        <f t="shared" si="31"/>
        <v>Jill Fjeld</v>
      </c>
      <c r="W1998">
        <f>Table2[Profit]/Table2[Sales]</f>
        <v>0.27999999999999997</v>
      </c>
    </row>
    <row r="1999" spans="1:23" x14ac:dyDescent="0.25">
      <c r="A1999">
        <v>1998</v>
      </c>
      <c r="B1999" t="s">
        <v>7006</v>
      </c>
      <c r="C1999" s="1">
        <v>42096</v>
      </c>
      <c r="D1999" s="1">
        <v>42101</v>
      </c>
      <c r="E1999" t="s">
        <v>49</v>
      </c>
      <c r="F1999" t="s">
        <v>6206</v>
      </c>
      <c r="G1999" t="s">
        <v>6207</v>
      </c>
      <c r="H1999" t="s">
        <v>40</v>
      </c>
      <c r="I1999" t="s">
        <v>26</v>
      </c>
      <c r="J1999" t="s">
        <v>181</v>
      </c>
      <c r="K1999" t="s">
        <v>103</v>
      </c>
      <c r="L1999">
        <v>77070</v>
      </c>
      <c r="M1999" t="s">
        <v>104</v>
      </c>
      <c r="N1999" t="s">
        <v>3025</v>
      </c>
      <c r="O1999" t="s">
        <v>45</v>
      </c>
      <c r="P1999" t="s">
        <v>74</v>
      </c>
      <c r="Q1999" t="s">
        <v>3026</v>
      </c>
      <c r="R1999">
        <v>9.1560000000000006</v>
      </c>
      <c r="S1999">
        <v>3</v>
      </c>
      <c r="T1999">
        <v>0.8</v>
      </c>
      <c r="U1999">
        <v>-13.734</v>
      </c>
      <c r="V1999" t="str">
        <f t="shared" si="31"/>
        <v>Cari Sayre</v>
      </c>
      <c r="W1999">
        <f>Table2[Profit]/Table2[Sales]</f>
        <v>-1.5</v>
      </c>
    </row>
    <row r="2000" spans="1:23" x14ac:dyDescent="0.25">
      <c r="A2000">
        <v>1999</v>
      </c>
      <c r="B2000" t="s">
        <v>7007</v>
      </c>
      <c r="C2000" s="1">
        <v>43029</v>
      </c>
      <c r="D2000" s="1">
        <v>43033</v>
      </c>
      <c r="E2000" t="s">
        <v>49</v>
      </c>
      <c r="F2000" t="s">
        <v>6946</v>
      </c>
      <c r="G2000" t="s">
        <v>6947</v>
      </c>
      <c r="H2000" t="s">
        <v>25</v>
      </c>
      <c r="I2000" t="s">
        <v>26</v>
      </c>
      <c r="J2000" t="s">
        <v>296</v>
      </c>
      <c r="K2000" t="s">
        <v>208</v>
      </c>
      <c r="L2000">
        <v>60653</v>
      </c>
      <c r="M2000" t="s">
        <v>104</v>
      </c>
      <c r="N2000" t="s">
        <v>3128</v>
      </c>
      <c r="O2000" t="s">
        <v>45</v>
      </c>
      <c r="P2000" t="s">
        <v>77</v>
      </c>
      <c r="Q2000" t="s">
        <v>3129</v>
      </c>
      <c r="R2000">
        <v>23.992000000000001</v>
      </c>
      <c r="S2000">
        <v>2</v>
      </c>
      <c r="T2000">
        <v>0.8</v>
      </c>
      <c r="U2000">
        <v>-62.379199999999997</v>
      </c>
      <c r="V2000" t="str">
        <f t="shared" si="31"/>
        <v>Susan Pistek</v>
      </c>
      <c r="W2000">
        <f>Table2[Profit]/Table2[Sales]</f>
        <v>-2.5999999999999996</v>
      </c>
    </row>
    <row r="2001" spans="1:23" x14ac:dyDescent="0.25">
      <c r="A2001">
        <v>2000</v>
      </c>
      <c r="B2001" t="s">
        <v>7008</v>
      </c>
      <c r="C2001" s="1">
        <v>42201</v>
      </c>
      <c r="D2001" s="1">
        <v>42204</v>
      </c>
      <c r="E2001" t="s">
        <v>185</v>
      </c>
      <c r="F2001" t="s">
        <v>6824</v>
      </c>
      <c r="G2001" t="s">
        <v>6825</v>
      </c>
      <c r="H2001" t="s">
        <v>40</v>
      </c>
      <c r="I2001" t="s">
        <v>26</v>
      </c>
      <c r="J2001" t="s">
        <v>263</v>
      </c>
      <c r="K2001" t="s">
        <v>264</v>
      </c>
      <c r="L2001">
        <v>10035</v>
      </c>
      <c r="M2001" t="s">
        <v>145</v>
      </c>
      <c r="N2001" t="s">
        <v>3771</v>
      </c>
      <c r="O2001" t="s">
        <v>45</v>
      </c>
      <c r="P2001" t="s">
        <v>89</v>
      </c>
      <c r="Q2001" t="s">
        <v>3772</v>
      </c>
      <c r="R2001">
        <v>80.88</v>
      </c>
      <c r="S2001">
        <v>3</v>
      </c>
      <c r="T2001">
        <v>0</v>
      </c>
      <c r="U2001">
        <v>39.6312</v>
      </c>
      <c r="V2001" t="str">
        <f t="shared" si="31"/>
        <v>Katrina Edelman</v>
      </c>
      <c r="W2001">
        <f>Table2[Profit]/Table2[Sales]</f>
        <v>0.49000000000000005</v>
      </c>
    </row>
    <row r="2002" spans="1:23" x14ac:dyDescent="0.25">
      <c r="A2002">
        <v>2001</v>
      </c>
      <c r="B2002" t="s">
        <v>7009</v>
      </c>
      <c r="C2002" s="1">
        <v>42910</v>
      </c>
      <c r="D2002" s="1">
        <v>42912</v>
      </c>
      <c r="E2002" t="s">
        <v>22</v>
      </c>
      <c r="F2002" t="s">
        <v>5793</v>
      </c>
      <c r="G2002" t="s">
        <v>5794</v>
      </c>
      <c r="H2002" t="s">
        <v>25</v>
      </c>
      <c r="I2002" t="s">
        <v>26</v>
      </c>
      <c r="J2002" t="s">
        <v>263</v>
      </c>
      <c r="K2002" t="s">
        <v>264</v>
      </c>
      <c r="L2002">
        <v>10011</v>
      </c>
      <c r="M2002" t="s">
        <v>145</v>
      </c>
      <c r="N2002" t="s">
        <v>2840</v>
      </c>
      <c r="O2002" t="s">
        <v>31</v>
      </c>
      <c r="P2002" t="s">
        <v>64</v>
      </c>
      <c r="Q2002" t="s">
        <v>2841</v>
      </c>
      <c r="R2002">
        <v>276.69</v>
      </c>
      <c r="S2002">
        <v>3</v>
      </c>
      <c r="T2002">
        <v>0</v>
      </c>
      <c r="U2002">
        <v>49.804200000000002</v>
      </c>
      <c r="V2002" t="str">
        <f t="shared" si="31"/>
        <v>George Ashbrook</v>
      </c>
      <c r="W2002">
        <f>Table2[Profit]/Table2[Sales]</f>
        <v>0.18</v>
      </c>
    </row>
    <row r="2003" spans="1:23" x14ac:dyDescent="0.25">
      <c r="A2003">
        <v>2002</v>
      </c>
      <c r="B2003" t="s">
        <v>7010</v>
      </c>
      <c r="C2003" s="1">
        <v>41911</v>
      </c>
      <c r="D2003" s="1">
        <v>41915</v>
      </c>
      <c r="E2003" t="s">
        <v>49</v>
      </c>
      <c r="F2003" t="s">
        <v>3449</v>
      </c>
      <c r="G2003" t="s">
        <v>3450</v>
      </c>
      <c r="H2003" t="s">
        <v>40</v>
      </c>
      <c r="I2003" t="s">
        <v>26</v>
      </c>
      <c r="J2003" t="s">
        <v>143</v>
      </c>
      <c r="K2003" t="s">
        <v>144</v>
      </c>
      <c r="L2003">
        <v>19134</v>
      </c>
      <c r="M2003" t="s">
        <v>145</v>
      </c>
      <c r="N2003" t="s">
        <v>5065</v>
      </c>
      <c r="O2003" t="s">
        <v>45</v>
      </c>
      <c r="P2003" t="s">
        <v>67</v>
      </c>
      <c r="Q2003" t="s">
        <v>5066</v>
      </c>
      <c r="R2003">
        <v>4.2240000000000002</v>
      </c>
      <c r="S2003">
        <v>3</v>
      </c>
      <c r="T2003">
        <v>0.2</v>
      </c>
      <c r="U2003">
        <v>1.4783999999999999</v>
      </c>
      <c r="V2003" t="str">
        <f t="shared" si="31"/>
        <v>Suzanne McNair</v>
      </c>
      <c r="W2003">
        <f>Table2[Profit]/Table2[Sales]</f>
        <v>0.35</v>
      </c>
    </row>
    <row r="2004" spans="1:23" x14ac:dyDescent="0.25">
      <c r="A2004">
        <v>2003</v>
      </c>
      <c r="B2004" t="s">
        <v>7013</v>
      </c>
      <c r="C2004" s="1">
        <v>41967</v>
      </c>
      <c r="D2004" s="1">
        <v>41971</v>
      </c>
      <c r="E2004" t="s">
        <v>49</v>
      </c>
      <c r="F2004" t="s">
        <v>1811</v>
      </c>
      <c r="G2004" t="s">
        <v>1812</v>
      </c>
      <c r="H2004" t="s">
        <v>25</v>
      </c>
      <c r="I2004" t="s">
        <v>26</v>
      </c>
      <c r="J2004" t="s">
        <v>296</v>
      </c>
      <c r="K2004" t="s">
        <v>208</v>
      </c>
      <c r="L2004">
        <v>60610</v>
      </c>
      <c r="M2004" t="s">
        <v>104</v>
      </c>
      <c r="N2004" t="s">
        <v>2951</v>
      </c>
      <c r="O2004" t="s">
        <v>45</v>
      </c>
      <c r="P2004" t="s">
        <v>58</v>
      </c>
      <c r="Q2004" t="s">
        <v>2952</v>
      </c>
      <c r="R2004">
        <v>646.20000000000005</v>
      </c>
      <c r="S2004">
        <v>5</v>
      </c>
      <c r="T2004">
        <v>0.2</v>
      </c>
      <c r="U2004">
        <v>-8.0775000000000006</v>
      </c>
      <c r="V2004" t="str">
        <f t="shared" si="31"/>
        <v>Darren Koutras</v>
      </c>
      <c r="W2004">
        <f>Table2[Profit]/Table2[Sales]</f>
        <v>-1.2500000000000001E-2</v>
      </c>
    </row>
    <row r="2005" spans="1:23" x14ac:dyDescent="0.25">
      <c r="A2005">
        <v>2004</v>
      </c>
      <c r="B2005" t="s">
        <v>7014</v>
      </c>
      <c r="C2005" s="1">
        <v>42328</v>
      </c>
      <c r="D2005" s="1">
        <v>42332</v>
      </c>
      <c r="E2005" t="s">
        <v>49</v>
      </c>
      <c r="F2005" t="s">
        <v>558</v>
      </c>
      <c r="G2005" t="s">
        <v>559</v>
      </c>
      <c r="H2005" t="s">
        <v>25</v>
      </c>
      <c r="I2005" t="s">
        <v>26</v>
      </c>
      <c r="J2005" t="s">
        <v>3145</v>
      </c>
      <c r="K2005" t="s">
        <v>42</v>
      </c>
      <c r="L2005">
        <v>94601</v>
      </c>
      <c r="M2005" t="s">
        <v>43</v>
      </c>
      <c r="N2005" t="s">
        <v>2748</v>
      </c>
      <c r="O2005" t="s">
        <v>70</v>
      </c>
      <c r="P2005" t="s">
        <v>71</v>
      </c>
      <c r="Q2005" t="s">
        <v>2749</v>
      </c>
      <c r="R2005">
        <v>72.744</v>
      </c>
      <c r="S2005">
        <v>7</v>
      </c>
      <c r="T2005">
        <v>0.2</v>
      </c>
      <c r="U2005">
        <v>-15.4581</v>
      </c>
      <c r="V2005" t="str">
        <f t="shared" si="31"/>
        <v>Lena Creighton</v>
      </c>
      <c r="W2005">
        <f>Table2[Profit]/Table2[Sales]</f>
        <v>-0.21249999999999999</v>
      </c>
    </row>
    <row r="2006" spans="1:23" x14ac:dyDescent="0.25">
      <c r="A2006">
        <v>2005</v>
      </c>
      <c r="B2006" t="s">
        <v>7015</v>
      </c>
      <c r="C2006" s="1">
        <v>42675</v>
      </c>
      <c r="D2006" s="1">
        <v>42681</v>
      </c>
      <c r="E2006" t="s">
        <v>49</v>
      </c>
      <c r="F2006" t="s">
        <v>1631</v>
      </c>
      <c r="G2006" t="s">
        <v>1632</v>
      </c>
      <c r="H2006" t="s">
        <v>25</v>
      </c>
      <c r="I2006" t="s">
        <v>26</v>
      </c>
      <c r="J2006" t="s">
        <v>296</v>
      </c>
      <c r="K2006" t="s">
        <v>208</v>
      </c>
      <c r="L2006">
        <v>60610</v>
      </c>
      <c r="M2006" t="s">
        <v>104</v>
      </c>
      <c r="N2006" t="s">
        <v>2777</v>
      </c>
      <c r="O2006" t="s">
        <v>70</v>
      </c>
      <c r="P2006" t="s">
        <v>158</v>
      </c>
      <c r="Q2006" t="s">
        <v>2778</v>
      </c>
      <c r="R2006">
        <v>68.111999999999995</v>
      </c>
      <c r="S2006">
        <v>3</v>
      </c>
      <c r="T2006">
        <v>0.2</v>
      </c>
      <c r="U2006">
        <v>17.8794</v>
      </c>
      <c r="V2006" t="str">
        <f t="shared" si="31"/>
        <v>Xylona Preis</v>
      </c>
      <c r="W2006">
        <f>Table2[Profit]/Table2[Sales]</f>
        <v>0.26250000000000001</v>
      </c>
    </row>
    <row r="2007" spans="1:23" x14ac:dyDescent="0.25">
      <c r="A2007">
        <v>2006</v>
      </c>
      <c r="B2007" t="s">
        <v>7016</v>
      </c>
      <c r="C2007" s="1">
        <v>42264</v>
      </c>
      <c r="D2007" s="1">
        <v>42267</v>
      </c>
      <c r="E2007" t="s">
        <v>185</v>
      </c>
      <c r="F2007" t="s">
        <v>6206</v>
      </c>
      <c r="G2007" t="s">
        <v>6207</v>
      </c>
      <c r="H2007" t="s">
        <v>40</v>
      </c>
      <c r="I2007" t="s">
        <v>26</v>
      </c>
      <c r="J2007" t="s">
        <v>94</v>
      </c>
      <c r="K2007" t="s">
        <v>95</v>
      </c>
      <c r="L2007">
        <v>98105</v>
      </c>
      <c r="M2007" t="s">
        <v>43</v>
      </c>
      <c r="N2007" t="s">
        <v>4401</v>
      </c>
      <c r="O2007" t="s">
        <v>45</v>
      </c>
      <c r="P2007" t="s">
        <v>74</v>
      </c>
      <c r="Q2007" t="s">
        <v>4402</v>
      </c>
      <c r="R2007">
        <v>25.032</v>
      </c>
      <c r="S2007">
        <v>3</v>
      </c>
      <c r="T2007">
        <v>0.2</v>
      </c>
      <c r="U2007">
        <v>7.8224999999999998</v>
      </c>
      <c r="V2007" t="str">
        <f t="shared" si="31"/>
        <v>Cari Sayre</v>
      </c>
      <c r="W2007">
        <f>Table2[Profit]/Table2[Sales]</f>
        <v>0.3125</v>
      </c>
    </row>
    <row r="2008" spans="1:23" x14ac:dyDescent="0.25">
      <c r="A2008">
        <v>2007</v>
      </c>
      <c r="B2008" t="s">
        <v>7017</v>
      </c>
      <c r="C2008" s="1">
        <v>42439</v>
      </c>
      <c r="D2008" s="1">
        <v>42443</v>
      </c>
      <c r="E2008" t="s">
        <v>49</v>
      </c>
      <c r="F2008" t="s">
        <v>3481</v>
      </c>
      <c r="G2008" t="s">
        <v>3482</v>
      </c>
      <c r="H2008" t="s">
        <v>25</v>
      </c>
      <c r="I2008" t="s">
        <v>26</v>
      </c>
      <c r="J2008" t="s">
        <v>143</v>
      </c>
      <c r="K2008" t="s">
        <v>144</v>
      </c>
      <c r="L2008">
        <v>19143</v>
      </c>
      <c r="M2008" t="s">
        <v>145</v>
      </c>
      <c r="N2008" t="s">
        <v>4844</v>
      </c>
      <c r="O2008" t="s">
        <v>70</v>
      </c>
      <c r="P2008" t="s">
        <v>158</v>
      </c>
      <c r="Q2008" t="s">
        <v>4845</v>
      </c>
      <c r="R2008">
        <v>39.991999999999997</v>
      </c>
      <c r="S2008">
        <v>1</v>
      </c>
      <c r="T2008">
        <v>0.2</v>
      </c>
      <c r="U2008">
        <v>7.4984999999999999</v>
      </c>
      <c r="V2008" t="str">
        <f t="shared" si="31"/>
        <v>Bryan Davis</v>
      </c>
      <c r="W2008">
        <f>Table2[Profit]/Table2[Sales]</f>
        <v>0.1875</v>
      </c>
    </row>
    <row r="2009" spans="1:23" x14ac:dyDescent="0.25">
      <c r="A2009">
        <v>2008</v>
      </c>
      <c r="B2009" t="s">
        <v>7018</v>
      </c>
      <c r="C2009" s="1">
        <v>41813</v>
      </c>
      <c r="D2009" s="1">
        <v>41816</v>
      </c>
      <c r="E2009" t="s">
        <v>185</v>
      </c>
      <c r="F2009" t="s">
        <v>5850</v>
      </c>
      <c r="G2009" t="s">
        <v>5851</v>
      </c>
      <c r="H2009" t="s">
        <v>25</v>
      </c>
      <c r="I2009" t="s">
        <v>26</v>
      </c>
      <c r="J2009" t="s">
        <v>86</v>
      </c>
      <c r="K2009" t="s">
        <v>87</v>
      </c>
      <c r="L2009">
        <v>28027</v>
      </c>
      <c r="M2009" t="s">
        <v>29</v>
      </c>
      <c r="N2009" t="s">
        <v>7019</v>
      </c>
      <c r="O2009" t="s">
        <v>45</v>
      </c>
      <c r="P2009" t="s">
        <v>67</v>
      </c>
      <c r="Q2009" t="s">
        <v>4138</v>
      </c>
      <c r="R2009">
        <v>20.015999999999998</v>
      </c>
      <c r="S2009">
        <v>9</v>
      </c>
      <c r="T2009">
        <v>0.2</v>
      </c>
      <c r="U2009">
        <v>1.7514000000000001</v>
      </c>
      <c r="V2009" t="str">
        <f t="shared" si="31"/>
        <v>Denise Leinenbach</v>
      </c>
      <c r="W2009">
        <f>Table2[Profit]/Table2[Sales]</f>
        <v>8.7500000000000008E-2</v>
      </c>
    </row>
    <row r="2010" spans="1:23" x14ac:dyDescent="0.25">
      <c r="A2010">
        <v>2009</v>
      </c>
      <c r="B2010" t="s">
        <v>7020</v>
      </c>
      <c r="C2010" s="1">
        <v>41944</v>
      </c>
      <c r="D2010" s="1">
        <v>41948</v>
      </c>
      <c r="E2010" t="s">
        <v>49</v>
      </c>
      <c r="F2010" t="s">
        <v>1489</v>
      </c>
      <c r="G2010" t="s">
        <v>1490</v>
      </c>
      <c r="H2010" t="s">
        <v>40</v>
      </c>
      <c r="I2010" t="s">
        <v>26</v>
      </c>
      <c r="J2010" t="s">
        <v>460</v>
      </c>
      <c r="K2010" t="s">
        <v>87</v>
      </c>
      <c r="L2010">
        <v>28205</v>
      </c>
      <c r="M2010" t="s">
        <v>29</v>
      </c>
      <c r="N2010" t="s">
        <v>3905</v>
      </c>
      <c r="O2010" t="s">
        <v>45</v>
      </c>
      <c r="P2010" t="s">
        <v>266</v>
      </c>
      <c r="Q2010" t="s">
        <v>556</v>
      </c>
      <c r="R2010">
        <v>7.52</v>
      </c>
      <c r="S2010">
        <v>5</v>
      </c>
      <c r="T2010">
        <v>0.2</v>
      </c>
      <c r="U2010">
        <v>1.41</v>
      </c>
      <c r="V2010" t="str">
        <f t="shared" si="31"/>
        <v>Ken Heidel</v>
      </c>
      <c r="W2010">
        <f>Table2[Profit]/Table2[Sales]</f>
        <v>0.1875</v>
      </c>
    </row>
    <row r="2011" spans="1:23" x14ac:dyDescent="0.25">
      <c r="A2011">
        <v>2010</v>
      </c>
      <c r="B2011" t="s">
        <v>7023</v>
      </c>
      <c r="C2011" s="1">
        <v>42610</v>
      </c>
      <c r="D2011" s="1">
        <v>42613</v>
      </c>
      <c r="E2011" t="s">
        <v>185</v>
      </c>
      <c r="F2011" t="s">
        <v>5151</v>
      </c>
      <c r="G2011" t="s">
        <v>5152</v>
      </c>
      <c r="H2011" t="s">
        <v>25</v>
      </c>
      <c r="I2011" t="s">
        <v>26</v>
      </c>
      <c r="J2011" t="s">
        <v>808</v>
      </c>
      <c r="K2011" t="s">
        <v>103</v>
      </c>
      <c r="L2011">
        <v>75081</v>
      </c>
      <c r="M2011" t="s">
        <v>104</v>
      </c>
      <c r="N2011" t="s">
        <v>1361</v>
      </c>
      <c r="O2011" t="s">
        <v>45</v>
      </c>
      <c r="P2011" t="s">
        <v>74</v>
      </c>
      <c r="Q2011" t="s">
        <v>1362</v>
      </c>
      <c r="R2011">
        <v>13.14</v>
      </c>
      <c r="S2011">
        <v>9</v>
      </c>
      <c r="T2011">
        <v>0.8</v>
      </c>
      <c r="U2011">
        <v>-21.681000000000001</v>
      </c>
      <c r="V2011" t="str">
        <f t="shared" si="31"/>
        <v>Tom Prescott</v>
      </c>
      <c r="W2011">
        <f>Table2[Profit]/Table2[Sales]</f>
        <v>-1.65</v>
      </c>
    </row>
    <row r="2012" spans="1:23" x14ac:dyDescent="0.25">
      <c r="A2012">
        <v>2011</v>
      </c>
      <c r="B2012" t="s">
        <v>7024</v>
      </c>
      <c r="C2012" s="1">
        <v>42344</v>
      </c>
      <c r="D2012" s="1">
        <v>42346</v>
      </c>
      <c r="E2012" t="s">
        <v>22</v>
      </c>
      <c r="F2012" t="s">
        <v>3875</v>
      </c>
      <c r="G2012" t="s">
        <v>3876</v>
      </c>
      <c r="H2012" t="s">
        <v>101</v>
      </c>
      <c r="I2012" t="s">
        <v>26</v>
      </c>
      <c r="J2012" t="s">
        <v>4288</v>
      </c>
      <c r="K2012" t="s">
        <v>251</v>
      </c>
      <c r="L2012">
        <v>46203</v>
      </c>
      <c r="M2012" t="s">
        <v>104</v>
      </c>
      <c r="N2012" t="s">
        <v>2364</v>
      </c>
      <c r="O2012" t="s">
        <v>70</v>
      </c>
      <c r="P2012" t="s">
        <v>1204</v>
      </c>
      <c r="Q2012" t="s">
        <v>2365</v>
      </c>
      <c r="R2012">
        <v>999.98</v>
      </c>
      <c r="S2012">
        <v>2</v>
      </c>
      <c r="T2012">
        <v>0</v>
      </c>
      <c r="U2012">
        <v>449.99099999999999</v>
      </c>
      <c r="V2012" t="str">
        <f t="shared" si="31"/>
        <v>Nora Pelletier</v>
      </c>
      <c r="W2012">
        <f>Table2[Profit]/Table2[Sales]</f>
        <v>0.44999999999999996</v>
      </c>
    </row>
    <row r="2013" spans="1:23" x14ac:dyDescent="0.25">
      <c r="A2013">
        <v>2012</v>
      </c>
      <c r="B2013" t="s">
        <v>7025</v>
      </c>
      <c r="C2013" s="1">
        <v>42271</v>
      </c>
      <c r="D2013" s="1">
        <v>42274</v>
      </c>
      <c r="E2013" t="s">
        <v>185</v>
      </c>
      <c r="F2013" t="s">
        <v>5741</v>
      </c>
      <c r="G2013" t="s">
        <v>5742</v>
      </c>
      <c r="H2013" t="s">
        <v>101</v>
      </c>
      <c r="I2013" t="s">
        <v>26</v>
      </c>
      <c r="J2013" t="s">
        <v>7026</v>
      </c>
      <c r="K2013" t="s">
        <v>641</v>
      </c>
      <c r="L2013">
        <v>74012</v>
      </c>
      <c r="M2013" t="s">
        <v>104</v>
      </c>
      <c r="N2013" t="s">
        <v>6555</v>
      </c>
      <c r="O2013" t="s">
        <v>70</v>
      </c>
      <c r="P2013" t="s">
        <v>71</v>
      </c>
      <c r="Q2013" t="s">
        <v>6556</v>
      </c>
      <c r="R2013">
        <v>821.94</v>
      </c>
      <c r="S2013">
        <v>6</v>
      </c>
      <c r="T2013">
        <v>0</v>
      </c>
      <c r="U2013">
        <v>213.70439999999999</v>
      </c>
      <c r="V2013" t="str">
        <f t="shared" si="31"/>
        <v>Steve Carroll</v>
      </c>
      <c r="W2013">
        <f>Table2[Profit]/Table2[Sales]</f>
        <v>0.25999999999999995</v>
      </c>
    </row>
    <row r="2014" spans="1:23" x14ac:dyDescent="0.25">
      <c r="A2014">
        <v>2013</v>
      </c>
      <c r="B2014" t="s">
        <v>7027</v>
      </c>
      <c r="C2014" s="1">
        <v>43054</v>
      </c>
      <c r="D2014" s="1">
        <v>43059</v>
      </c>
      <c r="E2014" t="s">
        <v>49</v>
      </c>
      <c r="F2014" t="s">
        <v>6971</v>
      </c>
      <c r="G2014" t="s">
        <v>6972</v>
      </c>
      <c r="H2014" t="s">
        <v>25</v>
      </c>
      <c r="I2014" t="s">
        <v>26</v>
      </c>
      <c r="J2014" t="s">
        <v>7028</v>
      </c>
      <c r="K2014" t="s">
        <v>53</v>
      </c>
      <c r="L2014">
        <v>33023</v>
      </c>
      <c r="M2014" t="s">
        <v>29</v>
      </c>
      <c r="N2014" t="s">
        <v>2175</v>
      </c>
      <c r="O2014" t="s">
        <v>31</v>
      </c>
      <c r="P2014" t="s">
        <v>64</v>
      </c>
      <c r="Q2014" t="s">
        <v>2176</v>
      </c>
      <c r="R2014">
        <v>220.06399999999999</v>
      </c>
      <c r="S2014">
        <v>4</v>
      </c>
      <c r="T2014">
        <v>0.2</v>
      </c>
      <c r="U2014">
        <v>55.015999999999998</v>
      </c>
      <c r="V2014" t="str">
        <f t="shared" si="31"/>
        <v>Dana Kaydos</v>
      </c>
      <c r="W2014">
        <f>Table2[Profit]/Table2[Sales]</f>
        <v>0.25</v>
      </c>
    </row>
    <row r="2015" spans="1:23" x14ac:dyDescent="0.25">
      <c r="A2015">
        <v>2014</v>
      </c>
      <c r="B2015" t="s">
        <v>7029</v>
      </c>
      <c r="C2015" s="1">
        <v>42357</v>
      </c>
      <c r="D2015" s="1">
        <v>42359</v>
      </c>
      <c r="E2015" t="s">
        <v>22</v>
      </c>
      <c r="F2015" t="s">
        <v>3449</v>
      </c>
      <c r="G2015" t="s">
        <v>3450</v>
      </c>
      <c r="H2015" t="s">
        <v>40</v>
      </c>
      <c r="I2015" t="s">
        <v>26</v>
      </c>
      <c r="J2015" t="s">
        <v>2499</v>
      </c>
      <c r="K2015" t="s">
        <v>135</v>
      </c>
      <c r="L2015">
        <v>68104</v>
      </c>
      <c r="M2015" t="s">
        <v>104</v>
      </c>
      <c r="N2015" t="s">
        <v>2522</v>
      </c>
      <c r="O2015" t="s">
        <v>45</v>
      </c>
      <c r="P2015" t="s">
        <v>74</v>
      </c>
      <c r="Q2015" t="s">
        <v>2523</v>
      </c>
      <c r="R2015">
        <v>7.04</v>
      </c>
      <c r="S2015">
        <v>2</v>
      </c>
      <c r="T2015">
        <v>0</v>
      </c>
      <c r="U2015">
        <v>3.3088000000000002</v>
      </c>
      <c r="V2015" t="str">
        <f t="shared" si="31"/>
        <v>Suzanne McNair</v>
      </c>
      <c r="W2015">
        <f>Table2[Profit]/Table2[Sales]</f>
        <v>0.47000000000000003</v>
      </c>
    </row>
    <row r="2016" spans="1:23" x14ac:dyDescent="0.25">
      <c r="A2016">
        <v>2015</v>
      </c>
      <c r="B2016" t="s">
        <v>7030</v>
      </c>
      <c r="C2016" s="1">
        <v>42359</v>
      </c>
      <c r="D2016" s="1">
        <v>42362</v>
      </c>
      <c r="E2016" t="s">
        <v>185</v>
      </c>
      <c r="F2016" t="s">
        <v>1721</v>
      </c>
      <c r="G2016" t="s">
        <v>1722</v>
      </c>
      <c r="H2016" t="s">
        <v>25</v>
      </c>
      <c r="I2016" t="s">
        <v>26</v>
      </c>
      <c r="J2016" t="s">
        <v>1507</v>
      </c>
      <c r="K2016" t="s">
        <v>87</v>
      </c>
      <c r="L2016">
        <v>28540</v>
      </c>
      <c r="M2016" t="s">
        <v>29</v>
      </c>
      <c r="N2016" t="s">
        <v>551</v>
      </c>
      <c r="O2016" t="s">
        <v>70</v>
      </c>
      <c r="P2016" t="s">
        <v>71</v>
      </c>
      <c r="Q2016" t="s">
        <v>552</v>
      </c>
      <c r="R2016">
        <v>47.975999999999999</v>
      </c>
      <c r="S2016">
        <v>3</v>
      </c>
      <c r="T2016">
        <v>0.2</v>
      </c>
      <c r="U2016">
        <v>4.7976000000000001</v>
      </c>
      <c r="V2016" t="str">
        <f t="shared" si="31"/>
        <v>Lynn Smith</v>
      </c>
      <c r="W2016">
        <f>Table2[Profit]/Table2[Sales]</f>
        <v>0.1</v>
      </c>
    </row>
    <row r="2017" spans="1:23" x14ac:dyDescent="0.25">
      <c r="A2017">
        <v>2016</v>
      </c>
      <c r="B2017" t="s">
        <v>7031</v>
      </c>
      <c r="C2017" s="1">
        <v>42638</v>
      </c>
      <c r="D2017" s="1">
        <v>42642</v>
      </c>
      <c r="E2017" t="s">
        <v>49</v>
      </c>
      <c r="F2017" t="s">
        <v>6824</v>
      </c>
      <c r="G2017" t="s">
        <v>6825</v>
      </c>
      <c r="H2017" t="s">
        <v>40</v>
      </c>
      <c r="I2017" t="s">
        <v>26</v>
      </c>
      <c r="J2017" t="s">
        <v>4192</v>
      </c>
      <c r="K2017" t="s">
        <v>413</v>
      </c>
      <c r="L2017">
        <v>97224</v>
      </c>
      <c r="M2017" t="s">
        <v>43</v>
      </c>
      <c r="N2017" t="s">
        <v>5237</v>
      </c>
      <c r="O2017" t="s">
        <v>45</v>
      </c>
      <c r="P2017" t="s">
        <v>89</v>
      </c>
      <c r="Q2017" t="s">
        <v>5238</v>
      </c>
      <c r="R2017">
        <v>60.048000000000002</v>
      </c>
      <c r="S2017">
        <v>9</v>
      </c>
      <c r="T2017">
        <v>0.2</v>
      </c>
      <c r="U2017">
        <v>22.518000000000001</v>
      </c>
      <c r="V2017" t="str">
        <f t="shared" si="31"/>
        <v>Katrina Edelman</v>
      </c>
      <c r="W2017">
        <f>Table2[Profit]/Table2[Sales]</f>
        <v>0.375</v>
      </c>
    </row>
    <row r="2018" spans="1:23" x14ac:dyDescent="0.25">
      <c r="A2018">
        <v>2017</v>
      </c>
      <c r="B2018" t="s">
        <v>7032</v>
      </c>
      <c r="C2018" s="1">
        <v>42910</v>
      </c>
      <c r="D2018" s="1">
        <v>42916</v>
      </c>
      <c r="E2018" t="s">
        <v>49</v>
      </c>
      <c r="F2018" t="s">
        <v>5614</v>
      </c>
      <c r="G2018" t="s">
        <v>5615</v>
      </c>
      <c r="H2018" t="s">
        <v>40</v>
      </c>
      <c r="I2018" t="s">
        <v>26</v>
      </c>
      <c r="J2018" t="s">
        <v>350</v>
      </c>
      <c r="K2018" t="s">
        <v>208</v>
      </c>
      <c r="L2018">
        <v>62521</v>
      </c>
      <c r="M2018" t="s">
        <v>104</v>
      </c>
      <c r="N2018" t="s">
        <v>2177</v>
      </c>
      <c r="O2018" t="s">
        <v>45</v>
      </c>
      <c r="P2018" t="s">
        <v>74</v>
      </c>
      <c r="Q2018" t="s">
        <v>2178</v>
      </c>
      <c r="R2018">
        <v>182.994</v>
      </c>
      <c r="S2018">
        <v>3</v>
      </c>
      <c r="T2018">
        <v>0.8</v>
      </c>
      <c r="U2018">
        <v>-320.23950000000002</v>
      </c>
      <c r="V2018" t="str">
        <f t="shared" si="31"/>
        <v>Matthew Clasen</v>
      </c>
      <c r="W2018">
        <f>Table2[Profit]/Table2[Sales]</f>
        <v>-1.7500000000000002</v>
      </c>
    </row>
    <row r="2019" spans="1:23" x14ac:dyDescent="0.25">
      <c r="A2019">
        <v>2018</v>
      </c>
      <c r="B2019" t="s">
        <v>7033</v>
      </c>
      <c r="C2019" s="1">
        <v>42985</v>
      </c>
      <c r="D2019" s="1">
        <v>42987</v>
      </c>
      <c r="E2019" t="s">
        <v>185</v>
      </c>
      <c r="F2019" t="s">
        <v>5800</v>
      </c>
      <c r="G2019" t="s">
        <v>5801</v>
      </c>
      <c r="H2019" t="s">
        <v>101</v>
      </c>
      <c r="I2019" t="s">
        <v>26</v>
      </c>
      <c r="J2019" t="s">
        <v>537</v>
      </c>
      <c r="K2019" t="s">
        <v>303</v>
      </c>
      <c r="L2019">
        <v>85023</v>
      </c>
      <c r="M2019" t="s">
        <v>43</v>
      </c>
      <c r="N2019" t="s">
        <v>229</v>
      </c>
      <c r="O2019" t="s">
        <v>45</v>
      </c>
      <c r="P2019" t="s">
        <v>74</v>
      </c>
      <c r="Q2019" t="s">
        <v>230</v>
      </c>
      <c r="R2019">
        <v>7.8570000000000002</v>
      </c>
      <c r="S2019">
        <v>3</v>
      </c>
      <c r="T2019">
        <v>0.7</v>
      </c>
      <c r="U2019">
        <v>-6.0236999999999998</v>
      </c>
      <c r="V2019" t="str">
        <f t="shared" si="31"/>
        <v>Dean percer</v>
      </c>
      <c r="W2019">
        <f>Table2[Profit]/Table2[Sales]</f>
        <v>-0.76666666666666661</v>
      </c>
    </row>
    <row r="2020" spans="1:23" x14ac:dyDescent="0.25">
      <c r="A2020">
        <v>2019</v>
      </c>
      <c r="B2020" t="s">
        <v>7034</v>
      </c>
      <c r="C2020" s="1">
        <v>42586</v>
      </c>
      <c r="D2020" s="1">
        <v>42588</v>
      </c>
      <c r="E2020" t="s">
        <v>22</v>
      </c>
      <c r="F2020" t="s">
        <v>205</v>
      </c>
      <c r="G2020" t="s">
        <v>206</v>
      </c>
      <c r="H2020" t="s">
        <v>40</v>
      </c>
      <c r="I2020" t="s">
        <v>26</v>
      </c>
      <c r="J2020" t="s">
        <v>5281</v>
      </c>
      <c r="K2020" t="s">
        <v>42</v>
      </c>
      <c r="L2020">
        <v>95823</v>
      </c>
      <c r="M2020" t="s">
        <v>43</v>
      </c>
      <c r="N2020" t="s">
        <v>69</v>
      </c>
      <c r="O2020" t="s">
        <v>70</v>
      </c>
      <c r="P2020" t="s">
        <v>71</v>
      </c>
      <c r="Q2020" t="s">
        <v>72</v>
      </c>
      <c r="R2020">
        <v>302.38400000000001</v>
      </c>
      <c r="S2020">
        <v>2</v>
      </c>
      <c r="T2020">
        <v>0.2</v>
      </c>
      <c r="U2020">
        <v>30.238399999999999</v>
      </c>
      <c r="V2020" t="str">
        <f t="shared" si="31"/>
        <v>Linda Cazamias</v>
      </c>
      <c r="W2020">
        <f>Table2[Profit]/Table2[Sales]</f>
        <v>9.9999999999999992E-2</v>
      </c>
    </row>
    <row r="2021" spans="1:23" x14ac:dyDescent="0.25">
      <c r="A2021">
        <v>2020</v>
      </c>
      <c r="B2021" t="s">
        <v>7035</v>
      </c>
      <c r="C2021" s="1">
        <v>41870</v>
      </c>
      <c r="D2021" s="1">
        <v>41877</v>
      </c>
      <c r="E2021" t="s">
        <v>49</v>
      </c>
      <c r="F2021" t="s">
        <v>239</v>
      </c>
      <c r="G2021" t="s">
        <v>240</v>
      </c>
      <c r="H2021" t="s">
        <v>25</v>
      </c>
      <c r="I2021" t="s">
        <v>26</v>
      </c>
      <c r="J2021" t="s">
        <v>3207</v>
      </c>
      <c r="K2021" t="s">
        <v>1683</v>
      </c>
      <c r="L2021">
        <v>72401</v>
      </c>
      <c r="M2021" t="s">
        <v>29</v>
      </c>
      <c r="N2021" t="s">
        <v>7036</v>
      </c>
      <c r="O2021" t="s">
        <v>31</v>
      </c>
      <c r="P2021" t="s">
        <v>32</v>
      </c>
      <c r="Q2021" t="s">
        <v>7037</v>
      </c>
      <c r="R2021">
        <v>638.82000000000005</v>
      </c>
      <c r="S2021">
        <v>9</v>
      </c>
      <c r="T2021">
        <v>0</v>
      </c>
      <c r="U2021">
        <v>172.48140000000001</v>
      </c>
      <c r="V2021" t="str">
        <f t="shared" si="31"/>
        <v>Lena Hernandez</v>
      </c>
      <c r="W2021">
        <f>Table2[Profit]/Table2[Sales]</f>
        <v>0.27</v>
      </c>
    </row>
    <row r="2022" spans="1:23" x14ac:dyDescent="0.25">
      <c r="A2022">
        <v>2021</v>
      </c>
      <c r="B2022" t="s">
        <v>7038</v>
      </c>
      <c r="C2022" s="1">
        <v>42461</v>
      </c>
      <c r="D2022" s="1">
        <v>42465</v>
      </c>
      <c r="E2022" t="s">
        <v>49</v>
      </c>
      <c r="F2022" t="s">
        <v>4430</v>
      </c>
      <c r="G2022" t="s">
        <v>4431</v>
      </c>
      <c r="H2022" t="s">
        <v>40</v>
      </c>
      <c r="I2022" t="s">
        <v>26</v>
      </c>
      <c r="J2022" t="s">
        <v>263</v>
      </c>
      <c r="K2022" t="s">
        <v>264</v>
      </c>
      <c r="L2022">
        <v>10035</v>
      </c>
      <c r="M2022" t="s">
        <v>145</v>
      </c>
      <c r="N2022" t="s">
        <v>1868</v>
      </c>
      <c r="O2022" t="s">
        <v>45</v>
      </c>
      <c r="P2022" t="s">
        <v>46</v>
      </c>
      <c r="Q2022" t="s">
        <v>1869</v>
      </c>
      <c r="R2022">
        <v>20.7</v>
      </c>
      <c r="S2022">
        <v>2</v>
      </c>
      <c r="T2022">
        <v>0</v>
      </c>
      <c r="U2022">
        <v>9.9359999999999999</v>
      </c>
      <c r="V2022" t="str">
        <f t="shared" si="31"/>
        <v>Thomas Boland</v>
      </c>
      <c r="W2022">
        <f>Table2[Profit]/Table2[Sales]</f>
        <v>0.48000000000000004</v>
      </c>
    </row>
    <row r="2023" spans="1:23" x14ac:dyDescent="0.25">
      <c r="A2023">
        <v>2022</v>
      </c>
      <c r="B2023" t="s">
        <v>7039</v>
      </c>
      <c r="C2023" s="1">
        <v>42871</v>
      </c>
      <c r="D2023" s="1">
        <v>42873</v>
      </c>
      <c r="E2023" t="s">
        <v>185</v>
      </c>
      <c r="F2023" t="s">
        <v>5454</v>
      </c>
      <c r="G2023" t="s">
        <v>5455</v>
      </c>
      <c r="H2023" t="s">
        <v>25</v>
      </c>
      <c r="I2023" t="s">
        <v>26</v>
      </c>
      <c r="J2023" t="s">
        <v>794</v>
      </c>
      <c r="K2023" t="s">
        <v>491</v>
      </c>
      <c r="L2023">
        <v>44312</v>
      </c>
      <c r="M2023" t="s">
        <v>145</v>
      </c>
      <c r="N2023" t="s">
        <v>3617</v>
      </c>
      <c r="O2023" t="s">
        <v>45</v>
      </c>
      <c r="P2023" t="s">
        <v>58</v>
      </c>
      <c r="Q2023" t="s">
        <v>3618</v>
      </c>
      <c r="R2023">
        <v>221.024</v>
      </c>
      <c r="S2023">
        <v>2</v>
      </c>
      <c r="T2023">
        <v>0.2</v>
      </c>
      <c r="U2023">
        <v>-55.256</v>
      </c>
      <c r="V2023" t="str">
        <f t="shared" si="31"/>
        <v>John Murray</v>
      </c>
      <c r="W2023">
        <f>Table2[Profit]/Table2[Sales]</f>
        <v>-0.25</v>
      </c>
    </row>
    <row r="2024" spans="1:23" x14ac:dyDescent="0.25">
      <c r="A2024">
        <v>2023</v>
      </c>
      <c r="B2024" t="s">
        <v>7040</v>
      </c>
      <c r="C2024" s="1">
        <v>42240</v>
      </c>
      <c r="D2024" s="1">
        <v>42244</v>
      </c>
      <c r="E2024" t="s">
        <v>49</v>
      </c>
      <c r="F2024" t="s">
        <v>1266</v>
      </c>
      <c r="G2024" t="s">
        <v>1267</v>
      </c>
      <c r="H2024" t="s">
        <v>25</v>
      </c>
      <c r="I2024" t="s">
        <v>26</v>
      </c>
      <c r="J2024" t="s">
        <v>2548</v>
      </c>
      <c r="K2024" t="s">
        <v>28</v>
      </c>
      <c r="L2024">
        <v>41042</v>
      </c>
      <c r="M2024" t="s">
        <v>29</v>
      </c>
      <c r="N2024" t="s">
        <v>847</v>
      </c>
      <c r="O2024" t="s">
        <v>70</v>
      </c>
      <c r="P2024" t="s">
        <v>675</v>
      </c>
      <c r="Q2024" t="s">
        <v>848</v>
      </c>
      <c r="R2024">
        <v>3080</v>
      </c>
      <c r="S2024">
        <v>7</v>
      </c>
      <c r="T2024">
        <v>0</v>
      </c>
      <c r="U2024">
        <v>1416.8</v>
      </c>
      <c r="V2024" t="str">
        <f t="shared" si="31"/>
        <v>Katrina Willman</v>
      </c>
      <c r="W2024">
        <f>Table2[Profit]/Table2[Sales]</f>
        <v>0.45999999999999996</v>
      </c>
    </row>
    <row r="2025" spans="1:23" x14ac:dyDescent="0.25">
      <c r="A2025">
        <v>2024</v>
      </c>
      <c r="B2025" t="s">
        <v>7041</v>
      </c>
      <c r="C2025" s="1">
        <v>41905</v>
      </c>
      <c r="D2025" s="1">
        <v>41910</v>
      </c>
      <c r="E2025" t="s">
        <v>49</v>
      </c>
      <c r="F2025" t="s">
        <v>1561</v>
      </c>
      <c r="G2025" t="s">
        <v>1562</v>
      </c>
      <c r="H2025" t="s">
        <v>25</v>
      </c>
      <c r="I2025" t="s">
        <v>26</v>
      </c>
      <c r="J2025" t="s">
        <v>402</v>
      </c>
      <c r="K2025" t="s">
        <v>226</v>
      </c>
      <c r="L2025">
        <v>55407</v>
      </c>
      <c r="M2025" t="s">
        <v>104</v>
      </c>
      <c r="N2025" t="s">
        <v>3735</v>
      </c>
      <c r="O2025" t="s">
        <v>45</v>
      </c>
      <c r="P2025" t="s">
        <v>89</v>
      </c>
      <c r="Q2025" t="s">
        <v>3736</v>
      </c>
      <c r="R2025">
        <v>32.4</v>
      </c>
      <c r="S2025">
        <v>5</v>
      </c>
      <c r="T2025">
        <v>0</v>
      </c>
      <c r="U2025">
        <v>15.552</v>
      </c>
      <c r="V2025" t="str">
        <f t="shared" si="31"/>
        <v>Sanjit Chand</v>
      </c>
      <c r="W2025">
        <f>Table2[Profit]/Table2[Sales]</f>
        <v>0.48</v>
      </c>
    </row>
    <row r="2026" spans="1:23" x14ac:dyDescent="0.25">
      <c r="A2026">
        <v>2025</v>
      </c>
      <c r="B2026" t="s">
        <v>7044</v>
      </c>
      <c r="C2026" s="1">
        <v>42905</v>
      </c>
      <c r="D2026" s="1">
        <v>42909</v>
      </c>
      <c r="E2026" t="s">
        <v>49</v>
      </c>
      <c r="F2026" t="s">
        <v>1946</v>
      </c>
      <c r="G2026" t="s">
        <v>1947</v>
      </c>
      <c r="H2026" t="s">
        <v>25</v>
      </c>
      <c r="I2026" t="s">
        <v>26</v>
      </c>
      <c r="J2026" t="s">
        <v>181</v>
      </c>
      <c r="K2026" t="s">
        <v>103</v>
      </c>
      <c r="L2026">
        <v>77095</v>
      </c>
      <c r="M2026" t="s">
        <v>104</v>
      </c>
      <c r="N2026" t="s">
        <v>7045</v>
      </c>
      <c r="O2026" t="s">
        <v>45</v>
      </c>
      <c r="P2026" t="s">
        <v>77</v>
      </c>
      <c r="Q2026" t="s">
        <v>7046</v>
      </c>
      <c r="R2026">
        <v>2.2639999999999998</v>
      </c>
      <c r="S2026">
        <v>1</v>
      </c>
      <c r="T2026">
        <v>0.8</v>
      </c>
      <c r="U2026">
        <v>-5.2072000000000003</v>
      </c>
      <c r="V2026" t="str">
        <f t="shared" si="31"/>
        <v>Zuschuss Carroll</v>
      </c>
      <c r="W2026">
        <f>Table2[Profit]/Table2[Sales]</f>
        <v>-2.3000000000000003</v>
      </c>
    </row>
    <row r="2027" spans="1:23" x14ac:dyDescent="0.25">
      <c r="A2027">
        <v>2026</v>
      </c>
      <c r="B2027" t="s">
        <v>7047</v>
      </c>
      <c r="C2027" s="1">
        <v>43090</v>
      </c>
      <c r="D2027" s="1">
        <v>43090</v>
      </c>
      <c r="E2027" t="s">
        <v>1278</v>
      </c>
      <c r="F2027" t="s">
        <v>433</v>
      </c>
      <c r="G2027" t="s">
        <v>434</v>
      </c>
      <c r="H2027" t="s">
        <v>101</v>
      </c>
      <c r="I2027" t="s">
        <v>26</v>
      </c>
      <c r="J2027" t="s">
        <v>134</v>
      </c>
      <c r="K2027" t="s">
        <v>135</v>
      </c>
      <c r="L2027">
        <v>68025</v>
      </c>
      <c r="M2027" t="s">
        <v>104</v>
      </c>
      <c r="N2027" t="s">
        <v>2849</v>
      </c>
      <c r="O2027" t="s">
        <v>31</v>
      </c>
      <c r="P2027" t="s">
        <v>64</v>
      </c>
      <c r="Q2027" t="s">
        <v>916</v>
      </c>
      <c r="R2027">
        <v>15.92</v>
      </c>
      <c r="S2027">
        <v>2</v>
      </c>
      <c r="T2027">
        <v>0</v>
      </c>
      <c r="U2027">
        <v>7.0048000000000004</v>
      </c>
      <c r="V2027" t="str">
        <f t="shared" si="31"/>
        <v>Rick Bensley</v>
      </c>
      <c r="W2027">
        <f>Table2[Profit]/Table2[Sales]</f>
        <v>0.44</v>
      </c>
    </row>
    <row r="2028" spans="1:23" x14ac:dyDescent="0.25">
      <c r="A2028">
        <v>2027</v>
      </c>
      <c r="B2028" t="s">
        <v>7048</v>
      </c>
      <c r="C2028" s="1">
        <v>42954</v>
      </c>
      <c r="D2028" s="1">
        <v>42960</v>
      </c>
      <c r="E2028" t="s">
        <v>49</v>
      </c>
      <c r="F2028" t="s">
        <v>2234</v>
      </c>
      <c r="G2028" t="s">
        <v>2235</v>
      </c>
      <c r="H2028" t="s">
        <v>25</v>
      </c>
      <c r="I2028" t="s">
        <v>26</v>
      </c>
      <c r="J2028" t="s">
        <v>941</v>
      </c>
      <c r="K2028" t="s">
        <v>42</v>
      </c>
      <c r="L2028">
        <v>92105</v>
      </c>
      <c r="M2028" t="s">
        <v>43</v>
      </c>
      <c r="N2028" t="s">
        <v>3371</v>
      </c>
      <c r="O2028" t="s">
        <v>70</v>
      </c>
      <c r="P2028" t="s">
        <v>71</v>
      </c>
      <c r="Q2028" t="s">
        <v>3372</v>
      </c>
      <c r="R2028">
        <v>159.96</v>
      </c>
      <c r="S2028">
        <v>5</v>
      </c>
      <c r="T2028">
        <v>0.2</v>
      </c>
      <c r="U2028">
        <v>17.9955</v>
      </c>
      <c r="V2028" t="str">
        <f t="shared" si="31"/>
        <v>Jay Kimmel</v>
      </c>
      <c r="W2028">
        <f>Table2[Profit]/Table2[Sales]</f>
        <v>0.11249999999999999</v>
      </c>
    </row>
    <row r="2029" spans="1:23" x14ac:dyDescent="0.25">
      <c r="A2029">
        <v>2028</v>
      </c>
      <c r="B2029" t="s">
        <v>7049</v>
      </c>
      <c r="C2029" s="1">
        <v>42604</v>
      </c>
      <c r="D2029" s="1">
        <v>42608</v>
      </c>
      <c r="E2029" t="s">
        <v>49</v>
      </c>
      <c r="F2029" t="s">
        <v>7050</v>
      </c>
      <c r="G2029" t="s">
        <v>7051</v>
      </c>
      <c r="H2029" t="s">
        <v>25</v>
      </c>
      <c r="I2029" t="s">
        <v>26</v>
      </c>
      <c r="J2029" t="s">
        <v>181</v>
      </c>
      <c r="K2029" t="s">
        <v>103</v>
      </c>
      <c r="L2029">
        <v>77041</v>
      </c>
      <c r="M2029" t="s">
        <v>104</v>
      </c>
      <c r="N2029" t="s">
        <v>3188</v>
      </c>
      <c r="O2029" t="s">
        <v>45</v>
      </c>
      <c r="P2029" t="s">
        <v>74</v>
      </c>
      <c r="Q2029" t="s">
        <v>3189</v>
      </c>
      <c r="R2029">
        <v>4.3120000000000003</v>
      </c>
      <c r="S2029">
        <v>2</v>
      </c>
      <c r="T2029">
        <v>0.8</v>
      </c>
      <c r="U2029">
        <v>-6.8992000000000004</v>
      </c>
      <c r="V2029" t="str">
        <f t="shared" si="31"/>
        <v>Dorothy Dickinson</v>
      </c>
      <c r="W2029">
        <f>Table2[Profit]/Table2[Sales]</f>
        <v>-1.6</v>
      </c>
    </row>
    <row r="2030" spans="1:23" x14ac:dyDescent="0.25">
      <c r="A2030">
        <v>2029</v>
      </c>
      <c r="B2030" t="s">
        <v>7052</v>
      </c>
      <c r="C2030" s="1">
        <v>42254</v>
      </c>
      <c r="D2030" s="1">
        <v>42254</v>
      </c>
      <c r="E2030" t="s">
        <v>1278</v>
      </c>
      <c r="F2030" t="s">
        <v>4180</v>
      </c>
      <c r="G2030" t="s">
        <v>4181</v>
      </c>
      <c r="H2030" t="s">
        <v>25</v>
      </c>
      <c r="I2030" t="s">
        <v>26</v>
      </c>
      <c r="J2030" t="s">
        <v>263</v>
      </c>
      <c r="K2030" t="s">
        <v>264</v>
      </c>
      <c r="L2030">
        <v>10011</v>
      </c>
      <c r="M2030" t="s">
        <v>145</v>
      </c>
      <c r="N2030" t="s">
        <v>2694</v>
      </c>
      <c r="O2030" t="s">
        <v>45</v>
      </c>
      <c r="P2030" t="s">
        <v>58</v>
      </c>
      <c r="Q2030" t="s">
        <v>2695</v>
      </c>
      <c r="R2030">
        <v>13.96</v>
      </c>
      <c r="S2030">
        <v>2</v>
      </c>
      <c r="T2030">
        <v>0</v>
      </c>
      <c r="U2030">
        <v>0.2792</v>
      </c>
      <c r="V2030" t="str">
        <f t="shared" si="31"/>
        <v>Marc Crier</v>
      </c>
      <c r="W2030">
        <f>Table2[Profit]/Table2[Sales]</f>
        <v>0.02</v>
      </c>
    </row>
    <row r="2031" spans="1:23" x14ac:dyDescent="0.25">
      <c r="A2031">
        <v>2030</v>
      </c>
      <c r="B2031" t="s">
        <v>7053</v>
      </c>
      <c r="C2031" s="1">
        <v>42363</v>
      </c>
      <c r="D2031" s="1">
        <v>42370</v>
      </c>
      <c r="E2031" t="s">
        <v>49</v>
      </c>
      <c r="F2031" t="s">
        <v>3198</v>
      </c>
      <c r="G2031" t="s">
        <v>3199</v>
      </c>
      <c r="H2031" t="s">
        <v>40</v>
      </c>
      <c r="I2031" t="s">
        <v>26</v>
      </c>
      <c r="J2031" t="s">
        <v>873</v>
      </c>
      <c r="K2031" t="s">
        <v>235</v>
      </c>
      <c r="L2031">
        <v>48227</v>
      </c>
      <c r="M2031" t="s">
        <v>104</v>
      </c>
      <c r="N2031" t="s">
        <v>2633</v>
      </c>
      <c r="O2031" t="s">
        <v>70</v>
      </c>
      <c r="P2031" t="s">
        <v>71</v>
      </c>
      <c r="Q2031" t="s">
        <v>2634</v>
      </c>
      <c r="R2031">
        <v>73.98</v>
      </c>
      <c r="S2031">
        <v>2</v>
      </c>
      <c r="T2031">
        <v>0</v>
      </c>
      <c r="U2031">
        <v>19.974599999999999</v>
      </c>
      <c r="V2031" t="str">
        <f t="shared" si="31"/>
        <v>Dionis Lloyd</v>
      </c>
      <c r="W2031">
        <f>Table2[Profit]/Table2[Sales]</f>
        <v>0.26999999999999996</v>
      </c>
    </row>
    <row r="2032" spans="1:23" x14ac:dyDescent="0.25">
      <c r="A2032">
        <v>2031</v>
      </c>
      <c r="B2032" t="s">
        <v>7054</v>
      </c>
      <c r="C2032" s="1">
        <v>42126</v>
      </c>
      <c r="D2032" s="1">
        <v>42131</v>
      </c>
      <c r="E2032" t="s">
        <v>49</v>
      </c>
      <c r="F2032" t="s">
        <v>4556</v>
      </c>
      <c r="G2032" t="s">
        <v>4557</v>
      </c>
      <c r="H2032" t="s">
        <v>40</v>
      </c>
      <c r="I2032" t="s">
        <v>26</v>
      </c>
      <c r="J2032" t="s">
        <v>181</v>
      </c>
      <c r="K2032" t="s">
        <v>103</v>
      </c>
      <c r="L2032">
        <v>77095</v>
      </c>
      <c r="M2032" t="s">
        <v>104</v>
      </c>
      <c r="N2032" t="s">
        <v>4468</v>
      </c>
      <c r="O2032" t="s">
        <v>45</v>
      </c>
      <c r="P2032" t="s">
        <v>46</v>
      </c>
      <c r="Q2032" t="s">
        <v>4469</v>
      </c>
      <c r="R2032">
        <v>8.8559999999999999</v>
      </c>
      <c r="S2032">
        <v>3</v>
      </c>
      <c r="T2032">
        <v>0.2</v>
      </c>
      <c r="U2032">
        <v>2.9889000000000001</v>
      </c>
      <c r="V2032" t="str">
        <f t="shared" si="31"/>
        <v>Noah Childs</v>
      </c>
      <c r="W2032">
        <f>Table2[Profit]/Table2[Sales]</f>
        <v>0.33750000000000002</v>
      </c>
    </row>
    <row r="2033" spans="1:23" x14ac:dyDescent="0.25">
      <c r="A2033">
        <v>2032</v>
      </c>
      <c r="B2033" t="s">
        <v>7055</v>
      </c>
      <c r="C2033" s="1">
        <v>42698</v>
      </c>
      <c r="D2033" s="1">
        <v>42701</v>
      </c>
      <c r="E2033" t="s">
        <v>185</v>
      </c>
      <c r="F2033" t="s">
        <v>4618</v>
      </c>
      <c r="G2033" t="s">
        <v>4619</v>
      </c>
      <c r="H2033" t="s">
        <v>25</v>
      </c>
      <c r="I2033" t="s">
        <v>26</v>
      </c>
      <c r="J2033" t="s">
        <v>94</v>
      </c>
      <c r="K2033" t="s">
        <v>95</v>
      </c>
      <c r="L2033">
        <v>98105</v>
      </c>
      <c r="M2033" t="s">
        <v>43</v>
      </c>
      <c r="N2033" t="s">
        <v>2177</v>
      </c>
      <c r="O2033" t="s">
        <v>45</v>
      </c>
      <c r="P2033" t="s">
        <v>74</v>
      </c>
      <c r="Q2033" t="s">
        <v>2178</v>
      </c>
      <c r="R2033">
        <v>1219.96</v>
      </c>
      <c r="S2033">
        <v>5</v>
      </c>
      <c r="T2033">
        <v>0.2</v>
      </c>
      <c r="U2033">
        <v>381.23750000000001</v>
      </c>
      <c r="V2033" t="str">
        <f t="shared" si="31"/>
        <v>Amy Cox</v>
      </c>
      <c r="W2033">
        <f>Table2[Profit]/Table2[Sales]</f>
        <v>0.3125</v>
      </c>
    </row>
    <row r="2034" spans="1:23" x14ac:dyDescent="0.25">
      <c r="A2034">
        <v>2033</v>
      </c>
      <c r="B2034" t="s">
        <v>7056</v>
      </c>
      <c r="C2034" s="1">
        <v>42332</v>
      </c>
      <c r="D2034" s="1">
        <v>42337</v>
      </c>
      <c r="E2034" t="s">
        <v>49</v>
      </c>
      <c r="F2034" t="s">
        <v>2917</v>
      </c>
      <c r="G2034" t="s">
        <v>2918</v>
      </c>
      <c r="H2034" t="s">
        <v>25</v>
      </c>
      <c r="I2034" t="s">
        <v>26</v>
      </c>
      <c r="J2034" t="s">
        <v>41</v>
      </c>
      <c r="K2034" t="s">
        <v>42</v>
      </c>
      <c r="L2034">
        <v>90036</v>
      </c>
      <c r="M2034" t="s">
        <v>43</v>
      </c>
      <c r="N2034" t="s">
        <v>3503</v>
      </c>
      <c r="O2034" t="s">
        <v>45</v>
      </c>
      <c r="P2034" t="s">
        <v>74</v>
      </c>
      <c r="Q2034" t="s">
        <v>3504</v>
      </c>
      <c r="R2034">
        <v>3.1680000000000001</v>
      </c>
      <c r="S2034">
        <v>2</v>
      </c>
      <c r="T2034">
        <v>0.2</v>
      </c>
      <c r="U2034">
        <v>0.99</v>
      </c>
      <c r="V2034" t="str">
        <f t="shared" si="31"/>
        <v>Toby Swindell</v>
      </c>
      <c r="W2034">
        <f>Table2[Profit]/Table2[Sales]</f>
        <v>0.3125</v>
      </c>
    </row>
    <row r="2035" spans="1:23" x14ac:dyDescent="0.25">
      <c r="A2035">
        <v>2034</v>
      </c>
      <c r="B2035" t="s">
        <v>7057</v>
      </c>
      <c r="C2035" s="1">
        <v>42982</v>
      </c>
      <c r="D2035" s="1">
        <v>42988</v>
      </c>
      <c r="E2035" t="s">
        <v>49</v>
      </c>
      <c r="F2035" t="s">
        <v>3801</v>
      </c>
      <c r="G2035" t="s">
        <v>3802</v>
      </c>
      <c r="H2035" t="s">
        <v>25</v>
      </c>
      <c r="I2035" t="s">
        <v>26</v>
      </c>
      <c r="J2035" t="s">
        <v>143</v>
      </c>
      <c r="K2035" t="s">
        <v>144</v>
      </c>
      <c r="L2035">
        <v>19120</v>
      </c>
      <c r="M2035" t="s">
        <v>145</v>
      </c>
      <c r="N2035" t="s">
        <v>7058</v>
      </c>
      <c r="O2035" t="s">
        <v>70</v>
      </c>
      <c r="P2035" t="s">
        <v>158</v>
      </c>
      <c r="Q2035" t="s">
        <v>7059</v>
      </c>
      <c r="R2035">
        <v>19.04</v>
      </c>
      <c r="S2035">
        <v>4</v>
      </c>
      <c r="T2035">
        <v>0.2</v>
      </c>
      <c r="U2035">
        <v>-1.4279999999999999</v>
      </c>
      <c r="V2035" t="str">
        <f t="shared" si="31"/>
        <v>Michael Moore</v>
      </c>
      <c r="W2035">
        <f>Table2[Profit]/Table2[Sales]</f>
        <v>-7.4999999999999997E-2</v>
      </c>
    </row>
    <row r="2036" spans="1:23" x14ac:dyDescent="0.25">
      <c r="A2036">
        <v>2035</v>
      </c>
      <c r="B2036" t="s">
        <v>7060</v>
      </c>
      <c r="C2036" s="1">
        <v>42866</v>
      </c>
      <c r="D2036" s="1">
        <v>42867</v>
      </c>
      <c r="E2036" t="s">
        <v>1278</v>
      </c>
      <c r="F2036" t="s">
        <v>1875</v>
      </c>
      <c r="G2036" t="s">
        <v>1876</v>
      </c>
      <c r="H2036" t="s">
        <v>25</v>
      </c>
      <c r="I2036" t="s">
        <v>26</v>
      </c>
      <c r="J2036" t="s">
        <v>94</v>
      </c>
      <c r="K2036" t="s">
        <v>95</v>
      </c>
      <c r="L2036">
        <v>98103</v>
      </c>
      <c r="M2036" t="s">
        <v>43</v>
      </c>
      <c r="N2036" t="s">
        <v>3468</v>
      </c>
      <c r="O2036" t="s">
        <v>45</v>
      </c>
      <c r="P2036" t="s">
        <v>89</v>
      </c>
      <c r="Q2036" t="s">
        <v>3469</v>
      </c>
      <c r="R2036">
        <v>37.44</v>
      </c>
      <c r="S2036">
        <v>6</v>
      </c>
      <c r="T2036">
        <v>0</v>
      </c>
      <c r="U2036">
        <v>16.847999999999999</v>
      </c>
      <c r="V2036" t="str">
        <f t="shared" si="31"/>
        <v>Liz Pelletier</v>
      </c>
      <c r="W2036">
        <f>Table2[Profit]/Table2[Sales]</f>
        <v>0.45</v>
      </c>
    </row>
    <row r="2037" spans="1:23" x14ac:dyDescent="0.25">
      <c r="A2037">
        <v>2036</v>
      </c>
      <c r="B2037" t="s">
        <v>7061</v>
      </c>
      <c r="C2037" s="1">
        <v>41770</v>
      </c>
      <c r="D2037" s="1">
        <v>41777</v>
      </c>
      <c r="E2037" t="s">
        <v>49</v>
      </c>
      <c r="F2037" t="s">
        <v>3387</v>
      </c>
      <c r="G2037" t="s">
        <v>3388</v>
      </c>
      <c r="H2037" t="s">
        <v>40</v>
      </c>
      <c r="I2037" t="s">
        <v>26</v>
      </c>
      <c r="J2037" t="s">
        <v>4017</v>
      </c>
      <c r="K2037" t="s">
        <v>264</v>
      </c>
      <c r="L2037">
        <v>13601</v>
      </c>
      <c r="M2037" t="s">
        <v>145</v>
      </c>
      <c r="N2037" t="s">
        <v>1415</v>
      </c>
      <c r="O2037" t="s">
        <v>45</v>
      </c>
      <c r="P2037" t="s">
        <v>77</v>
      </c>
      <c r="Q2037" t="s">
        <v>1416</v>
      </c>
      <c r="R2037">
        <v>35.909999999999997</v>
      </c>
      <c r="S2037">
        <v>3</v>
      </c>
      <c r="T2037">
        <v>0</v>
      </c>
      <c r="U2037">
        <v>9.6957000000000004</v>
      </c>
      <c r="V2037" t="str">
        <f t="shared" si="31"/>
        <v>Brooke Gillingham</v>
      </c>
      <c r="W2037">
        <f>Table2[Profit]/Table2[Sales]</f>
        <v>0.27</v>
      </c>
    </row>
    <row r="2038" spans="1:23" x14ac:dyDescent="0.25">
      <c r="A2038">
        <v>2037</v>
      </c>
      <c r="B2038" t="s">
        <v>7062</v>
      </c>
      <c r="C2038" s="1">
        <v>42943</v>
      </c>
      <c r="D2038" s="1">
        <v>42947</v>
      </c>
      <c r="E2038" t="s">
        <v>22</v>
      </c>
      <c r="F2038" t="s">
        <v>1772</v>
      </c>
      <c r="G2038" t="s">
        <v>1773</v>
      </c>
      <c r="H2038" t="s">
        <v>25</v>
      </c>
      <c r="I2038" t="s">
        <v>26</v>
      </c>
      <c r="J2038" t="s">
        <v>1507</v>
      </c>
      <c r="K2038" t="s">
        <v>53</v>
      </c>
      <c r="L2038">
        <v>32216</v>
      </c>
      <c r="M2038" t="s">
        <v>29</v>
      </c>
      <c r="N2038" t="s">
        <v>2964</v>
      </c>
      <c r="O2038" t="s">
        <v>31</v>
      </c>
      <c r="P2038" t="s">
        <v>64</v>
      </c>
      <c r="Q2038" t="s">
        <v>2965</v>
      </c>
      <c r="R2038">
        <v>91.031999999999996</v>
      </c>
      <c r="S2038">
        <v>3</v>
      </c>
      <c r="T2038">
        <v>0.2</v>
      </c>
      <c r="U2038">
        <v>-2.2757999999999998</v>
      </c>
      <c r="V2038" t="str">
        <f t="shared" si="31"/>
        <v>Mike Gockenbach</v>
      </c>
      <c r="W2038">
        <f>Table2[Profit]/Table2[Sales]</f>
        <v>-2.4999999999999998E-2</v>
      </c>
    </row>
    <row r="2039" spans="1:23" x14ac:dyDescent="0.25">
      <c r="A2039">
        <v>2038</v>
      </c>
      <c r="B2039" t="s">
        <v>7063</v>
      </c>
      <c r="C2039" s="1">
        <v>42861</v>
      </c>
      <c r="D2039" s="1">
        <v>42864</v>
      </c>
      <c r="E2039" t="s">
        <v>185</v>
      </c>
      <c r="F2039" t="s">
        <v>442</v>
      </c>
      <c r="G2039" t="s">
        <v>443</v>
      </c>
      <c r="H2039" t="s">
        <v>25</v>
      </c>
      <c r="I2039" t="s">
        <v>26</v>
      </c>
      <c r="J2039" t="s">
        <v>1119</v>
      </c>
      <c r="K2039" t="s">
        <v>312</v>
      </c>
      <c r="L2039">
        <v>22204</v>
      </c>
      <c r="M2039" t="s">
        <v>29</v>
      </c>
      <c r="N2039" t="s">
        <v>6790</v>
      </c>
      <c r="O2039" t="s">
        <v>45</v>
      </c>
      <c r="P2039" t="s">
        <v>67</v>
      </c>
      <c r="Q2039" t="s">
        <v>6791</v>
      </c>
      <c r="R2039">
        <v>54.66</v>
      </c>
      <c r="S2039">
        <v>6</v>
      </c>
      <c r="T2039">
        <v>0</v>
      </c>
      <c r="U2039">
        <v>18.037800000000001</v>
      </c>
      <c r="V2039" t="str">
        <f t="shared" si="31"/>
        <v>Gary Zandusky</v>
      </c>
      <c r="W2039">
        <f>Table2[Profit]/Table2[Sales]</f>
        <v>0.33</v>
      </c>
    </row>
    <row r="2040" spans="1:23" x14ac:dyDescent="0.25">
      <c r="A2040">
        <v>2039</v>
      </c>
      <c r="B2040" t="s">
        <v>7064</v>
      </c>
      <c r="C2040" s="1">
        <v>41901</v>
      </c>
      <c r="D2040" s="1">
        <v>41906</v>
      </c>
      <c r="E2040" t="s">
        <v>49</v>
      </c>
      <c r="F2040" t="s">
        <v>2084</v>
      </c>
      <c r="G2040" t="s">
        <v>2085</v>
      </c>
      <c r="H2040" t="s">
        <v>25</v>
      </c>
      <c r="I2040" t="s">
        <v>26</v>
      </c>
      <c r="J2040" t="s">
        <v>460</v>
      </c>
      <c r="K2040" t="s">
        <v>87</v>
      </c>
      <c r="L2040">
        <v>28205</v>
      </c>
      <c r="M2040" t="s">
        <v>29</v>
      </c>
      <c r="N2040" t="s">
        <v>2968</v>
      </c>
      <c r="O2040" t="s">
        <v>45</v>
      </c>
      <c r="P2040" t="s">
        <v>58</v>
      </c>
      <c r="Q2040" t="s">
        <v>2969</v>
      </c>
      <c r="R2040">
        <v>67.343999999999994</v>
      </c>
      <c r="S2040">
        <v>6</v>
      </c>
      <c r="T2040">
        <v>0.2</v>
      </c>
      <c r="U2040">
        <v>7.5762</v>
      </c>
      <c r="V2040" t="str">
        <f t="shared" si="31"/>
        <v>John Lee</v>
      </c>
      <c r="W2040">
        <f>Table2[Profit]/Table2[Sales]</f>
        <v>0.11250000000000002</v>
      </c>
    </row>
    <row r="2041" spans="1:23" x14ac:dyDescent="0.25">
      <c r="A2041">
        <v>2040</v>
      </c>
      <c r="B2041" t="s">
        <v>7067</v>
      </c>
      <c r="C2041" s="1">
        <v>42092</v>
      </c>
      <c r="D2041" s="1">
        <v>42098</v>
      </c>
      <c r="E2041" t="s">
        <v>49</v>
      </c>
      <c r="F2041" t="s">
        <v>1339</v>
      </c>
      <c r="G2041" t="s">
        <v>1340</v>
      </c>
      <c r="H2041" t="s">
        <v>25</v>
      </c>
      <c r="I2041" t="s">
        <v>26</v>
      </c>
      <c r="J2041" t="s">
        <v>94</v>
      </c>
      <c r="K2041" t="s">
        <v>95</v>
      </c>
      <c r="L2041">
        <v>98103</v>
      </c>
      <c r="M2041" t="s">
        <v>43</v>
      </c>
      <c r="N2041" t="s">
        <v>6573</v>
      </c>
      <c r="O2041" t="s">
        <v>45</v>
      </c>
      <c r="P2041" t="s">
        <v>77</v>
      </c>
      <c r="Q2041" t="s">
        <v>6574</v>
      </c>
      <c r="R2041">
        <v>73.28</v>
      </c>
      <c r="S2041">
        <v>4</v>
      </c>
      <c r="T2041">
        <v>0</v>
      </c>
      <c r="U2041">
        <v>21.251200000000001</v>
      </c>
      <c r="V2041" t="str">
        <f t="shared" si="31"/>
        <v>Denny Ordway</v>
      </c>
      <c r="W2041">
        <f>Table2[Profit]/Table2[Sales]</f>
        <v>0.28999999999999998</v>
      </c>
    </row>
    <row r="2042" spans="1:23" x14ac:dyDescent="0.25">
      <c r="A2042">
        <v>2041</v>
      </c>
      <c r="B2042" t="s">
        <v>7068</v>
      </c>
      <c r="C2042" s="1">
        <v>41961</v>
      </c>
      <c r="D2042" s="1">
        <v>41968</v>
      </c>
      <c r="E2042" t="s">
        <v>49</v>
      </c>
      <c r="F2042" t="s">
        <v>3680</v>
      </c>
      <c r="G2042" t="s">
        <v>3681</v>
      </c>
      <c r="H2042" t="s">
        <v>40</v>
      </c>
      <c r="I2042" t="s">
        <v>26</v>
      </c>
      <c r="J2042" t="s">
        <v>296</v>
      </c>
      <c r="K2042" t="s">
        <v>208</v>
      </c>
      <c r="L2042">
        <v>60623</v>
      </c>
      <c r="M2042" t="s">
        <v>104</v>
      </c>
      <c r="N2042" t="s">
        <v>1901</v>
      </c>
      <c r="O2042" t="s">
        <v>45</v>
      </c>
      <c r="P2042" t="s">
        <v>74</v>
      </c>
      <c r="Q2042" t="s">
        <v>1902</v>
      </c>
      <c r="R2042">
        <v>14.48</v>
      </c>
      <c r="S2042">
        <v>5</v>
      </c>
      <c r="T2042">
        <v>0.8</v>
      </c>
      <c r="U2042">
        <v>-23.891999999999999</v>
      </c>
      <c r="V2042" t="str">
        <f t="shared" si="31"/>
        <v>Ann Blume</v>
      </c>
      <c r="W2042">
        <f>Table2[Profit]/Table2[Sales]</f>
        <v>-1.65</v>
      </c>
    </row>
    <row r="2043" spans="1:23" x14ac:dyDescent="0.25">
      <c r="A2043">
        <v>2042</v>
      </c>
      <c r="B2043" t="s">
        <v>7069</v>
      </c>
      <c r="C2043" s="1">
        <v>42187</v>
      </c>
      <c r="D2043" s="1">
        <v>42194</v>
      </c>
      <c r="E2043" t="s">
        <v>49</v>
      </c>
      <c r="F2043" t="s">
        <v>400</v>
      </c>
      <c r="G2043" t="s">
        <v>401</v>
      </c>
      <c r="H2043" t="s">
        <v>25</v>
      </c>
      <c r="I2043" t="s">
        <v>26</v>
      </c>
      <c r="J2043" t="s">
        <v>7070</v>
      </c>
      <c r="K2043" t="s">
        <v>53</v>
      </c>
      <c r="L2043">
        <v>33021</v>
      </c>
      <c r="M2043" t="s">
        <v>29</v>
      </c>
      <c r="N2043" t="s">
        <v>3133</v>
      </c>
      <c r="O2043" t="s">
        <v>45</v>
      </c>
      <c r="P2043" t="s">
        <v>89</v>
      </c>
      <c r="Q2043" t="s">
        <v>183</v>
      </c>
      <c r="R2043">
        <v>11.952</v>
      </c>
      <c r="S2043">
        <v>3</v>
      </c>
      <c r="T2043">
        <v>0.2</v>
      </c>
      <c r="U2043">
        <v>4.0338000000000003</v>
      </c>
      <c r="V2043" t="str">
        <f t="shared" si="31"/>
        <v>Karl Braun</v>
      </c>
      <c r="W2043">
        <f>Table2[Profit]/Table2[Sales]</f>
        <v>0.33750000000000002</v>
      </c>
    </row>
    <row r="2044" spans="1:23" x14ac:dyDescent="0.25">
      <c r="A2044">
        <v>2043</v>
      </c>
      <c r="B2044" t="s">
        <v>7071</v>
      </c>
      <c r="C2044" s="1">
        <v>41890</v>
      </c>
      <c r="D2044" s="1">
        <v>41895</v>
      </c>
      <c r="E2044" t="s">
        <v>49</v>
      </c>
      <c r="F2044" t="s">
        <v>647</v>
      </c>
      <c r="G2044" t="s">
        <v>648</v>
      </c>
      <c r="H2044" t="s">
        <v>25</v>
      </c>
      <c r="I2044" t="s">
        <v>26</v>
      </c>
      <c r="J2044" t="s">
        <v>4771</v>
      </c>
      <c r="K2044" t="s">
        <v>312</v>
      </c>
      <c r="L2044">
        <v>23320</v>
      </c>
      <c r="M2044" t="s">
        <v>29</v>
      </c>
      <c r="N2044" t="s">
        <v>2541</v>
      </c>
      <c r="O2044" t="s">
        <v>45</v>
      </c>
      <c r="P2044" t="s">
        <v>266</v>
      </c>
      <c r="Q2044" t="s">
        <v>2542</v>
      </c>
      <c r="R2044">
        <v>45</v>
      </c>
      <c r="S2044">
        <v>9</v>
      </c>
      <c r="T2044">
        <v>0</v>
      </c>
      <c r="U2044">
        <v>21.6</v>
      </c>
      <c r="V2044" t="str">
        <f t="shared" si="31"/>
        <v>Ted Trevino</v>
      </c>
      <c r="W2044">
        <f>Table2[Profit]/Table2[Sales]</f>
        <v>0.48000000000000004</v>
      </c>
    </row>
    <row r="2045" spans="1:23" x14ac:dyDescent="0.25">
      <c r="A2045">
        <v>2044</v>
      </c>
      <c r="B2045" t="s">
        <v>7072</v>
      </c>
      <c r="C2045" s="1">
        <v>43010</v>
      </c>
      <c r="D2045" s="1">
        <v>43016</v>
      </c>
      <c r="E2045" t="s">
        <v>49</v>
      </c>
      <c r="F2045" t="s">
        <v>3173</v>
      </c>
      <c r="G2045" t="s">
        <v>3174</v>
      </c>
      <c r="H2045" t="s">
        <v>101</v>
      </c>
      <c r="I2045" t="s">
        <v>26</v>
      </c>
      <c r="J2045" t="s">
        <v>41</v>
      </c>
      <c r="K2045" t="s">
        <v>42</v>
      </c>
      <c r="L2045">
        <v>90036</v>
      </c>
      <c r="M2045" t="s">
        <v>43</v>
      </c>
      <c r="N2045" t="s">
        <v>3473</v>
      </c>
      <c r="O2045" t="s">
        <v>45</v>
      </c>
      <c r="P2045" t="s">
        <v>74</v>
      </c>
      <c r="Q2045" t="s">
        <v>3474</v>
      </c>
      <c r="R2045">
        <v>112.12</v>
      </c>
      <c r="S2045">
        <v>5</v>
      </c>
      <c r="T2045">
        <v>0.2</v>
      </c>
      <c r="U2045">
        <v>42.045000000000002</v>
      </c>
      <c r="V2045" t="str">
        <f t="shared" si="31"/>
        <v>Paul Van Hugh</v>
      </c>
      <c r="W2045">
        <f>Table2[Profit]/Table2[Sales]</f>
        <v>0.375</v>
      </c>
    </row>
    <row r="2046" spans="1:23" x14ac:dyDescent="0.25">
      <c r="A2046">
        <v>2045</v>
      </c>
      <c r="B2046" t="s">
        <v>7073</v>
      </c>
      <c r="C2046" s="1">
        <v>43058</v>
      </c>
      <c r="D2046" s="1">
        <v>43062</v>
      </c>
      <c r="E2046" t="s">
        <v>49</v>
      </c>
      <c r="F2046" t="s">
        <v>7050</v>
      </c>
      <c r="G2046" t="s">
        <v>7051</v>
      </c>
      <c r="H2046" t="s">
        <v>25</v>
      </c>
      <c r="I2046" t="s">
        <v>26</v>
      </c>
      <c r="J2046" t="s">
        <v>2773</v>
      </c>
      <c r="K2046" t="s">
        <v>312</v>
      </c>
      <c r="L2046">
        <v>22304</v>
      </c>
      <c r="M2046" t="s">
        <v>29</v>
      </c>
      <c r="N2046" t="s">
        <v>1162</v>
      </c>
      <c r="O2046" t="s">
        <v>45</v>
      </c>
      <c r="P2046" t="s">
        <v>266</v>
      </c>
      <c r="Q2046" t="s">
        <v>1163</v>
      </c>
      <c r="R2046">
        <v>25.06</v>
      </c>
      <c r="S2046">
        <v>7</v>
      </c>
      <c r="T2046">
        <v>0</v>
      </c>
      <c r="U2046">
        <v>12.53</v>
      </c>
      <c r="V2046" t="str">
        <f t="shared" si="31"/>
        <v>Dorothy Dickinson</v>
      </c>
      <c r="W2046">
        <f>Table2[Profit]/Table2[Sales]</f>
        <v>0.5</v>
      </c>
    </row>
    <row r="2047" spans="1:23" x14ac:dyDescent="0.25">
      <c r="A2047">
        <v>2046</v>
      </c>
      <c r="B2047" t="s">
        <v>7074</v>
      </c>
      <c r="C2047" s="1">
        <v>42734</v>
      </c>
      <c r="D2047" s="1">
        <v>42736</v>
      </c>
      <c r="E2047" t="s">
        <v>185</v>
      </c>
      <c r="F2047" t="s">
        <v>3857</v>
      </c>
      <c r="G2047" t="s">
        <v>3858</v>
      </c>
      <c r="H2047" t="s">
        <v>40</v>
      </c>
      <c r="I2047" t="s">
        <v>26</v>
      </c>
      <c r="J2047" t="s">
        <v>7075</v>
      </c>
      <c r="K2047" t="s">
        <v>103</v>
      </c>
      <c r="L2047">
        <v>77536</v>
      </c>
      <c r="M2047" t="s">
        <v>104</v>
      </c>
      <c r="N2047" t="s">
        <v>318</v>
      </c>
      <c r="O2047" t="s">
        <v>45</v>
      </c>
      <c r="P2047" t="s">
        <v>74</v>
      </c>
      <c r="Q2047" t="s">
        <v>319</v>
      </c>
      <c r="R2047">
        <v>6.9240000000000004</v>
      </c>
      <c r="S2047">
        <v>6</v>
      </c>
      <c r="T2047">
        <v>0.8</v>
      </c>
      <c r="U2047">
        <v>-10.385999999999999</v>
      </c>
      <c r="V2047" t="str">
        <f t="shared" si="31"/>
        <v>Keith Dawkins</v>
      </c>
      <c r="W2047">
        <f>Table2[Profit]/Table2[Sales]</f>
        <v>-1.4999999999999998</v>
      </c>
    </row>
    <row r="2048" spans="1:23" x14ac:dyDescent="0.25">
      <c r="A2048">
        <v>2047</v>
      </c>
      <c r="B2048" t="s">
        <v>7076</v>
      </c>
      <c r="C2048" s="1">
        <v>43070</v>
      </c>
      <c r="D2048" s="1">
        <v>43073</v>
      </c>
      <c r="E2048" t="s">
        <v>185</v>
      </c>
      <c r="F2048" t="s">
        <v>2198</v>
      </c>
      <c r="G2048" t="s">
        <v>2199</v>
      </c>
      <c r="H2048" t="s">
        <v>25</v>
      </c>
      <c r="I2048" t="s">
        <v>26</v>
      </c>
      <c r="J2048" t="s">
        <v>143</v>
      </c>
      <c r="K2048" t="s">
        <v>144</v>
      </c>
      <c r="L2048">
        <v>19120</v>
      </c>
      <c r="M2048" t="s">
        <v>145</v>
      </c>
      <c r="N2048" t="s">
        <v>947</v>
      </c>
      <c r="O2048" t="s">
        <v>45</v>
      </c>
      <c r="P2048" t="s">
        <v>58</v>
      </c>
      <c r="Q2048" t="s">
        <v>1717</v>
      </c>
      <c r="R2048">
        <v>37.392000000000003</v>
      </c>
      <c r="S2048">
        <v>3</v>
      </c>
      <c r="T2048">
        <v>0.2</v>
      </c>
      <c r="U2048">
        <v>2.3370000000000002</v>
      </c>
      <c r="V2048" t="str">
        <f t="shared" si="31"/>
        <v>Ralph Arnett</v>
      </c>
      <c r="W2048">
        <f>Table2[Profit]/Table2[Sales]</f>
        <v>6.25E-2</v>
      </c>
    </row>
    <row r="2049" spans="1:23" x14ac:dyDescent="0.25">
      <c r="A2049">
        <v>2048</v>
      </c>
      <c r="B2049" t="s">
        <v>7077</v>
      </c>
      <c r="C2049" s="1">
        <v>42534</v>
      </c>
      <c r="D2049" s="1">
        <v>42538</v>
      </c>
      <c r="E2049" t="s">
        <v>49</v>
      </c>
      <c r="F2049" t="s">
        <v>1670</v>
      </c>
      <c r="G2049" t="s">
        <v>1671</v>
      </c>
      <c r="H2049" t="s">
        <v>25</v>
      </c>
      <c r="I2049" t="s">
        <v>26</v>
      </c>
      <c r="J2049" t="s">
        <v>7078</v>
      </c>
      <c r="K2049" t="s">
        <v>4436</v>
      </c>
      <c r="L2049">
        <v>67212</v>
      </c>
      <c r="M2049" t="s">
        <v>104</v>
      </c>
      <c r="N2049" t="s">
        <v>701</v>
      </c>
      <c r="O2049" t="s">
        <v>45</v>
      </c>
      <c r="P2049" t="s">
        <v>46</v>
      </c>
      <c r="Q2049" t="s">
        <v>702</v>
      </c>
      <c r="R2049">
        <v>18.899999999999999</v>
      </c>
      <c r="S2049">
        <v>3</v>
      </c>
      <c r="T2049">
        <v>0</v>
      </c>
      <c r="U2049">
        <v>8.6940000000000008</v>
      </c>
      <c r="V2049" t="str">
        <f t="shared" si="31"/>
        <v>Sonia Sunley</v>
      </c>
      <c r="W2049">
        <f>Table2[Profit]/Table2[Sales]</f>
        <v>0.46000000000000008</v>
      </c>
    </row>
    <row r="2050" spans="1:23" x14ac:dyDescent="0.25">
      <c r="A2050">
        <v>2049</v>
      </c>
      <c r="B2050" t="s">
        <v>7079</v>
      </c>
      <c r="C2050" s="1">
        <v>41778</v>
      </c>
      <c r="D2050" s="1">
        <v>41782</v>
      </c>
      <c r="E2050" t="s">
        <v>49</v>
      </c>
      <c r="F2050" t="s">
        <v>5002</v>
      </c>
      <c r="G2050" t="s">
        <v>5003</v>
      </c>
      <c r="H2050" t="s">
        <v>25</v>
      </c>
      <c r="I2050" t="s">
        <v>26</v>
      </c>
      <c r="J2050" t="s">
        <v>5201</v>
      </c>
      <c r="K2050" t="s">
        <v>235</v>
      </c>
      <c r="L2050">
        <v>48640</v>
      </c>
      <c r="M2050" t="s">
        <v>104</v>
      </c>
      <c r="N2050" t="s">
        <v>4732</v>
      </c>
      <c r="O2050" t="s">
        <v>45</v>
      </c>
      <c r="P2050" t="s">
        <v>74</v>
      </c>
      <c r="Q2050" t="s">
        <v>4733</v>
      </c>
      <c r="R2050">
        <v>57.42</v>
      </c>
      <c r="S2050">
        <v>9</v>
      </c>
      <c r="T2050">
        <v>0</v>
      </c>
      <c r="U2050">
        <v>26.4132</v>
      </c>
      <c r="V2050" t="str">
        <f t="shared" si="31"/>
        <v>John Huston</v>
      </c>
      <c r="W2050">
        <f>Table2[Profit]/Table2[Sales]</f>
        <v>0.45999999999999996</v>
      </c>
    </row>
    <row r="2051" spans="1:23" x14ac:dyDescent="0.25">
      <c r="A2051">
        <v>2050</v>
      </c>
      <c r="B2051" t="s">
        <v>7080</v>
      </c>
      <c r="C2051" s="1">
        <v>42765</v>
      </c>
      <c r="D2051" s="1">
        <v>42772</v>
      </c>
      <c r="E2051" t="s">
        <v>49</v>
      </c>
      <c r="F2051" t="s">
        <v>2129</v>
      </c>
      <c r="G2051" t="s">
        <v>2130</v>
      </c>
      <c r="H2051" t="s">
        <v>101</v>
      </c>
      <c r="I2051" t="s">
        <v>26</v>
      </c>
      <c r="J2051" t="s">
        <v>126</v>
      </c>
      <c r="K2051" t="s">
        <v>42</v>
      </c>
      <c r="L2051">
        <v>94110</v>
      </c>
      <c r="M2051" t="s">
        <v>43</v>
      </c>
      <c r="N2051" t="s">
        <v>3256</v>
      </c>
      <c r="O2051" t="s">
        <v>45</v>
      </c>
      <c r="P2051" t="s">
        <v>67</v>
      </c>
      <c r="Q2051" t="s">
        <v>3257</v>
      </c>
      <c r="R2051">
        <v>12.74</v>
      </c>
      <c r="S2051">
        <v>7</v>
      </c>
      <c r="T2051">
        <v>0</v>
      </c>
      <c r="U2051">
        <v>5.7329999999999997</v>
      </c>
      <c r="V2051" t="str">
        <f t="shared" ref="V2051:V2114" si="32">TRIM(G2051)</f>
        <v>Eugene Hildebrand</v>
      </c>
      <c r="W2051">
        <f>Table2[Profit]/Table2[Sales]</f>
        <v>0.44999999999999996</v>
      </c>
    </row>
    <row r="2052" spans="1:23" x14ac:dyDescent="0.25">
      <c r="A2052">
        <v>2051</v>
      </c>
      <c r="B2052" t="s">
        <v>7081</v>
      </c>
      <c r="C2052" s="1">
        <v>42336</v>
      </c>
      <c r="D2052" s="1">
        <v>42342</v>
      </c>
      <c r="E2052" t="s">
        <v>49</v>
      </c>
      <c r="F2052" t="s">
        <v>5151</v>
      </c>
      <c r="G2052" t="s">
        <v>5152</v>
      </c>
      <c r="H2052" t="s">
        <v>25</v>
      </c>
      <c r="I2052" t="s">
        <v>26</v>
      </c>
      <c r="J2052" t="s">
        <v>3637</v>
      </c>
      <c r="K2052" t="s">
        <v>264</v>
      </c>
      <c r="L2052">
        <v>11520</v>
      </c>
      <c r="M2052" t="s">
        <v>145</v>
      </c>
      <c r="N2052" t="s">
        <v>898</v>
      </c>
      <c r="O2052" t="s">
        <v>31</v>
      </c>
      <c r="P2052" t="s">
        <v>64</v>
      </c>
      <c r="Q2052" t="s">
        <v>899</v>
      </c>
      <c r="R2052">
        <v>322.58999999999997</v>
      </c>
      <c r="S2052">
        <v>3</v>
      </c>
      <c r="T2052">
        <v>0</v>
      </c>
      <c r="U2052">
        <v>64.518000000000001</v>
      </c>
      <c r="V2052" t="str">
        <f t="shared" si="32"/>
        <v>Tom Prescott</v>
      </c>
      <c r="W2052">
        <f>Table2[Profit]/Table2[Sales]</f>
        <v>0.2</v>
      </c>
    </row>
    <row r="2053" spans="1:23" x14ac:dyDescent="0.25">
      <c r="A2053">
        <v>2052</v>
      </c>
      <c r="B2053" t="s">
        <v>7082</v>
      </c>
      <c r="C2053" s="1">
        <v>43031</v>
      </c>
      <c r="D2053" s="1">
        <v>43036</v>
      </c>
      <c r="E2053" t="s">
        <v>49</v>
      </c>
      <c r="F2053" t="s">
        <v>6621</v>
      </c>
      <c r="G2053" t="s">
        <v>6622</v>
      </c>
      <c r="H2053" t="s">
        <v>25</v>
      </c>
      <c r="I2053" t="s">
        <v>26</v>
      </c>
      <c r="J2053" t="s">
        <v>1225</v>
      </c>
      <c r="K2053" t="s">
        <v>103</v>
      </c>
      <c r="L2053">
        <v>78745</v>
      </c>
      <c r="M2053" t="s">
        <v>104</v>
      </c>
      <c r="N2053" t="s">
        <v>6395</v>
      </c>
      <c r="O2053" t="s">
        <v>45</v>
      </c>
      <c r="P2053" t="s">
        <v>74</v>
      </c>
      <c r="Q2053" t="s">
        <v>6396</v>
      </c>
      <c r="R2053">
        <v>9.7620000000000005</v>
      </c>
      <c r="S2053">
        <v>3</v>
      </c>
      <c r="T2053">
        <v>0.8</v>
      </c>
      <c r="U2053">
        <v>-15.1311</v>
      </c>
      <c r="V2053" t="str">
        <f t="shared" si="32"/>
        <v>Randy Bradley</v>
      </c>
      <c r="W2053">
        <f>Table2[Profit]/Table2[Sales]</f>
        <v>-1.5499999999999998</v>
      </c>
    </row>
    <row r="2054" spans="1:23" x14ac:dyDescent="0.25">
      <c r="A2054">
        <v>2053</v>
      </c>
      <c r="B2054" t="s">
        <v>7083</v>
      </c>
      <c r="C2054" s="1">
        <v>42985</v>
      </c>
      <c r="D2054" s="1">
        <v>42989</v>
      </c>
      <c r="E2054" t="s">
        <v>49</v>
      </c>
      <c r="F2054" t="s">
        <v>770</v>
      </c>
      <c r="G2054" t="s">
        <v>771</v>
      </c>
      <c r="H2054" t="s">
        <v>25</v>
      </c>
      <c r="I2054" t="s">
        <v>26</v>
      </c>
      <c r="J2054" t="s">
        <v>143</v>
      </c>
      <c r="K2054" t="s">
        <v>144</v>
      </c>
      <c r="L2054">
        <v>19134</v>
      </c>
      <c r="M2054" t="s">
        <v>145</v>
      </c>
      <c r="N2054" t="s">
        <v>642</v>
      </c>
      <c r="O2054" t="s">
        <v>45</v>
      </c>
      <c r="P2054" t="s">
        <v>46</v>
      </c>
      <c r="Q2054" t="s">
        <v>643</v>
      </c>
      <c r="R2054">
        <v>29.24</v>
      </c>
      <c r="S2054">
        <v>5</v>
      </c>
      <c r="T2054">
        <v>0.2</v>
      </c>
      <c r="U2054">
        <v>9.8684999999999992</v>
      </c>
      <c r="V2054" t="str">
        <f t="shared" si="32"/>
        <v>Cassandra Brandow</v>
      </c>
      <c r="W2054">
        <f>Table2[Profit]/Table2[Sales]</f>
        <v>0.33749999999999997</v>
      </c>
    </row>
    <row r="2055" spans="1:23" x14ac:dyDescent="0.25">
      <c r="A2055">
        <v>2054</v>
      </c>
      <c r="B2055" t="s">
        <v>7084</v>
      </c>
      <c r="C2055" s="1">
        <v>42733</v>
      </c>
      <c r="D2055" s="1">
        <v>42738</v>
      </c>
      <c r="E2055" t="s">
        <v>49</v>
      </c>
      <c r="F2055" t="s">
        <v>1463</v>
      </c>
      <c r="G2055" t="s">
        <v>1464</v>
      </c>
      <c r="H2055" t="s">
        <v>40</v>
      </c>
      <c r="I2055" t="s">
        <v>26</v>
      </c>
      <c r="J2055" t="s">
        <v>508</v>
      </c>
      <c r="K2055" t="s">
        <v>328</v>
      </c>
      <c r="L2055">
        <v>37620</v>
      </c>
      <c r="M2055" t="s">
        <v>29</v>
      </c>
      <c r="N2055" t="s">
        <v>569</v>
      </c>
      <c r="O2055" t="s">
        <v>45</v>
      </c>
      <c r="P2055" t="s">
        <v>74</v>
      </c>
      <c r="Q2055" t="s">
        <v>570</v>
      </c>
      <c r="R2055">
        <v>38.088000000000001</v>
      </c>
      <c r="S2055">
        <v>4</v>
      </c>
      <c r="T2055">
        <v>0.7</v>
      </c>
      <c r="U2055">
        <v>-27.9312</v>
      </c>
      <c r="V2055" t="str">
        <f t="shared" si="32"/>
        <v>Michael Paige</v>
      </c>
      <c r="W2055">
        <f>Table2[Profit]/Table2[Sales]</f>
        <v>-0.73333333333333328</v>
      </c>
    </row>
    <row r="2056" spans="1:23" x14ac:dyDescent="0.25">
      <c r="A2056">
        <v>2055</v>
      </c>
      <c r="B2056" t="s">
        <v>7085</v>
      </c>
      <c r="C2056" s="1">
        <v>42343</v>
      </c>
      <c r="D2056" s="1">
        <v>42347</v>
      </c>
      <c r="E2056" t="s">
        <v>22</v>
      </c>
      <c r="F2056" t="s">
        <v>4920</v>
      </c>
      <c r="G2056" t="s">
        <v>4921</v>
      </c>
      <c r="H2056" t="s">
        <v>25</v>
      </c>
      <c r="I2056" t="s">
        <v>26</v>
      </c>
      <c r="J2056" t="s">
        <v>143</v>
      </c>
      <c r="K2056" t="s">
        <v>144</v>
      </c>
      <c r="L2056">
        <v>19140</v>
      </c>
      <c r="M2056" t="s">
        <v>145</v>
      </c>
      <c r="N2056" t="s">
        <v>4081</v>
      </c>
      <c r="O2056" t="s">
        <v>70</v>
      </c>
      <c r="P2056" t="s">
        <v>158</v>
      </c>
      <c r="Q2056" t="s">
        <v>4082</v>
      </c>
      <c r="R2056">
        <v>47.984000000000002</v>
      </c>
      <c r="S2056">
        <v>2</v>
      </c>
      <c r="T2056">
        <v>0.2</v>
      </c>
      <c r="U2056">
        <v>0.5998</v>
      </c>
      <c r="V2056" t="str">
        <f t="shared" si="32"/>
        <v>Scot Wooten</v>
      </c>
      <c r="W2056">
        <f>Table2[Profit]/Table2[Sales]</f>
        <v>1.2499999999999999E-2</v>
      </c>
    </row>
    <row r="2057" spans="1:23" x14ac:dyDescent="0.25">
      <c r="A2057">
        <v>2056</v>
      </c>
      <c r="B2057" t="s">
        <v>7086</v>
      </c>
      <c r="C2057" s="1">
        <v>41944</v>
      </c>
      <c r="D2057" s="1">
        <v>41951</v>
      </c>
      <c r="E2057" t="s">
        <v>49</v>
      </c>
      <c r="F2057" t="s">
        <v>3449</v>
      </c>
      <c r="G2057" t="s">
        <v>3450</v>
      </c>
      <c r="H2057" t="s">
        <v>40</v>
      </c>
      <c r="I2057" t="s">
        <v>26</v>
      </c>
      <c r="J2057" t="s">
        <v>296</v>
      </c>
      <c r="K2057" t="s">
        <v>208</v>
      </c>
      <c r="L2057">
        <v>60610</v>
      </c>
      <c r="M2057" t="s">
        <v>104</v>
      </c>
      <c r="N2057" t="s">
        <v>4792</v>
      </c>
      <c r="O2057" t="s">
        <v>45</v>
      </c>
      <c r="P2057" t="s">
        <v>89</v>
      </c>
      <c r="Q2057" t="s">
        <v>4793</v>
      </c>
      <c r="R2057">
        <v>15.696</v>
      </c>
      <c r="S2057">
        <v>3</v>
      </c>
      <c r="T2057">
        <v>0.2</v>
      </c>
      <c r="U2057">
        <v>5.1012000000000004</v>
      </c>
      <c r="V2057" t="str">
        <f t="shared" si="32"/>
        <v>Suzanne McNair</v>
      </c>
      <c r="W2057">
        <f>Table2[Profit]/Table2[Sales]</f>
        <v>0.32500000000000001</v>
      </c>
    </row>
    <row r="2058" spans="1:23" x14ac:dyDescent="0.25">
      <c r="A2058">
        <v>2057</v>
      </c>
      <c r="B2058" t="s">
        <v>7087</v>
      </c>
      <c r="C2058" s="1">
        <v>42476</v>
      </c>
      <c r="D2058" s="1">
        <v>42483</v>
      </c>
      <c r="E2058" t="s">
        <v>49</v>
      </c>
      <c r="F2058" t="s">
        <v>2255</v>
      </c>
      <c r="G2058" t="s">
        <v>2256</v>
      </c>
      <c r="H2058" t="s">
        <v>25</v>
      </c>
      <c r="I2058" t="s">
        <v>26</v>
      </c>
      <c r="J2058" t="s">
        <v>490</v>
      </c>
      <c r="K2058" t="s">
        <v>1260</v>
      </c>
      <c r="L2058">
        <v>31907</v>
      </c>
      <c r="M2058" t="s">
        <v>29</v>
      </c>
      <c r="N2058" t="s">
        <v>127</v>
      </c>
      <c r="O2058" t="s">
        <v>45</v>
      </c>
      <c r="P2058" t="s">
        <v>67</v>
      </c>
      <c r="Q2058" t="s">
        <v>128</v>
      </c>
      <c r="R2058">
        <v>12.84</v>
      </c>
      <c r="S2058">
        <v>3</v>
      </c>
      <c r="T2058">
        <v>0</v>
      </c>
      <c r="U2058">
        <v>3.7235999999999998</v>
      </c>
      <c r="V2058" t="str">
        <f t="shared" si="32"/>
        <v>Arthur Prichep</v>
      </c>
      <c r="W2058">
        <f>Table2[Profit]/Table2[Sales]</f>
        <v>0.28999999999999998</v>
      </c>
    </row>
    <row r="2059" spans="1:23" x14ac:dyDescent="0.25">
      <c r="A2059">
        <v>2058</v>
      </c>
      <c r="B2059" t="s">
        <v>7088</v>
      </c>
      <c r="C2059" s="1">
        <v>42869</v>
      </c>
      <c r="D2059" s="1">
        <v>42873</v>
      </c>
      <c r="E2059" t="s">
        <v>49</v>
      </c>
      <c r="F2059" t="s">
        <v>7089</v>
      </c>
      <c r="G2059" t="s">
        <v>7090</v>
      </c>
      <c r="H2059" t="s">
        <v>25</v>
      </c>
      <c r="I2059" t="s">
        <v>26</v>
      </c>
      <c r="J2059" t="s">
        <v>263</v>
      </c>
      <c r="K2059" t="s">
        <v>264</v>
      </c>
      <c r="L2059">
        <v>10035</v>
      </c>
      <c r="M2059" t="s">
        <v>145</v>
      </c>
      <c r="N2059" t="s">
        <v>5662</v>
      </c>
      <c r="O2059" t="s">
        <v>70</v>
      </c>
      <c r="P2059" t="s">
        <v>71</v>
      </c>
      <c r="Q2059" t="s">
        <v>5663</v>
      </c>
      <c r="R2059">
        <v>539.97</v>
      </c>
      <c r="S2059">
        <v>3</v>
      </c>
      <c r="T2059">
        <v>0</v>
      </c>
      <c r="U2059">
        <v>134.99250000000001</v>
      </c>
      <c r="V2059" t="str">
        <f t="shared" si="32"/>
        <v>Amy Hunt</v>
      </c>
      <c r="W2059">
        <f>Table2[Profit]/Table2[Sales]</f>
        <v>0.25</v>
      </c>
    </row>
    <row r="2060" spans="1:23" x14ac:dyDescent="0.25">
      <c r="A2060">
        <v>2059</v>
      </c>
      <c r="B2060" t="s">
        <v>7091</v>
      </c>
      <c r="C2060" s="1">
        <v>42077</v>
      </c>
      <c r="D2060" s="1">
        <v>42081</v>
      </c>
      <c r="E2060" t="s">
        <v>49</v>
      </c>
      <c r="F2060" t="s">
        <v>1803</v>
      </c>
      <c r="G2060" t="s">
        <v>1804</v>
      </c>
      <c r="H2060" t="s">
        <v>25</v>
      </c>
      <c r="I2060" t="s">
        <v>26</v>
      </c>
      <c r="J2060" t="s">
        <v>241</v>
      </c>
      <c r="K2060" t="s">
        <v>2658</v>
      </c>
      <c r="L2060">
        <v>3820</v>
      </c>
      <c r="M2060" t="s">
        <v>145</v>
      </c>
      <c r="N2060" t="s">
        <v>2382</v>
      </c>
      <c r="O2060" t="s">
        <v>45</v>
      </c>
      <c r="P2060" t="s">
        <v>46</v>
      </c>
      <c r="Q2060" t="s">
        <v>2383</v>
      </c>
      <c r="R2060">
        <v>16.52</v>
      </c>
      <c r="S2060">
        <v>4</v>
      </c>
      <c r="T2060">
        <v>0</v>
      </c>
      <c r="U2060">
        <v>7.5991999999999997</v>
      </c>
      <c r="V2060" t="str">
        <f t="shared" si="32"/>
        <v>Emily Phan</v>
      </c>
      <c r="W2060">
        <f>Table2[Profit]/Table2[Sales]</f>
        <v>0.46</v>
      </c>
    </row>
    <row r="2061" spans="1:23" x14ac:dyDescent="0.25">
      <c r="A2061">
        <v>2060</v>
      </c>
      <c r="B2061" t="s">
        <v>7092</v>
      </c>
      <c r="C2061" s="1">
        <v>42749</v>
      </c>
      <c r="D2061" s="1">
        <v>42751</v>
      </c>
      <c r="E2061" t="s">
        <v>185</v>
      </c>
      <c r="F2061" t="s">
        <v>7093</v>
      </c>
      <c r="G2061" t="s">
        <v>7094</v>
      </c>
      <c r="H2061" t="s">
        <v>40</v>
      </c>
      <c r="I2061" t="s">
        <v>26</v>
      </c>
      <c r="J2061" t="s">
        <v>449</v>
      </c>
      <c r="K2061" t="s">
        <v>450</v>
      </c>
      <c r="L2061">
        <v>80013</v>
      </c>
      <c r="M2061" t="s">
        <v>43</v>
      </c>
      <c r="N2061" t="s">
        <v>157</v>
      </c>
      <c r="O2061" t="s">
        <v>70</v>
      </c>
      <c r="P2061" t="s">
        <v>158</v>
      </c>
      <c r="Q2061" t="s">
        <v>159</v>
      </c>
      <c r="R2061">
        <v>169.06399999999999</v>
      </c>
      <c r="S2061">
        <v>7</v>
      </c>
      <c r="T2061">
        <v>0.2</v>
      </c>
      <c r="U2061">
        <v>-14.793100000000001</v>
      </c>
      <c r="V2061" t="str">
        <f t="shared" si="32"/>
        <v>Tracy Poddar</v>
      </c>
      <c r="W2061">
        <f>Table2[Profit]/Table2[Sales]</f>
        <v>-8.7500000000000008E-2</v>
      </c>
    </row>
    <row r="2062" spans="1:23" x14ac:dyDescent="0.25">
      <c r="A2062">
        <v>2061</v>
      </c>
      <c r="B2062" t="s">
        <v>7095</v>
      </c>
      <c r="C2062" s="1">
        <v>42071</v>
      </c>
      <c r="D2062" s="1">
        <v>42076</v>
      </c>
      <c r="E2062" t="s">
        <v>49</v>
      </c>
      <c r="F2062" t="s">
        <v>2110</v>
      </c>
      <c r="G2062" t="s">
        <v>2111</v>
      </c>
      <c r="H2062" t="s">
        <v>40</v>
      </c>
      <c r="I2062" t="s">
        <v>26</v>
      </c>
      <c r="J2062" t="s">
        <v>1161</v>
      </c>
      <c r="K2062" t="s">
        <v>264</v>
      </c>
      <c r="L2062">
        <v>11561</v>
      </c>
      <c r="M2062" t="s">
        <v>145</v>
      </c>
      <c r="N2062" t="s">
        <v>6038</v>
      </c>
      <c r="O2062" t="s">
        <v>45</v>
      </c>
      <c r="P2062" t="s">
        <v>89</v>
      </c>
      <c r="Q2062" t="s">
        <v>6039</v>
      </c>
      <c r="R2062">
        <v>19.440000000000001</v>
      </c>
      <c r="S2062">
        <v>3</v>
      </c>
      <c r="T2062">
        <v>0</v>
      </c>
      <c r="U2062">
        <v>9.3312000000000008</v>
      </c>
      <c r="V2062" t="str">
        <f t="shared" si="32"/>
        <v>Anthony Rawles</v>
      </c>
      <c r="W2062">
        <f>Table2[Profit]/Table2[Sales]</f>
        <v>0.48000000000000004</v>
      </c>
    </row>
    <row r="2063" spans="1:23" x14ac:dyDescent="0.25">
      <c r="A2063">
        <v>2062</v>
      </c>
      <c r="B2063" t="s">
        <v>7096</v>
      </c>
      <c r="C2063" s="1">
        <v>41923</v>
      </c>
      <c r="D2063" s="1">
        <v>41925</v>
      </c>
      <c r="E2063" t="s">
        <v>185</v>
      </c>
      <c r="F2063" t="s">
        <v>594</v>
      </c>
      <c r="G2063" t="s">
        <v>595</v>
      </c>
      <c r="H2063" t="s">
        <v>25</v>
      </c>
      <c r="I2063" t="s">
        <v>26</v>
      </c>
      <c r="J2063" t="s">
        <v>596</v>
      </c>
      <c r="K2063" t="s">
        <v>42</v>
      </c>
      <c r="L2063">
        <v>91104</v>
      </c>
      <c r="M2063" t="s">
        <v>43</v>
      </c>
      <c r="N2063" t="s">
        <v>3291</v>
      </c>
      <c r="O2063" t="s">
        <v>45</v>
      </c>
      <c r="P2063" t="s">
        <v>58</v>
      </c>
      <c r="Q2063" t="s">
        <v>3292</v>
      </c>
      <c r="R2063">
        <v>31.92</v>
      </c>
      <c r="S2063">
        <v>4</v>
      </c>
      <c r="T2063">
        <v>0</v>
      </c>
      <c r="U2063">
        <v>8.2992000000000008</v>
      </c>
      <c r="V2063" t="str">
        <f t="shared" si="32"/>
        <v>Helen Andreada</v>
      </c>
      <c r="W2063">
        <f>Table2[Profit]/Table2[Sales]</f>
        <v>0.26</v>
      </c>
    </row>
    <row r="2064" spans="1:23" x14ac:dyDescent="0.25">
      <c r="A2064">
        <v>2063</v>
      </c>
      <c r="B2064" t="s">
        <v>7097</v>
      </c>
      <c r="C2064" s="1">
        <v>42107</v>
      </c>
      <c r="D2064" s="1">
        <v>42108</v>
      </c>
      <c r="E2064" t="s">
        <v>185</v>
      </c>
      <c r="F2064" t="s">
        <v>6502</v>
      </c>
      <c r="G2064" t="s">
        <v>6503</v>
      </c>
      <c r="H2064" t="s">
        <v>101</v>
      </c>
      <c r="I2064" t="s">
        <v>26</v>
      </c>
      <c r="J2064" t="s">
        <v>1799</v>
      </c>
      <c r="K2064" t="s">
        <v>303</v>
      </c>
      <c r="L2064">
        <v>85204</v>
      </c>
      <c r="M2064" t="s">
        <v>43</v>
      </c>
      <c r="N2064" t="s">
        <v>2844</v>
      </c>
      <c r="O2064" t="s">
        <v>45</v>
      </c>
      <c r="P2064" t="s">
        <v>89</v>
      </c>
      <c r="Q2064" t="s">
        <v>2845</v>
      </c>
      <c r="R2064">
        <v>31.103999999999999</v>
      </c>
      <c r="S2064">
        <v>6</v>
      </c>
      <c r="T2064">
        <v>0.2</v>
      </c>
      <c r="U2064">
        <v>10.8864</v>
      </c>
      <c r="V2064" t="str">
        <f t="shared" si="32"/>
        <v>Heather Jas</v>
      </c>
      <c r="W2064">
        <f>Table2[Profit]/Table2[Sales]</f>
        <v>0.35000000000000003</v>
      </c>
    </row>
    <row r="2065" spans="1:23" x14ac:dyDescent="0.25">
      <c r="A2065">
        <v>2064</v>
      </c>
      <c r="B2065" t="s">
        <v>7098</v>
      </c>
      <c r="C2065" s="1">
        <v>43055</v>
      </c>
      <c r="D2065" s="1">
        <v>43059</v>
      </c>
      <c r="E2065" t="s">
        <v>49</v>
      </c>
      <c r="F2065" t="s">
        <v>2234</v>
      </c>
      <c r="G2065" t="s">
        <v>2235</v>
      </c>
      <c r="H2065" t="s">
        <v>25</v>
      </c>
      <c r="I2065" t="s">
        <v>26</v>
      </c>
      <c r="J2065" t="s">
        <v>3419</v>
      </c>
      <c r="K2065" t="s">
        <v>42</v>
      </c>
      <c r="L2065">
        <v>93727</v>
      </c>
      <c r="M2065" t="s">
        <v>43</v>
      </c>
      <c r="N2065" t="s">
        <v>2694</v>
      </c>
      <c r="O2065" t="s">
        <v>45</v>
      </c>
      <c r="P2065" t="s">
        <v>58</v>
      </c>
      <c r="Q2065" t="s">
        <v>2695</v>
      </c>
      <c r="R2065">
        <v>48.86</v>
      </c>
      <c r="S2065">
        <v>7</v>
      </c>
      <c r="T2065">
        <v>0</v>
      </c>
      <c r="U2065">
        <v>0.97719999999999996</v>
      </c>
      <c r="V2065" t="str">
        <f t="shared" si="32"/>
        <v>Jay Kimmel</v>
      </c>
      <c r="W2065">
        <f>Table2[Profit]/Table2[Sales]</f>
        <v>0.02</v>
      </c>
    </row>
    <row r="2066" spans="1:23" x14ac:dyDescent="0.25">
      <c r="A2066">
        <v>2065</v>
      </c>
      <c r="B2066" t="s">
        <v>7099</v>
      </c>
      <c r="C2066" s="1">
        <v>42552</v>
      </c>
      <c r="D2066" s="1">
        <v>42552</v>
      </c>
      <c r="E2066" t="s">
        <v>1278</v>
      </c>
      <c r="F2066" t="s">
        <v>2302</v>
      </c>
      <c r="G2066" t="s">
        <v>2303</v>
      </c>
      <c r="H2066" t="s">
        <v>25</v>
      </c>
      <c r="I2066" t="s">
        <v>26</v>
      </c>
      <c r="J2066" t="s">
        <v>375</v>
      </c>
      <c r="K2066" t="s">
        <v>376</v>
      </c>
      <c r="L2066">
        <v>29203</v>
      </c>
      <c r="M2066" t="s">
        <v>29</v>
      </c>
      <c r="N2066" t="s">
        <v>129</v>
      </c>
      <c r="O2066" t="s">
        <v>45</v>
      </c>
      <c r="P2066" t="s">
        <v>74</v>
      </c>
      <c r="Q2066" t="s">
        <v>130</v>
      </c>
      <c r="R2066">
        <v>14.2</v>
      </c>
      <c r="S2066">
        <v>2</v>
      </c>
      <c r="T2066">
        <v>0</v>
      </c>
      <c r="U2066">
        <v>6.532</v>
      </c>
      <c r="V2066" t="str">
        <f t="shared" si="32"/>
        <v>Jay Fein</v>
      </c>
      <c r="W2066">
        <f>Table2[Profit]/Table2[Sales]</f>
        <v>0.46</v>
      </c>
    </row>
    <row r="2067" spans="1:23" x14ac:dyDescent="0.25">
      <c r="A2067">
        <v>2066</v>
      </c>
      <c r="B2067" t="s">
        <v>7100</v>
      </c>
      <c r="C2067" s="1">
        <v>42337</v>
      </c>
      <c r="D2067" s="1">
        <v>42338</v>
      </c>
      <c r="E2067" t="s">
        <v>185</v>
      </c>
      <c r="F2067" t="s">
        <v>7101</v>
      </c>
      <c r="G2067" t="s">
        <v>7102</v>
      </c>
      <c r="H2067" t="s">
        <v>101</v>
      </c>
      <c r="I2067" t="s">
        <v>26</v>
      </c>
      <c r="J2067" t="s">
        <v>2511</v>
      </c>
      <c r="K2067" t="s">
        <v>42</v>
      </c>
      <c r="L2067">
        <v>92704</v>
      </c>
      <c r="M2067" t="s">
        <v>43</v>
      </c>
      <c r="N2067" t="s">
        <v>6099</v>
      </c>
      <c r="O2067" t="s">
        <v>45</v>
      </c>
      <c r="P2067" t="s">
        <v>67</v>
      </c>
      <c r="Q2067" t="s">
        <v>6100</v>
      </c>
      <c r="R2067">
        <v>56.3</v>
      </c>
      <c r="S2067">
        <v>2</v>
      </c>
      <c r="T2067">
        <v>0</v>
      </c>
      <c r="U2067">
        <v>15.763999999999999</v>
      </c>
      <c r="V2067" t="str">
        <f t="shared" si="32"/>
        <v>Eileen Kiefer</v>
      </c>
      <c r="W2067">
        <f>Table2[Profit]/Table2[Sales]</f>
        <v>0.28000000000000003</v>
      </c>
    </row>
    <row r="2068" spans="1:23" x14ac:dyDescent="0.25">
      <c r="A2068">
        <v>2067</v>
      </c>
      <c r="B2068" t="s">
        <v>7103</v>
      </c>
      <c r="C2068" s="1">
        <v>41736</v>
      </c>
      <c r="D2068" s="1">
        <v>41741</v>
      </c>
      <c r="E2068" t="s">
        <v>49</v>
      </c>
      <c r="F2068" t="s">
        <v>2261</v>
      </c>
      <c r="G2068" t="s">
        <v>2262</v>
      </c>
      <c r="H2068" t="s">
        <v>40</v>
      </c>
      <c r="I2068" t="s">
        <v>26</v>
      </c>
      <c r="J2068" t="s">
        <v>375</v>
      </c>
      <c r="K2068" t="s">
        <v>376</v>
      </c>
      <c r="L2068">
        <v>29203</v>
      </c>
      <c r="M2068" t="s">
        <v>29</v>
      </c>
      <c r="N2068" t="s">
        <v>730</v>
      </c>
      <c r="O2068" t="s">
        <v>70</v>
      </c>
      <c r="P2068" t="s">
        <v>71</v>
      </c>
      <c r="Q2068" t="s">
        <v>731</v>
      </c>
      <c r="R2068">
        <v>629.95000000000005</v>
      </c>
      <c r="S2068">
        <v>5</v>
      </c>
      <c r="T2068">
        <v>0</v>
      </c>
      <c r="U2068">
        <v>163.78700000000001</v>
      </c>
      <c r="V2068" t="str">
        <f t="shared" si="32"/>
        <v>Roland Schwarz</v>
      </c>
      <c r="W2068">
        <f>Table2[Profit]/Table2[Sales]</f>
        <v>0.26</v>
      </c>
    </row>
    <row r="2069" spans="1:23" x14ac:dyDescent="0.25">
      <c r="A2069">
        <v>2068</v>
      </c>
      <c r="B2069" t="s">
        <v>7104</v>
      </c>
      <c r="C2069" s="1">
        <v>42537</v>
      </c>
      <c r="D2069" s="1">
        <v>42539</v>
      </c>
      <c r="E2069" t="s">
        <v>22</v>
      </c>
      <c r="F2069" t="s">
        <v>1844</v>
      </c>
      <c r="G2069" t="s">
        <v>1845</v>
      </c>
      <c r="H2069" t="s">
        <v>25</v>
      </c>
      <c r="I2069" t="s">
        <v>26</v>
      </c>
      <c r="J2069" t="s">
        <v>41</v>
      </c>
      <c r="K2069" t="s">
        <v>42</v>
      </c>
      <c r="L2069">
        <v>90045</v>
      </c>
      <c r="M2069" t="s">
        <v>43</v>
      </c>
      <c r="N2069" t="s">
        <v>5131</v>
      </c>
      <c r="O2069" t="s">
        <v>45</v>
      </c>
      <c r="P2069" t="s">
        <v>89</v>
      </c>
      <c r="Q2069" t="s">
        <v>5132</v>
      </c>
      <c r="R2069">
        <v>46.35</v>
      </c>
      <c r="S2069">
        <v>5</v>
      </c>
      <c r="T2069">
        <v>0</v>
      </c>
      <c r="U2069">
        <v>21.784500000000001</v>
      </c>
      <c r="V2069" t="str">
        <f t="shared" si="32"/>
        <v>Bill Donatelli</v>
      </c>
      <c r="W2069">
        <f>Table2[Profit]/Table2[Sales]</f>
        <v>0.47000000000000003</v>
      </c>
    </row>
    <row r="2070" spans="1:23" x14ac:dyDescent="0.25">
      <c r="A2070">
        <v>2069</v>
      </c>
      <c r="B2070" t="s">
        <v>7105</v>
      </c>
      <c r="C2070" s="1">
        <v>42800</v>
      </c>
      <c r="D2070" s="1">
        <v>42804</v>
      </c>
      <c r="E2070" t="s">
        <v>49</v>
      </c>
      <c r="F2070" t="s">
        <v>3369</v>
      </c>
      <c r="G2070" t="s">
        <v>3370</v>
      </c>
      <c r="H2070" t="s">
        <v>101</v>
      </c>
      <c r="I2070" t="s">
        <v>26</v>
      </c>
      <c r="J2070" t="s">
        <v>126</v>
      </c>
      <c r="K2070" t="s">
        <v>42</v>
      </c>
      <c r="L2070">
        <v>94109</v>
      </c>
      <c r="M2070" t="s">
        <v>43</v>
      </c>
      <c r="N2070" t="s">
        <v>338</v>
      </c>
      <c r="O2070" t="s">
        <v>45</v>
      </c>
      <c r="P2070" t="s">
        <v>74</v>
      </c>
      <c r="Q2070" t="s">
        <v>339</v>
      </c>
      <c r="R2070">
        <v>14.976000000000001</v>
      </c>
      <c r="S2070">
        <v>9</v>
      </c>
      <c r="T2070">
        <v>0.2</v>
      </c>
      <c r="U2070">
        <v>5.4287999999999998</v>
      </c>
      <c r="V2070" t="str">
        <f t="shared" si="32"/>
        <v>Ben Ferrer</v>
      </c>
      <c r="W2070">
        <f>Table2[Profit]/Table2[Sales]</f>
        <v>0.36249999999999999</v>
      </c>
    </row>
    <row r="2071" spans="1:23" x14ac:dyDescent="0.25">
      <c r="A2071">
        <v>2070</v>
      </c>
      <c r="B2071" t="s">
        <v>7106</v>
      </c>
      <c r="C2071" s="1">
        <v>43015</v>
      </c>
      <c r="D2071" s="1">
        <v>43019</v>
      </c>
      <c r="E2071" t="s">
        <v>49</v>
      </c>
      <c r="F2071" t="s">
        <v>2453</v>
      </c>
      <c r="G2071" t="s">
        <v>2454</v>
      </c>
      <c r="H2071" t="s">
        <v>25</v>
      </c>
      <c r="I2071" t="s">
        <v>26</v>
      </c>
      <c r="J2071" t="s">
        <v>181</v>
      </c>
      <c r="K2071" t="s">
        <v>103</v>
      </c>
      <c r="L2071">
        <v>77036</v>
      </c>
      <c r="M2071" t="s">
        <v>104</v>
      </c>
      <c r="N2071" t="s">
        <v>107</v>
      </c>
      <c r="O2071" t="s">
        <v>45</v>
      </c>
      <c r="P2071" t="s">
        <v>74</v>
      </c>
      <c r="Q2071" t="s">
        <v>108</v>
      </c>
      <c r="R2071">
        <v>4.24</v>
      </c>
      <c r="S2071">
        <v>5</v>
      </c>
      <c r="T2071">
        <v>0.8</v>
      </c>
      <c r="U2071">
        <v>-6.36</v>
      </c>
      <c r="V2071" t="str">
        <f t="shared" si="32"/>
        <v>Joe Kamberova</v>
      </c>
      <c r="W2071">
        <f>Table2[Profit]/Table2[Sales]</f>
        <v>-1.5</v>
      </c>
    </row>
    <row r="2072" spans="1:23" x14ac:dyDescent="0.25">
      <c r="A2072">
        <v>2071</v>
      </c>
      <c r="B2072" t="s">
        <v>7107</v>
      </c>
      <c r="C2072" s="1">
        <v>43014</v>
      </c>
      <c r="D2072" s="1">
        <v>43020</v>
      </c>
      <c r="E2072" t="s">
        <v>49</v>
      </c>
      <c r="F2072" t="s">
        <v>7108</v>
      </c>
      <c r="G2072" t="s">
        <v>7109</v>
      </c>
      <c r="H2072" t="s">
        <v>101</v>
      </c>
      <c r="I2072" t="s">
        <v>26</v>
      </c>
      <c r="J2072" t="s">
        <v>263</v>
      </c>
      <c r="K2072" t="s">
        <v>264</v>
      </c>
      <c r="L2072">
        <v>10035</v>
      </c>
      <c r="M2072" t="s">
        <v>145</v>
      </c>
      <c r="N2072" t="s">
        <v>6844</v>
      </c>
      <c r="O2072" t="s">
        <v>70</v>
      </c>
      <c r="P2072" t="s">
        <v>158</v>
      </c>
      <c r="Q2072" t="s">
        <v>6845</v>
      </c>
      <c r="R2072">
        <v>319.95999999999998</v>
      </c>
      <c r="S2072">
        <v>4</v>
      </c>
      <c r="T2072">
        <v>0</v>
      </c>
      <c r="U2072">
        <v>115.18559999999999</v>
      </c>
      <c r="V2072" t="str">
        <f t="shared" si="32"/>
        <v>Cyra Reiten</v>
      </c>
      <c r="W2072">
        <f>Table2[Profit]/Table2[Sales]</f>
        <v>0.36</v>
      </c>
    </row>
    <row r="2073" spans="1:23" x14ac:dyDescent="0.25">
      <c r="A2073">
        <v>2072</v>
      </c>
      <c r="B2073" t="s">
        <v>7110</v>
      </c>
      <c r="C2073" s="1">
        <v>42709</v>
      </c>
      <c r="D2073" s="1">
        <v>42711</v>
      </c>
      <c r="E2073" t="s">
        <v>185</v>
      </c>
      <c r="F2073" t="s">
        <v>5607</v>
      </c>
      <c r="G2073" t="s">
        <v>5608</v>
      </c>
      <c r="H2073" t="s">
        <v>40</v>
      </c>
      <c r="I2073" t="s">
        <v>26</v>
      </c>
      <c r="J2073" t="s">
        <v>606</v>
      </c>
      <c r="K2073" t="s">
        <v>1233</v>
      </c>
      <c r="L2073">
        <v>2038</v>
      </c>
      <c r="M2073" t="s">
        <v>145</v>
      </c>
      <c r="N2073" t="s">
        <v>7111</v>
      </c>
      <c r="O2073" t="s">
        <v>31</v>
      </c>
      <c r="P2073" t="s">
        <v>32</v>
      </c>
      <c r="Q2073" t="s">
        <v>7112</v>
      </c>
      <c r="R2073">
        <v>81.94</v>
      </c>
      <c r="S2073">
        <v>1</v>
      </c>
      <c r="T2073">
        <v>0</v>
      </c>
      <c r="U2073">
        <v>20.484999999999999</v>
      </c>
      <c r="V2073" t="str">
        <f t="shared" si="32"/>
        <v>Aleksandra Gannaway</v>
      </c>
      <c r="W2073">
        <f>Table2[Profit]/Table2[Sales]</f>
        <v>0.25</v>
      </c>
    </row>
    <row r="2074" spans="1:23" x14ac:dyDescent="0.25">
      <c r="A2074">
        <v>2073</v>
      </c>
      <c r="B2074" t="s">
        <v>7113</v>
      </c>
      <c r="C2074" s="1">
        <v>42664</v>
      </c>
      <c r="D2074" s="1">
        <v>42665</v>
      </c>
      <c r="E2074" t="s">
        <v>185</v>
      </c>
      <c r="F2074" t="s">
        <v>3098</v>
      </c>
      <c r="G2074" t="s">
        <v>3099</v>
      </c>
      <c r="H2074" t="s">
        <v>25</v>
      </c>
      <c r="I2074" t="s">
        <v>26</v>
      </c>
      <c r="J2074" t="s">
        <v>4400</v>
      </c>
      <c r="K2074" t="s">
        <v>2699</v>
      </c>
      <c r="L2074">
        <v>21215</v>
      </c>
      <c r="M2074" t="s">
        <v>145</v>
      </c>
      <c r="N2074" t="s">
        <v>3694</v>
      </c>
      <c r="O2074" t="s">
        <v>70</v>
      </c>
      <c r="P2074" t="s">
        <v>158</v>
      </c>
      <c r="Q2074" t="s">
        <v>3695</v>
      </c>
      <c r="R2074">
        <v>98.16</v>
      </c>
      <c r="S2074">
        <v>6</v>
      </c>
      <c r="T2074">
        <v>0</v>
      </c>
      <c r="U2074">
        <v>9.8160000000000007</v>
      </c>
      <c r="V2074" t="str">
        <f t="shared" si="32"/>
        <v>Charles McCrossin</v>
      </c>
      <c r="W2074">
        <f>Table2[Profit]/Table2[Sales]</f>
        <v>0.1</v>
      </c>
    </row>
    <row r="2075" spans="1:23" x14ac:dyDescent="0.25">
      <c r="A2075">
        <v>2074</v>
      </c>
      <c r="B2075" t="s">
        <v>7114</v>
      </c>
      <c r="C2075" s="1">
        <v>42873</v>
      </c>
      <c r="D2075" s="1">
        <v>42878</v>
      </c>
      <c r="E2075" t="s">
        <v>49</v>
      </c>
      <c r="F2075" t="s">
        <v>7115</v>
      </c>
      <c r="G2075" t="s">
        <v>7116</v>
      </c>
      <c r="H2075" t="s">
        <v>40</v>
      </c>
      <c r="I2075" t="s">
        <v>26</v>
      </c>
      <c r="J2075" t="s">
        <v>7117</v>
      </c>
      <c r="K2075" t="s">
        <v>103</v>
      </c>
      <c r="L2075">
        <v>78501</v>
      </c>
      <c r="M2075" t="s">
        <v>104</v>
      </c>
      <c r="N2075" t="s">
        <v>2673</v>
      </c>
      <c r="O2075" t="s">
        <v>45</v>
      </c>
      <c r="P2075" t="s">
        <v>74</v>
      </c>
      <c r="Q2075" t="s">
        <v>2674</v>
      </c>
      <c r="R2075">
        <v>6.8739999999999997</v>
      </c>
      <c r="S2075">
        <v>7</v>
      </c>
      <c r="T2075">
        <v>0.8</v>
      </c>
      <c r="U2075">
        <v>-10.6547</v>
      </c>
      <c r="V2075" t="str">
        <f t="shared" si="32"/>
        <v>Susan Gilcrest</v>
      </c>
      <c r="W2075">
        <f>Table2[Profit]/Table2[Sales]</f>
        <v>-1.55</v>
      </c>
    </row>
    <row r="2076" spans="1:23" x14ac:dyDescent="0.25">
      <c r="A2076">
        <v>2075</v>
      </c>
      <c r="B2076" t="s">
        <v>7118</v>
      </c>
      <c r="C2076" s="1">
        <v>42639</v>
      </c>
      <c r="D2076" s="1">
        <v>42644</v>
      </c>
      <c r="E2076" t="s">
        <v>22</v>
      </c>
      <c r="F2076" t="s">
        <v>6962</v>
      </c>
      <c r="G2076" t="s">
        <v>6963</v>
      </c>
      <c r="H2076" t="s">
        <v>40</v>
      </c>
      <c r="I2076" t="s">
        <v>26</v>
      </c>
      <c r="J2076" t="s">
        <v>7119</v>
      </c>
      <c r="K2076" t="s">
        <v>482</v>
      </c>
      <c r="L2076">
        <v>52240</v>
      </c>
      <c r="M2076" t="s">
        <v>104</v>
      </c>
      <c r="N2076" t="s">
        <v>7120</v>
      </c>
      <c r="O2076" t="s">
        <v>45</v>
      </c>
      <c r="P2076" t="s">
        <v>89</v>
      </c>
      <c r="Q2076" t="s">
        <v>7121</v>
      </c>
      <c r="R2076">
        <v>9.99</v>
      </c>
      <c r="S2076">
        <v>1</v>
      </c>
      <c r="T2076">
        <v>0</v>
      </c>
      <c r="U2076">
        <v>4.4954999999999998</v>
      </c>
      <c r="V2076" t="str">
        <f t="shared" si="32"/>
        <v>Charles Sheldon</v>
      </c>
      <c r="W2076">
        <f>Table2[Profit]/Table2[Sales]</f>
        <v>0.44999999999999996</v>
      </c>
    </row>
    <row r="2077" spans="1:23" x14ac:dyDescent="0.25">
      <c r="A2077">
        <v>2076</v>
      </c>
      <c r="B2077" t="s">
        <v>7122</v>
      </c>
      <c r="C2077" s="1">
        <v>43056</v>
      </c>
      <c r="D2077" s="1">
        <v>43061</v>
      </c>
      <c r="E2077" t="s">
        <v>49</v>
      </c>
      <c r="F2077" t="s">
        <v>2717</v>
      </c>
      <c r="G2077" t="s">
        <v>2718</v>
      </c>
      <c r="H2077" t="s">
        <v>25</v>
      </c>
      <c r="I2077" t="s">
        <v>26</v>
      </c>
      <c r="J2077" t="s">
        <v>600</v>
      </c>
      <c r="K2077" t="s">
        <v>242</v>
      </c>
      <c r="L2077">
        <v>19711</v>
      </c>
      <c r="M2077" t="s">
        <v>145</v>
      </c>
      <c r="N2077" t="s">
        <v>5619</v>
      </c>
      <c r="O2077" t="s">
        <v>70</v>
      </c>
      <c r="P2077" t="s">
        <v>1204</v>
      </c>
      <c r="Q2077" t="s">
        <v>5620</v>
      </c>
      <c r="R2077">
        <v>10499.97</v>
      </c>
      <c r="S2077">
        <v>3</v>
      </c>
      <c r="T2077">
        <v>0</v>
      </c>
      <c r="U2077">
        <v>5039.9856</v>
      </c>
      <c r="V2077" t="str">
        <f t="shared" si="32"/>
        <v>Hunter Lopez</v>
      </c>
      <c r="W2077">
        <f>Table2[Profit]/Table2[Sales]</f>
        <v>0.48000000000000004</v>
      </c>
    </row>
    <row r="2078" spans="1:23" x14ac:dyDescent="0.25">
      <c r="A2078">
        <v>2077</v>
      </c>
      <c r="B2078" t="s">
        <v>7123</v>
      </c>
      <c r="C2078" s="1">
        <v>42193</v>
      </c>
      <c r="D2078" s="1">
        <v>42193</v>
      </c>
      <c r="E2078" t="s">
        <v>1278</v>
      </c>
      <c r="F2078" t="s">
        <v>5868</v>
      </c>
      <c r="G2078" t="s">
        <v>5869</v>
      </c>
      <c r="H2078" t="s">
        <v>25</v>
      </c>
      <c r="I2078" t="s">
        <v>26</v>
      </c>
      <c r="J2078" t="s">
        <v>181</v>
      </c>
      <c r="K2078" t="s">
        <v>103</v>
      </c>
      <c r="L2078">
        <v>77070</v>
      </c>
      <c r="M2078" t="s">
        <v>104</v>
      </c>
      <c r="N2078" t="s">
        <v>7124</v>
      </c>
      <c r="O2078" t="s">
        <v>45</v>
      </c>
      <c r="P2078" t="s">
        <v>89</v>
      </c>
      <c r="Q2078" t="s">
        <v>7125</v>
      </c>
      <c r="R2078">
        <v>21.12</v>
      </c>
      <c r="S2078">
        <v>5</v>
      </c>
      <c r="T2078">
        <v>0.2</v>
      </c>
      <c r="U2078">
        <v>6.6</v>
      </c>
      <c r="V2078" t="str">
        <f t="shared" si="32"/>
        <v>Darrin Martin</v>
      </c>
      <c r="W2078">
        <f>Table2[Profit]/Table2[Sales]</f>
        <v>0.31249999999999994</v>
      </c>
    </row>
    <row r="2079" spans="1:23" x14ac:dyDescent="0.25">
      <c r="A2079">
        <v>2078</v>
      </c>
      <c r="B2079" t="s">
        <v>7126</v>
      </c>
      <c r="C2079" s="1">
        <v>42324</v>
      </c>
      <c r="D2079" s="1">
        <v>42328</v>
      </c>
      <c r="E2079" t="s">
        <v>49</v>
      </c>
      <c r="F2079" t="s">
        <v>812</v>
      </c>
      <c r="G2079" t="s">
        <v>813</v>
      </c>
      <c r="H2079" t="s">
        <v>40</v>
      </c>
      <c r="I2079" t="s">
        <v>26</v>
      </c>
      <c r="J2079" t="s">
        <v>7127</v>
      </c>
      <c r="K2079" t="s">
        <v>6119</v>
      </c>
      <c r="L2079">
        <v>83704</v>
      </c>
      <c r="M2079" t="s">
        <v>43</v>
      </c>
      <c r="N2079" t="s">
        <v>54</v>
      </c>
      <c r="O2079" t="s">
        <v>31</v>
      </c>
      <c r="P2079" t="s">
        <v>55</v>
      </c>
      <c r="Q2079" t="s">
        <v>56</v>
      </c>
      <c r="R2079">
        <v>696.42</v>
      </c>
      <c r="S2079">
        <v>2</v>
      </c>
      <c r="T2079">
        <v>0</v>
      </c>
      <c r="U2079">
        <v>160.17660000000001</v>
      </c>
      <c r="V2079" t="str">
        <f t="shared" si="32"/>
        <v>Heather Kirkland</v>
      </c>
      <c r="W2079">
        <f>Table2[Profit]/Table2[Sales]</f>
        <v>0.23000000000000004</v>
      </c>
    </row>
    <row r="2080" spans="1:23" x14ac:dyDescent="0.25">
      <c r="A2080">
        <v>2079</v>
      </c>
      <c r="B2080" t="s">
        <v>7128</v>
      </c>
      <c r="C2080" s="1">
        <v>42173</v>
      </c>
      <c r="D2080" s="1">
        <v>42177</v>
      </c>
      <c r="E2080" t="s">
        <v>49</v>
      </c>
      <c r="F2080" t="s">
        <v>6319</v>
      </c>
      <c r="G2080" t="s">
        <v>6320</v>
      </c>
      <c r="H2080" t="s">
        <v>25</v>
      </c>
      <c r="I2080" t="s">
        <v>26</v>
      </c>
      <c r="J2080" t="s">
        <v>941</v>
      </c>
      <c r="K2080" t="s">
        <v>42</v>
      </c>
      <c r="L2080">
        <v>92105</v>
      </c>
      <c r="M2080" t="s">
        <v>43</v>
      </c>
      <c r="N2080" t="s">
        <v>4140</v>
      </c>
      <c r="O2080" t="s">
        <v>45</v>
      </c>
      <c r="P2080" t="s">
        <v>67</v>
      </c>
      <c r="Q2080" t="s">
        <v>4141</v>
      </c>
      <c r="R2080">
        <v>51.98</v>
      </c>
      <c r="S2080">
        <v>2</v>
      </c>
      <c r="T2080">
        <v>0</v>
      </c>
      <c r="U2080">
        <v>15.074199999999999</v>
      </c>
      <c r="V2080" t="str">
        <f t="shared" si="32"/>
        <v>Bruce Geld</v>
      </c>
      <c r="W2080">
        <f>Table2[Profit]/Table2[Sales]</f>
        <v>0.28999999999999998</v>
      </c>
    </row>
    <row r="2081" spans="1:23" x14ac:dyDescent="0.25">
      <c r="A2081">
        <v>2080</v>
      </c>
      <c r="B2081" t="s">
        <v>7129</v>
      </c>
      <c r="C2081" s="1">
        <v>42468</v>
      </c>
      <c r="D2081" s="1">
        <v>42474</v>
      </c>
      <c r="E2081" t="s">
        <v>49</v>
      </c>
      <c r="F2081" t="s">
        <v>2005</v>
      </c>
      <c r="G2081" t="s">
        <v>2006</v>
      </c>
      <c r="H2081" t="s">
        <v>25</v>
      </c>
      <c r="I2081" t="s">
        <v>26</v>
      </c>
      <c r="J2081" t="s">
        <v>41</v>
      </c>
      <c r="K2081" t="s">
        <v>42</v>
      </c>
      <c r="L2081">
        <v>90032</v>
      </c>
      <c r="M2081" t="s">
        <v>43</v>
      </c>
      <c r="N2081" t="s">
        <v>2416</v>
      </c>
      <c r="O2081" t="s">
        <v>31</v>
      </c>
      <c r="P2081" t="s">
        <v>64</v>
      </c>
      <c r="Q2081" t="s">
        <v>2417</v>
      </c>
      <c r="R2081">
        <v>24.7</v>
      </c>
      <c r="S2081">
        <v>5</v>
      </c>
      <c r="T2081">
        <v>0</v>
      </c>
      <c r="U2081">
        <v>10.374000000000001</v>
      </c>
      <c r="V2081" t="str">
        <f t="shared" si="32"/>
        <v>Clytie Kelty</v>
      </c>
      <c r="W2081">
        <f>Table2[Profit]/Table2[Sales]</f>
        <v>0.42000000000000004</v>
      </c>
    </row>
    <row r="2082" spans="1:23" x14ac:dyDescent="0.25">
      <c r="A2082">
        <v>2081</v>
      </c>
      <c r="B2082" t="s">
        <v>7130</v>
      </c>
      <c r="C2082" s="1">
        <v>42112</v>
      </c>
      <c r="D2082" s="1">
        <v>42117</v>
      </c>
      <c r="E2082" t="s">
        <v>22</v>
      </c>
      <c r="F2082" t="s">
        <v>2352</v>
      </c>
      <c r="G2082" t="s">
        <v>2353</v>
      </c>
      <c r="H2082" t="s">
        <v>25</v>
      </c>
      <c r="I2082" t="s">
        <v>26</v>
      </c>
      <c r="J2082" t="s">
        <v>263</v>
      </c>
      <c r="K2082" t="s">
        <v>264</v>
      </c>
      <c r="L2082">
        <v>10024</v>
      </c>
      <c r="M2082" t="s">
        <v>145</v>
      </c>
      <c r="N2082" t="s">
        <v>2583</v>
      </c>
      <c r="O2082" t="s">
        <v>45</v>
      </c>
      <c r="P2082" t="s">
        <v>46</v>
      </c>
      <c r="Q2082" t="s">
        <v>2584</v>
      </c>
      <c r="R2082">
        <v>21.93</v>
      </c>
      <c r="S2082">
        <v>3</v>
      </c>
      <c r="T2082">
        <v>0</v>
      </c>
      <c r="U2082">
        <v>10.3071</v>
      </c>
      <c r="V2082" t="str">
        <f t="shared" si="32"/>
        <v>Roland Fjeld</v>
      </c>
      <c r="W2082">
        <f>Table2[Profit]/Table2[Sales]</f>
        <v>0.47000000000000003</v>
      </c>
    </row>
    <row r="2083" spans="1:23" x14ac:dyDescent="0.25">
      <c r="A2083">
        <v>2082</v>
      </c>
      <c r="B2083" t="s">
        <v>7131</v>
      </c>
      <c r="C2083" s="1">
        <v>42707</v>
      </c>
      <c r="D2083" s="1">
        <v>42712</v>
      </c>
      <c r="E2083" t="s">
        <v>49</v>
      </c>
      <c r="F2083" t="s">
        <v>1439</v>
      </c>
      <c r="G2083" t="s">
        <v>1440</v>
      </c>
      <c r="H2083" t="s">
        <v>25</v>
      </c>
      <c r="I2083" t="s">
        <v>26</v>
      </c>
      <c r="J2083" t="s">
        <v>143</v>
      </c>
      <c r="K2083" t="s">
        <v>144</v>
      </c>
      <c r="L2083">
        <v>19134</v>
      </c>
      <c r="M2083" t="s">
        <v>145</v>
      </c>
      <c r="N2083" t="s">
        <v>2032</v>
      </c>
      <c r="O2083" t="s">
        <v>45</v>
      </c>
      <c r="P2083" t="s">
        <v>77</v>
      </c>
      <c r="Q2083" t="s">
        <v>2033</v>
      </c>
      <c r="R2083">
        <v>394.81599999999997</v>
      </c>
      <c r="S2083">
        <v>4</v>
      </c>
      <c r="T2083">
        <v>0.2</v>
      </c>
      <c r="U2083">
        <v>93.768799999999999</v>
      </c>
      <c r="V2083" t="str">
        <f t="shared" si="32"/>
        <v>Caroline Jumper</v>
      </c>
      <c r="W2083">
        <f>Table2[Profit]/Table2[Sales]</f>
        <v>0.23750000000000002</v>
      </c>
    </row>
    <row r="2084" spans="1:23" x14ac:dyDescent="0.25">
      <c r="A2084">
        <v>2083</v>
      </c>
      <c r="B2084" t="s">
        <v>7132</v>
      </c>
      <c r="C2084" s="1">
        <v>42348</v>
      </c>
      <c r="D2084" s="1">
        <v>42348</v>
      </c>
      <c r="E2084" t="s">
        <v>1278</v>
      </c>
      <c r="F2084" t="s">
        <v>179</v>
      </c>
      <c r="G2084" t="s">
        <v>180</v>
      </c>
      <c r="H2084" t="s">
        <v>101</v>
      </c>
      <c r="I2084" t="s">
        <v>26</v>
      </c>
      <c r="J2084" t="s">
        <v>263</v>
      </c>
      <c r="K2084" t="s">
        <v>264</v>
      </c>
      <c r="L2084">
        <v>10024</v>
      </c>
      <c r="M2084" t="s">
        <v>145</v>
      </c>
      <c r="N2084" t="s">
        <v>2583</v>
      </c>
      <c r="O2084" t="s">
        <v>45</v>
      </c>
      <c r="P2084" t="s">
        <v>46</v>
      </c>
      <c r="Q2084" t="s">
        <v>2584</v>
      </c>
      <c r="R2084">
        <v>7.31</v>
      </c>
      <c r="S2084">
        <v>1</v>
      </c>
      <c r="T2084">
        <v>0</v>
      </c>
      <c r="U2084">
        <v>3.4357000000000002</v>
      </c>
      <c r="V2084" t="str">
        <f t="shared" si="32"/>
        <v>Matt Abelman</v>
      </c>
      <c r="W2084">
        <f>Table2[Profit]/Table2[Sales]</f>
        <v>0.47000000000000003</v>
      </c>
    </row>
    <row r="2085" spans="1:23" x14ac:dyDescent="0.25">
      <c r="A2085">
        <v>2084</v>
      </c>
      <c r="B2085" t="s">
        <v>7133</v>
      </c>
      <c r="C2085" s="1">
        <v>41943</v>
      </c>
      <c r="D2085" s="1">
        <v>41945</v>
      </c>
      <c r="E2085" t="s">
        <v>22</v>
      </c>
      <c r="F2085" t="s">
        <v>4790</v>
      </c>
      <c r="G2085" t="s">
        <v>4791</v>
      </c>
      <c r="H2085" t="s">
        <v>25</v>
      </c>
      <c r="I2085" t="s">
        <v>26</v>
      </c>
      <c r="J2085" t="s">
        <v>7134</v>
      </c>
      <c r="K2085" t="s">
        <v>1388</v>
      </c>
      <c r="L2085">
        <v>2920</v>
      </c>
      <c r="M2085" t="s">
        <v>145</v>
      </c>
      <c r="N2085" t="s">
        <v>176</v>
      </c>
      <c r="O2085" t="s">
        <v>45</v>
      </c>
      <c r="P2085" t="s">
        <v>67</v>
      </c>
      <c r="Q2085" t="s">
        <v>177</v>
      </c>
      <c r="R2085">
        <v>49.25</v>
      </c>
      <c r="S2085">
        <v>5</v>
      </c>
      <c r="T2085">
        <v>0</v>
      </c>
      <c r="U2085">
        <v>18.715</v>
      </c>
      <c r="V2085" t="str">
        <f t="shared" si="32"/>
        <v>Anne McFarland</v>
      </c>
      <c r="W2085">
        <f>Table2[Profit]/Table2[Sales]</f>
        <v>0.38</v>
      </c>
    </row>
    <row r="2086" spans="1:23" x14ac:dyDescent="0.25">
      <c r="A2086">
        <v>2085</v>
      </c>
      <c r="B2086" t="s">
        <v>7135</v>
      </c>
      <c r="C2086" s="1">
        <v>43078</v>
      </c>
      <c r="D2086" s="1">
        <v>43083</v>
      </c>
      <c r="E2086" t="s">
        <v>49</v>
      </c>
      <c r="F2086" t="s">
        <v>7136</v>
      </c>
      <c r="G2086" t="s">
        <v>7137</v>
      </c>
      <c r="H2086" t="s">
        <v>25</v>
      </c>
      <c r="I2086" t="s">
        <v>26</v>
      </c>
      <c r="J2086" t="s">
        <v>296</v>
      </c>
      <c r="K2086" t="s">
        <v>208</v>
      </c>
      <c r="L2086">
        <v>60623</v>
      </c>
      <c r="M2086" t="s">
        <v>104</v>
      </c>
      <c r="N2086" t="s">
        <v>496</v>
      </c>
      <c r="O2086" t="s">
        <v>45</v>
      </c>
      <c r="P2086" t="s">
        <v>89</v>
      </c>
      <c r="Q2086" t="s">
        <v>497</v>
      </c>
      <c r="R2086">
        <v>15.984</v>
      </c>
      <c r="S2086">
        <v>2</v>
      </c>
      <c r="T2086">
        <v>0.2</v>
      </c>
      <c r="U2086">
        <v>4.9950000000000001</v>
      </c>
      <c r="V2086" t="str">
        <f t="shared" si="32"/>
        <v>Angele Hood</v>
      </c>
      <c r="W2086">
        <f>Table2[Profit]/Table2[Sales]</f>
        <v>0.3125</v>
      </c>
    </row>
    <row r="2087" spans="1:23" x14ac:dyDescent="0.25">
      <c r="A2087">
        <v>2086</v>
      </c>
      <c r="B2087" t="s">
        <v>7138</v>
      </c>
      <c r="C2087" s="1">
        <v>41764</v>
      </c>
      <c r="D2087" s="1">
        <v>41768</v>
      </c>
      <c r="E2087" t="s">
        <v>22</v>
      </c>
      <c r="F2087" t="s">
        <v>6866</v>
      </c>
      <c r="G2087" t="s">
        <v>6867</v>
      </c>
      <c r="H2087" t="s">
        <v>25</v>
      </c>
      <c r="I2087" t="s">
        <v>26</v>
      </c>
      <c r="J2087" t="s">
        <v>1450</v>
      </c>
      <c r="K2087" t="s">
        <v>28</v>
      </c>
      <c r="L2087">
        <v>40475</v>
      </c>
      <c r="M2087" t="s">
        <v>29</v>
      </c>
      <c r="N2087" t="s">
        <v>5699</v>
      </c>
      <c r="O2087" t="s">
        <v>45</v>
      </c>
      <c r="P2087" t="s">
        <v>89</v>
      </c>
      <c r="Q2087" t="s">
        <v>5700</v>
      </c>
      <c r="R2087">
        <v>9.42</v>
      </c>
      <c r="S2087">
        <v>3</v>
      </c>
      <c r="T2087">
        <v>0</v>
      </c>
      <c r="U2087">
        <v>4.2389999999999999</v>
      </c>
      <c r="V2087" t="str">
        <f t="shared" si="32"/>
        <v>Peter Fuller</v>
      </c>
      <c r="W2087">
        <f>Table2[Profit]/Table2[Sales]</f>
        <v>0.45</v>
      </c>
    </row>
    <row r="2088" spans="1:23" x14ac:dyDescent="0.25">
      <c r="A2088">
        <v>2087</v>
      </c>
      <c r="B2088" t="s">
        <v>7141</v>
      </c>
      <c r="C2088" s="1">
        <v>42433</v>
      </c>
      <c r="D2088" s="1">
        <v>42437</v>
      </c>
      <c r="E2088" t="s">
        <v>49</v>
      </c>
      <c r="F2088" t="s">
        <v>4113</v>
      </c>
      <c r="G2088" t="s">
        <v>4114</v>
      </c>
      <c r="H2088" t="s">
        <v>25</v>
      </c>
      <c r="I2088" t="s">
        <v>26</v>
      </c>
      <c r="J2088" t="s">
        <v>5461</v>
      </c>
      <c r="K2088" t="s">
        <v>251</v>
      </c>
      <c r="L2088">
        <v>46544</v>
      </c>
      <c r="M2088" t="s">
        <v>104</v>
      </c>
      <c r="N2088" t="s">
        <v>7142</v>
      </c>
      <c r="O2088" t="s">
        <v>45</v>
      </c>
      <c r="P2088" t="s">
        <v>74</v>
      </c>
      <c r="Q2088" t="s">
        <v>7143</v>
      </c>
      <c r="R2088">
        <v>128.4</v>
      </c>
      <c r="S2088">
        <v>3</v>
      </c>
      <c r="T2088">
        <v>0</v>
      </c>
      <c r="U2088">
        <v>64.2</v>
      </c>
      <c r="V2088" t="str">
        <f t="shared" si="32"/>
        <v>Rick Duston</v>
      </c>
      <c r="W2088">
        <f>Table2[Profit]/Table2[Sales]</f>
        <v>0.5</v>
      </c>
    </row>
    <row r="2089" spans="1:23" x14ac:dyDescent="0.25">
      <c r="A2089">
        <v>2088</v>
      </c>
      <c r="B2089" t="s">
        <v>7144</v>
      </c>
      <c r="C2089" s="1">
        <v>41973</v>
      </c>
      <c r="D2089" s="1">
        <v>41977</v>
      </c>
      <c r="E2089" t="s">
        <v>49</v>
      </c>
      <c r="F2089" t="s">
        <v>1246</v>
      </c>
      <c r="G2089" t="s">
        <v>1247</v>
      </c>
      <c r="H2089" t="s">
        <v>25</v>
      </c>
      <c r="I2089" t="s">
        <v>26</v>
      </c>
      <c r="J2089" t="s">
        <v>2263</v>
      </c>
      <c r="K2089" t="s">
        <v>264</v>
      </c>
      <c r="L2089">
        <v>10550</v>
      </c>
      <c r="M2089" t="s">
        <v>145</v>
      </c>
      <c r="N2089" t="s">
        <v>7145</v>
      </c>
      <c r="O2089" t="s">
        <v>45</v>
      </c>
      <c r="P2089" t="s">
        <v>170</v>
      </c>
      <c r="Q2089" t="s">
        <v>7146</v>
      </c>
      <c r="R2089">
        <v>62.28</v>
      </c>
      <c r="S2089">
        <v>4</v>
      </c>
      <c r="T2089">
        <v>0</v>
      </c>
      <c r="U2089">
        <v>29.271599999999999</v>
      </c>
      <c r="V2089" t="str">
        <f t="shared" si="32"/>
        <v>Jeremy Lonsdale</v>
      </c>
      <c r="W2089">
        <f>Table2[Profit]/Table2[Sales]</f>
        <v>0.47</v>
      </c>
    </row>
    <row r="2090" spans="1:23" x14ac:dyDescent="0.25">
      <c r="A2090">
        <v>2089</v>
      </c>
      <c r="B2090" t="s">
        <v>7147</v>
      </c>
      <c r="C2090" s="1">
        <v>42053</v>
      </c>
      <c r="D2090" s="1">
        <v>42057</v>
      </c>
      <c r="E2090" t="s">
        <v>49</v>
      </c>
      <c r="F2090" t="s">
        <v>3680</v>
      </c>
      <c r="G2090" t="s">
        <v>3681</v>
      </c>
      <c r="H2090" t="s">
        <v>40</v>
      </c>
      <c r="I2090" t="s">
        <v>26</v>
      </c>
      <c r="J2090" t="s">
        <v>41</v>
      </c>
      <c r="K2090" t="s">
        <v>42</v>
      </c>
      <c r="L2090">
        <v>90004</v>
      </c>
      <c r="M2090" t="s">
        <v>43</v>
      </c>
      <c r="N2090" t="s">
        <v>2469</v>
      </c>
      <c r="O2090" t="s">
        <v>45</v>
      </c>
      <c r="P2090" t="s">
        <v>46</v>
      </c>
      <c r="Q2090" t="s">
        <v>2470</v>
      </c>
      <c r="R2090">
        <v>9.24</v>
      </c>
      <c r="S2090">
        <v>3</v>
      </c>
      <c r="T2090">
        <v>0</v>
      </c>
      <c r="U2090">
        <v>4.4352</v>
      </c>
      <c r="V2090" t="str">
        <f t="shared" si="32"/>
        <v>Ann Blume</v>
      </c>
      <c r="W2090">
        <f>Table2[Profit]/Table2[Sales]</f>
        <v>0.48</v>
      </c>
    </row>
    <row r="2091" spans="1:23" x14ac:dyDescent="0.25">
      <c r="A2091">
        <v>2090</v>
      </c>
      <c r="B2091" t="s">
        <v>7148</v>
      </c>
      <c r="C2091" s="1">
        <v>42826</v>
      </c>
      <c r="D2091" s="1">
        <v>42828</v>
      </c>
      <c r="E2091" t="s">
        <v>185</v>
      </c>
      <c r="F2091" t="s">
        <v>6628</v>
      </c>
      <c r="G2091" t="s">
        <v>6629</v>
      </c>
      <c r="H2091" t="s">
        <v>40</v>
      </c>
      <c r="I2091" t="s">
        <v>26</v>
      </c>
      <c r="J2091" t="s">
        <v>126</v>
      </c>
      <c r="K2091" t="s">
        <v>42</v>
      </c>
      <c r="L2091">
        <v>94110</v>
      </c>
      <c r="M2091" t="s">
        <v>43</v>
      </c>
      <c r="N2091" t="s">
        <v>7149</v>
      </c>
      <c r="O2091" t="s">
        <v>31</v>
      </c>
      <c r="P2091" t="s">
        <v>32</v>
      </c>
      <c r="Q2091" t="s">
        <v>7150</v>
      </c>
      <c r="R2091">
        <v>482.66399999999999</v>
      </c>
      <c r="S2091">
        <v>8</v>
      </c>
      <c r="T2091">
        <v>0.15</v>
      </c>
      <c r="U2091">
        <v>85.176000000000002</v>
      </c>
      <c r="V2091" t="str">
        <f t="shared" si="32"/>
        <v>Nick Crebassa</v>
      </c>
      <c r="W2091">
        <f>Table2[Profit]/Table2[Sales]</f>
        <v>0.17647058823529413</v>
      </c>
    </row>
    <row r="2092" spans="1:23" x14ac:dyDescent="0.25">
      <c r="A2092">
        <v>2091</v>
      </c>
      <c r="B2092" t="s">
        <v>7151</v>
      </c>
      <c r="C2092" s="1">
        <v>42897</v>
      </c>
      <c r="D2092" s="1">
        <v>42899</v>
      </c>
      <c r="E2092" t="s">
        <v>22</v>
      </c>
      <c r="F2092" t="s">
        <v>3963</v>
      </c>
      <c r="G2092" t="s">
        <v>3964</v>
      </c>
      <c r="H2092" t="s">
        <v>25</v>
      </c>
      <c r="I2092" t="s">
        <v>26</v>
      </c>
      <c r="J2092" t="s">
        <v>94</v>
      </c>
      <c r="K2092" t="s">
        <v>95</v>
      </c>
      <c r="L2092">
        <v>98103</v>
      </c>
      <c r="M2092" t="s">
        <v>43</v>
      </c>
      <c r="N2092" t="s">
        <v>1090</v>
      </c>
      <c r="O2092" t="s">
        <v>45</v>
      </c>
      <c r="P2092" t="s">
        <v>89</v>
      </c>
      <c r="Q2092" t="s">
        <v>1091</v>
      </c>
      <c r="R2092">
        <v>37.94</v>
      </c>
      <c r="S2092">
        <v>2</v>
      </c>
      <c r="T2092">
        <v>0</v>
      </c>
      <c r="U2092">
        <v>18.211200000000002</v>
      </c>
      <c r="V2092" t="str">
        <f t="shared" si="32"/>
        <v>Tom Boeckenhauer</v>
      </c>
      <c r="W2092">
        <f>Table2[Profit]/Table2[Sales]</f>
        <v>0.48000000000000009</v>
      </c>
    </row>
    <row r="2093" spans="1:23" x14ac:dyDescent="0.25">
      <c r="A2093">
        <v>2092</v>
      </c>
      <c r="B2093" t="s">
        <v>7152</v>
      </c>
      <c r="C2093" s="1">
        <v>42643</v>
      </c>
      <c r="D2093" s="1">
        <v>42646</v>
      </c>
      <c r="E2093" t="s">
        <v>185</v>
      </c>
      <c r="F2093" t="s">
        <v>6308</v>
      </c>
      <c r="G2093" t="s">
        <v>6309</v>
      </c>
      <c r="H2093" t="s">
        <v>25</v>
      </c>
      <c r="I2093" t="s">
        <v>26</v>
      </c>
      <c r="J2093" t="s">
        <v>1309</v>
      </c>
      <c r="K2093" t="s">
        <v>208</v>
      </c>
      <c r="L2093">
        <v>62301</v>
      </c>
      <c r="M2093" t="s">
        <v>104</v>
      </c>
      <c r="N2093" t="s">
        <v>787</v>
      </c>
      <c r="O2093" t="s">
        <v>45</v>
      </c>
      <c r="P2093" t="s">
        <v>74</v>
      </c>
      <c r="Q2093" t="s">
        <v>788</v>
      </c>
      <c r="R2093">
        <v>1.964</v>
      </c>
      <c r="S2093">
        <v>2</v>
      </c>
      <c r="T2093">
        <v>0.8</v>
      </c>
      <c r="U2093">
        <v>-3.2406000000000001</v>
      </c>
      <c r="V2093" t="str">
        <f t="shared" si="32"/>
        <v>Sarah Jordon</v>
      </c>
      <c r="W2093">
        <f>Table2[Profit]/Table2[Sales]</f>
        <v>-1.6500000000000001</v>
      </c>
    </row>
    <row r="2094" spans="1:23" x14ac:dyDescent="0.25">
      <c r="A2094">
        <v>2093</v>
      </c>
      <c r="B2094" t="s">
        <v>7153</v>
      </c>
      <c r="C2094" s="1">
        <v>41986</v>
      </c>
      <c r="D2094" s="1">
        <v>41990</v>
      </c>
      <c r="E2094" t="s">
        <v>49</v>
      </c>
      <c r="F2094" t="s">
        <v>1897</v>
      </c>
      <c r="G2094" t="s">
        <v>1898</v>
      </c>
      <c r="H2094" t="s">
        <v>40</v>
      </c>
      <c r="I2094" t="s">
        <v>26</v>
      </c>
      <c r="J2094" t="s">
        <v>296</v>
      </c>
      <c r="K2094" t="s">
        <v>208</v>
      </c>
      <c r="L2094">
        <v>60623</v>
      </c>
      <c r="M2094" t="s">
        <v>104</v>
      </c>
      <c r="N2094" t="s">
        <v>7154</v>
      </c>
      <c r="O2094" t="s">
        <v>31</v>
      </c>
      <c r="P2094" t="s">
        <v>64</v>
      </c>
      <c r="Q2094" t="s">
        <v>7155</v>
      </c>
      <c r="R2094">
        <v>94.427999999999997</v>
      </c>
      <c r="S2094">
        <v>3</v>
      </c>
      <c r="T2094">
        <v>0.6</v>
      </c>
      <c r="U2094">
        <v>-42.492600000000003</v>
      </c>
      <c r="V2094" t="str">
        <f t="shared" si="32"/>
        <v>Ellis Ballard</v>
      </c>
      <c r="W2094">
        <f>Table2[Profit]/Table2[Sales]</f>
        <v>-0.45000000000000007</v>
      </c>
    </row>
    <row r="2095" spans="1:23" x14ac:dyDescent="0.25">
      <c r="A2095">
        <v>2094</v>
      </c>
      <c r="B2095" t="s">
        <v>7156</v>
      </c>
      <c r="C2095" s="1">
        <v>43050</v>
      </c>
      <c r="D2095" s="1">
        <v>43055</v>
      </c>
      <c r="E2095" t="s">
        <v>49</v>
      </c>
      <c r="F2095" t="s">
        <v>4951</v>
      </c>
      <c r="G2095" t="s">
        <v>4952</v>
      </c>
      <c r="H2095" t="s">
        <v>25</v>
      </c>
      <c r="I2095" t="s">
        <v>26</v>
      </c>
      <c r="J2095" t="s">
        <v>481</v>
      </c>
      <c r="K2095" t="s">
        <v>482</v>
      </c>
      <c r="L2095">
        <v>50322</v>
      </c>
      <c r="M2095" t="s">
        <v>104</v>
      </c>
      <c r="N2095" t="s">
        <v>1082</v>
      </c>
      <c r="O2095" t="s">
        <v>45</v>
      </c>
      <c r="P2095" t="s">
        <v>266</v>
      </c>
      <c r="Q2095" t="s">
        <v>1083</v>
      </c>
      <c r="R2095">
        <v>45.92</v>
      </c>
      <c r="S2095">
        <v>4</v>
      </c>
      <c r="T2095">
        <v>0</v>
      </c>
      <c r="U2095">
        <v>21.5824</v>
      </c>
      <c r="V2095" t="str">
        <f t="shared" si="32"/>
        <v>William Brown</v>
      </c>
      <c r="W2095">
        <f>Table2[Profit]/Table2[Sales]</f>
        <v>0.47</v>
      </c>
    </row>
    <row r="2096" spans="1:23" x14ac:dyDescent="0.25">
      <c r="A2096">
        <v>2095</v>
      </c>
      <c r="B2096" t="s">
        <v>7157</v>
      </c>
      <c r="C2096" s="1">
        <v>42009</v>
      </c>
      <c r="D2096" s="1">
        <v>42014</v>
      </c>
      <c r="E2096" t="s">
        <v>49</v>
      </c>
      <c r="F2096" t="s">
        <v>2116</v>
      </c>
      <c r="G2096" t="s">
        <v>2117</v>
      </c>
      <c r="H2096" t="s">
        <v>101</v>
      </c>
      <c r="I2096" t="s">
        <v>26</v>
      </c>
      <c r="J2096" t="s">
        <v>94</v>
      </c>
      <c r="K2096" t="s">
        <v>95</v>
      </c>
      <c r="L2096">
        <v>98103</v>
      </c>
      <c r="M2096" t="s">
        <v>43</v>
      </c>
      <c r="N2096" t="s">
        <v>1521</v>
      </c>
      <c r="O2096" t="s">
        <v>31</v>
      </c>
      <c r="P2096" t="s">
        <v>35</v>
      </c>
      <c r="Q2096" t="s">
        <v>1522</v>
      </c>
      <c r="R2096">
        <v>61.584000000000003</v>
      </c>
      <c r="S2096">
        <v>1</v>
      </c>
      <c r="T2096">
        <v>0.2</v>
      </c>
      <c r="U2096">
        <v>-6.9282000000000004</v>
      </c>
      <c r="V2096" t="str">
        <f t="shared" si="32"/>
        <v>Steven Roelle</v>
      </c>
      <c r="W2096">
        <f>Table2[Profit]/Table2[Sales]</f>
        <v>-0.1125</v>
      </c>
    </row>
    <row r="2097" spans="1:23" x14ac:dyDescent="0.25">
      <c r="A2097">
        <v>2096</v>
      </c>
      <c r="B2097" t="s">
        <v>7158</v>
      </c>
      <c r="C2097" s="1">
        <v>42453</v>
      </c>
      <c r="D2097" s="1">
        <v>42455</v>
      </c>
      <c r="E2097" t="s">
        <v>185</v>
      </c>
      <c r="F2097" t="s">
        <v>4104</v>
      </c>
      <c r="G2097" t="s">
        <v>4105</v>
      </c>
      <c r="H2097" t="s">
        <v>40</v>
      </c>
      <c r="I2097" t="s">
        <v>26</v>
      </c>
      <c r="J2097" t="s">
        <v>1450</v>
      </c>
      <c r="K2097" t="s">
        <v>251</v>
      </c>
      <c r="L2097">
        <v>47374</v>
      </c>
      <c r="M2097" t="s">
        <v>104</v>
      </c>
      <c r="N2097" t="s">
        <v>4444</v>
      </c>
      <c r="O2097" t="s">
        <v>45</v>
      </c>
      <c r="P2097" t="s">
        <v>89</v>
      </c>
      <c r="Q2097" t="s">
        <v>4445</v>
      </c>
      <c r="R2097">
        <v>22.48</v>
      </c>
      <c r="S2097">
        <v>1</v>
      </c>
      <c r="T2097">
        <v>0</v>
      </c>
      <c r="U2097">
        <v>10.3408</v>
      </c>
      <c r="V2097" t="str">
        <f t="shared" si="32"/>
        <v>Vivek Grady</v>
      </c>
      <c r="W2097">
        <f>Table2[Profit]/Table2[Sales]</f>
        <v>0.45999999999999996</v>
      </c>
    </row>
    <row r="2098" spans="1:23" x14ac:dyDescent="0.25">
      <c r="A2098">
        <v>2097</v>
      </c>
      <c r="B2098" t="s">
        <v>7159</v>
      </c>
      <c r="C2098" s="1">
        <v>42921</v>
      </c>
      <c r="D2098" s="1">
        <v>42926</v>
      </c>
      <c r="E2098" t="s">
        <v>49</v>
      </c>
      <c r="F2098" t="s">
        <v>2643</v>
      </c>
      <c r="G2098" t="s">
        <v>2644</v>
      </c>
      <c r="H2098" t="s">
        <v>40</v>
      </c>
      <c r="I2098" t="s">
        <v>26</v>
      </c>
      <c r="J2098" t="s">
        <v>808</v>
      </c>
      <c r="K2098" t="s">
        <v>103</v>
      </c>
      <c r="L2098">
        <v>75220</v>
      </c>
      <c r="M2098" t="s">
        <v>104</v>
      </c>
      <c r="N2098" t="s">
        <v>2840</v>
      </c>
      <c r="O2098" t="s">
        <v>31</v>
      </c>
      <c r="P2098" t="s">
        <v>64</v>
      </c>
      <c r="Q2098" t="s">
        <v>2841</v>
      </c>
      <c r="R2098">
        <v>332.02800000000002</v>
      </c>
      <c r="S2098">
        <v>9</v>
      </c>
      <c r="T2098">
        <v>0.6</v>
      </c>
      <c r="U2098">
        <v>-348.62939999999998</v>
      </c>
      <c r="V2098" t="str">
        <f t="shared" si="32"/>
        <v>Linda Southworth</v>
      </c>
      <c r="W2098">
        <f>Table2[Profit]/Table2[Sales]</f>
        <v>-1.0499999999999998</v>
      </c>
    </row>
    <row r="2099" spans="1:23" x14ac:dyDescent="0.25">
      <c r="A2099">
        <v>2098</v>
      </c>
      <c r="B2099" t="s">
        <v>7162</v>
      </c>
      <c r="C2099" s="1">
        <v>41903</v>
      </c>
      <c r="D2099" s="1">
        <v>41906</v>
      </c>
      <c r="E2099" t="s">
        <v>185</v>
      </c>
      <c r="F2099" t="s">
        <v>179</v>
      </c>
      <c r="G2099" t="s">
        <v>180</v>
      </c>
      <c r="H2099" t="s">
        <v>101</v>
      </c>
      <c r="I2099" t="s">
        <v>26</v>
      </c>
      <c r="J2099" t="s">
        <v>143</v>
      </c>
      <c r="K2099" t="s">
        <v>144</v>
      </c>
      <c r="L2099">
        <v>19143</v>
      </c>
      <c r="M2099" t="s">
        <v>145</v>
      </c>
      <c r="N2099" t="s">
        <v>862</v>
      </c>
      <c r="O2099" t="s">
        <v>45</v>
      </c>
      <c r="P2099" t="s">
        <v>89</v>
      </c>
      <c r="Q2099" t="s">
        <v>863</v>
      </c>
      <c r="R2099">
        <v>11.352</v>
      </c>
      <c r="S2099">
        <v>3</v>
      </c>
      <c r="T2099">
        <v>0.2</v>
      </c>
      <c r="U2099">
        <v>4.1151</v>
      </c>
      <c r="V2099" t="str">
        <f t="shared" si="32"/>
        <v>Matt Abelman</v>
      </c>
      <c r="W2099">
        <f>Table2[Profit]/Table2[Sales]</f>
        <v>0.36249999999999999</v>
      </c>
    </row>
    <row r="2100" spans="1:23" x14ac:dyDescent="0.25">
      <c r="A2100">
        <v>2099</v>
      </c>
      <c r="B2100" t="s">
        <v>7163</v>
      </c>
      <c r="C2100" s="1">
        <v>42574</v>
      </c>
      <c r="D2100" s="1">
        <v>42578</v>
      </c>
      <c r="E2100" t="s">
        <v>49</v>
      </c>
      <c r="F2100" t="s">
        <v>7164</v>
      </c>
      <c r="G2100" t="s">
        <v>7165</v>
      </c>
      <c r="H2100" t="s">
        <v>101</v>
      </c>
      <c r="I2100" t="s">
        <v>26</v>
      </c>
      <c r="J2100" t="s">
        <v>3049</v>
      </c>
      <c r="K2100" t="s">
        <v>208</v>
      </c>
      <c r="L2100">
        <v>61107</v>
      </c>
      <c r="M2100" t="s">
        <v>104</v>
      </c>
      <c r="N2100" t="s">
        <v>5649</v>
      </c>
      <c r="O2100" t="s">
        <v>45</v>
      </c>
      <c r="P2100" t="s">
        <v>74</v>
      </c>
      <c r="Q2100" t="s">
        <v>5650</v>
      </c>
      <c r="R2100">
        <v>11.416</v>
      </c>
      <c r="S2100">
        <v>4</v>
      </c>
      <c r="T2100">
        <v>0.8</v>
      </c>
      <c r="U2100">
        <v>-18.836400000000001</v>
      </c>
      <c r="V2100" t="str">
        <f t="shared" si="32"/>
        <v>Neil Französisch</v>
      </c>
      <c r="W2100">
        <f>Table2[Profit]/Table2[Sales]</f>
        <v>-1.6500000000000001</v>
      </c>
    </row>
    <row r="2101" spans="1:23" x14ac:dyDescent="0.25">
      <c r="A2101">
        <v>2100</v>
      </c>
      <c r="B2101" t="s">
        <v>7166</v>
      </c>
      <c r="C2101" s="1">
        <v>42976</v>
      </c>
      <c r="D2101" s="1">
        <v>42981</v>
      </c>
      <c r="E2101" t="s">
        <v>22</v>
      </c>
      <c r="F2101" t="s">
        <v>4635</v>
      </c>
      <c r="G2101" t="s">
        <v>4636</v>
      </c>
      <c r="H2101" t="s">
        <v>40</v>
      </c>
      <c r="I2101" t="s">
        <v>26</v>
      </c>
      <c r="J2101" t="s">
        <v>143</v>
      </c>
      <c r="K2101" t="s">
        <v>144</v>
      </c>
      <c r="L2101">
        <v>19134</v>
      </c>
      <c r="M2101" t="s">
        <v>145</v>
      </c>
      <c r="N2101" t="s">
        <v>7167</v>
      </c>
      <c r="O2101" t="s">
        <v>45</v>
      </c>
      <c r="P2101" t="s">
        <v>67</v>
      </c>
      <c r="Q2101" t="s">
        <v>7168</v>
      </c>
      <c r="R2101">
        <v>9.4079999999999995</v>
      </c>
      <c r="S2101">
        <v>7</v>
      </c>
      <c r="T2101">
        <v>0.2</v>
      </c>
      <c r="U2101">
        <v>0.7056</v>
      </c>
      <c r="V2101" t="str">
        <f t="shared" si="32"/>
        <v>Michael Dominguez</v>
      </c>
      <c r="W2101">
        <f>Table2[Profit]/Table2[Sales]</f>
        <v>7.5000000000000011E-2</v>
      </c>
    </row>
    <row r="2102" spans="1:23" x14ac:dyDescent="0.25">
      <c r="A2102">
        <v>2101</v>
      </c>
      <c r="B2102" t="s">
        <v>7169</v>
      </c>
      <c r="C2102" s="1">
        <v>42820</v>
      </c>
      <c r="D2102" s="1">
        <v>42822</v>
      </c>
      <c r="E2102" t="s">
        <v>185</v>
      </c>
      <c r="F2102" t="s">
        <v>5134</v>
      </c>
      <c r="G2102" t="s">
        <v>5135</v>
      </c>
      <c r="H2102" t="s">
        <v>101</v>
      </c>
      <c r="I2102" t="s">
        <v>26</v>
      </c>
      <c r="J2102" t="s">
        <v>94</v>
      </c>
      <c r="K2102" t="s">
        <v>95</v>
      </c>
      <c r="L2102">
        <v>98105</v>
      </c>
      <c r="M2102" t="s">
        <v>43</v>
      </c>
      <c r="N2102" t="s">
        <v>7170</v>
      </c>
      <c r="O2102" t="s">
        <v>45</v>
      </c>
      <c r="P2102" t="s">
        <v>67</v>
      </c>
      <c r="Q2102" t="s">
        <v>7171</v>
      </c>
      <c r="R2102">
        <v>19.829999999999998</v>
      </c>
      <c r="S2102">
        <v>1</v>
      </c>
      <c r="T2102">
        <v>0</v>
      </c>
      <c r="U2102">
        <v>5.9489999999999998</v>
      </c>
      <c r="V2102" t="str">
        <f t="shared" si="32"/>
        <v>Maria Zettner</v>
      </c>
      <c r="W2102">
        <f>Table2[Profit]/Table2[Sales]</f>
        <v>0.30000000000000004</v>
      </c>
    </row>
    <row r="2103" spans="1:23" x14ac:dyDescent="0.25">
      <c r="A2103">
        <v>2102</v>
      </c>
      <c r="B2103" t="s">
        <v>7172</v>
      </c>
      <c r="C2103" s="1">
        <v>43098</v>
      </c>
      <c r="D2103" s="1">
        <v>43104</v>
      </c>
      <c r="E2103" t="s">
        <v>49</v>
      </c>
      <c r="F2103" t="s">
        <v>336</v>
      </c>
      <c r="G2103" t="s">
        <v>337</v>
      </c>
      <c r="H2103" t="s">
        <v>40</v>
      </c>
      <c r="I2103" t="s">
        <v>26</v>
      </c>
      <c r="J2103" t="s">
        <v>6317</v>
      </c>
      <c r="K2103" t="s">
        <v>235</v>
      </c>
      <c r="L2103">
        <v>49505</v>
      </c>
      <c r="M2103" t="s">
        <v>104</v>
      </c>
      <c r="N2103" t="s">
        <v>3500</v>
      </c>
      <c r="O2103" t="s">
        <v>45</v>
      </c>
      <c r="P2103" t="s">
        <v>89</v>
      </c>
      <c r="Q2103" t="s">
        <v>3501</v>
      </c>
      <c r="R2103">
        <v>209.7</v>
      </c>
      <c r="S2103">
        <v>2</v>
      </c>
      <c r="T2103">
        <v>0</v>
      </c>
      <c r="U2103">
        <v>100.65600000000001</v>
      </c>
      <c r="V2103" t="str">
        <f t="shared" si="32"/>
        <v>Ken Brennan</v>
      </c>
      <c r="W2103">
        <f>Table2[Profit]/Table2[Sales]</f>
        <v>0.48000000000000004</v>
      </c>
    </row>
    <row r="2104" spans="1:23" x14ac:dyDescent="0.25">
      <c r="A2104">
        <v>2103</v>
      </c>
      <c r="B2104" t="s">
        <v>7173</v>
      </c>
      <c r="C2104" s="1">
        <v>41902</v>
      </c>
      <c r="D2104" s="1">
        <v>41908</v>
      </c>
      <c r="E2104" t="s">
        <v>49</v>
      </c>
      <c r="F2104" t="s">
        <v>6015</v>
      </c>
      <c r="G2104" t="s">
        <v>6016</v>
      </c>
      <c r="H2104" t="s">
        <v>101</v>
      </c>
      <c r="I2104" t="s">
        <v>26</v>
      </c>
      <c r="J2104" t="s">
        <v>41</v>
      </c>
      <c r="K2104" t="s">
        <v>42</v>
      </c>
      <c r="L2104">
        <v>90004</v>
      </c>
      <c r="M2104" t="s">
        <v>43</v>
      </c>
      <c r="N2104" t="s">
        <v>7174</v>
      </c>
      <c r="O2104" t="s">
        <v>45</v>
      </c>
      <c r="P2104" t="s">
        <v>77</v>
      </c>
      <c r="Q2104" t="s">
        <v>1416</v>
      </c>
      <c r="R2104">
        <v>43.92</v>
      </c>
      <c r="S2104">
        <v>4</v>
      </c>
      <c r="T2104">
        <v>0</v>
      </c>
      <c r="U2104">
        <v>11.8584</v>
      </c>
      <c r="V2104" t="str">
        <f t="shared" si="32"/>
        <v>Michelle Arnett</v>
      </c>
      <c r="W2104">
        <f>Table2[Profit]/Table2[Sales]</f>
        <v>0.26999999999999996</v>
      </c>
    </row>
    <row r="2105" spans="1:23" x14ac:dyDescent="0.25">
      <c r="A2105">
        <v>2104</v>
      </c>
      <c r="B2105" t="s">
        <v>7175</v>
      </c>
      <c r="C2105" s="1">
        <v>42464</v>
      </c>
      <c r="D2105" s="1">
        <v>42465</v>
      </c>
      <c r="E2105" t="s">
        <v>185</v>
      </c>
      <c r="F2105" t="s">
        <v>3833</v>
      </c>
      <c r="G2105" t="s">
        <v>3834</v>
      </c>
      <c r="H2105" t="s">
        <v>101</v>
      </c>
      <c r="I2105" t="s">
        <v>26</v>
      </c>
      <c r="J2105" t="s">
        <v>311</v>
      </c>
      <c r="K2105" t="s">
        <v>312</v>
      </c>
      <c r="L2105">
        <v>22153</v>
      </c>
      <c r="M2105" t="s">
        <v>29</v>
      </c>
      <c r="N2105" t="s">
        <v>609</v>
      </c>
      <c r="O2105" t="s">
        <v>70</v>
      </c>
      <c r="P2105" t="s">
        <v>71</v>
      </c>
      <c r="Q2105" t="s">
        <v>610</v>
      </c>
      <c r="R2105">
        <v>149.97</v>
      </c>
      <c r="S2105">
        <v>3</v>
      </c>
      <c r="T2105">
        <v>0</v>
      </c>
      <c r="U2105">
        <v>5.9988000000000001</v>
      </c>
      <c r="V2105" t="str">
        <f t="shared" si="32"/>
        <v>Maria Etezadi</v>
      </c>
      <c r="W2105">
        <f>Table2[Profit]/Table2[Sales]</f>
        <v>0.04</v>
      </c>
    </row>
    <row r="2106" spans="1:23" x14ac:dyDescent="0.25">
      <c r="A2106">
        <v>2105</v>
      </c>
      <c r="B2106" t="s">
        <v>7176</v>
      </c>
      <c r="C2106" s="1">
        <v>41724</v>
      </c>
      <c r="D2106" s="1">
        <v>41728</v>
      </c>
      <c r="E2106" t="s">
        <v>49</v>
      </c>
      <c r="F2106" t="s">
        <v>575</v>
      </c>
      <c r="G2106" t="s">
        <v>576</v>
      </c>
      <c r="H2106" t="s">
        <v>40</v>
      </c>
      <c r="I2106" t="s">
        <v>26</v>
      </c>
      <c r="J2106" t="s">
        <v>41</v>
      </c>
      <c r="K2106" t="s">
        <v>42</v>
      </c>
      <c r="L2106">
        <v>90036</v>
      </c>
      <c r="M2106" t="s">
        <v>43</v>
      </c>
      <c r="N2106" t="s">
        <v>746</v>
      </c>
      <c r="O2106" t="s">
        <v>70</v>
      </c>
      <c r="P2106" t="s">
        <v>158</v>
      </c>
      <c r="Q2106" t="s">
        <v>747</v>
      </c>
      <c r="R2106">
        <v>66.3</v>
      </c>
      <c r="S2106">
        <v>3</v>
      </c>
      <c r="T2106">
        <v>0</v>
      </c>
      <c r="U2106">
        <v>8.6189999999999998</v>
      </c>
      <c r="V2106" t="str">
        <f t="shared" si="32"/>
        <v>Jonathan Doherty</v>
      </c>
      <c r="W2106">
        <f>Table2[Profit]/Table2[Sales]</f>
        <v>0.13</v>
      </c>
    </row>
    <row r="2107" spans="1:23" x14ac:dyDescent="0.25">
      <c r="A2107">
        <v>2106</v>
      </c>
      <c r="B2107" t="s">
        <v>7177</v>
      </c>
      <c r="C2107" s="1">
        <v>43067</v>
      </c>
      <c r="D2107" s="1">
        <v>43073</v>
      </c>
      <c r="E2107" t="s">
        <v>49</v>
      </c>
      <c r="F2107" t="s">
        <v>543</v>
      </c>
      <c r="G2107" t="s">
        <v>544</v>
      </c>
      <c r="H2107" t="s">
        <v>101</v>
      </c>
      <c r="I2107" t="s">
        <v>26</v>
      </c>
      <c r="J2107" t="s">
        <v>4400</v>
      </c>
      <c r="K2107" t="s">
        <v>2699</v>
      </c>
      <c r="L2107">
        <v>21215</v>
      </c>
      <c r="M2107" t="s">
        <v>145</v>
      </c>
      <c r="N2107" t="s">
        <v>4710</v>
      </c>
      <c r="O2107" t="s">
        <v>45</v>
      </c>
      <c r="P2107" t="s">
        <v>67</v>
      </c>
      <c r="Q2107" t="s">
        <v>4711</v>
      </c>
      <c r="R2107">
        <v>1.64</v>
      </c>
      <c r="S2107">
        <v>1</v>
      </c>
      <c r="T2107">
        <v>0</v>
      </c>
      <c r="U2107">
        <v>0.73799999999999999</v>
      </c>
      <c r="V2107" t="str">
        <f t="shared" si="32"/>
        <v>Lindsay Shagiari</v>
      </c>
      <c r="W2107">
        <f>Table2[Profit]/Table2[Sales]</f>
        <v>0.45</v>
      </c>
    </row>
    <row r="2108" spans="1:23" x14ac:dyDescent="0.25">
      <c r="A2108">
        <v>2107</v>
      </c>
      <c r="B2108" t="s">
        <v>7178</v>
      </c>
      <c r="C2108" s="1">
        <v>42705</v>
      </c>
      <c r="D2108" s="1">
        <v>42709</v>
      </c>
      <c r="E2108" t="s">
        <v>22</v>
      </c>
      <c r="F2108" t="s">
        <v>704</v>
      </c>
      <c r="G2108" t="s">
        <v>705</v>
      </c>
      <c r="H2108" t="s">
        <v>25</v>
      </c>
      <c r="I2108" t="s">
        <v>26</v>
      </c>
      <c r="J2108" t="s">
        <v>739</v>
      </c>
      <c r="K2108" t="s">
        <v>740</v>
      </c>
      <c r="L2108">
        <v>6824</v>
      </c>
      <c r="M2108" t="s">
        <v>145</v>
      </c>
      <c r="N2108" t="s">
        <v>3452</v>
      </c>
      <c r="O2108" t="s">
        <v>45</v>
      </c>
      <c r="P2108" t="s">
        <v>74</v>
      </c>
      <c r="Q2108" t="s">
        <v>3453</v>
      </c>
      <c r="R2108">
        <v>88.08</v>
      </c>
      <c r="S2108">
        <v>6</v>
      </c>
      <c r="T2108">
        <v>0</v>
      </c>
      <c r="U2108">
        <v>40.516800000000003</v>
      </c>
      <c r="V2108" t="str">
        <f t="shared" si="32"/>
        <v>Shirley Jackson</v>
      </c>
      <c r="W2108">
        <f>Table2[Profit]/Table2[Sales]</f>
        <v>0.46000000000000008</v>
      </c>
    </row>
    <row r="2109" spans="1:23" x14ac:dyDescent="0.25">
      <c r="A2109">
        <v>2108</v>
      </c>
      <c r="B2109" t="s">
        <v>7179</v>
      </c>
      <c r="C2109" s="1">
        <v>41901</v>
      </c>
      <c r="D2109" s="1">
        <v>41901</v>
      </c>
      <c r="E2109" t="s">
        <v>1278</v>
      </c>
      <c r="F2109" t="s">
        <v>7180</v>
      </c>
      <c r="G2109" t="s">
        <v>7181</v>
      </c>
      <c r="H2109" t="s">
        <v>40</v>
      </c>
      <c r="I2109" t="s">
        <v>26</v>
      </c>
      <c r="J2109" t="s">
        <v>263</v>
      </c>
      <c r="K2109" t="s">
        <v>264</v>
      </c>
      <c r="L2109">
        <v>10011</v>
      </c>
      <c r="M2109" t="s">
        <v>145</v>
      </c>
      <c r="N2109" t="s">
        <v>4525</v>
      </c>
      <c r="O2109" t="s">
        <v>31</v>
      </c>
      <c r="P2109" t="s">
        <v>35</v>
      </c>
      <c r="Q2109" t="s">
        <v>4526</v>
      </c>
      <c r="R2109">
        <v>887.10299999999995</v>
      </c>
      <c r="S2109">
        <v>7</v>
      </c>
      <c r="T2109">
        <v>0.1</v>
      </c>
      <c r="U2109">
        <v>177.42060000000001</v>
      </c>
      <c r="V2109" t="str">
        <f t="shared" si="32"/>
        <v>Bill Shonely</v>
      </c>
      <c r="W2109">
        <f>Table2[Profit]/Table2[Sales]</f>
        <v>0.2</v>
      </c>
    </row>
    <row r="2110" spans="1:23" x14ac:dyDescent="0.25">
      <c r="A2110">
        <v>2109</v>
      </c>
      <c r="B2110" t="s">
        <v>7182</v>
      </c>
      <c r="C2110" s="1">
        <v>42300</v>
      </c>
      <c r="D2110" s="1">
        <v>42300</v>
      </c>
      <c r="E2110" t="s">
        <v>1278</v>
      </c>
      <c r="F2110" t="s">
        <v>2198</v>
      </c>
      <c r="G2110" t="s">
        <v>2199</v>
      </c>
      <c r="H2110" t="s">
        <v>25</v>
      </c>
      <c r="I2110" t="s">
        <v>26</v>
      </c>
      <c r="J2110" t="s">
        <v>1768</v>
      </c>
      <c r="K2110" t="s">
        <v>53</v>
      </c>
      <c r="L2110">
        <v>33801</v>
      </c>
      <c r="M2110" t="s">
        <v>29</v>
      </c>
      <c r="N2110" t="s">
        <v>4455</v>
      </c>
      <c r="O2110" t="s">
        <v>70</v>
      </c>
      <c r="P2110" t="s">
        <v>71</v>
      </c>
      <c r="Q2110" t="s">
        <v>4456</v>
      </c>
      <c r="R2110">
        <v>55.944000000000003</v>
      </c>
      <c r="S2110">
        <v>7</v>
      </c>
      <c r="T2110">
        <v>0.2</v>
      </c>
      <c r="U2110">
        <v>-13.2867</v>
      </c>
      <c r="V2110" t="str">
        <f t="shared" si="32"/>
        <v>Ralph Arnett</v>
      </c>
      <c r="W2110">
        <f>Table2[Profit]/Table2[Sales]</f>
        <v>-0.23749999999999999</v>
      </c>
    </row>
    <row r="2111" spans="1:23" x14ac:dyDescent="0.25">
      <c r="A2111">
        <v>2110</v>
      </c>
      <c r="B2111" t="s">
        <v>7183</v>
      </c>
      <c r="C2111" s="1">
        <v>43021</v>
      </c>
      <c r="D2111" s="1">
        <v>43024</v>
      </c>
      <c r="E2111" t="s">
        <v>185</v>
      </c>
      <c r="F2111" t="s">
        <v>535</v>
      </c>
      <c r="G2111" t="s">
        <v>536</v>
      </c>
      <c r="H2111" t="s">
        <v>25</v>
      </c>
      <c r="I2111" t="s">
        <v>26</v>
      </c>
      <c r="J2111" t="s">
        <v>3637</v>
      </c>
      <c r="K2111" t="s">
        <v>208</v>
      </c>
      <c r="L2111">
        <v>61032</v>
      </c>
      <c r="M2111" t="s">
        <v>104</v>
      </c>
      <c r="N2111" t="s">
        <v>3138</v>
      </c>
      <c r="O2111" t="s">
        <v>45</v>
      </c>
      <c r="P2111" t="s">
        <v>89</v>
      </c>
      <c r="Q2111" t="s">
        <v>183</v>
      </c>
      <c r="R2111">
        <v>63.311999999999998</v>
      </c>
      <c r="S2111">
        <v>3</v>
      </c>
      <c r="T2111">
        <v>0.2</v>
      </c>
      <c r="U2111">
        <v>20.5764</v>
      </c>
      <c r="V2111" t="str">
        <f t="shared" si="32"/>
        <v>Troy Staebel</v>
      </c>
      <c r="W2111">
        <f>Table2[Profit]/Table2[Sales]</f>
        <v>0.32500000000000001</v>
      </c>
    </row>
    <row r="2112" spans="1:23" x14ac:dyDescent="0.25">
      <c r="A2112">
        <v>2111</v>
      </c>
      <c r="B2112" t="s">
        <v>7184</v>
      </c>
      <c r="C2112" s="1">
        <v>42251</v>
      </c>
      <c r="D2112" s="1">
        <v>42256</v>
      </c>
      <c r="E2112" t="s">
        <v>49</v>
      </c>
      <c r="F2112" t="s">
        <v>132</v>
      </c>
      <c r="G2112" t="s">
        <v>133</v>
      </c>
      <c r="H2112" t="s">
        <v>40</v>
      </c>
      <c r="I2112" t="s">
        <v>26</v>
      </c>
      <c r="J2112" t="s">
        <v>4606</v>
      </c>
      <c r="K2112" t="s">
        <v>413</v>
      </c>
      <c r="L2112">
        <v>97504</v>
      </c>
      <c r="M2112" t="s">
        <v>43</v>
      </c>
      <c r="N2112" t="s">
        <v>6395</v>
      </c>
      <c r="O2112" t="s">
        <v>45</v>
      </c>
      <c r="P2112" t="s">
        <v>74</v>
      </c>
      <c r="Q2112" t="s">
        <v>6396</v>
      </c>
      <c r="R2112">
        <v>9.7620000000000005</v>
      </c>
      <c r="S2112">
        <v>2</v>
      </c>
      <c r="T2112">
        <v>0.7</v>
      </c>
      <c r="U2112">
        <v>-6.8334000000000001</v>
      </c>
      <c r="V2112" t="str">
        <f t="shared" si="32"/>
        <v>Ken Black</v>
      </c>
      <c r="W2112">
        <f>Table2[Profit]/Table2[Sales]</f>
        <v>-0.7</v>
      </c>
    </row>
    <row r="2113" spans="1:23" x14ac:dyDescent="0.25">
      <c r="A2113">
        <v>2112</v>
      </c>
      <c r="B2113" t="s">
        <v>7185</v>
      </c>
      <c r="C2113" s="1">
        <v>42443</v>
      </c>
      <c r="D2113" s="1">
        <v>42445</v>
      </c>
      <c r="E2113" t="s">
        <v>185</v>
      </c>
      <c r="F2113" t="s">
        <v>1307</v>
      </c>
      <c r="G2113" t="s">
        <v>1308</v>
      </c>
      <c r="H2113" t="s">
        <v>40</v>
      </c>
      <c r="I2113" t="s">
        <v>26</v>
      </c>
      <c r="J2113" t="s">
        <v>94</v>
      </c>
      <c r="K2113" t="s">
        <v>95</v>
      </c>
      <c r="L2113">
        <v>98103</v>
      </c>
      <c r="M2113" t="s">
        <v>43</v>
      </c>
      <c r="N2113" t="s">
        <v>3134</v>
      </c>
      <c r="O2113" t="s">
        <v>31</v>
      </c>
      <c r="P2113" t="s">
        <v>35</v>
      </c>
      <c r="Q2113" t="s">
        <v>3135</v>
      </c>
      <c r="R2113">
        <v>196.78399999999999</v>
      </c>
      <c r="S2113">
        <v>2</v>
      </c>
      <c r="T2113">
        <v>0.2</v>
      </c>
      <c r="U2113">
        <v>-22.138200000000001</v>
      </c>
      <c r="V2113" t="str">
        <f t="shared" si="32"/>
        <v>Muhammed MacIntyre</v>
      </c>
      <c r="W2113">
        <f>Table2[Profit]/Table2[Sales]</f>
        <v>-0.11250000000000002</v>
      </c>
    </row>
    <row r="2114" spans="1:23" x14ac:dyDescent="0.25">
      <c r="A2114">
        <v>2113</v>
      </c>
      <c r="B2114" t="s">
        <v>7186</v>
      </c>
      <c r="C2114" s="1">
        <v>43036</v>
      </c>
      <c r="D2114" s="1">
        <v>43041</v>
      </c>
      <c r="E2114" t="s">
        <v>22</v>
      </c>
      <c r="F2114" t="s">
        <v>5508</v>
      </c>
      <c r="G2114" t="s">
        <v>5509</v>
      </c>
      <c r="H2114" t="s">
        <v>40</v>
      </c>
      <c r="I2114" t="s">
        <v>26</v>
      </c>
      <c r="J2114" t="s">
        <v>263</v>
      </c>
      <c r="K2114" t="s">
        <v>264</v>
      </c>
      <c r="L2114">
        <v>10035</v>
      </c>
      <c r="M2114" t="s">
        <v>145</v>
      </c>
      <c r="N2114" t="s">
        <v>1002</v>
      </c>
      <c r="O2114" t="s">
        <v>45</v>
      </c>
      <c r="P2114" t="s">
        <v>170</v>
      </c>
      <c r="Q2114" t="s">
        <v>1003</v>
      </c>
      <c r="R2114">
        <v>47.98</v>
      </c>
      <c r="S2114">
        <v>2</v>
      </c>
      <c r="T2114">
        <v>0</v>
      </c>
      <c r="U2114">
        <v>23.99</v>
      </c>
      <c r="V2114" t="str">
        <f t="shared" si="32"/>
        <v>Lori Olson</v>
      </c>
      <c r="W2114">
        <f>Table2[Profit]/Table2[Sales]</f>
        <v>0.5</v>
      </c>
    </row>
    <row r="2115" spans="1:23" x14ac:dyDescent="0.25">
      <c r="A2115">
        <v>2114</v>
      </c>
      <c r="B2115" t="s">
        <v>7187</v>
      </c>
      <c r="C2115" s="1">
        <v>43023</v>
      </c>
      <c r="D2115" s="1">
        <v>43027</v>
      </c>
      <c r="E2115" t="s">
        <v>22</v>
      </c>
      <c r="F2115" t="s">
        <v>5190</v>
      </c>
      <c r="G2115" t="s">
        <v>5191</v>
      </c>
      <c r="H2115" t="s">
        <v>40</v>
      </c>
      <c r="I2115" t="s">
        <v>26</v>
      </c>
      <c r="J2115" t="s">
        <v>739</v>
      </c>
      <c r="K2115" t="s">
        <v>740</v>
      </c>
      <c r="L2115">
        <v>6824</v>
      </c>
      <c r="M2115" t="s">
        <v>145</v>
      </c>
      <c r="N2115" t="s">
        <v>2735</v>
      </c>
      <c r="O2115" t="s">
        <v>45</v>
      </c>
      <c r="P2115" t="s">
        <v>46</v>
      </c>
      <c r="Q2115" t="s">
        <v>2736</v>
      </c>
      <c r="R2115">
        <v>13.05</v>
      </c>
      <c r="S2115">
        <v>5</v>
      </c>
      <c r="T2115">
        <v>0</v>
      </c>
      <c r="U2115">
        <v>6.0030000000000001</v>
      </c>
      <c r="V2115" t="str">
        <f t="shared" ref="V2115:V2178" si="33">TRIM(G2115)</f>
        <v>Ricardo Sperren</v>
      </c>
      <c r="W2115">
        <f>Table2[Profit]/Table2[Sales]</f>
        <v>0.45999999999999996</v>
      </c>
    </row>
    <row r="2116" spans="1:23" x14ac:dyDescent="0.25">
      <c r="A2116">
        <v>2115</v>
      </c>
      <c r="B2116" t="s">
        <v>7188</v>
      </c>
      <c r="C2116" s="1">
        <v>42954</v>
      </c>
      <c r="D2116" s="1">
        <v>42958</v>
      </c>
      <c r="E2116" t="s">
        <v>49</v>
      </c>
      <c r="F2116" t="s">
        <v>6298</v>
      </c>
      <c r="G2116" t="s">
        <v>6299</v>
      </c>
      <c r="H2116" t="s">
        <v>25</v>
      </c>
      <c r="I2116" t="s">
        <v>26</v>
      </c>
      <c r="J2116" t="s">
        <v>4885</v>
      </c>
      <c r="K2116" t="s">
        <v>226</v>
      </c>
      <c r="L2116">
        <v>56560</v>
      </c>
      <c r="M2116" t="s">
        <v>104</v>
      </c>
      <c r="N2116" t="s">
        <v>4297</v>
      </c>
      <c r="O2116" t="s">
        <v>70</v>
      </c>
      <c r="P2116" t="s">
        <v>158</v>
      </c>
      <c r="Q2116" t="s">
        <v>4298</v>
      </c>
      <c r="R2116">
        <v>63.96</v>
      </c>
      <c r="S2116">
        <v>4</v>
      </c>
      <c r="T2116">
        <v>0</v>
      </c>
      <c r="U2116">
        <v>19.8276</v>
      </c>
      <c r="V2116" t="str">
        <f t="shared" si="33"/>
        <v>Cindy Chapman</v>
      </c>
      <c r="W2116">
        <f>Table2[Profit]/Table2[Sales]</f>
        <v>0.31</v>
      </c>
    </row>
    <row r="2117" spans="1:23" x14ac:dyDescent="0.25">
      <c r="A2117">
        <v>2116</v>
      </c>
      <c r="B2117" t="s">
        <v>7189</v>
      </c>
      <c r="C2117" s="1">
        <v>42999</v>
      </c>
      <c r="D2117" s="1">
        <v>43003</v>
      </c>
      <c r="E2117" t="s">
        <v>49</v>
      </c>
      <c r="F2117" t="s">
        <v>3381</v>
      </c>
      <c r="G2117" t="s">
        <v>3382</v>
      </c>
      <c r="H2117" t="s">
        <v>25</v>
      </c>
      <c r="I2117" t="s">
        <v>26</v>
      </c>
      <c r="J2117" t="s">
        <v>490</v>
      </c>
      <c r="K2117" t="s">
        <v>1260</v>
      </c>
      <c r="L2117">
        <v>31907</v>
      </c>
      <c r="M2117" t="s">
        <v>29</v>
      </c>
      <c r="N2117" t="s">
        <v>5816</v>
      </c>
      <c r="O2117" t="s">
        <v>45</v>
      </c>
      <c r="P2117" t="s">
        <v>77</v>
      </c>
      <c r="Q2117" t="s">
        <v>5817</v>
      </c>
      <c r="R2117">
        <v>80.48</v>
      </c>
      <c r="S2117">
        <v>1</v>
      </c>
      <c r="T2117">
        <v>0</v>
      </c>
      <c r="U2117">
        <v>24.143999999999998</v>
      </c>
      <c r="V2117" t="str">
        <f t="shared" si="33"/>
        <v>Kean Thornton</v>
      </c>
      <c r="W2117">
        <f>Table2[Profit]/Table2[Sales]</f>
        <v>0.3</v>
      </c>
    </row>
    <row r="2118" spans="1:23" x14ac:dyDescent="0.25">
      <c r="A2118">
        <v>2117</v>
      </c>
      <c r="B2118" t="s">
        <v>7190</v>
      </c>
      <c r="C2118" s="1">
        <v>43042</v>
      </c>
      <c r="D2118" s="1">
        <v>43047</v>
      </c>
      <c r="E2118" t="s">
        <v>49</v>
      </c>
      <c r="F2118" t="s">
        <v>5868</v>
      </c>
      <c r="G2118" t="s">
        <v>5869</v>
      </c>
      <c r="H2118" t="s">
        <v>25</v>
      </c>
      <c r="I2118" t="s">
        <v>26</v>
      </c>
      <c r="J2118" t="s">
        <v>143</v>
      </c>
      <c r="K2118" t="s">
        <v>144</v>
      </c>
      <c r="L2118">
        <v>19143</v>
      </c>
      <c r="M2118" t="s">
        <v>145</v>
      </c>
      <c r="N2118" t="s">
        <v>7191</v>
      </c>
      <c r="O2118" t="s">
        <v>45</v>
      </c>
      <c r="P2118" t="s">
        <v>74</v>
      </c>
      <c r="Q2118" t="s">
        <v>7192</v>
      </c>
      <c r="R2118">
        <v>11.673</v>
      </c>
      <c r="S2118">
        <v>3</v>
      </c>
      <c r="T2118">
        <v>0.7</v>
      </c>
      <c r="U2118">
        <v>-7.782</v>
      </c>
      <c r="V2118" t="str">
        <f t="shared" si="33"/>
        <v>Darrin Martin</v>
      </c>
      <c r="W2118">
        <f>Table2[Profit]/Table2[Sales]</f>
        <v>-0.66666666666666663</v>
      </c>
    </row>
    <row r="2119" spans="1:23" x14ac:dyDescent="0.25">
      <c r="A2119">
        <v>2118</v>
      </c>
      <c r="B2119" t="s">
        <v>7193</v>
      </c>
      <c r="C2119" s="1">
        <v>42679</v>
      </c>
      <c r="D2119" s="1">
        <v>42683</v>
      </c>
      <c r="E2119" t="s">
        <v>49</v>
      </c>
      <c r="F2119" t="s">
        <v>1803</v>
      </c>
      <c r="G2119" t="s">
        <v>1804</v>
      </c>
      <c r="H2119" t="s">
        <v>25</v>
      </c>
      <c r="I2119" t="s">
        <v>26</v>
      </c>
      <c r="J2119" t="s">
        <v>181</v>
      </c>
      <c r="K2119" t="s">
        <v>103</v>
      </c>
      <c r="L2119">
        <v>77036</v>
      </c>
      <c r="M2119" t="s">
        <v>104</v>
      </c>
      <c r="N2119" t="s">
        <v>2236</v>
      </c>
      <c r="O2119" t="s">
        <v>31</v>
      </c>
      <c r="P2119" t="s">
        <v>55</v>
      </c>
      <c r="Q2119" t="s">
        <v>2237</v>
      </c>
      <c r="R2119">
        <v>863.12800000000004</v>
      </c>
      <c r="S2119">
        <v>8</v>
      </c>
      <c r="T2119">
        <v>0.3</v>
      </c>
      <c r="U2119">
        <v>-160.29519999999999</v>
      </c>
      <c r="V2119" t="str">
        <f t="shared" si="33"/>
        <v>Emily Phan</v>
      </c>
      <c r="W2119">
        <f>Table2[Profit]/Table2[Sales]</f>
        <v>-0.18571428571428569</v>
      </c>
    </row>
    <row r="2120" spans="1:23" x14ac:dyDescent="0.25">
      <c r="A2120">
        <v>2119</v>
      </c>
      <c r="B2120" t="s">
        <v>7194</v>
      </c>
      <c r="C2120" s="1">
        <v>42911</v>
      </c>
      <c r="D2120" s="1">
        <v>42915</v>
      </c>
      <c r="E2120" t="s">
        <v>22</v>
      </c>
      <c r="F2120" t="s">
        <v>4790</v>
      </c>
      <c r="G2120" t="s">
        <v>4791</v>
      </c>
      <c r="H2120" t="s">
        <v>25</v>
      </c>
      <c r="I2120" t="s">
        <v>26</v>
      </c>
      <c r="J2120" t="s">
        <v>94</v>
      </c>
      <c r="K2120" t="s">
        <v>95</v>
      </c>
      <c r="L2120">
        <v>98115</v>
      </c>
      <c r="M2120" t="s">
        <v>43</v>
      </c>
      <c r="N2120" t="s">
        <v>2154</v>
      </c>
      <c r="O2120" t="s">
        <v>31</v>
      </c>
      <c r="P2120" t="s">
        <v>55</v>
      </c>
      <c r="Q2120" t="s">
        <v>2155</v>
      </c>
      <c r="R2120">
        <v>871.4</v>
      </c>
      <c r="S2120">
        <v>4</v>
      </c>
      <c r="T2120">
        <v>0</v>
      </c>
      <c r="U2120">
        <v>148.13800000000001</v>
      </c>
      <c r="V2120" t="str">
        <f t="shared" si="33"/>
        <v>Anne McFarland</v>
      </c>
      <c r="W2120">
        <f>Table2[Profit]/Table2[Sales]</f>
        <v>0.17</v>
      </c>
    </row>
    <row r="2121" spans="1:23" x14ac:dyDescent="0.25">
      <c r="A2121">
        <v>2120</v>
      </c>
      <c r="B2121" t="s">
        <v>7195</v>
      </c>
      <c r="C2121" s="1">
        <v>42334</v>
      </c>
      <c r="D2121" s="1">
        <v>42338</v>
      </c>
      <c r="E2121" t="s">
        <v>49</v>
      </c>
      <c r="F2121" t="s">
        <v>7196</v>
      </c>
      <c r="G2121" t="s">
        <v>7197</v>
      </c>
      <c r="H2121" t="s">
        <v>40</v>
      </c>
      <c r="I2121" t="s">
        <v>26</v>
      </c>
      <c r="J2121" t="s">
        <v>321</v>
      </c>
      <c r="K2121" t="s">
        <v>328</v>
      </c>
      <c r="L2121">
        <v>38301</v>
      </c>
      <c r="M2121" t="s">
        <v>29</v>
      </c>
      <c r="N2121" t="s">
        <v>7154</v>
      </c>
      <c r="O2121" t="s">
        <v>31</v>
      </c>
      <c r="P2121" t="s">
        <v>64</v>
      </c>
      <c r="Q2121" t="s">
        <v>7155</v>
      </c>
      <c r="R2121">
        <v>692.47199999999998</v>
      </c>
      <c r="S2121">
        <v>11</v>
      </c>
      <c r="T2121">
        <v>0.2</v>
      </c>
      <c r="U2121">
        <v>190.4298</v>
      </c>
      <c r="V2121" t="str">
        <f t="shared" si="33"/>
        <v>Stefanie Holloman</v>
      </c>
      <c r="W2121">
        <f>Table2[Profit]/Table2[Sales]</f>
        <v>0.27500000000000002</v>
      </c>
    </row>
    <row r="2122" spans="1:23" x14ac:dyDescent="0.25">
      <c r="A2122">
        <v>2121</v>
      </c>
      <c r="B2122" t="s">
        <v>7198</v>
      </c>
      <c r="C2122" s="1">
        <v>42698</v>
      </c>
      <c r="D2122" s="1">
        <v>42701</v>
      </c>
      <c r="E2122" t="s">
        <v>22</v>
      </c>
      <c r="F2122" t="s">
        <v>1334</v>
      </c>
      <c r="G2122" t="s">
        <v>1335</v>
      </c>
      <c r="H2122" t="s">
        <v>40</v>
      </c>
      <c r="I2122" t="s">
        <v>26</v>
      </c>
      <c r="J2122" t="s">
        <v>4400</v>
      </c>
      <c r="K2122" t="s">
        <v>2699</v>
      </c>
      <c r="L2122">
        <v>21215</v>
      </c>
      <c r="M2122" t="s">
        <v>145</v>
      </c>
      <c r="N2122" t="s">
        <v>2640</v>
      </c>
      <c r="O2122" t="s">
        <v>31</v>
      </c>
      <c r="P2122" t="s">
        <v>64</v>
      </c>
      <c r="Q2122" t="s">
        <v>2641</v>
      </c>
      <c r="R2122">
        <v>207.76</v>
      </c>
      <c r="S2122">
        <v>4</v>
      </c>
      <c r="T2122">
        <v>0</v>
      </c>
      <c r="U2122">
        <v>85.181600000000003</v>
      </c>
      <c r="V2122" t="str">
        <f t="shared" si="33"/>
        <v>Laura Armstrong</v>
      </c>
      <c r="W2122">
        <f>Table2[Profit]/Table2[Sales]</f>
        <v>0.41000000000000003</v>
      </c>
    </row>
    <row r="2123" spans="1:23" x14ac:dyDescent="0.25">
      <c r="A2123">
        <v>2122</v>
      </c>
      <c r="B2123" t="s">
        <v>7199</v>
      </c>
      <c r="C2123" s="1">
        <v>42937</v>
      </c>
      <c r="D2123" s="1">
        <v>42937</v>
      </c>
      <c r="E2123" t="s">
        <v>1278</v>
      </c>
      <c r="F2123" t="s">
        <v>1913</v>
      </c>
      <c r="G2123" t="s">
        <v>1914</v>
      </c>
      <c r="H2123" t="s">
        <v>25</v>
      </c>
      <c r="I2123" t="s">
        <v>26</v>
      </c>
      <c r="J2123" t="s">
        <v>3578</v>
      </c>
      <c r="K2123" t="s">
        <v>120</v>
      </c>
      <c r="L2123">
        <v>84107</v>
      </c>
      <c r="M2123" t="s">
        <v>43</v>
      </c>
      <c r="N2123" t="s">
        <v>6635</v>
      </c>
      <c r="O2123" t="s">
        <v>70</v>
      </c>
      <c r="P2123" t="s">
        <v>71</v>
      </c>
      <c r="Q2123" t="s">
        <v>6636</v>
      </c>
      <c r="R2123">
        <v>71.927999999999997</v>
      </c>
      <c r="S2123">
        <v>9</v>
      </c>
      <c r="T2123">
        <v>0.2</v>
      </c>
      <c r="U2123">
        <v>6.2937000000000003</v>
      </c>
      <c r="V2123" t="str">
        <f t="shared" si="33"/>
        <v>Sarah Foster</v>
      </c>
      <c r="W2123">
        <f>Table2[Profit]/Table2[Sales]</f>
        <v>8.7500000000000008E-2</v>
      </c>
    </row>
    <row r="2124" spans="1:23" x14ac:dyDescent="0.25">
      <c r="A2124">
        <v>2123</v>
      </c>
      <c r="B2124" t="s">
        <v>7200</v>
      </c>
      <c r="C2124" s="1">
        <v>42300</v>
      </c>
      <c r="D2124" s="1">
        <v>42305</v>
      </c>
      <c r="E2124" t="s">
        <v>49</v>
      </c>
      <c r="F2124" t="s">
        <v>1025</v>
      </c>
      <c r="G2124" t="s">
        <v>1026</v>
      </c>
      <c r="H2124" t="s">
        <v>40</v>
      </c>
      <c r="I2124" t="s">
        <v>26</v>
      </c>
      <c r="J2124" t="s">
        <v>94</v>
      </c>
      <c r="K2124" t="s">
        <v>95</v>
      </c>
      <c r="L2124">
        <v>98105</v>
      </c>
      <c r="M2124" t="s">
        <v>43</v>
      </c>
      <c r="N2124" t="s">
        <v>1206</v>
      </c>
      <c r="O2124" t="s">
        <v>45</v>
      </c>
      <c r="P2124" t="s">
        <v>74</v>
      </c>
      <c r="Q2124" t="s">
        <v>1207</v>
      </c>
      <c r="R2124">
        <v>3.5920000000000001</v>
      </c>
      <c r="S2124">
        <v>1</v>
      </c>
      <c r="T2124">
        <v>0.2</v>
      </c>
      <c r="U2124">
        <v>1.1225000000000001</v>
      </c>
      <c r="V2124" t="str">
        <f t="shared" si="33"/>
        <v>Andrew Gjertsen</v>
      </c>
      <c r="W2124">
        <f>Table2[Profit]/Table2[Sales]</f>
        <v>0.3125</v>
      </c>
    </row>
    <row r="2125" spans="1:23" x14ac:dyDescent="0.25">
      <c r="A2125">
        <v>2124</v>
      </c>
      <c r="B2125" t="s">
        <v>7201</v>
      </c>
      <c r="C2125" s="1">
        <v>42194</v>
      </c>
      <c r="D2125" s="1">
        <v>42198</v>
      </c>
      <c r="E2125" t="s">
        <v>49</v>
      </c>
      <c r="F2125" t="s">
        <v>5595</v>
      </c>
      <c r="G2125" t="s">
        <v>5596</v>
      </c>
      <c r="H2125" t="s">
        <v>40</v>
      </c>
      <c r="I2125" t="s">
        <v>26</v>
      </c>
      <c r="J2125" t="s">
        <v>808</v>
      </c>
      <c r="K2125" t="s">
        <v>103</v>
      </c>
      <c r="L2125">
        <v>75220</v>
      </c>
      <c r="M2125" t="s">
        <v>104</v>
      </c>
      <c r="N2125" t="s">
        <v>706</v>
      </c>
      <c r="O2125" t="s">
        <v>45</v>
      </c>
      <c r="P2125" t="s">
        <v>77</v>
      </c>
      <c r="Q2125" t="s">
        <v>707</v>
      </c>
      <c r="R2125">
        <v>48.631999999999998</v>
      </c>
      <c r="S2125">
        <v>2</v>
      </c>
      <c r="T2125">
        <v>0.8</v>
      </c>
      <c r="U2125">
        <v>-121.58</v>
      </c>
      <c r="V2125" t="str">
        <f t="shared" si="33"/>
        <v>Kean Nguyen</v>
      </c>
      <c r="W2125">
        <f>Table2[Profit]/Table2[Sales]</f>
        <v>-2.5</v>
      </c>
    </row>
    <row r="2126" spans="1:23" x14ac:dyDescent="0.25">
      <c r="A2126">
        <v>2125</v>
      </c>
      <c r="B2126" t="s">
        <v>7202</v>
      </c>
      <c r="C2126" s="1">
        <v>42965</v>
      </c>
      <c r="D2126" s="1">
        <v>42969</v>
      </c>
      <c r="E2126" t="s">
        <v>49</v>
      </c>
      <c r="F2126" t="s">
        <v>3064</v>
      </c>
      <c r="G2126" t="s">
        <v>3065</v>
      </c>
      <c r="H2126" t="s">
        <v>101</v>
      </c>
      <c r="I2126" t="s">
        <v>26</v>
      </c>
      <c r="J2126" t="s">
        <v>94</v>
      </c>
      <c r="K2126" t="s">
        <v>95</v>
      </c>
      <c r="L2126">
        <v>98105</v>
      </c>
      <c r="M2126" t="s">
        <v>43</v>
      </c>
      <c r="N2126" t="s">
        <v>2951</v>
      </c>
      <c r="O2126" t="s">
        <v>45</v>
      </c>
      <c r="P2126" t="s">
        <v>58</v>
      </c>
      <c r="Q2126" t="s">
        <v>2952</v>
      </c>
      <c r="R2126">
        <v>323.10000000000002</v>
      </c>
      <c r="S2126">
        <v>2</v>
      </c>
      <c r="T2126">
        <v>0</v>
      </c>
      <c r="U2126">
        <v>61.389000000000003</v>
      </c>
      <c r="V2126" t="str">
        <f t="shared" si="33"/>
        <v>Nicole Fjeld</v>
      </c>
      <c r="W2126">
        <f>Table2[Profit]/Table2[Sales]</f>
        <v>0.19</v>
      </c>
    </row>
    <row r="2127" spans="1:23" x14ac:dyDescent="0.25">
      <c r="A2127">
        <v>2126</v>
      </c>
      <c r="B2127" t="s">
        <v>7203</v>
      </c>
      <c r="C2127" s="1">
        <v>42476</v>
      </c>
      <c r="D2127" s="1">
        <v>42480</v>
      </c>
      <c r="E2127" t="s">
        <v>49</v>
      </c>
      <c r="F2127" t="s">
        <v>7180</v>
      </c>
      <c r="G2127" t="s">
        <v>7181</v>
      </c>
      <c r="H2127" t="s">
        <v>40</v>
      </c>
      <c r="I2127" t="s">
        <v>26</v>
      </c>
      <c r="J2127" t="s">
        <v>1111</v>
      </c>
      <c r="K2127" t="s">
        <v>781</v>
      </c>
      <c r="L2127">
        <v>8701</v>
      </c>
      <c r="M2127" t="s">
        <v>145</v>
      </c>
      <c r="N2127" t="s">
        <v>7204</v>
      </c>
      <c r="O2127" t="s">
        <v>70</v>
      </c>
      <c r="P2127" t="s">
        <v>675</v>
      </c>
      <c r="Q2127" t="s">
        <v>7205</v>
      </c>
      <c r="R2127">
        <v>9099.93</v>
      </c>
      <c r="S2127">
        <v>7</v>
      </c>
      <c r="T2127">
        <v>0</v>
      </c>
      <c r="U2127">
        <v>2365.9818</v>
      </c>
      <c r="V2127" t="str">
        <f t="shared" si="33"/>
        <v>Bill Shonely</v>
      </c>
      <c r="W2127">
        <f>Table2[Profit]/Table2[Sales]</f>
        <v>0.26</v>
      </c>
    </row>
    <row r="2128" spans="1:23" x14ac:dyDescent="0.25">
      <c r="A2128">
        <v>2127</v>
      </c>
      <c r="B2128" t="s">
        <v>7206</v>
      </c>
      <c r="C2128" s="1">
        <v>41957</v>
      </c>
      <c r="D2128" s="1">
        <v>41961</v>
      </c>
      <c r="E2128" t="s">
        <v>49</v>
      </c>
      <c r="F2128" t="s">
        <v>726</v>
      </c>
      <c r="G2128" t="s">
        <v>727</v>
      </c>
      <c r="H2128" t="s">
        <v>101</v>
      </c>
      <c r="I2128" t="s">
        <v>26</v>
      </c>
      <c r="J2128" t="s">
        <v>263</v>
      </c>
      <c r="K2128" t="s">
        <v>264</v>
      </c>
      <c r="L2128">
        <v>10011</v>
      </c>
      <c r="M2128" t="s">
        <v>145</v>
      </c>
      <c r="N2128" t="s">
        <v>1029</v>
      </c>
      <c r="O2128" t="s">
        <v>45</v>
      </c>
      <c r="P2128" t="s">
        <v>89</v>
      </c>
      <c r="Q2128" t="s">
        <v>1030</v>
      </c>
      <c r="R2128">
        <v>11.36</v>
      </c>
      <c r="S2128">
        <v>2</v>
      </c>
      <c r="T2128">
        <v>0</v>
      </c>
      <c r="U2128">
        <v>5.2256</v>
      </c>
      <c r="V2128" t="str">
        <f t="shared" si="33"/>
        <v>Robert Marley</v>
      </c>
      <c r="W2128">
        <f>Table2[Profit]/Table2[Sales]</f>
        <v>0.46</v>
      </c>
    </row>
    <row r="2129" spans="1:23" x14ac:dyDescent="0.25">
      <c r="A2129">
        <v>2128</v>
      </c>
      <c r="B2129" t="s">
        <v>7207</v>
      </c>
      <c r="C2129" s="1">
        <v>41993</v>
      </c>
      <c r="D2129" s="1">
        <v>41996</v>
      </c>
      <c r="E2129" t="s">
        <v>185</v>
      </c>
      <c r="F2129" t="s">
        <v>3751</v>
      </c>
      <c r="G2129" t="s">
        <v>3752</v>
      </c>
      <c r="H2129" t="s">
        <v>25</v>
      </c>
      <c r="I2129" t="s">
        <v>26</v>
      </c>
      <c r="J2129" t="s">
        <v>4288</v>
      </c>
      <c r="K2129" t="s">
        <v>251</v>
      </c>
      <c r="L2129">
        <v>46203</v>
      </c>
      <c r="M2129" t="s">
        <v>104</v>
      </c>
      <c r="N2129" t="s">
        <v>7208</v>
      </c>
      <c r="O2129" t="s">
        <v>45</v>
      </c>
      <c r="P2129" t="s">
        <v>46</v>
      </c>
      <c r="Q2129" t="s">
        <v>7209</v>
      </c>
      <c r="R2129">
        <v>3.69</v>
      </c>
      <c r="S2129">
        <v>1</v>
      </c>
      <c r="T2129">
        <v>0</v>
      </c>
      <c r="U2129">
        <v>1.7343</v>
      </c>
      <c r="V2129" t="str">
        <f t="shared" si="33"/>
        <v>Adrian Barton</v>
      </c>
      <c r="W2129">
        <f>Table2[Profit]/Table2[Sales]</f>
        <v>0.47</v>
      </c>
    </row>
    <row r="2130" spans="1:23" x14ac:dyDescent="0.25">
      <c r="A2130">
        <v>2129</v>
      </c>
      <c r="B2130" t="s">
        <v>7210</v>
      </c>
      <c r="C2130" s="1">
        <v>42329</v>
      </c>
      <c r="D2130" s="1">
        <v>42334</v>
      </c>
      <c r="E2130" t="s">
        <v>22</v>
      </c>
      <c r="F2130" t="s">
        <v>5882</v>
      </c>
      <c r="G2130" t="s">
        <v>5883</v>
      </c>
      <c r="H2130" t="s">
        <v>40</v>
      </c>
      <c r="I2130" t="s">
        <v>26</v>
      </c>
      <c r="J2130" t="s">
        <v>7211</v>
      </c>
      <c r="K2130" t="s">
        <v>103</v>
      </c>
      <c r="L2130">
        <v>77642</v>
      </c>
      <c r="M2130" t="s">
        <v>104</v>
      </c>
      <c r="N2130" t="s">
        <v>4320</v>
      </c>
      <c r="O2130" t="s">
        <v>31</v>
      </c>
      <c r="P2130" t="s">
        <v>32</v>
      </c>
      <c r="Q2130" t="s">
        <v>4321</v>
      </c>
      <c r="R2130">
        <v>246.1328</v>
      </c>
      <c r="S2130">
        <v>2</v>
      </c>
      <c r="T2130">
        <v>0.32</v>
      </c>
      <c r="U2130">
        <v>-76.011600000000001</v>
      </c>
      <c r="V2130" t="str">
        <f t="shared" si="33"/>
        <v>Carol Adams</v>
      </c>
      <c r="W2130">
        <f>Table2[Profit]/Table2[Sales]</f>
        <v>-0.30882352941176472</v>
      </c>
    </row>
    <row r="2131" spans="1:23" x14ac:dyDescent="0.25">
      <c r="A2131">
        <v>2130</v>
      </c>
      <c r="B2131" t="s">
        <v>7212</v>
      </c>
      <c r="C2131" s="1">
        <v>43097</v>
      </c>
      <c r="D2131" s="1">
        <v>43103</v>
      </c>
      <c r="E2131" t="s">
        <v>49</v>
      </c>
      <c r="F2131" t="s">
        <v>3106</v>
      </c>
      <c r="G2131" t="s">
        <v>3107</v>
      </c>
      <c r="H2131" t="s">
        <v>101</v>
      </c>
      <c r="I2131" t="s">
        <v>26</v>
      </c>
      <c r="J2131" t="s">
        <v>5545</v>
      </c>
      <c r="K2131" t="s">
        <v>328</v>
      </c>
      <c r="L2131">
        <v>37211</v>
      </c>
      <c r="M2131" t="s">
        <v>29</v>
      </c>
      <c r="N2131" t="s">
        <v>1750</v>
      </c>
      <c r="O2131" t="s">
        <v>45</v>
      </c>
      <c r="P2131" t="s">
        <v>58</v>
      </c>
      <c r="Q2131" t="s">
        <v>1751</v>
      </c>
      <c r="R2131">
        <v>64.784000000000006</v>
      </c>
      <c r="S2131">
        <v>1</v>
      </c>
      <c r="T2131">
        <v>0.2</v>
      </c>
      <c r="U2131">
        <v>-12.956799999999999</v>
      </c>
      <c r="V2131" t="str">
        <f t="shared" si="33"/>
        <v>Erica Hernandez</v>
      </c>
      <c r="W2131">
        <f>Table2[Profit]/Table2[Sales]</f>
        <v>-0.19999999999999998</v>
      </c>
    </row>
    <row r="2132" spans="1:23" x14ac:dyDescent="0.25">
      <c r="A2132">
        <v>2131</v>
      </c>
      <c r="B2132" t="s">
        <v>7213</v>
      </c>
      <c r="C2132" s="1">
        <v>42141</v>
      </c>
      <c r="D2132" s="1">
        <v>42145</v>
      </c>
      <c r="E2132" t="s">
        <v>49</v>
      </c>
      <c r="F2132" t="s">
        <v>223</v>
      </c>
      <c r="G2132" t="s">
        <v>224</v>
      </c>
      <c r="H2132" t="s">
        <v>40</v>
      </c>
      <c r="I2132" t="s">
        <v>26</v>
      </c>
      <c r="J2132" t="s">
        <v>181</v>
      </c>
      <c r="K2132" t="s">
        <v>103</v>
      </c>
      <c r="L2132">
        <v>77095</v>
      </c>
      <c r="M2132" t="s">
        <v>104</v>
      </c>
      <c r="N2132" t="s">
        <v>4701</v>
      </c>
      <c r="O2132" t="s">
        <v>45</v>
      </c>
      <c r="P2132" t="s">
        <v>74</v>
      </c>
      <c r="Q2132" t="s">
        <v>4702</v>
      </c>
      <c r="R2132">
        <v>33.28</v>
      </c>
      <c r="S2132">
        <v>5</v>
      </c>
      <c r="T2132">
        <v>0.8</v>
      </c>
      <c r="U2132">
        <v>-49.92</v>
      </c>
      <c r="V2132" t="str">
        <f t="shared" si="33"/>
        <v>Odella Nelson</v>
      </c>
      <c r="W2132">
        <f>Table2[Profit]/Table2[Sales]</f>
        <v>-1.5</v>
      </c>
    </row>
    <row r="2133" spans="1:23" x14ac:dyDescent="0.25">
      <c r="A2133">
        <v>2132</v>
      </c>
      <c r="B2133" t="s">
        <v>7214</v>
      </c>
      <c r="C2133" s="1">
        <v>43078</v>
      </c>
      <c r="D2133" s="1">
        <v>43082</v>
      </c>
      <c r="E2133" t="s">
        <v>22</v>
      </c>
      <c r="F2133" t="s">
        <v>3306</v>
      </c>
      <c r="G2133" t="s">
        <v>3307</v>
      </c>
      <c r="H2133" t="s">
        <v>101</v>
      </c>
      <c r="I2133" t="s">
        <v>26</v>
      </c>
      <c r="J2133" t="s">
        <v>41</v>
      </c>
      <c r="K2133" t="s">
        <v>42</v>
      </c>
      <c r="L2133">
        <v>90004</v>
      </c>
      <c r="M2133" t="s">
        <v>43</v>
      </c>
      <c r="N2133" t="s">
        <v>1220</v>
      </c>
      <c r="O2133" t="s">
        <v>45</v>
      </c>
      <c r="P2133" t="s">
        <v>67</v>
      </c>
      <c r="Q2133" t="s">
        <v>1221</v>
      </c>
      <c r="R2133">
        <v>11.16</v>
      </c>
      <c r="S2133">
        <v>2</v>
      </c>
      <c r="T2133">
        <v>0</v>
      </c>
      <c r="U2133">
        <v>2.79</v>
      </c>
      <c r="V2133" t="str">
        <f t="shared" si="33"/>
        <v>Alyssa Tate</v>
      </c>
      <c r="W2133">
        <f>Table2[Profit]/Table2[Sales]</f>
        <v>0.25</v>
      </c>
    </row>
    <row r="2134" spans="1:23" x14ac:dyDescent="0.25">
      <c r="A2134">
        <v>2133</v>
      </c>
      <c r="B2134" t="s">
        <v>7215</v>
      </c>
      <c r="C2134" s="1">
        <v>42804</v>
      </c>
      <c r="D2134" s="1">
        <v>42810</v>
      </c>
      <c r="E2134" t="s">
        <v>49</v>
      </c>
      <c r="F2134" t="s">
        <v>149</v>
      </c>
      <c r="G2134" t="s">
        <v>150</v>
      </c>
      <c r="H2134" t="s">
        <v>25</v>
      </c>
      <c r="I2134" t="s">
        <v>26</v>
      </c>
      <c r="J2134" t="s">
        <v>143</v>
      </c>
      <c r="K2134" t="s">
        <v>144</v>
      </c>
      <c r="L2134">
        <v>19140</v>
      </c>
      <c r="M2134" t="s">
        <v>145</v>
      </c>
      <c r="N2134" t="s">
        <v>732</v>
      </c>
      <c r="O2134" t="s">
        <v>70</v>
      </c>
      <c r="P2134" t="s">
        <v>71</v>
      </c>
      <c r="Q2134" t="s">
        <v>733</v>
      </c>
      <c r="R2134">
        <v>53.981999999999999</v>
      </c>
      <c r="S2134">
        <v>3</v>
      </c>
      <c r="T2134">
        <v>0.4</v>
      </c>
      <c r="U2134">
        <v>-10.7964</v>
      </c>
      <c r="V2134" t="str">
        <f t="shared" si="33"/>
        <v>Emily Burns</v>
      </c>
      <c r="W2134">
        <f>Table2[Profit]/Table2[Sales]</f>
        <v>-0.2</v>
      </c>
    </row>
    <row r="2135" spans="1:23" x14ac:dyDescent="0.25">
      <c r="A2135">
        <v>2134</v>
      </c>
      <c r="B2135" t="s">
        <v>7216</v>
      </c>
      <c r="C2135" s="1">
        <v>43030</v>
      </c>
      <c r="D2135" s="1">
        <v>43035</v>
      </c>
      <c r="E2135" t="s">
        <v>49</v>
      </c>
      <c r="F2135" t="s">
        <v>6301</v>
      </c>
      <c r="G2135" t="s">
        <v>6302</v>
      </c>
      <c r="H2135" t="s">
        <v>40</v>
      </c>
      <c r="I2135" t="s">
        <v>26</v>
      </c>
      <c r="J2135" t="s">
        <v>4488</v>
      </c>
      <c r="K2135" t="s">
        <v>413</v>
      </c>
      <c r="L2135">
        <v>97756</v>
      </c>
      <c r="M2135" t="s">
        <v>43</v>
      </c>
      <c r="N2135" t="s">
        <v>919</v>
      </c>
      <c r="O2135" t="s">
        <v>31</v>
      </c>
      <c r="P2135" t="s">
        <v>55</v>
      </c>
      <c r="Q2135" t="s">
        <v>920</v>
      </c>
      <c r="R2135">
        <v>177.22499999999999</v>
      </c>
      <c r="S2135">
        <v>5</v>
      </c>
      <c r="T2135">
        <v>0.5</v>
      </c>
      <c r="U2135">
        <v>-120.51300000000001</v>
      </c>
      <c r="V2135" t="str">
        <f t="shared" si="33"/>
        <v>David Wiener</v>
      </c>
      <c r="W2135">
        <f>Table2[Profit]/Table2[Sales]</f>
        <v>-0.68</v>
      </c>
    </row>
    <row r="2136" spans="1:23" x14ac:dyDescent="0.25">
      <c r="A2136">
        <v>2135</v>
      </c>
      <c r="B2136" t="s">
        <v>7217</v>
      </c>
      <c r="C2136" s="1">
        <v>42919</v>
      </c>
      <c r="D2136" s="1">
        <v>42926</v>
      </c>
      <c r="E2136" t="s">
        <v>49</v>
      </c>
      <c r="F2136" t="s">
        <v>792</v>
      </c>
      <c r="G2136" t="s">
        <v>793</v>
      </c>
      <c r="H2136" t="s">
        <v>25</v>
      </c>
      <c r="I2136" t="s">
        <v>26</v>
      </c>
      <c r="J2136" t="s">
        <v>7218</v>
      </c>
      <c r="K2136" t="s">
        <v>42</v>
      </c>
      <c r="L2136">
        <v>95610</v>
      </c>
      <c r="M2136" t="s">
        <v>43</v>
      </c>
      <c r="N2136" t="s">
        <v>6985</v>
      </c>
      <c r="O2136" t="s">
        <v>31</v>
      </c>
      <c r="P2136" t="s">
        <v>64</v>
      </c>
      <c r="Q2136" t="s">
        <v>6986</v>
      </c>
      <c r="R2136">
        <v>129.38999999999999</v>
      </c>
      <c r="S2136">
        <v>3</v>
      </c>
      <c r="T2136">
        <v>0</v>
      </c>
      <c r="U2136">
        <v>54.343800000000002</v>
      </c>
      <c r="V2136" t="str">
        <f t="shared" si="33"/>
        <v>Maria Bertelson</v>
      </c>
      <c r="W2136">
        <f>Table2[Profit]/Table2[Sales]</f>
        <v>0.42000000000000004</v>
      </c>
    </row>
    <row r="2137" spans="1:23" x14ac:dyDescent="0.25">
      <c r="A2137">
        <v>2136</v>
      </c>
      <c r="B2137" t="s">
        <v>7219</v>
      </c>
      <c r="C2137" s="1">
        <v>42982</v>
      </c>
      <c r="D2137" s="1">
        <v>42988</v>
      </c>
      <c r="E2137" t="s">
        <v>49</v>
      </c>
      <c r="F2137" t="s">
        <v>2139</v>
      </c>
      <c r="G2137" t="s">
        <v>2140</v>
      </c>
      <c r="H2137" t="s">
        <v>40</v>
      </c>
      <c r="I2137" t="s">
        <v>26</v>
      </c>
      <c r="J2137" t="s">
        <v>41</v>
      </c>
      <c r="K2137" t="s">
        <v>42</v>
      </c>
      <c r="L2137">
        <v>90032</v>
      </c>
      <c r="M2137" t="s">
        <v>43</v>
      </c>
      <c r="N2137" t="s">
        <v>4003</v>
      </c>
      <c r="O2137" t="s">
        <v>45</v>
      </c>
      <c r="P2137" t="s">
        <v>58</v>
      </c>
      <c r="Q2137" t="s">
        <v>4004</v>
      </c>
      <c r="R2137">
        <v>54.32</v>
      </c>
      <c r="S2137">
        <v>4</v>
      </c>
      <c r="T2137">
        <v>0</v>
      </c>
      <c r="U2137">
        <v>0.54320000000000002</v>
      </c>
      <c r="V2137" t="str">
        <f t="shared" si="33"/>
        <v>Tiffany House</v>
      </c>
      <c r="W2137">
        <f>Table2[Profit]/Table2[Sales]</f>
        <v>0.01</v>
      </c>
    </row>
    <row r="2138" spans="1:23" x14ac:dyDescent="0.25">
      <c r="A2138">
        <v>2137</v>
      </c>
      <c r="B2138" t="s">
        <v>7220</v>
      </c>
      <c r="C2138" s="1">
        <v>42970</v>
      </c>
      <c r="D2138" s="1">
        <v>42973</v>
      </c>
      <c r="E2138" t="s">
        <v>22</v>
      </c>
      <c r="F2138" t="s">
        <v>1177</v>
      </c>
      <c r="G2138" t="s">
        <v>1178</v>
      </c>
      <c r="H2138" t="s">
        <v>25</v>
      </c>
      <c r="I2138" t="s">
        <v>26</v>
      </c>
      <c r="J2138" t="s">
        <v>5531</v>
      </c>
      <c r="K2138" t="s">
        <v>53</v>
      </c>
      <c r="L2138">
        <v>32303</v>
      </c>
      <c r="M2138" t="s">
        <v>29</v>
      </c>
      <c r="N2138" t="s">
        <v>6011</v>
      </c>
      <c r="O2138" t="s">
        <v>70</v>
      </c>
      <c r="P2138" t="s">
        <v>71</v>
      </c>
      <c r="Q2138" t="s">
        <v>6012</v>
      </c>
      <c r="R2138">
        <v>4367.8959999999997</v>
      </c>
      <c r="S2138">
        <v>13</v>
      </c>
      <c r="T2138">
        <v>0.2</v>
      </c>
      <c r="U2138">
        <v>327.59219999999999</v>
      </c>
      <c r="V2138" t="str">
        <f t="shared" si="33"/>
        <v>Patrick O'Brill</v>
      </c>
      <c r="W2138">
        <f>Table2[Profit]/Table2[Sales]</f>
        <v>7.4999999999999997E-2</v>
      </c>
    </row>
    <row r="2139" spans="1:23" x14ac:dyDescent="0.25">
      <c r="A2139">
        <v>2138</v>
      </c>
      <c r="B2139" t="s">
        <v>7221</v>
      </c>
      <c r="C2139" s="1">
        <v>41873</v>
      </c>
      <c r="D2139" s="1">
        <v>41876</v>
      </c>
      <c r="E2139" t="s">
        <v>22</v>
      </c>
      <c r="F2139" t="s">
        <v>3000</v>
      </c>
      <c r="G2139" t="s">
        <v>3001</v>
      </c>
      <c r="H2139" t="s">
        <v>101</v>
      </c>
      <c r="I2139" t="s">
        <v>26</v>
      </c>
      <c r="J2139" t="s">
        <v>1111</v>
      </c>
      <c r="K2139" t="s">
        <v>491</v>
      </c>
      <c r="L2139">
        <v>44107</v>
      </c>
      <c r="M2139" t="s">
        <v>145</v>
      </c>
      <c r="N2139" t="s">
        <v>1120</v>
      </c>
      <c r="O2139" t="s">
        <v>45</v>
      </c>
      <c r="P2139" t="s">
        <v>67</v>
      </c>
      <c r="Q2139" t="s">
        <v>1121</v>
      </c>
      <c r="R2139">
        <v>3.9119999999999999</v>
      </c>
      <c r="S2139">
        <v>1</v>
      </c>
      <c r="T2139">
        <v>0.2</v>
      </c>
      <c r="U2139">
        <v>1.0268999999999999</v>
      </c>
      <c r="V2139" t="str">
        <f t="shared" si="33"/>
        <v>Deanra Eno</v>
      </c>
      <c r="W2139">
        <f>Table2[Profit]/Table2[Sales]</f>
        <v>0.26250000000000001</v>
      </c>
    </row>
    <row r="2140" spans="1:23" x14ac:dyDescent="0.25">
      <c r="A2140">
        <v>2139</v>
      </c>
      <c r="B2140" t="s">
        <v>7222</v>
      </c>
      <c r="C2140" s="1">
        <v>42647</v>
      </c>
      <c r="D2140" s="1">
        <v>42647</v>
      </c>
      <c r="E2140" t="s">
        <v>1278</v>
      </c>
      <c r="F2140" t="s">
        <v>3037</v>
      </c>
      <c r="G2140" t="s">
        <v>3038</v>
      </c>
      <c r="H2140" t="s">
        <v>25</v>
      </c>
      <c r="I2140" t="s">
        <v>26</v>
      </c>
      <c r="J2140" t="s">
        <v>7223</v>
      </c>
      <c r="K2140" t="s">
        <v>103</v>
      </c>
      <c r="L2140">
        <v>75056</v>
      </c>
      <c r="M2140" t="s">
        <v>104</v>
      </c>
      <c r="N2140" t="s">
        <v>2937</v>
      </c>
      <c r="O2140" t="s">
        <v>45</v>
      </c>
      <c r="P2140" t="s">
        <v>170</v>
      </c>
      <c r="Q2140" t="s">
        <v>2938</v>
      </c>
      <c r="R2140">
        <v>59.752000000000002</v>
      </c>
      <c r="S2140">
        <v>7</v>
      </c>
      <c r="T2140">
        <v>0.2</v>
      </c>
      <c r="U2140">
        <v>19.4194</v>
      </c>
      <c r="V2140" t="str">
        <f t="shared" si="33"/>
        <v>Mary O'Rourke</v>
      </c>
      <c r="W2140">
        <f>Table2[Profit]/Table2[Sales]</f>
        <v>0.32499999999999996</v>
      </c>
    </row>
    <row r="2141" spans="1:23" x14ac:dyDescent="0.25">
      <c r="A2141">
        <v>2140</v>
      </c>
      <c r="B2141" t="s">
        <v>7224</v>
      </c>
      <c r="C2141" s="1">
        <v>41938</v>
      </c>
      <c r="D2141" s="1">
        <v>41942</v>
      </c>
      <c r="E2141" t="s">
        <v>22</v>
      </c>
      <c r="F2141" t="s">
        <v>7136</v>
      </c>
      <c r="G2141" t="s">
        <v>7137</v>
      </c>
      <c r="H2141" t="s">
        <v>25</v>
      </c>
      <c r="I2141" t="s">
        <v>26</v>
      </c>
      <c r="J2141" t="s">
        <v>94</v>
      </c>
      <c r="K2141" t="s">
        <v>95</v>
      </c>
      <c r="L2141">
        <v>98105</v>
      </c>
      <c r="M2141" t="s">
        <v>43</v>
      </c>
      <c r="N2141" t="s">
        <v>1788</v>
      </c>
      <c r="O2141" t="s">
        <v>31</v>
      </c>
      <c r="P2141" t="s">
        <v>64</v>
      </c>
      <c r="Q2141" t="s">
        <v>1789</v>
      </c>
      <c r="R2141">
        <v>63.92</v>
      </c>
      <c r="S2141">
        <v>4</v>
      </c>
      <c r="T2141">
        <v>0</v>
      </c>
      <c r="U2141">
        <v>3.1960000000000002</v>
      </c>
      <c r="V2141" t="str">
        <f t="shared" si="33"/>
        <v>Angele Hood</v>
      </c>
      <c r="W2141">
        <f>Table2[Profit]/Table2[Sales]</f>
        <v>0.05</v>
      </c>
    </row>
    <row r="2142" spans="1:23" x14ac:dyDescent="0.25">
      <c r="A2142">
        <v>2141</v>
      </c>
      <c r="B2142" t="s">
        <v>7225</v>
      </c>
      <c r="C2142" s="1">
        <v>42549</v>
      </c>
      <c r="D2142" s="1">
        <v>42549</v>
      </c>
      <c r="E2142" t="s">
        <v>1278</v>
      </c>
      <c r="F2142" t="s">
        <v>2388</v>
      </c>
      <c r="G2142" t="s">
        <v>2389</v>
      </c>
      <c r="H2142" t="s">
        <v>40</v>
      </c>
      <c r="I2142" t="s">
        <v>26</v>
      </c>
      <c r="J2142" t="s">
        <v>41</v>
      </c>
      <c r="K2142" t="s">
        <v>42</v>
      </c>
      <c r="L2142">
        <v>90032</v>
      </c>
      <c r="M2142" t="s">
        <v>43</v>
      </c>
      <c r="N2142" t="s">
        <v>1938</v>
      </c>
      <c r="O2142" t="s">
        <v>45</v>
      </c>
      <c r="P2142" t="s">
        <v>74</v>
      </c>
      <c r="Q2142" t="s">
        <v>1939</v>
      </c>
      <c r="R2142">
        <v>7.7519999999999998</v>
      </c>
      <c r="S2142">
        <v>3</v>
      </c>
      <c r="T2142">
        <v>0.2</v>
      </c>
      <c r="U2142">
        <v>2.8100999999999998</v>
      </c>
      <c r="V2142" t="str">
        <f t="shared" si="33"/>
        <v>Chris Selesnick</v>
      </c>
      <c r="W2142">
        <f>Table2[Profit]/Table2[Sales]</f>
        <v>0.36249999999999999</v>
      </c>
    </row>
    <row r="2143" spans="1:23" x14ac:dyDescent="0.25">
      <c r="A2143">
        <v>2142</v>
      </c>
      <c r="B2143" t="s">
        <v>7226</v>
      </c>
      <c r="C2143" s="1">
        <v>41947</v>
      </c>
      <c r="D2143" s="1">
        <v>41954</v>
      </c>
      <c r="E2143" t="s">
        <v>49</v>
      </c>
      <c r="F2143" t="s">
        <v>4951</v>
      </c>
      <c r="G2143" t="s">
        <v>4952</v>
      </c>
      <c r="H2143" t="s">
        <v>25</v>
      </c>
      <c r="I2143" t="s">
        <v>26</v>
      </c>
      <c r="J2143" t="s">
        <v>41</v>
      </c>
      <c r="K2143" t="s">
        <v>42</v>
      </c>
      <c r="L2143">
        <v>90045</v>
      </c>
      <c r="M2143" t="s">
        <v>43</v>
      </c>
      <c r="N2143" t="s">
        <v>5052</v>
      </c>
      <c r="O2143" t="s">
        <v>70</v>
      </c>
      <c r="P2143" t="s">
        <v>71</v>
      </c>
      <c r="Q2143" t="s">
        <v>5053</v>
      </c>
      <c r="R2143">
        <v>666.34400000000005</v>
      </c>
      <c r="S2143">
        <v>7</v>
      </c>
      <c r="T2143">
        <v>0.2</v>
      </c>
      <c r="U2143">
        <v>66.634399999999999</v>
      </c>
      <c r="V2143" t="str">
        <f t="shared" si="33"/>
        <v>William Brown</v>
      </c>
      <c r="W2143">
        <f>Table2[Profit]/Table2[Sales]</f>
        <v>9.9999999999999992E-2</v>
      </c>
    </row>
    <row r="2144" spans="1:23" x14ac:dyDescent="0.25">
      <c r="A2144">
        <v>2143</v>
      </c>
      <c r="B2144" t="s">
        <v>7227</v>
      </c>
      <c r="C2144" s="1">
        <v>41890</v>
      </c>
      <c r="D2144" s="1">
        <v>41894</v>
      </c>
      <c r="E2144" t="s">
        <v>49</v>
      </c>
      <c r="F2144" t="s">
        <v>3360</v>
      </c>
      <c r="G2144" t="s">
        <v>3361</v>
      </c>
      <c r="H2144" t="s">
        <v>40</v>
      </c>
      <c r="I2144" t="s">
        <v>26</v>
      </c>
      <c r="J2144" t="s">
        <v>1161</v>
      </c>
      <c r="K2144" t="s">
        <v>264</v>
      </c>
      <c r="L2144">
        <v>11561</v>
      </c>
      <c r="M2144" t="s">
        <v>145</v>
      </c>
      <c r="N2144" t="s">
        <v>6959</v>
      </c>
      <c r="O2144" t="s">
        <v>45</v>
      </c>
      <c r="P2144" t="s">
        <v>77</v>
      </c>
      <c r="Q2144" t="s">
        <v>6960</v>
      </c>
      <c r="R2144">
        <v>16.78</v>
      </c>
      <c r="S2144">
        <v>2</v>
      </c>
      <c r="T2144">
        <v>0</v>
      </c>
      <c r="U2144">
        <v>4.1950000000000003</v>
      </c>
      <c r="V2144" t="str">
        <f t="shared" si="33"/>
        <v>Stefania Perrino</v>
      </c>
      <c r="W2144">
        <f>Table2[Profit]/Table2[Sales]</f>
        <v>0.25</v>
      </c>
    </row>
    <row r="2145" spans="1:23" x14ac:dyDescent="0.25">
      <c r="A2145">
        <v>2144</v>
      </c>
      <c r="B2145" t="s">
        <v>7228</v>
      </c>
      <c r="C2145" s="1">
        <v>42180</v>
      </c>
      <c r="D2145" s="1">
        <v>42186</v>
      </c>
      <c r="E2145" t="s">
        <v>49</v>
      </c>
      <c r="F2145" t="s">
        <v>2211</v>
      </c>
      <c r="G2145" t="s">
        <v>2212</v>
      </c>
      <c r="H2145" t="s">
        <v>25</v>
      </c>
      <c r="I2145" t="s">
        <v>26</v>
      </c>
      <c r="J2145" t="s">
        <v>41</v>
      </c>
      <c r="K2145" t="s">
        <v>42</v>
      </c>
      <c r="L2145">
        <v>90045</v>
      </c>
      <c r="M2145" t="s">
        <v>43</v>
      </c>
      <c r="N2145" t="s">
        <v>6598</v>
      </c>
      <c r="O2145" t="s">
        <v>45</v>
      </c>
      <c r="P2145" t="s">
        <v>67</v>
      </c>
      <c r="Q2145" t="s">
        <v>2988</v>
      </c>
      <c r="R2145">
        <v>20.96</v>
      </c>
      <c r="S2145">
        <v>2</v>
      </c>
      <c r="T2145">
        <v>0</v>
      </c>
      <c r="U2145">
        <v>5.24</v>
      </c>
      <c r="V2145" t="str">
        <f t="shared" si="33"/>
        <v>Alan Barnes</v>
      </c>
      <c r="W2145">
        <f>Table2[Profit]/Table2[Sales]</f>
        <v>0.25</v>
      </c>
    </row>
    <row r="2146" spans="1:23" x14ac:dyDescent="0.25">
      <c r="A2146">
        <v>2145</v>
      </c>
      <c r="B2146" t="s">
        <v>7229</v>
      </c>
      <c r="C2146" s="1">
        <v>42211</v>
      </c>
      <c r="D2146" s="1">
        <v>42218</v>
      </c>
      <c r="E2146" t="s">
        <v>49</v>
      </c>
      <c r="F2146" t="s">
        <v>594</v>
      </c>
      <c r="G2146" t="s">
        <v>595</v>
      </c>
      <c r="H2146" t="s">
        <v>25</v>
      </c>
      <c r="I2146" t="s">
        <v>26</v>
      </c>
      <c r="J2146" t="s">
        <v>126</v>
      </c>
      <c r="K2146" t="s">
        <v>42</v>
      </c>
      <c r="L2146">
        <v>94110</v>
      </c>
      <c r="M2146" t="s">
        <v>43</v>
      </c>
      <c r="N2146" t="s">
        <v>2126</v>
      </c>
      <c r="O2146" t="s">
        <v>45</v>
      </c>
      <c r="P2146" t="s">
        <v>170</v>
      </c>
      <c r="Q2146" t="s">
        <v>2127</v>
      </c>
      <c r="R2146">
        <v>167.86</v>
      </c>
      <c r="S2146">
        <v>2</v>
      </c>
      <c r="T2146">
        <v>0</v>
      </c>
      <c r="U2146">
        <v>78.894199999999998</v>
      </c>
      <c r="V2146" t="str">
        <f t="shared" si="33"/>
        <v>Helen Andreada</v>
      </c>
      <c r="W2146">
        <f>Table2[Profit]/Table2[Sales]</f>
        <v>0.47</v>
      </c>
    </row>
    <row r="2147" spans="1:23" x14ac:dyDescent="0.25">
      <c r="A2147">
        <v>2146</v>
      </c>
      <c r="B2147" t="s">
        <v>7230</v>
      </c>
      <c r="C2147" s="1">
        <v>43076</v>
      </c>
      <c r="D2147" s="1">
        <v>43080</v>
      </c>
      <c r="E2147" t="s">
        <v>49</v>
      </c>
      <c r="F2147" t="s">
        <v>2371</v>
      </c>
      <c r="G2147" t="s">
        <v>2372</v>
      </c>
      <c r="H2147" t="s">
        <v>25</v>
      </c>
      <c r="I2147" t="s">
        <v>26</v>
      </c>
      <c r="J2147" t="s">
        <v>1450</v>
      </c>
      <c r="K2147" t="s">
        <v>312</v>
      </c>
      <c r="L2147">
        <v>23223</v>
      </c>
      <c r="M2147" t="s">
        <v>29</v>
      </c>
      <c r="N2147" t="s">
        <v>7231</v>
      </c>
      <c r="O2147" t="s">
        <v>31</v>
      </c>
      <c r="P2147" t="s">
        <v>64</v>
      </c>
      <c r="Q2147" t="s">
        <v>7232</v>
      </c>
      <c r="R2147">
        <v>82.38</v>
      </c>
      <c r="S2147">
        <v>6</v>
      </c>
      <c r="T2147">
        <v>0</v>
      </c>
      <c r="U2147">
        <v>25.537800000000001</v>
      </c>
      <c r="V2147" t="str">
        <f t="shared" si="33"/>
        <v>Debra Catini</v>
      </c>
      <c r="W2147">
        <f>Table2[Profit]/Table2[Sales]</f>
        <v>0.31000000000000005</v>
      </c>
    </row>
    <row r="2148" spans="1:23" x14ac:dyDescent="0.25">
      <c r="A2148">
        <v>2147</v>
      </c>
      <c r="B2148" t="s">
        <v>7233</v>
      </c>
      <c r="C2148" s="1">
        <v>42002</v>
      </c>
      <c r="D2148" s="1">
        <v>42007</v>
      </c>
      <c r="E2148" t="s">
        <v>22</v>
      </c>
      <c r="F2148" t="s">
        <v>3790</v>
      </c>
      <c r="G2148" t="s">
        <v>3791</v>
      </c>
      <c r="H2148" t="s">
        <v>25</v>
      </c>
      <c r="I2148" t="s">
        <v>26</v>
      </c>
      <c r="J2148" t="s">
        <v>5354</v>
      </c>
      <c r="K2148" t="s">
        <v>660</v>
      </c>
      <c r="L2148">
        <v>87105</v>
      </c>
      <c r="M2148" t="s">
        <v>43</v>
      </c>
      <c r="N2148" t="s">
        <v>4455</v>
      </c>
      <c r="O2148" t="s">
        <v>70</v>
      </c>
      <c r="P2148" t="s">
        <v>71</v>
      </c>
      <c r="Q2148" t="s">
        <v>4456</v>
      </c>
      <c r="R2148">
        <v>23.975999999999999</v>
      </c>
      <c r="S2148">
        <v>3</v>
      </c>
      <c r="T2148">
        <v>0.2</v>
      </c>
      <c r="U2148">
        <v>-5.6943000000000001</v>
      </c>
      <c r="V2148" t="str">
        <f t="shared" si="33"/>
        <v>Shui Tom</v>
      </c>
      <c r="W2148">
        <f>Table2[Profit]/Table2[Sales]</f>
        <v>-0.23750000000000002</v>
      </c>
    </row>
    <row r="2149" spans="1:23" x14ac:dyDescent="0.25">
      <c r="A2149">
        <v>2148</v>
      </c>
      <c r="B2149" t="s">
        <v>7234</v>
      </c>
      <c r="C2149" s="1">
        <v>42049</v>
      </c>
      <c r="D2149" s="1">
        <v>42054</v>
      </c>
      <c r="E2149" t="s">
        <v>49</v>
      </c>
      <c r="F2149" t="s">
        <v>400</v>
      </c>
      <c r="G2149" t="s">
        <v>401</v>
      </c>
      <c r="H2149" t="s">
        <v>25</v>
      </c>
      <c r="I2149" t="s">
        <v>26</v>
      </c>
      <c r="J2149" t="s">
        <v>794</v>
      </c>
      <c r="K2149" t="s">
        <v>491</v>
      </c>
      <c r="L2149">
        <v>44312</v>
      </c>
      <c r="M2149" t="s">
        <v>145</v>
      </c>
      <c r="N2149" t="s">
        <v>1700</v>
      </c>
      <c r="O2149" t="s">
        <v>45</v>
      </c>
      <c r="P2149" t="s">
        <v>74</v>
      </c>
      <c r="Q2149" t="s">
        <v>1701</v>
      </c>
      <c r="R2149">
        <v>14.952</v>
      </c>
      <c r="S2149">
        <v>2</v>
      </c>
      <c r="T2149">
        <v>0.7</v>
      </c>
      <c r="U2149">
        <v>-11.961600000000001</v>
      </c>
      <c r="V2149" t="str">
        <f t="shared" si="33"/>
        <v>Karl Braun</v>
      </c>
      <c r="W2149">
        <f>Table2[Profit]/Table2[Sales]</f>
        <v>-0.8</v>
      </c>
    </row>
    <row r="2150" spans="1:23" x14ac:dyDescent="0.25">
      <c r="A2150">
        <v>2149</v>
      </c>
      <c r="B2150" t="s">
        <v>7235</v>
      </c>
      <c r="C2150" s="1">
        <v>42394</v>
      </c>
      <c r="D2150" s="1">
        <v>42396</v>
      </c>
      <c r="E2150" t="s">
        <v>185</v>
      </c>
      <c r="F2150" t="s">
        <v>3513</v>
      </c>
      <c r="G2150" t="s">
        <v>3514</v>
      </c>
      <c r="H2150" t="s">
        <v>40</v>
      </c>
      <c r="I2150" t="s">
        <v>26</v>
      </c>
      <c r="J2150" t="s">
        <v>2096</v>
      </c>
      <c r="K2150" t="s">
        <v>781</v>
      </c>
      <c r="L2150">
        <v>7060</v>
      </c>
      <c r="M2150" t="s">
        <v>145</v>
      </c>
      <c r="N2150" t="s">
        <v>5288</v>
      </c>
      <c r="O2150" t="s">
        <v>45</v>
      </c>
      <c r="P2150" t="s">
        <v>67</v>
      </c>
      <c r="Q2150" t="s">
        <v>5289</v>
      </c>
      <c r="R2150">
        <v>9.2100000000000009</v>
      </c>
      <c r="S2150">
        <v>3</v>
      </c>
      <c r="T2150">
        <v>0</v>
      </c>
      <c r="U2150">
        <v>2.3025000000000002</v>
      </c>
      <c r="V2150" t="str">
        <f t="shared" si="33"/>
        <v>Todd Boyes</v>
      </c>
      <c r="W2150">
        <f>Table2[Profit]/Table2[Sales]</f>
        <v>0.25</v>
      </c>
    </row>
    <row r="2151" spans="1:23" x14ac:dyDescent="0.25">
      <c r="A2151">
        <v>2150</v>
      </c>
      <c r="B2151" t="s">
        <v>7236</v>
      </c>
      <c r="C2151" s="1">
        <v>42826</v>
      </c>
      <c r="D2151" s="1">
        <v>42832</v>
      </c>
      <c r="E2151" t="s">
        <v>49</v>
      </c>
      <c r="F2151" t="s">
        <v>4584</v>
      </c>
      <c r="G2151" t="s">
        <v>4585</v>
      </c>
      <c r="H2151" t="s">
        <v>25</v>
      </c>
      <c r="I2151" t="s">
        <v>26</v>
      </c>
      <c r="J2151" t="s">
        <v>263</v>
      </c>
      <c r="K2151" t="s">
        <v>264</v>
      </c>
      <c r="L2151">
        <v>10011</v>
      </c>
      <c r="M2151" t="s">
        <v>145</v>
      </c>
      <c r="N2151" t="s">
        <v>5943</v>
      </c>
      <c r="O2151" t="s">
        <v>45</v>
      </c>
      <c r="P2151" t="s">
        <v>89</v>
      </c>
      <c r="Q2151" t="s">
        <v>5944</v>
      </c>
      <c r="R2151">
        <v>42.93</v>
      </c>
      <c r="S2151">
        <v>9</v>
      </c>
      <c r="T2151">
        <v>0</v>
      </c>
      <c r="U2151">
        <v>19.3185</v>
      </c>
      <c r="V2151" t="str">
        <f t="shared" si="33"/>
        <v>John Castell</v>
      </c>
      <c r="W2151">
        <f>Table2[Profit]/Table2[Sales]</f>
        <v>0.45</v>
      </c>
    </row>
    <row r="2152" spans="1:23" x14ac:dyDescent="0.25">
      <c r="A2152">
        <v>2151</v>
      </c>
      <c r="B2152" t="s">
        <v>7237</v>
      </c>
      <c r="C2152" s="1">
        <v>43011</v>
      </c>
      <c r="D2152" s="1">
        <v>43017</v>
      </c>
      <c r="E2152" t="s">
        <v>49</v>
      </c>
      <c r="F2152" t="s">
        <v>1177</v>
      </c>
      <c r="G2152" t="s">
        <v>1178</v>
      </c>
      <c r="H2152" t="s">
        <v>25</v>
      </c>
      <c r="I2152" t="s">
        <v>26</v>
      </c>
      <c r="J2152" t="s">
        <v>2298</v>
      </c>
      <c r="K2152" t="s">
        <v>53</v>
      </c>
      <c r="L2152">
        <v>33012</v>
      </c>
      <c r="M2152" t="s">
        <v>29</v>
      </c>
      <c r="N2152" t="s">
        <v>7238</v>
      </c>
      <c r="O2152" t="s">
        <v>45</v>
      </c>
      <c r="P2152" t="s">
        <v>89</v>
      </c>
      <c r="Q2152" t="s">
        <v>7239</v>
      </c>
      <c r="R2152">
        <v>15.552</v>
      </c>
      <c r="S2152">
        <v>3</v>
      </c>
      <c r="T2152">
        <v>0.2</v>
      </c>
      <c r="U2152">
        <v>5.4432</v>
      </c>
      <c r="V2152" t="str">
        <f t="shared" si="33"/>
        <v>Patrick O'Brill</v>
      </c>
      <c r="W2152">
        <f>Table2[Profit]/Table2[Sales]</f>
        <v>0.35000000000000003</v>
      </c>
    </row>
    <row r="2153" spans="1:23" x14ac:dyDescent="0.25">
      <c r="A2153">
        <v>2152</v>
      </c>
      <c r="B2153" t="s">
        <v>7240</v>
      </c>
      <c r="C2153" s="1">
        <v>42979</v>
      </c>
      <c r="D2153" s="1">
        <v>42984</v>
      </c>
      <c r="E2153" t="s">
        <v>49</v>
      </c>
      <c r="F2153" t="s">
        <v>2338</v>
      </c>
      <c r="G2153" t="s">
        <v>2339</v>
      </c>
      <c r="H2153" t="s">
        <v>25</v>
      </c>
      <c r="I2153" t="s">
        <v>26</v>
      </c>
      <c r="J2153" t="s">
        <v>4488</v>
      </c>
      <c r="K2153" t="s">
        <v>95</v>
      </c>
      <c r="L2153">
        <v>98052</v>
      </c>
      <c r="M2153" t="s">
        <v>43</v>
      </c>
      <c r="N2153" t="s">
        <v>383</v>
      </c>
      <c r="O2153" t="s">
        <v>70</v>
      </c>
      <c r="P2153" t="s">
        <v>158</v>
      </c>
      <c r="Q2153" t="s">
        <v>384</v>
      </c>
      <c r="R2153">
        <v>19.989999999999998</v>
      </c>
      <c r="S2153">
        <v>1</v>
      </c>
      <c r="T2153">
        <v>0</v>
      </c>
      <c r="U2153">
        <v>6.7965999999999998</v>
      </c>
      <c r="V2153" t="str">
        <f t="shared" si="33"/>
        <v>Sung Shariari</v>
      </c>
      <c r="W2153">
        <f>Table2[Profit]/Table2[Sales]</f>
        <v>0.34</v>
      </c>
    </row>
    <row r="2154" spans="1:23" x14ac:dyDescent="0.25">
      <c r="A2154">
        <v>2153</v>
      </c>
      <c r="B2154" t="s">
        <v>7241</v>
      </c>
      <c r="C2154" s="1">
        <v>42359</v>
      </c>
      <c r="D2154" s="1">
        <v>42365</v>
      </c>
      <c r="E2154" t="s">
        <v>49</v>
      </c>
      <c r="F2154" t="s">
        <v>7242</v>
      </c>
      <c r="G2154" t="s">
        <v>7243</v>
      </c>
      <c r="H2154" t="s">
        <v>25</v>
      </c>
      <c r="I2154" t="s">
        <v>26</v>
      </c>
      <c r="J2154" t="s">
        <v>7244</v>
      </c>
      <c r="K2154" t="s">
        <v>53</v>
      </c>
      <c r="L2154">
        <v>32114</v>
      </c>
      <c r="M2154" t="s">
        <v>29</v>
      </c>
      <c r="N2154" t="s">
        <v>7245</v>
      </c>
      <c r="O2154" t="s">
        <v>70</v>
      </c>
      <c r="P2154" t="s">
        <v>158</v>
      </c>
      <c r="Q2154" t="s">
        <v>7246</v>
      </c>
      <c r="R2154">
        <v>50.88</v>
      </c>
      <c r="S2154">
        <v>6</v>
      </c>
      <c r="T2154">
        <v>0.2</v>
      </c>
      <c r="U2154">
        <v>14.628</v>
      </c>
      <c r="V2154" t="str">
        <f t="shared" si="33"/>
        <v>Roger Demir</v>
      </c>
      <c r="W2154">
        <f>Table2[Profit]/Table2[Sales]</f>
        <v>0.28749999999999998</v>
      </c>
    </row>
    <row r="2155" spans="1:23" x14ac:dyDescent="0.25">
      <c r="A2155">
        <v>2154</v>
      </c>
      <c r="B2155" t="s">
        <v>7247</v>
      </c>
      <c r="C2155" s="1">
        <v>42358</v>
      </c>
      <c r="D2155" s="1">
        <v>42362</v>
      </c>
      <c r="E2155" t="s">
        <v>49</v>
      </c>
      <c r="F2155" t="s">
        <v>442</v>
      </c>
      <c r="G2155" t="s">
        <v>443</v>
      </c>
      <c r="H2155" t="s">
        <v>25</v>
      </c>
      <c r="I2155" t="s">
        <v>26</v>
      </c>
      <c r="J2155" t="s">
        <v>7248</v>
      </c>
      <c r="K2155" t="s">
        <v>303</v>
      </c>
      <c r="L2155">
        <v>86442</v>
      </c>
      <c r="M2155" t="s">
        <v>43</v>
      </c>
      <c r="N2155" t="s">
        <v>7249</v>
      </c>
      <c r="O2155" t="s">
        <v>45</v>
      </c>
      <c r="P2155" t="s">
        <v>170</v>
      </c>
      <c r="Q2155" t="s">
        <v>7250</v>
      </c>
      <c r="R2155">
        <v>7.92</v>
      </c>
      <c r="S2155">
        <v>1</v>
      </c>
      <c r="T2155">
        <v>0.2</v>
      </c>
      <c r="U2155">
        <v>2.7719999999999998</v>
      </c>
      <c r="V2155" t="str">
        <f t="shared" si="33"/>
        <v>Gary Zandusky</v>
      </c>
      <c r="W2155">
        <f>Table2[Profit]/Table2[Sales]</f>
        <v>0.35</v>
      </c>
    </row>
    <row r="2156" spans="1:23" x14ac:dyDescent="0.25">
      <c r="A2156">
        <v>2155</v>
      </c>
      <c r="B2156" t="s">
        <v>7251</v>
      </c>
      <c r="C2156" s="1">
        <v>42335</v>
      </c>
      <c r="D2156" s="1">
        <v>42339</v>
      </c>
      <c r="E2156" t="s">
        <v>49</v>
      </c>
      <c r="F2156" t="s">
        <v>194</v>
      </c>
      <c r="G2156" t="s">
        <v>195</v>
      </c>
      <c r="H2156" t="s">
        <v>101</v>
      </c>
      <c r="I2156" t="s">
        <v>26</v>
      </c>
      <c r="J2156" t="s">
        <v>41</v>
      </c>
      <c r="K2156" t="s">
        <v>42</v>
      </c>
      <c r="L2156">
        <v>90049</v>
      </c>
      <c r="M2156" t="s">
        <v>43</v>
      </c>
      <c r="N2156" t="s">
        <v>1401</v>
      </c>
      <c r="O2156" t="s">
        <v>70</v>
      </c>
      <c r="P2156" t="s">
        <v>158</v>
      </c>
      <c r="Q2156" t="s">
        <v>1402</v>
      </c>
      <c r="R2156">
        <v>107.97</v>
      </c>
      <c r="S2156">
        <v>3</v>
      </c>
      <c r="T2156">
        <v>0</v>
      </c>
      <c r="U2156">
        <v>22.6737</v>
      </c>
      <c r="V2156" t="str">
        <f t="shared" si="33"/>
        <v>Steve Nguyen</v>
      </c>
      <c r="W2156">
        <f>Table2[Profit]/Table2[Sales]</f>
        <v>0.21</v>
      </c>
    </row>
    <row r="2157" spans="1:23" x14ac:dyDescent="0.25">
      <c r="A2157">
        <v>2156</v>
      </c>
      <c r="B2157" t="s">
        <v>7252</v>
      </c>
      <c r="C2157" s="1">
        <v>42974</v>
      </c>
      <c r="D2157" s="1">
        <v>42979</v>
      </c>
      <c r="E2157" t="s">
        <v>49</v>
      </c>
      <c r="F2157" t="s">
        <v>6971</v>
      </c>
      <c r="G2157" t="s">
        <v>6972</v>
      </c>
      <c r="H2157" t="s">
        <v>25</v>
      </c>
      <c r="I2157" t="s">
        <v>26</v>
      </c>
      <c r="J2157" t="s">
        <v>606</v>
      </c>
      <c r="K2157" t="s">
        <v>328</v>
      </c>
      <c r="L2157">
        <v>37064</v>
      </c>
      <c r="M2157" t="s">
        <v>29</v>
      </c>
      <c r="N2157" t="s">
        <v>3735</v>
      </c>
      <c r="O2157" t="s">
        <v>45</v>
      </c>
      <c r="P2157" t="s">
        <v>89</v>
      </c>
      <c r="Q2157" t="s">
        <v>3736</v>
      </c>
      <c r="R2157">
        <v>5.1840000000000002</v>
      </c>
      <c r="S2157">
        <v>1</v>
      </c>
      <c r="T2157">
        <v>0.2</v>
      </c>
      <c r="U2157">
        <v>1.8144</v>
      </c>
      <c r="V2157" t="str">
        <f t="shared" si="33"/>
        <v>Dana Kaydos</v>
      </c>
      <c r="W2157">
        <f>Table2[Profit]/Table2[Sales]</f>
        <v>0.35</v>
      </c>
    </row>
    <row r="2158" spans="1:23" x14ac:dyDescent="0.25">
      <c r="A2158">
        <v>2157</v>
      </c>
      <c r="B2158" t="s">
        <v>7253</v>
      </c>
      <c r="C2158" s="1">
        <v>41720</v>
      </c>
      <c r="D2158" s="1">
        <v>41720</v>
      </c>
      <c r="E2158" t="s">
        <v>1278</v>
      </c>
      <c r="F2158" t="s">
        <v>6737</v>
      </c>
      <c r="G2158" t="s">
        <v>6738</v>
      </c>
      <c r="H2158" t="s">
        <v>25</v>
      </c>
      <c r="I2158" t="s">
        <v>26</v>
      </c>
      <c r="J2158" t="s">
        <v>7254</v>
      </c>
      <c r="K2158" t="s">
        <v>251</v>
      </c>
      <c r="L2158">
        <v>46368</v>
      </c>
      <c r="M2158" t="s">
        <v>104</v>
      </c>
      <c r="N2158" t="s">
        <v>1410</v>
      </c>
      <c r="O2158" t="s">
        <v>45</v>
      </c>
      <c r="P2158" t="s">
        <v>67</v>
      </c>
      <c r="Q2158" t="s">
        <v>1411</v>
      </c>
      <c r="R2158">
        <v>16.28</v>
      </c>
      <c r="S2158">
        <v>2</v>
      </c>
      <c r="T2158">
        <v>0</v>
      </c>
      <c r="U2158">
        <v>6.5119999999999996</v>
      </c>
      <c r="V2158" t="str">
        <f t="shared" si="33"/>
        <v>Vivian Mathis</v>
      </c>
      <c r="W2158">
        <f>Table2[Profit]/Table2[Sales]</f>
        <v>0.39999999999999997</v>
      </c>
    </row>
    <row r="2159" spans="1:23" x14ac:dyDescent="0.25">
      <c r="A2159">
        <v>2158</v>
      </c>
      <c r="B2159" t="s">
        <v>7255</v>
      </c>
      <c r="C2159" s="1">
        <v>43086</v>
      </c>
      <c r="D2159" s="1">
        <v>43090</v>
      </c>
      <c r="E2159" t="s">
        <v>49</v>
      </c>
      <c r="F2159" t="s">
        <v>6036</v>
      </c>
      <c r="G2159" t="s">
        <v>6037</v>
      </c>
      <c r="H2159" t="s">
        <v>25</v>
      </c>
      <c r="I2159" t="s">
        <v>26</v>
      </c>
      <c r="J2159" t="s">
        <v>1119</v>
      </c>
      <c r="K2159" t="s">
        <v>312</v>
      </c>
      <c r="L2159">
        <v>22204</v>
      </c>
      <c r="M2159" t="s">
        <v>29</v>
      </c>
      <c r="N2159" t="s">
        <v>1007</v>
      </c>
      <c r="O2159" t="s">
        <v>45</v>
      </c>
      <c r="P2159" t="s">
        <v>58</v>
      </c>
      <c r="Q2159" t="s">
        <v>1008</v>
      </c>
      <c r="R2159">
        <v>544.38</v>
      </c>
      <c r="S2159">
        <v>3</v>
      </c>
      <c r="T2159">
        <v>0</v>
      </c>
      <c r="U2159">
        <v>157.87020000000001</v>
      </c>
      <c r="V2159" t="str">
        <f t="shared" si="33"/>
        <v>Giulietta Baptist</v>
      </c>
      <c r="W2159">
        <f>Table2[Profit]/Table2[Sales]</f>
        <v>0.29000000000000004</v>
      </c>
    </row>
    <row r="2160" spans="1:23" x14ac:dyDescent="0.25">
      <c r="A2160">
        <v>2159</v>
      </c>
      <c r="B2160" t="s">
        <v>7256</v>
      </c>
      <c r="C2160" s="1">
        <v>42813</v>
      </c>
      <c r="D2160" s="1">
        <v>42816</v>
      </c>
      <c r="E2160" t="s">
        <v>185</v>
      </c>
      <c r="F2160" t="s">
        <v>3660</v>
      </c>
      <c r="G2160" t="s">
        <v>3661</v>
      </c>
      <c r="H2160" t="s">
        <v>25</v>
      </c>
      <c r="I2160" t="s">
        <v>26</v>
      </c>
      <c r="J2160" t="s">
        <v>126</v>
      </c>
      <c r="K2160" t="s">
        <v>42</v>
      </c>
      <c r="L2160">
        <v>94110</v>
      </c>
      <c r="M2160" t="s">
        <v>43</v>
      </c>
      <c r="N2160" t="s">
        <v>3518</v>
      </c>
      <c r="O2160" t="s">
        <v>45</v>
      </c>
      <c r="P2160" t="s">
        <v>74</v>
      </c>
      <c r="Q2160" t="s">
        <v>3519</v>
      </c>
      <c r="R2160">
        <v>19.824000000000002</v>
      </c>
      <c r="S2160">
        <v>6</v>
      </c>
      <c r="T2160">
        <v>0.2</v>
      </c>
      <c r="U2160">
        <v>6.6905999999999999</v>
      </c>
      <c r="V2160" t="str">
        <f t="shared" si="33"/>
        <v>Natalie DeCherney</v>
      </c>
      <c r="W2160">
        <f>Table2[Profit]/Table2[Sales]</f>
        <v>0.33749999999999997</v>
      </c>
    </row>
    <row r="2161" spans="1:23" x14ac:dyDescent="0.25">
      <c r="A2161">
        <v>2160</v>
      </c>
      <c r="B2161" t="s">
        <v>7257</v>
      </c>
      <c r="C2161" s="1">
        <v>42631</v>
      </c>
      <c r="D2161" s="1">
        <v>42638</v>
      </c>
      <c r="E2161" t="s">
        <v>49</v>
      </c>
      <c r="F2161" t="s">
        <v>4882</v>
      </c>
      <c r="G2161" t="s">
        <v>4883</v>
      </c>
      <c r="H2161" t="s">
        <v>25</v>
      </c>
      <c r="I2161" t="s">
        <v>26</v>
      </c>
      <c r="J2161" t="s">
        <v>1485</v>
      </c>
      <c r="K2161" t="s">
        <v>264</v>
      </c>
      <c r="L2161">
        <v>10801</v>
      </c>
      <c r="M2161" t="s">
        <v>145</v>
      </c>
      <c r="N2161" t="s">
        <v>2524</v>
      </c>
      <c r="O2161" t="s">
        <v>31</v>
      </c>
      <c r="P2161" t="s">
        <v>35</v>
      </c>
      <c r="Q2161" t="s">
        <v>2525</v>
      </c>
      <c r="R2161">
        <v>631.78200000000004</v>
      </c>
      <c r="S2161">
        <v>2</v>
      </c>
      <c r="T2161">
        <v>0.1</v>
      </c>
      <c r="U2161">
        <v>140.39599999999999</v>
      </c>
      <c r="V2161" t="str">
        <f t="shared" si="33"/>
        <v>Magdelene Morse</v>
      </c>
      <c r="W2161">
        <f>Table2[Profit]/Table2[Sales]</f>
        <v>0.22222222222222218</v>
      </c>
    </row>
    <row r="2162" spans="1:23" x14ac:dyDescent="0.25">
      <c r="A2162">
        <v>2161</v>
      </c>
      <c r="B2162" t="s">
        <v>7260</v>
      </c>
      <c r="C2162" s="1">
        <v>43063</v>
      </c>
      <c r="D2162" s="1">
        <v>43068</v>
      </c>
      <c r="E2162" t="s">
        <v>22</v>
      </c>
      <c r="F2162" t="s">
        <v>5140</v>
      </c>
      <c r="G2162" t="s">
        <v>5141</v>
      </c>
      <c r="H2162" t="s">
        <v>25</v>
      </c>
      <c r="I2162" t="s">
        <v>26</v>
      </c>
      <c r="J2162" t="s">
        <v>1799</v>
      </c>
      <c r="K2162" t="s">
        <v>303</v>
      </c>
      <c r="L2162">
        <v>85204</v>
      </c>
      <c r="M2162" t="s">
        <v>43</v>
      </c>
      <c r="N2162" t="s">
        <v>2526</v>
      </c>
      <c r="O2162" t="s">
        <v>45</v>
      </c>
      <c r="P2162" t="s">
        <v>74</v>
      </c>
      <c r="Q2162" t="s">
        <v>2527</v>
      </c>
      <c r="R2162">
        <v>20.724</v>
      </c>
      <c r="S2162">
        <v>2</v>
      </c>
      <c r="T2162">
        <v>0.7</v>
      </c>
      <c r="U2162">
        <v>-15.1976</v>
      </c>
      <c r="V2162" t="str">
        <f t="shared" si="33"/>
        <v>Mark Van Huff</v>
      </c>
      <c r="W2162">
        <f>Table2[Profit]/Table2[Sales]</f>
        <v>-0.73333333333333328</v>
      </c>
    </row>
    <row r="2163" spans="1:23" x14ac:dyDescent="0.25">
      <c r="A2163">
        <v>2162</v>
      </c>
      <c r="B2163" t="s">
        <v>7261</v>
      </c>
      <c r="C2163" s="1">
        <v>42836</v>
      </c>
      <c r="D2163" s="1">
        <v>42840</v>
      </c>
      <c r="E2163" t="s">
        <v>49</v>
      </c>
      <c r="F2163" t="s">
        <v>6258</v>
      </c>
      <c r="G2163" t="s">
        <v>6259</v>
      </c>
      <c r="H2163" t="s">
        <v>25</v>
      </c>
      <c r="I2163" t="s">
        <v>26</v>
      </c>
      <c r="J2163" t="s">
        <v>2439</v>
      </c>
      <c r="K2163" t="s">
        <v>491</v>
      </c>
      <c r="L2163">
        <v>43130</v>
      </c>
      <c r="M2163" t="s">
        <v>145</v>
      </c>
      <c r="N2163" t="s">
        <v>1800</v>
      </c>
      <c r="O2163" t="s">
        <v>45</v>
      </c>
      <c r="P2163" t="s">
        <v>58</v>
      </c>
      <c r="Q2163" t="s">
        <v>1801</v>
      </c>
      <c r="R2163">
        <v>16.768000000000001</v>
      </c>
      <c r="S2163">
        <v>2</v>
      </c>
      <c r="T2163">
        <v>0.2</v>
      </c>
      <c r="U2163">
        <v>1.4672000000000001</v>
      </c>
      <c r="V2163" t="str">
        <f t="shared" si="33"/>
        <v>Jack Lebron</v>
      </c>
      <c r="W2163">
        <f>Table2[Profit]/Table2[Sales]</f>
        <v>8.7499999999999994E-2</v>
      </c>
    </row>
    <row r="2164" spans="1:23" x14ac:dyDescent="0.25">
      <c r="A2164">
        <v>2163</v>
      </c>
      <c r="B2164" t="s">
        <v>7262</v>
      </c>
      <c r="C2164" s="1">
        <v>43079</v>
      </c>
      <c r="D2164" s="1">
        <v>43081</v>
      </c>
      <c r="E2164" t="s">
        <v>22</v>
      </c>
      <c r="F2164" t="s">
        <v>7263</v>
      </c>
      <c r="G2164" t="s">
        <v>7264</v>
      </c>
      <c r="H2164" t="s">
        <v>25</v>
      </c>
      <c r="I2164" t="s">
        <v>26</v>
      </c>
      <c r="J2164" t="s">
        <v>4922</v>
      </c>
      <c r="K2164" t="s">
        <v>42</v>
      </c>
      <c r="L2164">
        <v>95207</v>
      </c>
      <c r="M2164" t="s">
        <v>43</v>
      </c>
      <c r="N2164" t="s">
        <v>6995</v>
      </c>
      <c r="O2164" t="s">
        <v>70</v>
      </c>
      <c r="P2164" t="s">
        <v>71</v>
      </c>
      <c r="Q2164" t="s">
        <v>6996</v>
      </c>
      <c r="R2164">
        <v>95.84</v>
      </c>
      <c r="S2164">
        <v>4</v>
      </c>
      <c r="T2164">
        <v>0.2</v>
      </c>
      <c r="U2164">
        <v>34.741999999999997</v>
      </c>
      <c r="V2164" t="str">
        <f t="shared" si="33"/>
        <v>Alex Grayson</v>
      </c>
      <c r="W2164">
        <f>Table2[Profit]/Table2[Sales]</f>
        <v>0.36249999999999993</v>
      </c>
    </row>
    <row r="2165" spans="1:23" x14ac:dyDescent="0.25">
      <c r="A2165">
        <v>2164</v>
      </c>
      <c r="B2165" t="s">
        <v>7265</v>
      </c>
      <c r="C2165" s="1">
        <v>43063</v>
      </c>
      <c r="D2165" s="1">
        <v>43065</v>
      </c>
      <c r="E2165" t="s">
        <v>22</v>
      </c>
      <c r="F2165" t="s">
        <v>4635</v>
      </c>
      <c r="G2165" t="s">
        <v>4636</v>
      </c>
      <c r="H2165" t="s">
        <v>40</v>
      </c>
      <c r="I2165" t="s">
        <v>26</v>
      </c>
      <c r="J2165" t="s">
        <v>2455</v>
      </c>
      <c r="K2165" t="s">
        <v>87</v>
      </c>
      <c r="L2165">
        <v>28806</v>
      </c>
      <c r="M2165" t="s">
        <v>29</v>
      </c>
      <c r="N2165" t="s">
        <v>2860</v>
      </c>
      <c r="O2165" t="s">
        <v>45</v>
      </c>
      <c r="P2165" t="s">
        <v>74</v>
      </c>
      <c r="Q2165" t="s">
        <v>2861</v>
      </c>
      <c r="R2165">
        <v>19.007999999999999</v>
      </c>
      <c r="S2165">
        <v>8</v>
      </c>
      <c r="T2165">
        <v>0.7</v>
      </c>
      <c r="U2165">
        <v>-12.672000000000001</v>
      </c>
      <c r="V2165" t="str">
        <f t="shared" si="33"/>
        <v>Michael Dominguez</v>
      </c>
      <c r="W2165">
        <f>Table2[Profit]/Table2[Sales]</f>
        <v>-0.66666666666666674</v>
      </c>
    </row>
    <row r="2166" spans="1:23" x14ac:dyDescent="0.25">
      <c r="A2166">
        <v>2165</v>
      </c>
      <c r="B2166" t="s">
        <v>7266</v>
      </c>
      <c r="C2166" s="1">
        <v>42342</v>
      </c>
      <c r="D2166" s="1">
        <v>42345</v>
      </c>
      <c r="E2166" t="s">
        <v>22</v>
      </c>
      <c r="F2166" t="s">
        <v>1675</v>
      </c>
      <c r="G2166" t="s">
        <v>1676</v>
      </c>
      <c r="H2166" t="s">
        <v>25</v>
      </c>
      <c r="I2166" t="s">
        <v>26</v>
      </c>
      <c r="J2166" t="s">
        <v>5243</v>
      </c>
      <c r="K2166" t="s">
        <v>328</v>
      </c>
      <c r="L2166">
        <v>37042</v>
      </c>
      <c r="M2166" t="s">
        <v>29</v>
      </c>
      <c r="N2166" t="s">
        <v>2655</v>
      </c>
      <c r="O2166" t="s">
        <v>45</v>
      </c>
      <c r="P2166" t="s">
        <v>74</v>
      </c>
      <c r="Q2166" t="s">
        <v>2656</v>
      </c>
      <c r="R2166">
        <v>1598.058</v>
      </c>
      <c r="S2166">
        <v>7</v>
      </c>
      <c r="T2166">
        <v>0.7</v>
      </c>
      <c r="U2166">
        <v>-1065.3720000000001</v>
      </c>
      <c r="V2166" t="str">
        <f t="shared" si="33"/>
        <v>Rose O'Brian</v>
      </c>
      <c r="W2166">
        <f>Table2[Profit]/Table2[Sales]</f>
        <v>-0.66666666666666674</v>
      </c>
    </row>
    <row r="2167" spans="1:23" x14ac:dyDescent="0.25">
      <c r="A2167">
        <v>2166</v>
      </c>
      <c r="B2167" t="s">
        <v>7267</v>
      </c>
      <c r="C2167" s="1">
        <v>43080</v>
      </c>
      <c r="D2167" s="1">
        <v>43080</v>
      </c>
      <c r="E2167" t="s">
        <v>1278</v>
      </c>
      <c r="F2167" t="s">
        <v>5471</v>
      </c>
      <c r="G2167" t="s">
        <v>5472</v>
      </c>
      <c r="H2167" t="s">
        <v>25</v>
      </c>
      <c r="I2167" t="s">
        <v>26</v>
      </c>
      <c r="J2167" t="s">
        <v>449</v>
      </c>
      <c r="K2167" t="s">
        <v>208</v>
      </c>
      <c r="L2167">
        <v>60505</v>
      </c>
      <c r="M2167" t="s">
        <v>104</v>
      </c>
      <c r="N2167" t="s">
        <v>1144</v>
      </c>
      <c r="O2167" t="s">
        <v>45</v>
      </c>
      <c r="P2167" t="s">
        <v>89</v>
      </c>
      <c r="Q2167" t="s">
        <v>1145</v>
      </c>
      <c r="R2167">
        <v>10.368</v>
      </c>
      <c r="S2167">
        <v>2</v>
      </c>
      <c r="T2167">
        <v>0.2</v>
      </c>
      <c r="U2167">
        <v>3.6288</v>
      </c>
      <c r="V2167" t="str">
        <f t="shared" si="33"/>
        <v>Ralph Ritter</v>
      </c>
      <c r="W2167">
        <f>Table2[Profit]/Table2[Sales]</f>
        <v>0.35</v>
      </c>
    </row>
    <row r="2168" spans="1:23" x14ac:dyDescent="0.25">
      <c r="A2168">
        <v>2167</v>
      </c>
      <c r="B2168" t="s">
        <v>7268</v>
      </c>
      <c r="C2168" s="1">
        <v>42511</v>
      </c>
      <c r="D2168" s="1">
        <v>42513</v>
      </c>
      <c r="E2168" t="s">
        <v>185</v>
      </c>
      <c r="F2168" t="s">
        <v>2375</v>
      </c>
      <c r="G2168" t="s">
        <v>2376</v>
      </c>
      <c r="H2168" t="s">
        <v>40</v>
      </c>
      <c r="I2168" t="s">
        <v>26</v>
      </c>
      <c r="J2168" t="s">
        <v>1387</v>
      </c>
      <c r="K2168" t="s">
        <v>1388</v>
      </c>
      <c r="L2168">
        <v>2886</v>
      </c>
      <c r="M2168" t="s">
        <v>145</v>
      </c>
      <c r="N2168" t="s">
        <v>7269</v>
      </c>
      <c r="O2168" t="s">
        <v>45</v>
      </c>
      <c r="P2168" t="s">
        <v>89</v>
      </c>
      <c r="Q2168" t="s">
        <v>183</v>
      </c>
      <c r="R2168">
        <v>111.96</v>
      </c>
      <c r="S2168">
        <v>2</v>
      </c>
      <c r="T2168">
        <v>0</v>
      </c>
      <c r="U2168">
        <v>54.860399999999998</v>
      </c>
      <c r="V2168" t="str">
        <f t="shared" si="33"/>
        <v>Christine Phan</v>
      </c>
      <c r="W2168">
        <f>Table2[Profit]/Table2[Sales]</f>
        <v>0.49</v>
      </c>
    </row>
    <row r="2169" spans="1:23" x14ac:dyDescent="0.25">
      <c r="A2169">
        <v>2168</v>
      </c>
      <c r="B2169" t="s">
        <v>7270</v>
      </c>
      <c r="C2169" s="1">
        <v>42783</v>
      </c>
      <c r="D2169" s="1">
        <v>42787</v>
      </c>
      <c r="E2169" t="s">
        <v>22</v>
      </c>
      <c r="F2169" t="s">
        <v>2684</v>
      </c>
      <c r="G2169" t="s">
        <v>2685</v>
      </c>
      <c r="H2169" t="s">
        <v>25</v>
      </c>
      <c r="I2169" t="s">
        <v>26</v>
      </c>
      <c r="J2169" t="s">
        <v>4182</v>
      </c>
      <c r="K2169" t="s">
        <v>729</v>
      </c>
      <c r="L2169">
        <v>70506</v>
      </c>
      <c r="M2169" t="s">
        <v>29</v>
      </c>
      <c r="N2169" t="s">
        <v>521</v>
      </c>
      <c r="O2169" t="s">
        <v>70</v>
      </c>
      <c r="P2169" t="s">
        <v>71</v>
      </c>
      <c r="Q2169" t="s">
        <v>522</v>
      </c>
      <c r="R2169">
        <v>29.16</v>
      </c>
      <c r="S2169">
        <v>3</v>
      </c>
      <c r="T2169">
        <v>0</v>
      </c>
      <c r="U2169">
        <v>8.4564000000000004</v>
      </c>
      <c r="V2169" t="str">
        <f t="shared" si="33"/>
        <v>Lauren Leatherbury</v>
      </c>
      <c r="W2169">
        <f>Table2[Profit]/Table2[Sales]</f>
        <v>0.29000000000000004</v>
      </c>
    </row>
    <row r="2170" spans="1:23" x14ac:dyDescent="0.25">
      <c r="A2170">
        <v>2169</v>
      </c>
      <c r="B2170" t="s">
        <v>7271</v>
      </c>
      <c r="C2170" s="1">
        <v>42875</v>
      </c>
      <c r="D2170" s="1">
        <v>42877</v>
      </c>
      <c r="E2170" t="s">
        <v>22</v>
      </c>
      <c r="F2170" t="s">
        <v>3240</v>
      </c>
      <c r="G2170" t="s">
        <v>3241</v>
      </c>
      <c r="H2170" t="s">
        <v>25</v>
      </c>
      <c r="I2170" t="s">
        <v>26</v>
      </c>
      <c r="J2170" t="s">
        <v>7272</v>
      </c>
      <c r="K2170" t="s">
        <v>7273</v>
      </c>
      <c r="L2170">
        <v>58103</v>
      </c>
      <c r="M2170" t="s">
        <v>104</v>
      </c>
      <c r="N2170" t="s">
        <v>1545</v>
      </c>
      <c r="O2170" t="s">
        <v>45</v>
      </c>
      <c r="P2170" t="s">
        <v>67</v>
      </c>
      <c r="Q2170" t="s">
        <v>1546</v>
      </c>
      <c r="R2170">
        <v>131.94</v>
      </c>
      <c r="S2170">
        <v>3</v>
      </c>
      <c r="T2170">
        <v>0</v>
      </c>
      <c r="U2170">
        <v>35.623800000000003</v>
      </c>
      <c r="V2170" t="str">
        <f t="shared" si="33"/>
        <v>Nat Carroll</v>
      </c>
      <c r="W2170">
        <f>Table2[Profit]/Table2[Sales]</f>
        <v>0.27</v>
      </c>
    </row>
    <row r="2171" spans="1:23" x14ac:dyDescent="0.25">
      <c r="A2171">
        <v>2170</v>
      </c>
      <c r="B2171" t="s">
        <v>7274</v>
      </c>
      <c r="C2171" s="1">
        <v>42989</v>
      </c>
      <c r="D2171" s="1">
        <v>42991</v>
      </c>
      <c r="E2171" t="s">
        <v>22</v>
      </c>
      <c r="F2171" t="s">
        <v>594</v>
      </c>
      <c r="G2171" t="s">
        <v>595</v>
      </c>
      <c r="H2171" t="s">
        <v>25</v>
      </c>
      <c r="I2171" t="s">
        <v>26</v>
      </c>
      <c r="J2171" t="s">
        <v>296</v>
      </c>
      <c r="K2171" t="s">
        <v>208</v>
      </c>
      <c r="L2171">
        <v>60623</v>
      </c>
      <c r="M2171" t="s">
        <v>104</v>
      </c>
      <c r="N2171" t="s">
        <v>5292</v>
      </c>
      <c r="O2171" t="s">
        <v>45</v>
      </c>
      <c r="P2171" t="s">
        <v>266</v>
      </c>
      <c r="Q2171" t="s">
        <v>5293</v>
      </c>
      <c r="R2171">
        <v>10.528</v>
      </c>
      <c r="S2171">
        <v>4</v>
      </c>
      <c r="T2171">
        <v>0.2</v>
      </c>
      <c r="U2171">
        <v>3.29</v>
      </c>
      <c r="V2171" t="str">
        <f t="shared" si="33"/>
        <v>Helen Andreada</v>
      </c>
      <c r="W2171">
        <f>Table2[Profit]/Table2[Sales]</f>
        <v>0.3125</v>
      </c>
    </row>
    <row r="2172" spans="1:23" x14ac:dyDescent="0.25">
      <c r="A2172">
        <v>2171</v>
      </c>
      <c r="B2172" t="s">
        <v>7275</v>
      </c>
      <c r="C2172" s="1">
        <v>42679</v>
      </c>
      <c r="D2172" s="1">
        <v>42684</v>
      </c>
      <c r="E2172" t="s">
        <v>49</v>
      </c>
      <c r="F2172" t="s">
        <v>6015</v>
      </c>
      <c r="G2172" t="s">
        <v>6016</v>
      </c>
      <c r="H2172" t="s">
        <v>101</v>
      </c>
      <c r="I2172" t="s">
        <v>26</v>
      </c>
      <c r="J2172" t="s">
        <v>1465</v>
      </c>
      <c r="K2172" t="s">
        <v>251</v>
      </c>
      <c r="L2172">
        <v>46226</v>
      </c>
      <c r="M2172" t="s">
        <v>104</v>
      </c>
      <c r="N2172" t="s">
        <v>2070</v>
      </c>
      <c r="O2172" t="s">
        <v>45</v>
      </c>
      <c r="P2172" t="s">
        <v>74</v>
      </c>
      <c r="Q2172" t="s">
        <v>2071</v>
      </c>
      <c r="R2172">
        <v>104.9</v>
      </c>
      <c r="S2172">
        <v>5</v>
      </c>
      <c r="T2172">
        <v>0</v>
      </c>
      <c r="U2172">
        <v>50.351999999999997</v>
      </c>
      <c r="V2172" t="str">
        <f t="shared" si="33"/>
        <v>Michelle Arnett</v>
      </c>
      <c r="W2172">
        <f>Table2[Profit]/Table2[Sales]</f>
        <v>0.47999999999999993</v>
      </c>
    </row>
    <row r="2173" spans="1:23" x14ac:dyDescent="0.25">
      <c r="A2173">
        <v>2172</v>
      </c>
      <c r="B2173" t="s">
        <v>7278</v>
      </c>
      <c r="C2173" s="1">
        <v>42939</v>
      </c>
      <c r="D2173" s="1">
        <v>42941</v>
      </c>
      <c r="E2173" t="s">
        <v>22</v>
      </c>
      <c r="F2173" t="s">
        <v>239</v>
      </c>
      <c r="G2173" t="s">
        <v>240</v>
      </c>
      <c r="H2173" t="s">
        <v>25</v>
      </c>
      <c r="I2173" t="s">
        <v>26</v>
      </c>
      <c r="J2173" t="s">
        <v>7279</v>
      </c>
      <c r="K2173" t="s">
        <v>251</v>
      </c>
      <c r="L2173">
        <v>46514</v>
      </c>
      <c r="M2173" t="s">
        <v>104</v>
      </c>
      <c r="N2173" t="s">
        <v>990</v>
      </c>
      <c r="O2173" t="s">
        <v>45</v>
      </c>
      <c r="P2173" t="s">
        <v>67</v>
      </c>
      <c r="Q2173" t="s">
        <v>991</v>
      </c>
      <c r="R2173">
        <v>11.68</v>
      </c>
      <c r="S2173">
        <v>2</v>
      </c>
      <c r="T2173">
        <v>0</v>
      </c>
      <c r="U2173">
        <v>5.4896000000000003</v>
      </c>
      <c r="V2173" t="str">
        <f t="shared" si="33"/>
        <v>Lena Hernandez</v>
      </c>
      <c r="W2173">
        <f>Table2[Profit]/Table2[Sales]</f>
        <v>0.47000000000000003</v>
      </c>
    </row>
    <row r="2174" spans="1:23" x14ac:dyDescent="0.25">
      <c r="A2174">
        <v>2173</v>
      </c>
      <c r="B2174" t="s">
        <v>7280</v>
      </c>
      <c r="C2174" s="1">
        <v>42692</v>
      </c>
      <c r="D2174" s="1">
        <v>42698</v>
      </c>
      <c r="E2174" t="s">
        <v>49</v>
      </c>
      <c r="F2174" t="s">
        <v>973</v>
      </c>
      <c r="G2174" t="s">
        <v>974</v>
      </c>
      <c r="H2174" t="s">
        <v>40</v>
      </c>
      <c r="I2174" t="s">
        <v>26</v>
      </c>
      <c r="J2174" t="s">
        <v>4169</v>
      </c>
      <c r="K2174" t="s">
        <v>491</v>
      </c>
      <c r="L2174">
        <v>44240</v>
      </c>
      <c r="M2174" t="s">
        <v>145</v>
      </c>
      <c r="N2174" t="s">
        <v>7281</v>
      </c>
      <c r="O2174" t="s">
        <v>45</v>
      </c>
      <c r="P2174" t="s">
        <v>77</v>
      </c>
      <c r="Q2174" t="s">
        <v>7282</v>
      </c>
      <c r="R2174">
        <v>103.968</v>
      </c>
      <c r="S2174">
        <v>6</v>
      </c>
      <c r="T2174">
        <v>0.2</v>
      </c>
      <c r="U2174">
        <v>16.8948</v>
      </c>
      <c r="V2174" t="str">
        <f t="shared" si="33"/>
        <v>Sean Braxton</v>
      </c>
      <c r="W2174">
        <f>Table2[Profit]/Table2[Sales]</f>
        <v>0.16250000000000001</v>
      </c>
    </row>
    <row r="2175" spans="1:23" x14ac:dyDescent="0.25">
      <c r="A2175">
        <v>2174</v>
      </c>
      <c r="B2175" t="s">
        <v>7283</v>
      </c>
      <c r="C2175" s="1">
        <v>41754</v>
      </c>
      <c r="D2175" s="1">
        <v>41759</v>
      </c>
      <c r="E2175" t="s">
        <v>49</v>
      </c>
      <c r="F2175" t="s">
        <v>3761</v>
      </c>
      <c r="G2175" t="s">
        <v>3762</v>
      </c>
      <c r="H2175" t="s">
        <v>101</v>
      </c>
      <c r="I2175" t="s">
        <v>26</v>
      </c>
      <c r="J2175" t="s">
        <v>7284</v>
      </c>
      <c r="K2175" t="s">
        <v>42</v>
      </c>
      <c r="L2175">
        <v>91776</v>
      </c>
      <c r="M2175" t="s">
        <v>43</v>
      </c>
      <c r="N2175" t="s">
        <v>331</v>
      </c>
      <c r="O2175" t="s">
        <v>31</v>
      </c>
      <c r="P2175" t="s">
        <v>64</v>
      </c>
      <c r="Q2175" t="s">
        <v>332</v>
      </c>
      <c r="R2175">
        <v>303.25</v>
      </c>
      <c r="S2175">
        <v>5</v>
      </c>
      <c r="T2175">
        <v>0</v>
      </c>
      <c r="U2175">
        <v>63.682499999999997</v>
      </c>
      <c r="V2175" t="str">
        <f t="shared" si="33"/>
        <v>Beth Thompson</v>
      </c>
      <c r="W2175">
        <f>Table2[Profit]/Table2[Sales]</f>
        <v>0.21</v>
      </c>
    </row>
    <row r="2176" spans="1:23" x14ac:dyDescent="0.25">
      <c r="A2176">
        <v>2175</v>
      </c>
      <c r="B2176" t="s">
        <v>7285</v>
      </c>
      <c r="C2176" s="1">
        <v>42338</v>
      </c>
      <c r="D2176" s="1">
        <v>42340</v>
      </c>
      <c r="E2176" t="s">
        <v>22</v>
      </c>
      <c r="F2176" t="s">
        <v>294</v>
      </c>
      <c r="G2176" t="s">
        <v>295</v>
      </c>
      <c r="H2176" t="s">
        <v>101</v>
      </c>
      <c r="I2176" t="s">
        <v>26</v>
      </c>
      <c r="J2176" t="s">
        <v>27</v>
      </c>
      <c r="K2176" t="s">
        <v>28</v>
      </c>
      <c r="L2176">
        <v>42420</v>
      </c>
      <c r="M2176" t="s">
        <v>29</v>
      </c>
      <c r="N2176" t="s">
        <v>2914</v>
      </c>
      <c r="O2176" t="s">
        <v>45</v>
      </c>
      <c r="P2176" t="s">
        <v>170</v>
      </c>
      <c r="Q2176" t="s">
        <v>2915</v>
      </c>
      <c r="R2176">
        <v>17.48</v>
      </c>
      <c r="S2176">
        <v>2</v>
      </c>
      <c r="T2176">
        <v>0</v>
      </c>
      <c r="U2176">
        <v>8.2156000000000002</v>
      </c>
      <c r="V2176" t="str">
        <f t="shared" si="33"/>
        <v>Paul Stevenson</v>
      </c>
      <c r="W2176">
        <f>Table2[Profit]/Table2[Sales]</f>
        <v>0.47000000000000003</v>
      </c>
    </row>
    <row r="2177" spans="1:23" x14ac:dyDescent="0.25">
      <c r="A2177">
        <v>2176</v>
      </c>
      <c r="B2177" t="s">
        <v>7286</v>
      </c>
      <c r="C2177" s="1">
        <v>42302</v>
      </c>
      <c r="D2177" s="1">
        <v>42307</v>
      </c>
      <c r="E2177" t="s">
        <v>49</v>
      </c>
      <c r="F2177" t="s">
        <v>4956</v>
      </c>
      <c r="G2177" t="s">
        <v>4957</v>
      </c>
      <c r="H2177" t="s">
        <v>25</v>
      </c>
      <c r="I2177" t="s">
        <v>26</v>
      </c>
      <c r="J2177" t="s">
        <v>126</v>
      </c>
      <c r="K2177" t="s">
        <v>42</v>
      </c>
      <c r="L2177">
        <v>94110</v>
      </c>
      <c r="M2177" t="s">
        <v>43</v>
      </c>
      <c r="N2177" t="s">
        <v>2414</v>
      </c>
      <c r="O2177" t="s">
        <v>45</v>
      </c>
      <c r="P2177" t="s">
        <v>67</v>
      </c>
      <c r="Q2177" t="s">
        <v>2415</v>
      </c>
      <c r="R2177">
        <v>60.45</v>
      </c>
      <c r="S2177">
        <v>3</v>
      </c>
      <c r="T2177">
        <v>0</v>
      </c>
      <c r="U2177">
        <v>16.3215</v>
      </c>
      <c r="V2177" t="str">
        <f t="shared" si="33"/>
        <v>Trudy Brown</v>
      </c>
      <c r="W2177">
        <f>Table2[Profit]/Table2[Sales]</f>
        <v>0.27</v>
      </c>
    </row>
    <row r="2178" spans="1:23" x14ac:dyDescent="0.25">
      <c r="A2178">
        <v>2177</v>
      </c>
      <c r="B2178" t="s">
        <v>7287</v>
      </c>
      <c r="C2178" s="1">
        <v>42205</v>
      </c>
      <c r="D2178" s="1">
        <v>42212</v>
      </c>
      <c r="E2178" t="s">
        <v>49</v>
      </c>
      <c r="F2178" t="s">
        <v>1318</v>
      </c>
      <c r="G2178" t="s">
        <v>1319</v>
      </c>
      <c r="H2178" t="s">
        <v>25</v>
      </c>
      <c r="I2178" t="s">
        <v>26</v>
      </c>
      <c r="J2178" t="s">
        <v>5961</v>
      </c>
      <c r="K2178" t="s">
        <v>208</v>
      </c>
      <c r="L2178">
        <v>60035</v>
      </c>
      <c r="M2178" t="s">
        <v>104</v>
      </c>
      <c r="N2178" t="s">
        <v>2359</v>
      </c>
      <c r="O2178" t="s">
        <v>45</v>
      </c>
      <c r="P2178" t="s">
        <v>74</v>
      </c>
      <c r="Q2178" t="s">
        <v>2360</v>
      </c>
      <c r="R2178">
        <v>2.88</v>
      </c>
      <c r="S2178">
        <v>5</v>
      </c>
      <c r="T2178">
        <v>0.8</v>
      </c>
      <c r="U2178">
        <v>-4.4640000000000004</v>
      </c>
      <c r="V2178" t="str">
        <f t="shared" si="33"/>
        <v>Russell Applegate</v>
      </c>
      <c r="W2178">
        <f>Table2[Profit]/Table2[Sales]</f>
        <v>-1.5500000000000003</v>
      </c>
    </row>
    <row r="2179" spans="1:23" x14ac:dyDescent="0.25">
      <c r="A2179">
        <v>2178</v>
      </c>
      <c r="B2179" t="s">
        <v>7290</v>
      </c>
      <c r="C2179" s="1">
        <v>42670</v>
      </c>
      <c r="D2179" s="1">
        <v>42676</v>
      </c>
      <c r="E2179" t="s">
        <v>49</v>
      </c>
      <c r="F2179" t="s">
        <v>1372</v>
      </c>
      <c r="G2179" t="s">
        <v>1373</v>
      </c>
      <c r="H2179" t="s">
        <v>40</v>
      </c>
      <c r="I2179" t="s">
        <v>26</v>
      </c>
      <c r="J2179" t="s">
        <v>126</v>
      </c>
      <c r="K2179" t="s">
        <v>42</v>
      </c>
      <c r="L2179">
        <v>94122</v>
      </c>
      <c r="M2179" t="s">
        <v>43</v>
      </c>
      <c r="N2179" t="s">
        <v>7174</v>
      </c>
      <c r="O2179" t="s">
        <v>45</v>
      </c>
      <c r="P2179" t="s">
        <v>77</v>
      </c>
      <c r="Q2179" t="s">
        <v>1416</v>
      </c>
      <c r="R2179">
        <v>43.92</v>
      </c>
      <c r="S2179">
        <v>4</v>
      </c>
      <c r="T2179">
        <v>0</v>
      </c>
      <c r="U2179">
        <v>11.8584</v>
      </c>
      <c r="V2179" t="str">
        <f t="shared" ref="V2179:V2242" si="34">TRIM(G2179)</f>
        <v>Bart Pistole</v>
      </c>
      <c r="W2179">
        <f>Table2[Profit]/Table2[Sales]</f>
        <v>0.26999999999999996</v>
      </c>
    </row>
    <row r="2180" spans="1:23" x14ac:dyDescent="0.25">
      <c r="A2180">
        <v>2179</v>
      </c>
      <c r="B2180" t="s">
        <v>7291</v>
      </c>
      <c r="C2180" s="1">
        <v>43059</v>
      </c>
      <c r="D2180" s="1">
        <v>43061</v>
      </c>
      <c r="E2180" t="s">
        <v>185</v>
      </c>
      <c r="F2180" t="s">
        <v>2472</v>
      </c>
      <c r="G2180" t="s">
        <v>2473</v>
      </c>
      <c r="H2180" t="s">
        <v>25</v>
      </c>
      <c r="I2180" t="s">
        <v>26</v>
      </c>
      <c r="J2180" t="s">
        <v>263</v>
      </c>
      <c r="K2180" t="s">
        <v>264</v>
      </c>
      <c r="L2180">
        <v>10035</v>
      </c>
      <c r="M2180" t="s">
        <v>145</v>
      </c>
      <c r="N2180" t="s">
        <v>2519</v>
      </c>
      <c r="O2180" t="s">
        <v>45</v>
      </c>
      <c r="P2180" t="s">
        <v>89</v>
      </c>
      <c r="Q2180" t="s">
        <v>2520</v>
      </c>
      <c r="R2180">
        <v>46.76</v>
      </c>
      <c r="S2180">
        <v>7</v>
      </c>
      <c r="T2180">
        <v>0</v>
      </c>
      <c r="U2180">
        <v>22.444800000000001</v>
      </c>
      <c r="V2180" t="str">
        <f t="shared" si="34"/>
        <v>Carlos Daly</v>
      </c>
      <c r="W2180">
        <f>Table2[Profit]/Table2[Sales]</f>
        <v>0.48000000000000004</v>
      </c>
    </row>
    <row r="2181" spans="1:23" x14ac:dyDescent="0.25">
      <c r="A2181">
        <v>2180</v>
      </c>
      <c r="B2181" t="s">
        <v>7292</v>
      </c>
      <c r="C2181" s="1">
        <v>42621</v>
      </c>
      <c r="D2181" s="1">
        <v>42625</v>
      </c>
      <c r="E2181" t="s">
        <v>49</v>
      </c>
      <c r="F2181" t="s">
        <v>132</v>
      </c>
      <c r="G2181" t="s">
        <v>133</v>
      </c>
      <c r="H2181" t="s">
        <v>40</v>
      </c>
      <c r="I2181" t="s">
        <v>26</v>
      </c>
      <c r="J2181" t="s">
        <v>808</v>
      </c>
      <c r="K2181" t="s">
        <v>103</v>
      </c>
      <c r="L2181">
        <v>75081</v>
      </c>
      <c r="M2181" t="s">
        <v>104</v>
      </c>
      <c r="N2181" t="s">
        <v>1545</v>
      </c>
      <c r="O2181" t="s">
        <v>45</v>
      </c>
      <c r="P2181" t="s">
        <v>67</v>
      </c>
      <c r="Q2181" t="s">
        <v>1546</v>
      </c>
      <c r="R2181">
        <v>70.367999999999995</v>
      </c>
      <c r="S2181">
        <v>2</v>
      </c>
      <c r="T2181">
        <v>0.2</v>
      </c>
      <c r="U2181">
        <v>6.1571999999999996</v>
      </c>
      <c r="V2181" t="str">
        <f t="shared" si="34"/>
        <v>Ken Black</v>
      </c>
      <c r="W2181">
        <f>Table2[Profit]/Table2[Sales]</f>
        <v>8.7499999999999994E-2</v>
      </c>
    </row>
    <row r="2182" spans="1:23" x14ac:dyDescent="0.25">
      <c r="A2182">
        <v>2181</v>
      </c>
      <c r="B2182" t="s">
        <v>7293</v>
      </c>
      <c r="C2182" s="1">
        <v>41840</v>
      </c>
      <c r="D2182" s="1">
        <v>41840</v>
      </c>
      <c r="E2182" t="s">
        <v>1278</v>
      </c>
      <c r="F2182" t="s">
        <v>4920</v>
      </c>
      <c r="G2182" t="s">
        <v>4921</v>
      </c>
      <c r="H2182" t="s">
        <v>25</v>
      </c>
      <c r="I2182" t="s">
        <v>26</v>
      </c>
      <c r="J2182" t="s">
        <v>311</v>
      </c>
      <c r="K2182" t="s">
        <v>491</v>
      </c>
      <c r="L2182">
        <v>45503</v>
      </c>
      <c r="M2182" t="s">
        <v>145</v>
      </c>
      <c r="N2182" t="s">
        <v>2184</v>
      </c>
      <c r="O2182" t="s">
        <v>45</v>
      </c>
      <c r="P2182" t="s">
        <v>58</v>
      </c>
      <c r="Q2182" t="s">
        <v>2185</v>
      </c>
      <c r="R2182">
        <v>25.984000000000002</v>
      </c>
      <c r="S2182">
        <v>1</v>
      </c>
      <c r="T2182">
        <v>0.2</v>
      </c>
      <c r="U2182">
        <v>-5.1967999999999996</v>
      </c>
      <c r="V2182" t="str">
        <f t="shared" si="34"/>
        <v>Scot Wooten</v>
      </c>
      <c r="W2182">
        <f>Table2[Profit]/Table2[Sales]</f>
        <v>-0.19999999999999998</v>
      </c>
    </row>
    <row r="2183" spans="1:23" x14ac:dyDescent="0.25">
      <c r="A2183">
        <v>2182</v>
      </c>
      <c r="B2183" t="s">
        <v>7294</v>
      </c>
      <c r="C2183" s="1">
        <v>42689</v>
      </c>
      <c r="D2183" s="1">
        <v>42693</v>
      </c>
      <c r="E2183" t="s">
        <v>49</v>
      </c>
      <c r="F2183" t="s">
        <v>6483</v>
      </c>
      <c r="G2183" t="s">
        <v>6484</v>
      </c>
      <c r="H2183" t="s">
        <v>40</v>
      </c>
      <c r="I2183" t="s">
        <v>26</v>
      </c>
      <c r="J2183" t="s">
        <v>941</v>
      </c>
      <c r="K2183" t="s">
        <v>42</v>
      </c>
      <c r="L2183">
        <v>92024</v>
      </c>
      <c r="M2183" t="s">
        <v>43</v>
      </c>
      <c r="N2183" t="s">
        <v>3627</v>
      </c>
      <c r="O2183" t="s">
        <v>70</v>
      </c>
      <c r="P2183" t="s">
        <v>71</v>
      </c>
      <c r="Q2183" t="s">
        <v>3628</v>
      </c>
      <c r="R2183">
        <v>361.37599999999998</v>
      </c>
      <c r="S2183">
        <v>2</v>
      </c>
      <c r="T2183">
        <v>0.2</v>
      </c>
      <c r="U2183">
        <v>27.103200000000001</v>
      </c>
      <c r="V2183" t="str">
        <f t="shared" si="34"/>
        <v>Anna Häberlin</v>
      </c>
      <c r="W2183">
        <f>Table2[Profit]/Table2[Sales]</f>
        <v>7.5000000000000011E-2</v>
      </c>
    </row>
    <row r="2184" spans="1:23" x14ac:dyDescent="0.25">
      <c r="A2184">
        <v>2183</v>
      </c>
      <c r="B2184" t="s">
        <v>7295</v>
      </c>
      <c r="C2184" s="1">
        <v>41827</v>
      </c>
      <c r="D2184" s="1">
        <v>41831</v>
      </c>
      <c r="E2184" t="s">
        <v>49</v>
      </c>
      <c r="F2184" t="s">
        <v>2084</v>
      </c>
      <c r="G2184" t="s">
        <v>2085</v>
      </c>
      <c r="H2184" t="s">
        <v>25</v>
      </c>
      <c r="I2184" t="s">
        <v>26</v>
      </c>
      <c r="J2184" t="s">
        <v>143</v>
      </c>
      <c r="K2184" t="s">
        <v>144</v>
      </c>
      <c r="L2184">
        <v>19120</v>
      </c>
      <c r="M2184" t="s">
        <v>145</v>
      </c>
      <c r="N2184" t="s">
        <v>3134</v>
      </c>
      <c r="O2184" t="s">
        <v>31</v>
      </c>
      <c r="P2184" t="s">
        <v>35</v>
      </c>
      <c r="Q2184" t="s">
        <v>3135</v>
      </c>
      <c r="R2184">
        <v>172.18600000000001</v>
      </c>
      <c r="S2184">
        <v>2</v>
      </c>
      <c r="T2184">
        <v>0.3</v>
      </c>
      <c r="U2184">
        <v>-46.736199999999997</v>
      </c>
      <c r="V2184" t="str">
        <f t="shared" si="34"/>
        <v>John Lee</v>
      </c>
      <c r="W2184">
        <f>Table2[Profit]/Table2[Sales]</f>
        <v>-0.27142857142857141</v>
      </c>
    </row>
    <row r="2185" spans="1:23" x14ac:dyDescent="0.25">
      <c r="A2185">
        <v>2184</v>
      </c>
      <c r="B2185" t="s">
        <v>7296</v>
      </c>
      <c r="C2185" s="1">
        <v>42446</v>
      </c>
      <c r="D2185" s="1">
        <v>42446</v>
      </c>
      <c r="E2185" t="s">
        <v>1278</v>
      </c>
      <c r="F2185" t="s">
        <v>442</v>
      </c>
      <c r="G2185" t="s">
        <v>443</v>
      </c>
      <c r="H2185" t="s">
        <v>25</v>
      </c>
      <c r="I2185" t="s">
        <v>26</v>
      </c>
      <c r="J2185" t="s">
        <v>375</v>
      </c>
      <c r="K2185" t="s">
        <v>2699</v>
      </c>
      <c r="L2185">
        <v>21044</v>
      </c>
      <c r="M2185" t="s">
        <v>145</v>
      </c>
      <c r="N2185" t="s">
        <v>3384</v>
      </c>
      <c r="O2185" t="s">
        <v>45</v>
      </c>
      <c r="P2185" t="s">
        <v>170</v>
      </c>
      <c r="Q2185" t="s">
        <v>3385</v>
      </c>
      <c r="R2185">
        <v>199.9</v>
      </c>
      <c r="S2185">
        <v>5</v>
      </c>
      <c r="T2185">
        <v>0</v>
      </c>
      <c r="U2185">
        <v>89.954999999999998</v>
      </c>
      <c r="V2185" t="str">
        <f t="shared" si="34"/>
        <v>Gary Zandusky</v>
      </c>
      <c r="W2185">
        <f>Table2[Profit]/Table2[Sales]</f>
        <v>0.44999999999999996</v>
      </c>
    </row>
    <row r="2186" spans="1:23" x14ac:dyDescent="0.25">
      <c r="A2186">
        <v>2185</v>
      </c>
      <c r="B2186" t="s">
        <v>7297</v>
      </c>
      <c r="C2186" s="1">
        <v>42730</v>
      </c>
      <c r="D2186" s="1">
        <v>42731</v>
      </c>
      <c r="E2186" t="s">
        <v>185</v>
      </c>
      <c r="F2186" t="s">
        <v>976</v>
      </c>
      <c r="G2186" t="s">
        <v>977</v>
      </c>
      <c r="H2186" t="s">
        <v>25</v>
      </c>
      <c r="I2186" t="s">
        <v>26</v>
      </c>
      <c r="J2186" t="s">
        <v>1073</v>
      </c>
      <c r="K2186" t="s">
        <v>450</v>
      </c>
      <c r="L2186">
        <v>80906</v>
      </c>
      <c r="M2186" t="s">
        <v>43</v>
      </c>
      <c r="N2186" t="s">
        <v>7298</v>
      </c>
      <c r="O2186" t="s">
        <v>45</v>
      </c>
      <c r="P2186" t="s">
        <v>67</v>
      </c>
      <c r="Q2186" t="s">
        <v>7299</v>
      </c>
      <c r="R2186">
        <v>11.327999999999999</v>
      </c>
      <c r="S2186">
        <v>2</v>
      </c>
      <c r="T2186">
        <v>0.2</v>
      </c>
      <c r="U2186">
        <v>2.5488</v>
      </c>
      <c r="V2186" t="str">
        <f t="shared" si="34"/>
        <v>Roy Collins</v>
      </c>
      <c r="W2186">
        <f>Table2[Profit]/Table2[Sales]</f>
        <v>0.22500000000000001</v>
      </c>
    </row>
    <row r="2187" spans="1:23" x14ac:dyDescent="0.25">
      <c r="A2187">
        <v>2186</v>
      </c>
      <c r="B2187" t="s">
        <v>7300</v>
      </c>
      <c r="C2187" s="1">
        <v>41884</v>
      </c>
      <c r="D2187" s="1">
        <v>41886</v>
      </c>
      <c r="E2187" t="s">
        <v>185</v>
      </c>
      <c r="F2187" t="s">
        <v>479</v>
      </c>
      <c r="G2187" t="s">
        <v>480</v>
      </c>
      <c r="H2187" t="s">
        <v>25</v>
      </c>
      <c r="I2187" t="s">
        <v>26</v>
      </c>
      <c r="J2187" t="s">
        <v>263</v>
      </c>
      <c r="K2187" t="s">
        <v>264</v>
      </c>
      <c r="L2187">
        <v>10009</v>
      </c>
      <c r="M2187" t="s">
        <v>145</v>
      </c>
      <c r="N2187" t="s">
        <v>7298</v>
      </c>
      <c r="O2187" t="s">
        <v>45</v>
      </c>
      <c r="P2187" t="s">
        <v>67</v>
      </c>
      <c r="Q2187" t="s">
        <v>7299</v>
      </c>
      <c r="R2187">
        <v>21.24</v>
      </c>
      <c r="S2187">
        <v>3</v>
      </c>
      <c r="T2187">
        <v>0</v>
      </c>
      <c r="U2187">
        <v>8.0711999999999993</v>
      </c>
      <c r="V2187" t="str">
        <f t="shared" si="34"/>
        <v>Clay Ludtke</v>
      </c>
      <c r="W2187">
        <f>Table2[Profit]/Table2[Sales]</f>
        <v>0.38</v>
      </c>
    </row>
    <row r="2188" spans="1:23" x14ac:dyDescent="0.25">
      <c r="A2188">
        <v>2187</v>
      </c>
      <c r="B2188" t="s">
        <v>7301</v>
      </c>
      <c r="C2188" s="1">
        <v>42190</v>
      </c>
      <c r="D2188" s="1">
        <v>42195</v>
      </c>
      <c r="E2188" t="s">
        <v>49</v>
      </c>
      <c r="F2188" t="s">
        <v>5137</v>
      </c>
      <c r="G2188" t="s">
        <v>5138</v>
      </c>
      <c r="H2188" t="s">
        <v>25</v>
      </c>
      <c r="I2188" t="s">
        <v>26</v>
      </c>
      <c r="J2188" t="s">
        <v>143</v>
      </c>
      <c r="K2188" t="s">
        <v>144</v>
      </c>
      <c r="L2188">
        <v>19140</v>
      </c>
      <c r="M2188" t="s">
        <v>145</v>
      </c>
      <c r="N2188" t="s">
        <v>734</v>
      </c>
      <c r="O2188" t="s">
        <v>70</v>
      </c>
      <c r="P2188" t="s">
        <v>158</v>
      </c>
      <c r="Q2188" t="s">
        <v>735</v>
      </c>
      <c r="R2188">
        <v>34.799999999999997</v>
      </c>
      <c r="S2188">
        <v>3</v>
      </c>
      <c r="T2188">
        <v>0.2</v>
      </c>
      <c r="U2188">
        <v>2.1749999999999998</v>
      </c>
      <c r="V2188" t="str">
        <f t="shared" si="34"/>
        <v>Mitch Webber</v>
      </c>
      <c r="W2188">
        <f>Table2[Profit]/Table2[Sales]</f>
        <v>6.25E-2</v>
      </c>
    </row>
    <row r="2189" spans="1:23" x14ac:dyDescent="0.25">
      <c r="A2189">
        <v>2188</v>
      </c>
      <c r="B2189" t="s">
        <v>7302</v>
      </c>
      <c r="C2189" s="1">
        <v>42694</v>
      </c>
      <c r="D2189" s="1">
        <v>42699</v>
      </c>
      <c r="E2189" t="s">
        <v>49</v>
      </c>
      <c r="F2189" t="s">
        <v>4517</v>
      </c>
      <c r="G2189" t="s">
        <v>4518</v>
      </c>
      <c r="H2189" t="s">
        <v>40</v>
      </c>
      <c r="I2189" t="s">
        <v>26</v>
      </c>
      <c r="J2189" t="s">
        <v>490</v>
      </c>
      <c r="K2189" t="s">
        <v>251</v>
      </c>
      <c r="L2189">
        <v>47201</v>
      </c>
      <c r="M2189" t="s">
        <v>104</v>
      </c>
      <c r="N2189" t="s">
        <v>2705</v>
      </c>
      <c r="O2189" t="s">
        <v>45</v>
      </c>
      <c r="P2189" t="s">
        <v>89</v>
      </c>
      <c r="Q2189" t="s">
        <v>2706</v>
      </c>
      <c r="R2189">
        <v>9.08</v>
      </c>
      <c r="S2189">
        <v>2</v>
      </c>
      <c r="T2189">
        <v>0</v>
      </c>
      <c r="U2189">
        <v>4.0860000000000003</v>
      </c>
      <c r="V2189" t="str">
        <f t="shared" si="34"/>
        <v>Barbara Fisher</v>
      </c>
      <c r="W2189">
        <f>Table2[Profit]/Table2[Sales]</f>
        <v>0.45</v>
      </c>
    </row>
    <row r="2190" spans="1:23" x14ac:dyDescent="0.25">
      <c r="A2190">
        <v>2189</v>
      </c>
      <c r="B2190" t="s">
        <v>7303</v>
      </c>
      <c r="C2190" s="1">
        <v>41765</v>
      </c>
      <c r="D2190" s="1">
        <v>41770</v>
      </c>
      <c r="E2190" t="s">
        <v>49</v>
      </c>
      <c r="F2190" t="s">
        <v>194</v>
      </c>
      <c r="G2190" t="s">
        <v>195</v>
      </c>
      <c r="H2190" t="s">
        <v>101</v>
      </c>
      <c r="I2190" t="s">
        <v>26</v>
      </c>
      <c r="J2190" t="s">
        <v>41</v>
      </c>
      <c r="K2190" t="s">
        <v>42</v>
      </c>
      <c r="L2190">
        <v>90004</v>
      </c>
      <c r="M2190" t="s">
        <v>43</v>
      </c>
      <c r="N2190" t="s">
        <v>3308</v>
      </c>
      <c r="O2190" t="s">
        <v>45</v>
      </c>
      <c r="P2190" t="s">
        <v>46</v>
      </c>
      <c r="Q2190" t="s">
        <v>3309</v>
      </c>
      <c r="R2190">
        <v>5.78</v>
      </c>
      <c r="S2190">
        <v>2</v>
      </c>
      <c r="T2190">
        <v>0</v>
      </c>
      <c r="U2190">
        <v>2.7166000000000001</v>
      </c>
      <c r="V2190" t="str">
        <f t="shared" si="34"/>
        <v>Steve Nguyen</v>
      </c>
      <c r="W2190">
        <f>Table2[Profit]/Table2[Sales]</f>
        <v>0.47000000000000003</v>
      </c>
    </row>
    <row r="2191" spans="1:23" x14ac:dyDescent="0.25">
      <c r="A2191">
        <v>2190</v>
      </c>
      <c r="B2191" t="s">
        <v>7304</v>
      </c>
      <c r="C2191" s="1">
        <v>41811</v>
      </c>
      <c r="D2191" s="1">
        <v>41814</v>
      </c>
      <c r="E2191" t="s">
        <v>185</v>
      </c>
      <c r="F2191" t="s">
        <v>4196</v>
      </c>
      <c r="G2191" t="s">
        <v>4197</v>
      </c>
      <c r="H2191" t="s">
        <v>25</v>
      </c>
      <c r="I2191" t="s">
        <v>26</v>
      </c>
      <c r="J2191" t="s">
        <v>263</v>
      </c>
      <c r="K2191" t="s">
        <v>264</v>
      </c>
      <c r="L2191">
        <v>10024</v>
      </c>
      <c r="M2191" t="s">
        <v>145</v>
      </c>
      <c r="N2191" t="s">
        <v>4948</v>
      </c>
      <c r="O2191" t="s">
        <v>45</v>
      </c>
      <c r="P2191" t="s">
        <v>89</v>
      </c>
      <c r="Q2191" t="s">
        <v>4949</v>
      </c>
      <c r="R2191">
        <v>19.649999999999999</v>
      </c>
      <c r="S2191">
        <v>3</v>
      </c>
      <c r="T2191">
        <v>0</v>
      </c>
      <c r="U2191">
        <v>9.0389999999999997</v>
      </c>
      <c r="V2191" t="str">
        <f t="shared" si="34"/>
        <v>Toby Braunhardt</v>
      </c>
      <c r="W2191">
        <f>Table2[Profit]/Table2[Sales]</f>
        <v>0.46</v>
      </c>
    </row>
    <row r="2192" spans="1:23" x14ac:dyDescent="0.25">
      <c r="A2192">
        <v>2191</v>
      </c>
      <c r="B2192" t="s">
        <v>7305</v>
      </c>
      <c r="C2192" s="1">
        <v>42966</v>
      </c>
      <c r="D2192" s="1">
        <v>42970</v>
      </c>
      <c r="E2192" t="s">
        <v>49</v>
      </c>
      <c r="F2192" t="s">
        <v>697</v>
      </c>
      <c r="G2192" t="s">
        <v>698</v>
      </c>
      <c r="H2192" t="s">
        <v>40</v>
      </c>
      <c r="I2192" t="s">
        <v>26</v>
      </c>
      <c r="J2192" t="s">
        <v>1465</v>
      </c>
      <c r="K2192" t="s">
        <v>1233</v>
      </c>
      <c r="L2192">
        <v>1841</v>
      </c>
      <c r="M2192" t="s">
        <v>145</v>
      </c>
      <c r="N2192" t="s">
        <v>2931</v>
      </c>
      <c r="O2192" t="s">
        <v>45</v>
      </c>
      <c r="P2192" t="s">
        <v>74</v>
      </c>
      <c r="Q2192" t="s">
        <v>2932</v>
      </c>
      <c r="R2192">
        <v>387.99</v>
      </c>
      <c r="S2192">
        <v>1</v>
      </c>
      <c r="T2192">
        <v>0</v>
      </c>
      <c r="U2192">
        <v>182.3553</v>
      </c>
      <c r="V2192" t="str">
        <f t="shared" si="34"/>
        <v>Jennifer Braxton</v>
      </c>
      <c r="W2192">
        <f>Table2[Profit]/Table2[Sales]</f>
        <v>0.47</v>
      </c>
    </row>
    <row r="2193" spans="1:23" x14ac:dyDescent="0.25">
      <c r="A2193">
        <v>2192</v>
      </c>
      <c r="B2193" t="s">
        <v>7306</v>
      </c>
      <c r="C2193" s="1">
        <v>41972</v>
      </c>
      <c r="D2193" s="1">
        <v>41979</v>
      </c>
      <c r="E2193" t="s">
        <v>49</v>
      </c>
      <c r="F2193" t="s">
        <v>981</v>
      </c>
      <c r="G2193" t="s">
        <v>982</v>
      </c>
      <c r="H2193" t="s">
        <v>25</v>
      </c>
      <c r="I2193" t="s">
        <v>26</v>
      </c>
      <c r="J2193" t="s">
        <v>126</v>
      </c>
      <c r="K2193" t="s">
        <v>42</v>
      </c>
      <c r="L2193">
        <v>94122</v>
      </c>
      <c r="M2193" t="s">
        <v>43</v>
      </c>
      <c r="N2193" t="s">
        <v>3446</v>
      </c>
      <c r="O2193" t="s">
        <v>70</v>
      </c>
      <c r="P2193" t="s">
        <v>71</v>
      </c>
      <c r="Q2193" t="s">
        <v>3447</v>
      </c>
      <c r="R2193">
        <v>575.91999999999996</v>
      </c>
      <c r="S2193">
        <v>2</v>
      </c>
      <c r="T2193">
        <v>0.2</v>
      </c>
      <c r="U2193">
        <v>71.989999999999995</v>
      </c>
      <c r="V2193" t="str">
        <f t="shared" si="34"/>
        <v>Alan Hwang</v>
      </c>
      <c r="W2193">
        <f>Table2[Profit]/Table2[Sales]</f>
        <v>0.125</v>
      </c>
    </row>
    <row r="2194" spans="1:23" x14ac:dyDescent="0.25">
      <c r="A2194">
        <v>2193</v>
      </c>
      <c r="B2194" t="s">
        <v>7307</v>
      </c>
      <c r="C2194" s="1">
        <v>42834</v>
      </c>
      <c r="D2194" s="1">
        <v>42837</v>
      </c>
      <c r="E2194" t="s">
        <v>22</v>
      </c>
      <c r="F2194" t="s">
        <v>909</v>
      </c>
      <c r="G2194" t="s">
        <v>910</v>
      </c>
      <c r="H2194" t="s">
        <v>25</v>
      </c>
      <c r="I2194" t="s">
        <v>26</v>
      </c>
      <c r="J2194" t="s">
        <v>873</v>
      </c>
      <c r="K2194" t="s">
        <v>235</v>
      </c>
      <c r="L2194">
        <v>48205</v>
      </c>
      <c r="M2194" t="s">
        <v>104</v>
      </c>
      <c r="N2194" t="s">
        <v>3758</v>
      </c>
      <c r="O2194" t="s">
        <v>45</v>
      </c>
      <c r="P2194" t="s">
        <v>74</v>
      </c>
      <c r="Q2194" t="s">
        <v>3759</v>
      </c>
      <c r="R2194">
        <v>478.24</v>
      </c>
      <c r="S2194">
        <v>8</v>
      </c>
      <c r="T2194">
        <v>0</v>
      </c>
      <c r="U2194">
        <v>219.99039999999999</v>
      </c>
      <c r="V2194" t="str">
        <f t="shared" si="34"/>
        <v>Ken Lonsdale</v>
      </c>
      <c r="W2194">
        <f>Table2[Profit]/Table2[Sales]</f>
        <v>0.45999999999999996</v>
      </c>
    </row>
    <row r="2195" spans="1:23" x14ac:dyDescent="0.25">
      <c r="A2195">
        <v>2194</v>
      </c>
      <c r="B2195" t="s">
        <v>7308</v>
      </c>
      <c r="C2195" s="1">
        <v>41993</v>
      </c>
      <c r="D2195" s="1">
        <v>42000</v>
      </c>
      <c r="E2195" t="s">
        <v>49</v>
      </c>
      <c r="F2195" t="s">
        <v>6508</v>
      </c>
      <c r="G2195" t="s">
        <v>6509</v>
      </c>
      <c r="H2195" t="s">
        <v>25</v>
      </c>
      <c r="I2195" t="s">
        <v>26</v>
      </c>
      <c r="J2195" t="s">
        <v>772</v>
      </c>
      <c r="K2195" t="s">
        <v>491</v>
      </c>
      <c r="L2195">
        <v>45011</v>
      </c>
      <c r="M2195" t="s">
        <v>145</v>
      </c>
      <c r="N2195" t="s">
        <v>546</v>
      </c>
      <c r="O2195" t="s">
        <v>31</v>
      </c>
      <c r="P2195" t="s">
        <v>64</v>
      </c>
      <c r="Q2195" t="s">
        <v>547</v>
      </c>
      <c r="R2195">
        <v>190.84800000000001</v>
      </c>
      <c r="S2195">
        <v>3</v>
      </c>
      <c r="T2195">
        <v>0.2</v>
      </c>
      <c r="U2195">
        <v>-21.470400000000001</v>
      </c>
      <c r="V2195" t="str">
        <f t="shared" si="34"/>
        <v>Mark Hamilton</v>
      </c>
      <c r="W2195">
        <f>Table2[Profit]/Table2[Sales]</f>
        <v>-0.1125</v>
      </c>
    </row>
    <row r="2196" spans="1:23" x14ac:dyDescent="0.25">
      <c r="A2196">
        <v>2195</v>
      </c>
      <c r="B2196" t="s">
        <v>7309</v>
      </c>
      <c r="C2196" s="1">
        <v>41990</v>
      </c>
      <c r="D2196" s="1">
        <v>41997</v>
      </c>
      <c r="E2196" t="s">
        <v>49</v>
      </c>
      <c r="F2196" t="s">
        <v>6170</v>
      </c>
      <c r="G2196" t="s">
        <v>6171</v>
      </c>
      <c r="H2196" t="s">
        <v>25</v>
      </c>
      <c r="I2196" t="s">
        <v>26</v>
      </c>
      <c r="J2196" t="s">
        <v>490</v>
      </c>
      <c r="K2196" t="s">
        <v>491</v>
      </c>
      <c r="L2196">
        <v>43229</v>
      </c>
      <c r="M2196" t="s">
        <v>145</v>
      </c>
      <c r="N2196" t="s">
        <v>4719</v>
      </c>
      <c r="O2196" t="s">
        <v>45</v>
      </c>
      <c r="P2196" t="s">
        <v>74</v>
      </c>
      <c r="Q2196" t="s">
        <v>4720</v>
      </c>
      <c r="R2196">
        <v>5.484</v>
      </c>
      <c r="S2196">
        <v>4</v>
      </c>
      <c r="T2196">
        <v>0.7</v>
      </c>
      <c r="U2196">
        <v>-4.0216000000000003</v>
      </c>
      <c r="V2196" t="str">
        <f t="shared" si="34"/>
        <v>Erin Creighton</v>
      </c>
      <c r="W2196">
        <f>Table2[Profit]/Table2[Sales]</f>
        <v>-0.73333333333333339</v>
      </c>
    </row>
    <row r="2197" spans="1:23" x14ac:dyDescent="0.25">
      <c r="A2197">
        <v>2196</v>
      </c>
      <c r="B2197" t="s">
        <v>7310</v>
      </c>
      <c r="C2197" s="1">
        <v>42325</v>
      </c>
      <c r="D2197" s="1">
        <v>42329</v>
      </c>
      <c r="E2197" t="s">
        <v>22</v>
      </c>
      <c r="F2197" t="s">
        <v>2851</v>
      </c>
      <c r="G2197" t="s">
        <v>2852</v>
      </c>
      <c r="H2197" t="s">
        <v>25</v>
      </c>
      <c r="I2197" t="s">
        <v>26</v>
      </c>
      <c r="J2197" t="s">
        <v>296</v>
      </c>
      <c r="K2197" t="s">
        <v>208</v>
      </c>
      <c r="L2197">
        <v>60610</v>
      </c>
      <c r="M2197" t="s">
        <v>104</v>
      </c>
      <c r="N2197" t="s">
        <v>2615</v>
      </c>
      <c r="O2197" t="s">
        <v>45</v>
      </c>
      <c r="P2197" t="s">
        <v>572</v>
      </c>
      <c r="Q2197" t="s">
        <v>2616</v>
      </c>
      <c r="R2197">
        <v>40.92</v>
      </c>
      <c r="S2197">
        <v>5</v>
      </c>
      <c r="T2197">
        <v>0.2</v>
      </c>
      <c r="U2197">
        <v>3.069</v>
      </c>
      <c r="V2197" t="str">
        <f t="shared" si="34"/>
        <v>Greg Hansen</v>
      </c>
      <c r="W2197">
        <f>Table2[Profit]/Table2[Sales]</f>
        <v>7.4999999999999997E-2</v>
      </c>
    </row>
    <row r="2198" spans="1:23" x14ac:dyDescent="0.25">
      <c r="A2198">
        <v>2197</v>
      </c>
      <c r="B2198" t="s">
        <v>7311</v>
      </c>
      <c r="C2198" s="1">
        <v>41702</v>
      </c>
      <c r="D2198" s="1">
        <v>41707</v>
      </c>
      <c r="E2198" t="s">
        <v>49</v>
      </c>
      <c r="F2198" t="s">
        <v>1561</v>
      </c>
      <c r="G2198" t="s">
        <v>1562</v>
      </c>
      <c r="H2198" t="s">
        <v>25</v>
      </c>
      <c r="I2198" t="s">
        <v>26</v>
      </c>
      <c r="J2198" t="s">
        <v>7312</v>
      </c>
      <c r="K2198" t="s">
        <v>53</v>
      </c>
      <c r="L2198">
        <v>33063</v>
      </c>
      <c r="M2198" t="s">
        <v>29</v>
      </c>
      <c r="N2198" t="s">
        <v>1234</v>
      </c>
      <c r="O2198" t="s">
        <v>45</v>
      </c>
      <c r="P2198" t="s">
        <v>67</v>
      </c>
      <c r="Q2198" t="s">
        <v>1235</v>
      </c>
      <c r="R2198">
        <v>15.552</v>
      </c>
      <c r="S2198">
        <v>3</v>
      </c>
      <c r="T2198">
        <v>0.2</v>
      </c>
      <c r="U2198">
        <v>2.3328000000000002</v>
      </c>
      <c r="V2198" t="str">
        <f t="shared" si="34"/>
        <v>Sanjit Chand</v>
      </c>
      <c r="W2198">
        <f>Table2[Profit]/Table2[Sales]</f>
        <v>0.15000000000000002</v>
      </c>
    </row>
    <row r="2199" spans="1:23" x14ac:dyDescent="0.25">
      <c r="A2199">
        <v>2198</v>
      </c>
      <c r="B2199" t="s">
        <v>7313</v>
      </c>
      <c r="C2199" s="1">
        <v>42873</v>
      </c>
      <c r="D2199" s="1">
        <v>42874</v>
      </c>
      <c r="E2199" t="s">
        <v>185</v>
      </c>
      <c r="F2199" t="s">
        <v>3513</v>
      </c>
      <c r="G2199" t="s">
        <v>3514</v>
      </c>
      <c r="H2199" t="s">
        <v>40</v>
      </c>
      <c r="I2199" t="s">
        <v>26</v>
      </c>
      <c r="J2199" t="s">
        <v>7314</v>
      </c>
      <c r="K2199" t="s">
        <v>1260</v>
      </c>
      <c r="L2199">
        <v>30328</v>
      </c>
      <c r="M2199" t="s">
        <v>29</v>
      </c>
      <c r="N2199" t="s">
        <v>138</v>
      </c>
      <c r="O2199" t="s">
        <v>45</v>
      </c>
      <c r="P2199" t="s">
        <v>77</v>
      </c>
      <c r="Q2199" t="s">
        <v>139</v>
      </c>
      <c r="R2199">
        <v>17.239999999999998</v>
      </c>
      <c r="S2199">
        <v>2</v>
      </c>
      <c r="T2199">
        <v>0</v>
      </c>
      <c r="U2199">
        <v>4.4824000000000002</v>
      </c>
      <c r="V2199" t="str">
        <f t="shared" si="34"/>
        <v>Todd Boyes</v>
      </c>
      <c r="W2199">
        <f>Table2[Profit]/Table2[Sales]</f>
        <v>0.26</v>
      </c>
    </row>
    <row r="2200" spans="1:23" x14ac:dyDescent="0.25">
      <c r="A2200">
        <v>2199</v>
      </c>
      <c r="B2200" t="s">
        <v>7315</v>
      </c>
      <c r="C2200" s="1">
        <v>43000</v>
      </c>
      <c r="D2200" s="1">
        <v>43006</v>
      </c>
      <c r="E2200" t="s">
        <v>49</v>
      </c>
      <c r="F2200" t="s">
        <v>6301</v>
      </c>
      <c r="G2200" t="s">
        <v>6302</v>
      </c>
      <c r="H2200" t="s">
        <v>40</v>
      </c>
      <c r="I2200" t="s">
        <v>26</v>
      </c>
      <c r="J2200" t="s">
        <v>5354</v>
      </c>
      <c r="K2200" t="s">
        <v>660</v>
      </c>
      <c r="L2200">
        <v>87105</v>
      </c>
      <c r="M2200" t="s">
        <v>43</v>
      </c>
      <c r="N2200" t="s">
        <v>795</v>
      </c>
      <c r="O2200" t="s">
        <v>45</v>
      </c>
      <c r="P2200" t="s">
        <v>89</v>
      </c>
      <c r="Q2200" t="s">
        <v>796</v>
      </c>
      <c r="R2200">
        <v>27.18</v>
      </c>
      <c r="S2200">
        <v>3</v>
      </c>
      <c r="T2200">
        <v>0</v>
      </c>
      <c r="U2200">
        <v>12.231</v>
      </c>
      <c r="V2200" t="str">
        <f t="shared" si="34"/>
        <v>David Wiener</v>
      </c>
      <c r="W2200">
        <f>Table2[Profit]/Table2[Sales]</f>
        <v>0.45</v>
      </c>
    </row>
    <row r="2201" spans="1:23" x14ac:dyDescent="0.25">
      <c r="A2201">
        <v>2200</v>
      </c>
      <c r="B2201" t="s">
        <v>7316</v>
      </c>
      <c r="C2201" s="1">
        <v>42815</v>
      </c>
      <c r="D2201" s="1">
        <v>42821</v>
      </c>
      <c r="E2201" t="s">
        <v>49</v>
      </c>
      <c r="F2201" t="s">
        <v>479</v>
      </c>
      <c r="G2201" t="s">
        <v>480</v>
      </c>
      <c r="H2201" t="s">
        <v>25</v>
      </c>
      <c r="I2201" t="s">
        <v>26</v>
      </c>
      <c r="J2201" t="s">
        <v>4454</v>
      </c>
      <c r="K2201" t="s">
        <v>641</v>
      </c>
      <c r="L2201">
        <v>74133</v>
      </c>
      <c r="M2201" t="s">
        <v>104</v>
      </c>
      <c r="N2201" t="s">
        <v>6208</v>
      </c>
      <c r="O2201" t="s">
        <v>31</v>
      </c>
      <c r="P2201" t="s">
        <v>35</v>
      </c>
      <c r="Q2201" t="s">
        <v>6209</v>
      </c>
      <c r="R2201">
        <v>1805.88</v>
      </c>
      <c r="S2201">
        <v>6</v>
      </c>
      <c r="T2201">
        <v>0</v>
      </c>
      <c r="U2201">
        <v>523.70519999999999</v>
      </c>
      <c r="V2201" t="str">
        <f t="shared" si="34"/>
        <v>Clay Ludtke</v>
      </c>
      <c r="W2201">
        <f>Table2[Profit]/Table2[Sales]</f>
        <v>0.28999999999999998</v>
      </c>
    </row>
    <row r="2202" spans="1:23" x14ac:dyDescent="0.25">
      <c r="A2202">
        <v>2201</v>
      </c>
      <c r="B2202" t="s">
        <v>7317</v>
      </c>
      <c r="C2202" s="1">
        <v>42992</v>
      </c>
      <c r="D2202" s="1">
        <v>42992</v>
      </c>
      <c r="E2202" t="s">
        <v>1278</v>
      </c>
      <c r="F2202" t="s">
        <v>2443</v>
      </c>
      <c r="G2202" t="s">
        <v>2444</v>
      </c>
      <c r="H2202" t="s">
        <v>25</v>
      </c>
      <c r="I2202" t="s">
        <v>26</v>
      </c>
      <c r="J2202" t="s">
        <v>5936</v>
      </c>
      <c r="K2202" t="s">
        <v>781</v>
      </c>
      <c r="L2202">
        <v>7050</v>
      </c>
      <c r="M2202" t="s">
        <v>145</v>
      </c>
      <c r="N2202" t="s">
        <v>6649</v>
      </c>
      <c r="O2202" t="s">
        <v>45</v>
      </c>
      <c r="P2202" t="s">
        <v>67</v>
      </c>
      <c r="Q2202" t="s">
        <v>6650</v>
      </c>
      <c r="R2202">
        <v>70.95</v>
      </c>
      <c r="S2202">
        <v>3</v>
      </c>
      <c r="T2202">
        <v>0</v>
      </c>
      <c r="U2202">
        <v>18.446999999999999</v>
      </c>
      <c r="V2202" t="str">
        <f t="shared" si="34"/>
        <v>Liz Thompson</v>
      </c>
      <c r="W2202">
        <f>Table2[Profit]/Table2[Sales]</f>
        <v>0.25999999999999995</v>
      </c>
    </row>
    <row r="2203" spans="1:23" x14ac:dyDescent="0.25">
      <c r="A2203">
        <v>2202</v>
      </c>
      <c r="B2203" t="s">
        <v>7318</v>
      </c>
      <c r="C2203" s="1">
        <v>42677</v>
      </c>
      <c r="D2203" s="1">
        <v>42682</v>
      </c>
      <c r="E2203" t="s">
        <v>22</v>
      </c>
      <c r="F2203" t="s">
        <v>2255</v>
      </c>
      <c r="G2203" t="s">
        <v>2256</v>
      </c>
      <c r="H2203" t="s">
        <v>25</v>
      </c>
      <c r="I2203" t="s">
        <v>26</v>
      </c>
      <c r="J2203" t="s">
        <v>27</v>
      </c>
      <c r="K2203" t="s">
        <v>28</v>
      </c>
      <c r="L2203">
        <v>42420</v>
      </c>
      <c r="M2203" t="s">
        <v>29</v>
      </c>
      <c r="N2203" t="s">
        <v>2541</v>
      </c>
      <c r="O2203" t="s">
        <v>45</v>
      </c>
      <c r="P2203" t="s">
        <v>266</v>
      </c>
      <c r="Q2203" t="s">
        <v>2542</v>
      </c>
      <c r="R2203">
        <v>20</v>
      </c>
      <c r="S2203">
        <v>4</v>
      </c>
      <c r="T2203">
        <v>0</v>
      </c>
      <c r="U2203">
        <v>9.6</v>
      </c>
      <c r="V2203" t="str">
        <f t="shared" si="34"/>
        <v>Arthur Prichep</v>
      </c>
      <c r="W2203">
        <f>Table2[Profit]/Table2[Sales]</f>
        <v>0.48</v>
      </c>
    </row>
    <row r="2204" spans="1:23" x14ac:dyDescent="0.25">
      <c r="A2204">
        <v>2203</v>
      </c>
      <c r="B2204" t="s">
        <v>7321</v>
      </c>
      <c r="C2204" s="1">
        <v>42493</v>
      </c>
      <c r="D2204" s="1">
        <v>42498</v>
      </c>
      <c r="E2204" t="s">
        <v>49</v>
      </c>
      <c r="F2204" t="s">
        <v>4750</v>
      </c>
      <c r="G2204" t="s">
        <v>4751</v>
      </c>
      <c r="H2204" t="s">
        <v>25</v>
      </c>
      <c r="I2204" t="s">
        <v>26</v>
      </c>
      <c r="J2204" t="s">
        <v>296</v>
      </c>
      <c r="K2204" t="s">
        <v>208</v>
      </c>
      <c r="L2204">
        <v>60653</v>
      </c>
      <c r="M2204" t="s">
        <v>104</v>
      </c>
      <c r="N2204" t="s">
        <v>2440</v>
      </c>
      <c r="O2204" t="s">
        <v>45</v>
      </c>
      <c r="P2204" t="s">
        <v>74</v>
      </c>
      <c r="Q2204" t="s">
        <v>2441</v>
      </c>
      <c r="R2204">
        <v>2.1819999999999999</v>
      </c>
      <c r="S2204">
        <v>1</v>
      </c>
      <c r="T2204">
        <v>0.8</v>
      </c>
      <c r="U2204">
        <v>-3.6002999999999998</v>
      </c>
      <c r="V2204" t="str">
        <f t="shared" si="34"/>
        <v>Christy Brittain</v>
      </c>
      <c r="W2204">
        <f>Table2[Profit]/Table2[Sales]</f>
        <v>-1.65</v>
      </c>
    </row>
    <row r="2205" spans="1:23" x14ac:dyDescent="0.25">
      <c r="A2205">
        <v>2204</v>
      </c>
      <c r="B2205" t="s">
        <v>7324</v>
      </c>
      <c r="C2205" s="1">
        <v>42731</v>
      </c>
      <c r="D2205" s="1">
        <v>42737</v>
      </c>
      <c r="E2205" t="s">
        <v>49</v>
      </c>
      <c r="F2205" t="s">
        <v>2955</v>
      </c>
      <c r="G2205" t="s">
        <v>2956</v>
      </c>
      <c r="H2205" t="s">
        <v>25</v>
      </c>
      <c r="I2205" t="s">
        <v>26</v>
      </c>
      <c r="J2205" t="s">
        <v>7211</v>
      </c>
      <c r="K2205" t="s">
        <v>103</v>
      </c>
      <c r="L2205">
        <v>77642</v>
      </c>
      <c r="M2205" t="s">
        <v>104</v>
      </c>
      <c r="N2205" t="s">
        <v>4685</v>
      </c>
      <c r="O2205" t="s">
        <v>45</v>
      </c>
      <c r="P2205" t="s">
        <v>89</v>
      </c>
      <c r="Q2205" t="s">
        <v>4686</v>
      </c>
      <c r="R2205">
        <v>10.368</v>
      </c>
      <c r="S2205">
        <v>2</v>
      </c>
      <c r="T2205">
        <v>0.2</v>
      </c>
      <c r="U2205">
        <v>3.6288</v>
      </c>
      <c r="V2205" t="str">
        <f t="shared" si="34"/>
        <v>Meg Tillman</v>
      </c>
      <c r="W2205">
        <f>Table2[Profit]/Table2[Sales]</f>
        <v>0.35</v>
      </c>
    </row>
    <row r="2206" spans="1:23" x14ac:dyDescent="0.25">
      <c r="A2206">
        <v>2205</v>
      </c>
      <c r="B2206" t="s">
        <v>7325</v>
      </c>
      <c r="C2206" s="1">
        <v>42573</v>
      </c>
      <c r="D2206" s="1">
        <v>42577</v>
      </c>
      <c r="E2206" t="s">
        <v>49</v>
      </c>
      <c r="F2206" t="s">
        <v>5071</v>
      </c>
      <c r="G2206" t="s">
        <v>5072</v>
      </c>
      <c r="H2206" t="s">
        <v>25</v>
      </c>
      <c r="I2206" t="s">
        <v>26</v>
      </c>
      <c r="J2206" t="s">
        <v>234</v>
      </c>
      <c r="K2206" t="s">
        <v>235</v>
      </c>
      <c r="L2206">
        <v>48185</v>
      </c>
      <c r="M2206" t="s">
        <v>104</v>
      </c>
      <c r="N2206" t="s">
        <v>3796</v>
      </c>
      <c r="O2206" t="s">
        <v>70</v>
      </c>
      <c r="P2206" t="s">
        <v>158</v>
      </c>
      <c r="Q2206" t="s">
        <v>3797</v>
      </c>
      <c r="R2206">
        <v>109.95</v>
      </c>
      <c r="S2206">
        <v>1</v>
      </c>
      <c r="T2206">
        <v>0</v>
      </c>
      <c r="U2206">
        <v>36.283499999999997</v>
      </c>
      <c r="V2206" t="str">
        <f t="shared" si="34"/>
        <v>Dennis Kane</v>
      </c>
      <c r="W2206">
        <f>Table2[Profit]/Table2[Sales]</f>
        <v>0.32999999999999996</v>
      </c>
    </row>
    <row r="2207" spans="1:23" x14ac:dyDescent="0.25">
      <c r="A2207">
        <v>2206</v>
      </c>
      <c r="B2207" t="s">
        <v>7330</v>
      </c>
      <c r="C2207" s="1">
        <v>41959</v>
      </c>
      <c r="D2207" s="1">
        <v>41964</v>
      </c>
      <c r="E2207" t="s">
        <v>49</v>
      </c>
      <c r="F2207" t="s">
        <v>2116</v>
      </c>
      <c r="G2207" t="s">
        <v>2117</v>
      </c>
      <c r="H2207" t="s">
        <v>101</v>
      </c>
      <c r="I2207" t="s">
        <v>26</v>
      </c>
      <c r="J2207" t="s">
        <v>531</v>
      </c>
      <c r="K2207" t="s">
        <v>251</v>
      </c>
      <c r="L2207">
        <v>47401</v>
      </c>
      <c r="M2207" t="s">
        <v>104</v>
      </c>
      <c r="N2207" t="s">
        <v>5465</v>
      </c>
      <c r="O2207" t="s">
        <v>45</v>
      </c>
      <c r="P2207" t="s">
        <v>170</v>
      </c>
      <c r="Q2207" t="s">
        <v>5466</v>
      </c>
      <c r="R2207">
        <v>78.349999999999994</v>
      </c>
      <c r="S2207">
        <v>5</v>
      </c>
      <c r="T2207">
        <v>0</v>
      </c>
      <c r="U2207">
        <v>36.8245</v>
      </c>
      <c r="V2207" t="str">
        <f t="shared" si="34"/>
        <v>Steven Roelle</v>
      </c>
      <c r="W2207">
        <f>Table2[Profit]/Table2[Sales]</f>
        <v>0.47000000000000003</v>
      </c>
    </row>
    <row r="2208" spans="1:23" x14ac:dyDescent="0.25">
      <c r="A2208">
        <v>2207</v>
      </c>
      <c r="B2208" t="s">
        <v>7331</v>
      </c>
      <c r="C2208" s="1">
        <v>42174</v>
      </c>
      <c r="D2208" s="1">
        <v>42178</v>
      </c>
      <c r="E2208" t="s">
        <v>49</v>
      </c>
      <c r="F2208" t="s">
        <v>934</v>
      </c>
      <c r="G2208" t="s">
        <v>935</v>
      </c>
      <c r="H2208" t="s">
        <v>25</v>
      </c>
      <c r="I2208" t="s">
        <v>26</v>
      </c>
      <c r="J2208" t="s">
        <v>41</v>
      </c>
      <c r="K2208" t="s">
        <v>42</v>
      </c>
      <c r="L2208">
        <v>90032</v>
      </c>
      <c r="M2208" t="s">
        <v>43</v>
      </c>
      <c r="N2208" t="s">
        <v>2081</v>
      </c>
      <c r="O2208" t="s">
        <v>31</v>
      </c>
      <c r="P2208" t="s">
        <v>64</v>
      </c>
      <c r="Q2208" t="s">
        <v>2082</v>
      </c>
      <c r="R2208">
        <v>12.56</v>
      </c>
      <c r="S2208">
        <v>2</v>
      </c>
      <c r="T2208">
        <v>0</v>
      </c>
      <c r="U2208">
        <v>4.0191999999999997</v>
      </c>
      <c r="V2208" t="str">
        <f t="shared" si="34"/>
        <v>Logan Haushalter</v>
      </c>
      <c r="W2208">
        <f>Table2[Profit]/Table2[Sales]</f>
        <v>0.31999999999999995</v>
      </c>
    </row>
    <row r="2209" spans="1:23" x14ac:dyDescent="0.25">
      <c r="A2209">
        <v>2208</v>
      </c>
      <c r="B2209" t="s">
        <v>7332</v>
      </c>
      <c r="C2209" s="1">
        <v>42555</v>
      </c>
      <c r="D2209" s="1">
        <v>42557</v>
      </c>
      <c r="E2209" t="s">
        <v>185</v>
      </c>
      <c r="F2209" t="s">
        <v>6992</v>
      </c>
      <c r="G2209" t="s">
        <v>6993</v>
      </c>
      <c r="H2209" t="s">
        <v>25</v>
      </c>
      <c r="I2209" t="s">
        <v>26</v>
      </c>
      <c r="J2209" t="s">
        <v>126</v>
      </c>
      <c r="K2209" t="s">
        <v>42</v>
      </c>
      <c r="L2209">
        <v>94109</v>
      </c>
      <c r="M2209" t="s">
        <v>43</v>
      </c>
      <c r="N2209" t="s">
        <v>2039</v>
      </c>
      <c r="O2209" t="s">
        <v>31</v>
      </c>
      <c r="P2209" t="s">
        <v>64</v>
      </c>
      <c r="Q2209" t="s">
        <v>2040</v>
      </c>
      <c r="R2209">
        <v>25.4</v>
      </c>
      <c r="S2209">
        <v>5</v>
      </c>
      <c r="T2209">
        <v>0</v>
      </c>
      <c r="U2209">
        <v>8.6359999999999992</v>
      </c>
      <c r="V2209" t="str">
        <f t="shared" si="34"/>
        <v>Anna Andreadi</v>
      </c>
      <c r="W2209">
        <f>Table2[Profit]/Table2[Sales]</f>
        <v>0.33999999999999997</v>
      </c>
    </row>
    <row r="2210" spans="1:23" x14ac:dyDescent="0.25">
      <c r="A2210">
        <v>2209</v>
      </c>
      <c r="B2210" t="s">
        <v>7333</v>
      </c>
      <c r="C2210" s="1">
        <v>42250</v>
      </c>
      <c r="D2210" s="1">
        <v>42255</v>
      </c>
      <c r="E2210" t="s">
        <v>49</v>
      </c>
      <c r="F2210" t="s">
        <v>2912</v>
      </c>
      <c r="G2210" t="s">
        <v>2913</v>
      </c>
      <c r="H2210" t="s">
        <v>101</v>
      </c>
      <c r="I2210" t="s">
        <v>26</v>
      </c>
      <c r="J2210" t="s">
        <v>126</v>
      </c>
      <c r="K2210" t="s">
        <v>42</v>
      </c>
      <c r="L2210">
        <v>94110</v>
      </c>
      <c r="M2210" t="s">
        <v>43</v>
      </c>
      <c r="N2210" t="s">
        <v>1530</v>
      </c>
      <c r="O2210" t="s">
        <v>31</v>
      </c>
      <c r="P2210" t="s">
        <v>35</v>
      </c>
      <c r="Q2210" t="s">
        <v>1531</v>
      </c>
      <c r="R2210">
        <v>129.56800000000001</v>
      </c>
      <c r="S2210">
        <v>2</v>
      </c>
      <c r="T2210">
        <v>0.2</v>
      </c>
      <c r="U2210">
        <v>-12.956799999999999</v>
      </c>
      <c r="V2210" t="str">
        <f t="shared" si="34"/>
        <v>Ann Steele</v>
      </c>
      <c r="W2210">
        <f>Table2[Profit]/Table2[Sales]</f>
        <v>-9.9999999999999992E-2</v>
      </c>
    </row>
    <row r="2211" spans="1:23" x14ac:dyDescent="0.25">
      <c r="A2211">
        <v>2210</v>
      </c>
      <c r="B2211" t="s">
        <v>7334</v>
      </c>
      <c r="C2211" s="1">
        <v>42954</v>
      </c>
      <c r="D2211" s="1">
        <v>42959</v>
      </c>
      <c r="E2211" t="s">
        <v>49</v>
      </c>
      <c r="F2211" t="s">
        <v>3573</v>
      </c>
      <c r="G2211" t="s">
        <v>3574</v>
      </c>
      <c r="H2211" t="s">
        <v>25</v>
      </c>
      <c r="I2211" t="s">
        <v>26</v>
      </c>
      <c r="J2211" t="s">
        <v>622</v>
      </c>
      <c r="K2211" t="s">
        <v>42</v>
      </c>
      <c r="L2211">
        <v>95123</v>
      </c>
      <c r="M2211" t="s">
        <v>43</v>
      </c>
      <c r="N2211" t="s">
        <v>4651</v>
      </c>
      <c r="O2211" t="s">
        <v>45</v>
      </c>
      <c r="P2211" t="s">
        <v>89</v>
      </c>
      <c r="Q2211" t="s">
        <v>4652</v>
      </c>
      <c r="R2211">
        <v>244.55</v>
      </c>
      <c r="S2211">
        <v>5</v>
      </c>
      <c r="T2211">
        <v>0</v>
      </c>
      <c r="U2211">
        <v>114.9385</v>
      </c>
      <c r="V2211" t="str">
        <f t="shared" si="34"/>
        <v>Matt Collins</v>
      </c>
      <c r="W2211">
        <f>Table2[Profit]/Table2[Sales]</f>
        <v>0.47</v>
      </c>
    </row>
    <row r="2212" spans="1:23" x14ac:dyDescent="0.25">
      <c r="A2212">
        <v>2211</v>
      </c>
      <c r="B2212" t="s">
        <v>7335</v>
      </c>
      <c r="C2212" s="1">
        <v>42807</v>
      </c>
      <c r="D2212" s="1">
        <v>42814</v>
      </c>
      <c r="E2212" t="s">
        <v>49</v>
      </c>
      <c r="F2212" t="s">
        <v>2775</v>
      </c>
      <c r="G2212" t="s">
        <v>2776</v>
      </c>
      <c r="H2212" t="s">
        <v>25</v>
      </c>
      <c r="I2212" t="s">
        <v>26</v>
      </c>
      <c r="J2212" t="s">
        <v>800</v>
      </c>
      <c r="K2212" t="s">
        <v>450</v>
      </c>
      <c r="L2212">
        <v>80219</v>
      </c>
      <c r="M2212" t="s">
        <v>43</v>
      </c>
      <c r="N2212" t="s">
        <v>1776</v>
      </c>
      <c r="O2212" t="s">
        <v>45</v>
      </c>
      <c r="P2212" t="s">
        <v>572</v>
      </c>
      <c r="Q2212" t="s">
        <v>1777</v>
      </c>
      <c r="R2212">
        <v>1332.4960000000001</v>
      </c>
      <c r="S2212">
        <v>2</v>
      </c>
      <c r="T2212">
        <v>0.2</v>
      </c>
      <c r="U2212">
        <v>-299.8116</v>
      </c>
      <c r="V2212" t="str">
        <f t="shared" si="34"/>
        <v>Sanjit Engle</v>
      </c>
      <c r="W2212">
        <f>Table2[Profit]/Table2[Sales]</f>
        <v>-0.22499999999999998</v>
      </c>
    </row>
    <row r="2213" spans="1:23" x14ac:dyDescent="0.25">
      <c r="A2213">
        <v>2212</v>
      </c>
      <c r="B2213" t="s">
        <v>7336</v>
      </c>
      <c r="C2213" s="1">
        <v>43006</v>
      </c>
      <c r="D2213" s="1">
        <v>43009</v>
      </c>
      <c r="E2213" t="s">
        <v>185</v>
      </c>
      <c r="F2213" t="s">
        <v>2319</v>
      </c>
      <c r="G2213" t="s">
        <v>2320</v>
      </c>
      <c r="H2213" t="s">
        <v>101</v>
      </c>
      <c r="I2213" t="s">
        <v>26</v>
      </c>
      <c r="J2213" t="s">
        <v>449</v>
      </c>
      <c r="K2213" t="s">
        <v>450</v>
      </c>
      <c r="L2213">
        <v>80013</v>
      </c>
      <c r="M2213" t="s">
        <v>43</v>
      </c>
      <c r="N2213" t="s">
        <v>1966</v>
      </c>
      <c r="O2213" t="s">
        <v>31</v>
      </c>
      <c r="P2213" t="s">
        <v>64</v>
      </c>
      <c r="Q2213" t="s">
        <v>1967</v>
      </c>
      <c r="R2213">
        <v>32.776000000000003</v>
      </c>
      <c r="S2213">
        <v>1</v>
      </c>
      <c r="T2213">
        <v>0.2</v>
      </c>
      <c r="U2213">
        <v>3.2776000000000001</v>
      </c>
      <c r="V2213" t="str">
        <f t="shared" si="34"/>
        <v>Darrin Sayre</v>
      </c>
      <c r="W2213">
        <f>Table2[Profit]/Table2[Sales]</f>
        <v>9.9999999999999992E-2</v>
      </c>
    </row>
    <row r="2214" spans="1:23" x14ac:dyDescent="0.25">
      <c r="A2214">
        <v>2213</v>
      </c>
      <c r="B2214" t="s">
        <v>7339</v>
      </c>
      <c r="C2214" s="1">
        <v>42223</v>
      </c>
      <c r="D2214" s="1">
        <v>42227</v>
      </c>
      <c r="E2214" t="s">
        <v>49</v>
      </c>
      <c r="F2214" t="s">
        <v>3044</v>
      </c>
      <c r="G2214" t="s">
        <v>3045</v>
      </c>
      <c r="H2214" t="s">
        <v>40</v>
      </c>
      <c r="I2214" t="s">
        <v>26</v>
      </c>
      <c r="J2214" t="s">
        <v>7127</v>
      </c>
      <c r="K2214" t="s">
        <v>6119</v>
      </c>
      <c r="L2214">
        <v>83704</v>
      </c>
      <c r="M2214" t="s">
        <v>43</v>
      </c>
      <c r="N2214" t="s">
        <v>3518</v>
      </c>
      <c r="O2214" t="s">
        <v>45</v>
      </c>
      <c r="P2214" t="s">
        <v>74</v>
      </c>
      <c r="Q2214" t="s">
        <v>3519</v>
      </c>
      <c r="R2214">
        <v>3.3039999999999998</v>
      </c>
      <c r="S2214">
        <v>1</v>
      </c>
      <c r="T2214">
        <v>0.2</v>
      </c>
      <c r="U2214">
        <v>1.1151</v>
      </c>
      <c r="V2214" t="str">
        <f t="shared" si="34"/>
        <v>Noel Staavos</v>
      </c>
      <c r="W2214">
        <f>Table2[Profit]/Table2[Sales]</f>
        <v>0.33750000000000002</v>
      </c>
    </row>
    <row r="2215" spans="1:23" x14ac:dyDescent="0.25">
      <c r="A2215">
        <v>2214</v>
      </c>
      <c r="B2215" t="s">
        <v>7340</v>
      </c>
      <c r="C2215" s="1">
        <v>43063</v>
      </c>
      <c r="D2215" s="1">
        <v>43070</v>
      </c>
      <c r="E2215" t="s">
        <v>49</v>
      </c>
      <c r="F2215" t="s">
        <v>4852</v>
      </c>
      <c r="G2215" t="s">
        <v>4853</v>
      </c>
      <c r="H2215" t="s">
        <v>25</v>
      </c>
      <c r="I2215" t="s">
        <v>26</v>
      </c>
      <c r="J2215" t="s">
        <v>263</v>
      </c>
      <c r="K2215" t="s">
        <v>264</v>
      </c>
      <c r="L2215">
        <v>10035</v>
      </c>
      <c r="M2215" t="s">
        <v>145</v>
      </c>
      <c r="N2215" t="s">
        <v>3256</v>
      </c>
      <c r="O2215" t="s">
        <v>45</v>
      </c>
      <c r="P2215" t="s">
        <v>67</v>
      </c>
      <c r="Q2215" t="s">
        <v>3257</v>
      </c>
      <c r="R2215">
        <v>16.38</v>
      </c>
      <c r="S2215">
        <v>9</v>
      </c>
      <c r="T2215">
        <v>0</v>
      </c>
      <c r="U2215">
        <v>7.3710000000000004</v>
      </c>
      <c r="V2215" t="str">
        <f t="shared" si="34"/>
        <v>Kelly Andreada</v>
      </c>
      <c r="W2215">
        <f>Table2[Profit]/Table2[Sales]</f>
        <v>0.45000000000000007</v>
      </c>
    </row>
    <row r="2216" spans="1:23" x14ac:dyDescent="0.25">
      <c r="A2216">
        <v>2215</v>
      </c>
      <c r="B2216" t="s">
        <v>7341</v>
      </c>
      <c r="C2216" s="1">
        <v>42863</v>
      </c>
      <c r="D2216" s="1">
        <v>42867</v>
      </c>
      <c r="E2216" t="s">
        <v>49</v>
      </c>
      <c r="F2216" t="s">
        <v>1171</v>
      </c>
      <c r="G2216" t="s">
        <v>1172</v>
      </c>
      <c r="H2216" t="s">
        <v>40</v>
      </c>
      <c r="I2216" t="s">
        <v>26</v>
      </c>
      <c r="J2216" t="s">
        <v>143</v>
      </c>
      <c r="K2216" t="s">
        <v>144</v>
      </c>
      <c r="L2216">
        <v>19140</v>
      </c>
      <c r="M2216" t="s">
        <v>145</v>
      </c>
      <c r="N2216" t="s">
        <v>6442</v>
      </c>
      <c r="O2216" t="s">
        <v>31</v>
      </c>
      <c r="P2216" t="s">
        <v>35</v>
      </c>
      <c r="Q2216" t="s">
        <v>6443</v>
      </c>
      <c r="R2216">
        <v>128.05799999999999</v>
      </c>
      <c r="S2216">
        <v>3</v>
      </c>
      <c r="T2216">
        <v>0.3</v>
      </c>
      <c r="U2216">
        <v>-23.7822</v>
      </c>
      <c r="V2216" t="str">
        <f t="shared" si="34"/>
        <v>Don Jones</v>
      </c>
      <c r="W2216">
        <f>Table2[Profit]/Table2[Sales]</f>
        <v>-0.18571428571428572</v>
      </c>
    </row>
    <row r="2217" spans="1:23" x14ac:dyDescent="0.25">
      <c r="A2217">
        <v>2216</v>
      </c>
      <c r="B2217" t="s">
        <v>7342</v>
      </c>
      <c r="C2217" s="1">
        <v>43007</v>
      </c>
      <c r="D2217" s="1">
        <v>43007</v>
      </c>
      <c r="E2217" t="s">
        <v>1278</v>
      </c>
      <c r="F2217" t="s">
        <v>598</v>
      </c>
      <c r="G2217" t="s">
        <v>599</v>
      </c>
      <c r="H2217" t="s">
        <v>101</v>
      </c>
      <c r="I2217" t="s">
        <v>26</v>
      </c>
      <c r="J2217" t="s">
        <v>7343</v>
      </c>
      <c r="K2217" t="s">
        <v>491</v>
      </c>
      <c r="L2217">
        <v>44060</v>
      </c>
      <c r="M2217" t="s">
        <v>145</v>
      </c>
      <c r="N2217" t="s">
        <v>4737</v>
      </c>
      <c r="O2217" t="s">
        <v>31</v>
      </c>
      <c r="P2217" t="s">
        <v>35</v>
      </c>
      <c r="Q2217" t="s">
        <v>4738</v>
      </c>
      <c r="R2217">
        <v>63.686</v>
      </c>
      <c r="S2217">
        <v>1</v>
      </c>
      <c r="T2217">
        <v>0.3</v>
      </c>
      <c r="U2217">
        <v>-15.4666</v>
      </c>
      <c r="V2217" t="str">
        <f t="shared" si="34"/>
        <v>Maureen Gastineau</v>
      </c>
      <c r="W2217">
        <f>Table2[Profit]/Table2[Sales]</f>
        <v>-0.24285714285714285</v>
      </c>
    </row>
    <row r="2218" spans="1:23" x14ac:dyDescent="0.25">
      <c r="A2218">
        <v>2217</v>
      </c>
      <c r="B2218" t="s">
        <v>7346</v>
      </c>
      <c r="C2218" s="1">
        <v>43030</v>
      </c>
      <c r="D2218" s="1">
        <v>43030</v>
      </c>
      <c r="E2218" t="s">
        <v>1278</v>
      </c>
      <c r="F2218" t="s">
        <v>3095</v>
      </c>
      <c r="G2218" t="s">
        <v>3096</v>
      </c>
      <c r="H2218" t="s">
        <v>25</v>
      </c>
      <c r="I2218" t="s">
        <v>26</v>
      </c>
      <c r="J2218" t="s">
        <v>7347</v>
      </c>
      <c r="K2218" t="s">
        <v>641</v>
      </c>
      <c r="L2218">
        <v>73505</v>
      </c>
      <c r="M2218" t="s">
        <v>104</v>
      </c>
      <c r="N2218" t="s">
        <v>7348</v>
      </c>
      <c r="O2218" t="s">
        <v>45</v>
      </c>
      <c r="P2218" t="s">
        <v>58</v>
      </c>
      <c r="Q2218" t="s">
        <v>7349</v>
      </c>
      <c r="R2218">
        <v>333.09</v>
      </c>
      <c r="S2218">
        <v>3</v>
      </c>
      <c r="T2218">
        <v>0</v>
      </c>
      <c r="U2218">
        <v>23.316299999999998</v>
      </c>
      <c r="V2218" t="str">
        <f t="shared" si="34"/>
        <v>Brian DeCherney</v>
      </c>
      <c r="W2218">
        <f>Table2[Profit]/Table2[Sales]</f>
        <v>7.0000000000000007E-2</v>
      </c>
    </row>
    <row r="2219" spans="1:23" x14ac:dyDescent="0.25">
      <c r="A2219">
        <v>2218</v>
      </c>
      <c r="B2219" t="s">
        <v>7350</v>
      </c>
      <c r="C2219" s="1">
        <v>41722</v>
      </c>
      <c r="D2219" s="1">
        <v>41726</v>
      </c>
      <c r="E2219" t="s">
        <v>49</v>
      </c>
      <c r="F2219" t="s">
        <v>2472</v>
      </c>
      <c r="G2219" t="s">
        <v>2473</v>
      </c>
      <c r="H2219" t="s">
        <v>25</v>
      </c>
      <c r="I2219" t="s">
        <v>26</v>
      </c>
      <c r="J2219" t="s">
        <v>263</v>
      </c>
      <c r="K2219" t="s">
        <v>264</v>
      </c>
      <c r="L2219">
        <v>10024</v>
      </c>
      <c r="M2219" t="s">
        <v>145</v>
      </c>
      <c r="N2219" t="s">
        <v>7351</v>
      </c>
      <c r="O2219" t="s">
        <v>45</v>
      </c>
      <c r="P2219" t="s">
        <v>89</v>
      </c>
      <c r="Q2219" t="s">
        <v>7352</v>
      </c>
      <c r="R2219">
        <v>24.9</v>
      </c>
      <c r="S2219">
        <v>5</v>
      </c>
      <c r="T2219">
        <v>0</v>
      </c>
      <c r="U2219">
        <v>11.702999999999999</v>
      </c>
      <c r="V2219" t="str">
        <f t="shared" si="34"/>
        <v>Carlos Daly</v>
      </c>
      <c r="W2219">
        <f>Table2[Profit]/Table2[Sales]</f>
        <v>0.47000000000000003</v>
      </c>
    </row>
    <row r="2220" spans="1:23" x14ac:dyDescent="0.25">
      <c r="A2220">
        <v>2219</v>
      </c>
      <c r="B2220" t="s">
        <v>7353</v>
      </c>
      <c r="C2220" s="1">
        <v>42677</v>
      </c>
      <c r="D2220" s="1">
        <v>42682</v>
      </c>
      <c r="E2220" t="s">
        <v>49</v>
      </c>
      <c r="F2220" t="s">
        <v>1631</v>
      </c>
      <c r="G2220" t="s">
        <v>1632</v>
      </c>
      <c r="H2220" t="s">
        <v>25</v>
      </c>
      <c r="I2220" t="s">
        <v>26</v>
      </c>
      <c r="J2220" t="s">
        <v>41</v>
      </c>
      <c r="K2220" t="s">
        <v>42</v>
      </c>
      <c r="L2220">
        <v>90049</v>
      </c>
      <c r="M2220" t="s">
        <v>43</v>
      </c>
      <c r="N2220" t="s">
        <v>3235</v>
      </c>
      <c r="O2220" t="s">
        <v>45</v>
      </c>
      <c r="P2220" t="s">
        <v>266</v>
      </c>
      <c r="Q2220" t="s">
        <v>3236</v>
      </c>
      <c r="R2220">
        <v>15.26</v>
      </c>
      <c r="S2220">
        <v>7</v>
      </c>
      <c r="T2220">
        <v>0</v>
      </c>
      <c r="U2220">
        <v>5.0358000000000001</v>
      </c>
      <c r="V2220" t="str">
        <f t="shared" si="34"/>
        <v>Xylona Preis</v>
      </c>
      <c r="W2220">
        <f>Table2[Profit]/Table2[Sales]</f>
        <v>0.33</v>
      </c>
    </row>
    <row r="2221" spans="1:23" x14ac:dyDescent="0.25">
      <c r="A2221">
        <v>2220</v>
      </c>
      <c r="B2221" t="s">
        <v>7356</v>
      </c>
      <c r="C2221" s="1">
        <v>42252</v>
      </c>
      <c r="D2221" s="1">
        <v>42258</v>
      </c>
      <c r="E2221" t="s">
        <v>49</v>
      </c>
      <c r="F2221" t="s">
        <v>3315</v>
      </c>
      <c r="G2221" t="s">
        <v>3316</v>
      </c>
      <c r="H2221" t="s">
        <v>101</v>
      </c>
      <c r="I2221" t="s">
        <v>26</v>
      </c>
      <c r="J2221" t="s">
        <v>181</v>
      </c>
      <c r="K2221" t="s">
        <v>103</v>
      </c>
      <c r="L2221">
        <v>77036</v>
      </c>
      <c r="M2221" t="s">
        <v>104</v>
      </c>
      <c r="N2221" t="s">
        <v>6395</v>
      </c>
      <c r="O2221" t="s">
        <v>45</v>
      </c>
      <c r="P2221" t="s">
        <v>74</v>
      </c>
      <c r="Q2221" t="s">
        <v>6396</v>
      </c>
      <c r="R2221">
        <v>16.27</v>
      </c>
      <c r="S2221">
        <v>5</v>
      </c>
      <c r="T2221">
        <v>0.8</v>
      </c>
      <c r="U2221">
        <v>-25.218499999999999</v>
      </c>
      <c r="V2221" t="str">
        <f t="shared" si="34"/>
        <v>Cathy Armstrong</v>
      </c>
      <c r="W2221">
        <f>Table2[Profit]/Table2[Sales]</f>
        <v>-1.55</v>
      </c>
    </row>
    <row r="2222" spans="1:23" x14ac:dyDescent="0.25">
      <c r="A2222">
        <v>2221</v>
      </c>
      <c r="B2222" t="s">
        <v>7357</v>
      </c>
      <c r="C2222" s="1">
        <v>42961</v>
      </c>
      <c r="D2222" s="1">
        <v>42968</v>
      </c>
      <c r="E2222" t="s">
        <v>49</v>
      </c>
      <c r="F2222" t="s">
        <v>458</v>
      </c>
      <c r="G2222" t="s">
        <v>459</v>
      </c>
      <c r="H2222" t="s">
        <v>25</v>
      </c>
      <c r="I2222" t="s">
        <v>26</v>
      </c>
      <c r="J2222" t="s">
        <v>41</v>
      </c>
      <c r="K2222" t="s">
        <v>42</v>
      </c>
      <c r="L2222">
        <v>90032</v>
      </c>
      <c r="M2222" t="s">
        <v>43</v>
      </c>
      <c r="N2222" t="s">
        <v>2368</v>
      </c>
      <c r="O2222" t="s">
        <v>31</v>
      </c>
      <c r="P2222" t="s">
        <v>55</v>
      </c>
      <c r="Q2222" t="s">
        <v>2369</v>
      </c>
      <c r="R2222">
        <v>418.29599999999999</v>
      </c>
      <c r="S2222">
        <v>3</v>
      </c>
      <c r="T2222">
        <v>0.2</v>
      </c>
      <c r="U2222">
        <v>5.2286999999999999</v>
      </c>
      <c r="V2222" t="str">
        <f t="shared" si="34"/>
        <v>Janet Martin</v>
      </c>
      <c r="W2222">
        <f>Table2[Profit]/Table2[Sales]</f>
        <v>1.2500000000000001E-2</v>
      </c>
    </row>
    <row r="2223" spans="1:23" x14ac:dyDescent="0.25">
      <c r="A2223">
        <v>2222</v>
      </c>
      <c r="B2223" t="s">
        <v>7358</v>
      </c>
      <c r="C2223" s="1">
        <v>41974</v>
      </c>
      <c r="D2223" s="1">
        <v>41976</v>
      </c>
      <c r="E2223" t="s">
        <v>22</v>
      </c>
      <c r="F2223" t="s">
        <v>2453</v>
      </c>
      <c r="G2223" t="s">
        <v>2454</v>
      </c>
      <c r="H2223" t="s">
        <v>25</v>
      </c>
      <c r="I2223" t="s">
        <v>26</v>
      </c>
      <c r="J2223" t="s">
        <v>490</v>
      </c>
      <c r="K2223" t="s">
        <v>491</v>
      </c>
      <c r="L2223">
        <v>43229</v>
      </c>
      <c r="M2223" t="s">
        <v>145</v>
      </c>
      <c r="N2223" t="s">
        <v>6697</v>
      </c>
      <c r="O2223" t="s">
        <v>70</v>
      </c>
      <c r="P2223" t="s">
        <v>1204</v>
      </c>
      <c r="Q2223" t="s">
        <v>6698</v>
      </c>
      <c r="R2223">
        <v>659.98800000000006</v>
      </c>
      <c r="S2223">
        <v>2</v>
      </c>
      <c r="T2223">
        <v>0.4</v>
      </c>
      <c r="U2223">
        <v>109.998</v>
      </c>
      <c r="V2223" t="str">
        <f t="shared" si="34"/>
        <v>Joe Kamberova</v>
      </c>
      <c r="W2223">
        <f>Table2[Profit]/Table2[Sales]</f>
        <v>0.16666666666666666</v>
      </c>
    </row>
    <row r="2224" spans="1:23" x14ac:dyDescent="0.25">
      <c r="A2224">
        <v>2223</v>
      </c>
      <c r="B2224" t="s">
        <v>7359</v>
      </c>
      <c r="C2224" s="1">
        <v>42904</v>
      </c>
      <c r="D2224" s="1">
        <v>42909</v>
      </c>
      <c r="E2224" t="s">
        <v>49</v>
      </c>
      <c r="F2224" t="s">
        <v>959</v>
      </c>
      <c r="G2224" t="s">
        <v>960</v>
      </c>
      <c r="H2224" t="s">
        <v>25</v>
      </c>
      <c r="I2224" t="s">
        <v>26</v>
      </c>
      <c r="J2224" t="s">
        <v>41</v>
      </c>
      <c r="K2224" t="s">
        <v>42</v>
      </c>
      <c r="L2224">
        <v>90032</v>
      </c>
      <c r="M2224" t="s">
        <v>43</v>
      </c>
      <c r="N2224" t="s">
        <v>2200</v>
      </c>
      <c r="O2224" t="s">
        <v>31</v>
      </c>
      <c r="P2224" t="s">
        <v>32</v>
      </c>
      <c r="Q2224" t="s">
        <v>2201</v>
      </c>
      <c r="R2224">
        <v>917.92349999999999</v>
      </c>
      <c r="S2224">
        <v>9</v>
      </c>
      <c r="T2224">
        <v>0.15</v>
      </c>
      <c r="U2224">
        <v>75.593699999999998</v>
      </c>
      <c r="V2224" t="str">
        <f t="shared" si="34"/>
        <v>Craig Carreira</v>
      </c>
      <c r="W2224">
        <f>Table2[Profit]/Table2[Sales]</f>
        <v>8.2352941176470587E-2</v>
      </c>
    </row>
    <row r="2225" spans="1:23" x14ac:dyDescent="0.25">
      <c r="A2225">
        <v>2224</v>
      </c>
      <c r="B2225" t="s">
        <v>7360</v>
      </c>
      <c r="C2225" s="1">
        <v>43071</v>
      </c>
      <c r="D2225" s="1">
        <v>43078</v>
      </c>
      <c r="E2225" t="s">
        <v>49</v>
      </c>
      <c r="F2225" t="s">
        <v>4531</v>
      </c>
      <c r="G2225" t="s">
        <v>4532</v>
      </c>
      <c r="H2225" t="s">
        <v>25</v>
      </c>
      <c r="I2225" t="s">
        <v>26</v>
      </c>
      <c r="J2225" t="s">
        <v>143</v>
      </c>
      <c r="K2225" t="s">
        <v>144</v>
      </c>
      <c r="L2225">
        <v>19140</v>
      </c>
      <c r="M2225" t="s">
        <v>145</v>
      </c>
      <c r="N2225" t="s">
        <v>509</v>
      </c>
      <c r="O2225" t="s">
        <v>45</v>
      </c>
      <c r="P2225" t="s">
        <v>74</v>
      </c>
      <c r="Q2225" t="s">
        <v>510</v>
      </c>
      <c r="R2225">
        <v>631.17600000000004</v>
      </c>
      <c r="S2225">
        <v>4</v>
      </c>
      <c r="T2225">
        <v>0.7</v>
      </c>
      <c r="U2225">
        <v>-462.86239999999998</v>
      </c>
      <c r="V2225" t="str">
        <f t="shared" si="34"/>
        <v>Giulietta Weimer</v>
      </c>
      <c r="W2225">
        <f>Table2[Profit]/Table2[Sales]</f>
        <v>-0.73333333333333328</v>
      </c>
    </row>
    <row r="2226" spans="1:23" x14ac:dyDescent="0.25">
      <c r="A2226">
        <v>2225</v>
      </c>
      <c r="B2226" t="s">
        <v>7361</v>
      </c>
      <c r="C2226" s="1">
        <v>41964</v>
      </c>
      <c r="D2226" s="1">
        <v>41969</v>
      </c>
      <c r="E2226" t="s">
        <v>49</v>
      </c>
      <c r="F2226" t="s">
        <v>7362</v>
      </c>
      <c r="G2226" t="s">
        <v>7363</v>
      </c>
      <c r="H2226" t="s">
        <v>40</v>
      </c>
      <c r="I2226" t="s">
        <v>26</v>
      </c>
      <c r="J2226" t="s">
        <v>126</v>
      </c>
      <c r="K2226" t="s">
        <v>42</v>
      </c>
      <c r="L2226">
        <v>94110</v>
      </c>
      <c r="M2226" t="s">
        <v>43</v>
      </c>
      <c r="N2226" t="s">
        <v>4565</v>
      </c>
      <c r="O2226" t="s">
        <v>45</v>
      </c>
      <c r="P2226" t="s">
        <v>89</v>
      </c>
      <c r="Q2226" t="s">
        <v>4566</v>
      </c>
      <c r="R2226">
        <v>12.96</v>
      </c>
      <c r="S2226">
        <v>2</v>
      </c>
      <c r="T2226">
        <v>0</v>
      </c>
      <c r="U2226">
        <v>6.2207999999999997</v>
      </c>
      <c r="V2226" t="str">
        <f t="shared" si="34"/>
        <v>Georgia Rosenberg</v>
      </c>
      <c r="W2226">
        <f>Table2[Profit]/Table2[Sales]</f>
        <v>0.47999999999999993</v>
      </c>
    </row>
    <row r="2227" spans="1:23" x14ac:dyDescent="0.25">
      <c r="A2227">
        <v>2226</v>
      </c>
      <c r="B2227" t="s">
        <v>7364</v>
      </c>
      <c r="C2227" s="1">
        <v>42470</v>
      </c>
      <c r="D2227" s="1">
        <v>42476</v>
      </c>
      <c r="E2227" t="s">
        <v>49</v>
      </c>
      <c r="F2227" t="s">
        <v>4337</v>
      </c>
      <c r="G2227" t="s">
        <v>4338</v>
      </c>
      <c r="H2227" t="s">
        <v>40</v>
      </c>
      <c r="I2227" t="s">
        <v>26</v>
      </c>
      <c r="J2227" t="s">
        <v>5826</v>
      </c>
      <c r="K2227" t="s">
        <v>42</v>
      </c>
      <c r="L2227">
        <v>93309</v>
      </c>
      <c r="M2227" t="s">
        <v>43</v>
      </c>
      <c r="N2227" t="s">
        <v>5156</v>
      </c>
      <c r="O2227" t="s">
        <v>45</v>
      </c>
      <c r="P2227" t="s">
        <v>89</v>
      </c>
      <c r="Q2227" t="s">
        <v>5157</v>
      </c>
      <c r="R2227">
        <v>12.96</v>
      </c>
      <c r="S2227">
        <v>2</v>
      </c>
      <c r="T2227">
        <v>0</v>
      </c>
      <c r="U2227">
        <v>6.2207999999999997</v>
      </c>
      <c r="V2227" t="str">
        <f t="shared" si="34"/>
        <v>Filia McAdams</v>
      </c>
      <c r="W2227">
        <f>Table2[Profit]/Table2[Sales]</f>
        <v>0.47999999999999993</v>
      </c>
    </row>
    <row r="2228" spans="1:23" x14ac:dyDescent="0.25">
      <c r="A2228">
        <v>2227</v>
      </c>
      <c r="B2228" t="s">
        <v>7365</v>
      </c>
      <c r="C2228" s="1">
        <v>41820</v>
      </c>
      <c r="D2228" s="1">
        <v>41824</v>
      </c>
      <c r="E2228" t="s">
        <v>49</v>
      </c>
      <c r="F2228" t="s">
        <v>835</v>
      </c>
      <c r="G2228" t="s">
        <v>836</v>
      </c>
      <c r="H2228" t="s">
        <v>40</v>
      </c>
      <c r="I2228" t="s">
        <v>26</v>
      </c>
      <c r="J2228" t="s">
        <v>181</v>
      </c>
      <c r="K2228" t="s">
        <v>103</v>
      </c>
      <c r="L2228">
        <v>77095</v>
      </c>
      <c r="M2228" t="s">
        <v>104</v>
      </c>
      <c r="N2228" t="s">
        <v>1951</v>
      </c>
      <c r="O2228" t="s">
        <v>45</v>
      </c>
      <c r="P2228" t="s">
        <v>89</v>
      </c>
      <c r="Q2228" t="s">
        <v>1952</v>
      </c>
      <c r="R2228">
        <v>25.92</v>
      </c>
      <c r="S2228">
        <v>5</v>
      </c>
      <c r="T2228">
        <v>0.2</v>
      </c>
      <c r="U2228">
        <v>9.0719999999999992</v>
      </c>
      <c r="V2228" t="str">
        <f t="shared" si="34"/>
        <v>Michael Stewart</v>
      </c>
      <c r="W2228">
        <f>Table2[Profit]/Table2[Sales]</f>
        <v>0.34999999999999992</v>
      </c>
    </row>
    <row r="2229" spans="1:23" x14ac:dyDescent="0.25">
      <c r="A2229">
        <v>2228</v>
      </c>
      <c r="B2229" t="s">
        <v>7366</v>
      </c>
      <c r="C2229" s="1">
        <v>41997</v>
      </c>
      <c r="D2229" s="1">
        <v>42002</v>
      </c>
      <c r="E2229" t="s">
        <v>49</v>
      </c>
      <c r="F2229" t="s">
        <v>3369</v>
      </c>
      <c r="G2229" t="s">
        <v>3370</v>
      </c>
      <c r="H2229" t="s">
        <v>101</v>
      </c>
      <c r="I2229" t="s">
        <v>26</v>
      </c>
      <c r="J2229" t="s">
        <v>41</v>
      </c>
      <c r="K2229" t="s">
        <v>42</v>
      </c>
      <c r="L2229">
        <v>90045</v>
      </c>
      <c r="M2229" t="s">
        <v>43</v>
      </c>
      <c r="N2229" t="s">
        <v>7367</v>
      </c>
      <c r="O2229" t="s">
        <v>70</v>
      </c>
      <c r="P2229" t="s">
        <v>71</v>
      </c>
      <c r="Q2229" t="s">
        <v>7368</v>
      </c>
      <c r="R2229">
        <v>173.65600000000001</v>
      </c>
      <c r="S2229">
        <v>7</v>
      </c>
      <c r="T2229">
        <v>0.2</v>
      </c>
      <c r="U2229">
        <v>17.365600000000001</v>
      </c>
      <c r="V2229" t="str">
        <f t="shared" si="34"/>
        <v>Ben Ferrer</v>
      </c>
      <c r="W2229">
        <f>Table2[Profit]/Table2[Sales]</f>
        <v>0.1</v>
      </c>
    </row>
    <row r="2230" spans="1:23" x14ac:dyDescent="0.25">
      <c r="A2230">
        <v>2229</v>
      </c>
      <c r="B2230" t="s">
        <v>7369</v>
      </c>
      <c r="C2230" s="1">
        <v>42878</v>
      </c>
      <c r="D2230" s="1">
        <v>42884</v>
      </c>
      <c r="E2230" t="s">
        <v>49</v>
      </c>
      <c r="F2230" t="s">
        <v>7370</v>
      </c>
      <c r="G2230" t="s">
        <v>7371</v>
      </c>
      <c r="H2230" t="s">
        <v>25</v>
      </c>
      <c r="I2230" t="s">
        <v>26</v>
      </c>
      <c r="J2230" t="s">
        <v>41</v>
      </c>
      <c r="K2230" t="s">
        <v>42</v>
      </c>
      <c r="L2230">
        <v>90036</v>
      </c>
      <c r="M2230" t="s">
        <v>43</v>
      </c>
      <c r="N2230" t="s">
        <v>2765</v>
      </c>
      <c r="O2230" t="s">
        <v>31</v>
      </c>
      <c r="P2230" t="s">
        <v>55</v>
      </c>
      <c r="Q2230" t="s">
        <v>2766</v>
      </c>
      <c r="R2230">
        <v>171.28800000000001</v>
      </c>
      <c r="S2230">
        <v>3</v>
      </c>
      <c r="T2230">
        <v>0.2</v>
      </c>
      <c r="U2230">
        <v>-6.4233000000000002</v>
      </c>
      <c r="V2230" t="str">
        <f t="shared" si="34"/>
        <v>Vivek Sundaresam</v>
      </c>
      <c r="W2230">
        <f>Table2[Profit]/Table2[Sales]</f>
        <v>-3.7499999999999999E-2</v>
      </c>
    </row>
    <row r="2231" spans="1:23" x14ac:dyDescent="0.25">
      <c r="A2231">
        <v>2230</v>
      </c>
      <c r="B2231" t="s">
        <v>7372</v>
      </c>
      <c r="C2231" s="1">
        <v>42684</v>
      </c>
      <c r="D2231" s="1">
        <v>42688</v>
      </c>
      <c r="E2231" t="s">
        <v>49</v>
      </c>
      <c r="F2231" t="s">
        <v>2977</v>
      </c>
      <c r="G2231" t="s">
        <v>2978</v>
      </c>
      <c r="H2231" t="s">
        <v>40</v>
      </c>
      <c r="I2231" t="s">
        <v>26</v>
      </c>
      <c r="J2231" t="s">
        <v>311</v>
      </c>
      <c r="K2231" t="s">
        <v>590</v>
      </c>
      <c r="L2231">
        <v>65807</v>
      </c>
      <c r="M2231" t="s">
        <v>104</v>
      </c>
      <c r="N2231" t="s">
        <v>6932</v>
      </c>
      <c r="O2231" t="s">
        <v>31</v>
      </c>
      <c r="P2231" t="s">
        <v>64</v>
      </c>
      <c r="Q2231" t="s">
        <v>6933</v>
      </c>
      <c r="R2231">
        <v>37.299999999999997</v>
      </c>
      <c r="S2231">
        <v>2</v>
      </c>
      <c r="T2231">
        <v>0</v>
      </c>
      <c r="U2231">
        <v>17.158000000000001</v>
      </c>
      <c r="V2231" t="str">
        <f t="shared" si="34"/>
        <v>Kalyca Meade</v>
      </c>
      <c r="W2231">
        <f>Table2[Profit]/Table2[Sales]</f>
        <v>0.46000000000000008</v>
      </c>
    </row>
    <row r="2232" spans="1:23" x14ac:dyDescent="0.25">
      <c r="A2232">
        <v>2231</v>
      </c>
      <c r="B2232" t="s">
        <v>7373</v>
      </c>
      <c r="C2232" s="1">
        <v>42645</v>
      </c>
      <c r="D2232" s="1">
        <v>42646</v>
      </c>
      <c r="E2232" t="s">
        <v>185</v>
      </c>
      <c r="F2232" t="s">
        <v>3576</v>
      </c>
      <c r="G2232" t="s">
        <v>3577</v>
      </c>
      <c r="H2232" t="s">
        <v>25</v>
      </c>
      <c r="I2232" t="s">
        <v>26</v>
      </c>
      <c r="J2232" t="s">
        <v>537</v>
      </c>
      <c r="K2232" t="s">
        <v>303</v>
      </c>
      <c r="L2232">
        <v>85023</v>
      </c>
      <c r="M2232" t="s">
        <v>43</v>
      </c>
      <c r="N2232" t="s">
        <v>1805</v>
      </c>
      <c r="O2232" t="s">
        <v>45</v>
      </c>
      <c r="P2232" t="s">
        <v>74</v>
      </c>
      <c r="Q2232" t="s">
        <v>1806</v>
      </c>
      <c r="R2232">
        <v>54.792000000000002</v>
      </c>
      <c r="S2232">
        <v>6</v>
      </c>
      <c r="T2232">
        <v>0.7</v>
      </c>
      <c r="U2232">
        <v>-40.180799999999998</v>
      </c>
      <c r="V2232" t="str">
        <f t="shared" si="34"/>
        <v>Liz Preis</v>
      </c>
      <c r="W2232">
        <f>Table2[Profit]/Table2[Sales]</f>
        <v>-0.73333333333333328</v>
      </c>
    </row>
    <row r="2233" spans="1:23" x14ac:dyDescent="0.25">
      <c r="A2233">
        <v>2232</v>
      </c>
      <c r="B2233" t="s">
        <v>7374</v>
      </c>
      <c r="C2233" s="1">
        <v>42619</v>
      </c>
      <c r="D2233" s="1">
        <v>42621</v>
      </c>
      <c r="E2233" t="s">
        <v>185</v>
      </c>
      <c r="F2233" t="s">
        <v>6319</v>
      </c>
      <c r="G2233" t="s">
        <v>6320</v>
      </c>
      <c r="H2233" t="s">
        <v>25</v>
      </c>
      <c r="I2233" t="s">
        <v>26</v>
      </c>
      <c r="J2233" t="s">
        <v>181</v>
      </c>
      <c r="K2233" t="s">
        <v>103</v>
      </c>
      <c r="L2233">
        <v>77070</v>
      </c>
      <c r="M2233" t="s">
        <v>104</v>
      </c>
      <c r="N2233" t="s">
        <v>627</v>
      </c>
      <c r="O2233" t="s">
        <v>45</v>
      </c>
      <c r="P2233" t="s">
        <v>58</v>
      </c>
      <c r="Q2233" t="s">
        <v>628</v>
      </c>
      <c r="R2233">
        <v>10.784000000000001</v>
      </c>
      <c r="S2233">
        <v>1</v>
      </c>
      <c r="T2233">
        <v>0.2</v>
      </c>
      <c r="U2233">
        <v>0.80879999999999996</v>
      </c>
      <c r="V2233" t="str">
        <f t="shared" si="34"/>
        <v>Bruce Geld</v>
      </c>
      <c r="W2233">
        <f>Table2[Profit]/Table2[Sales]</f>
        <v>7.4999999999999997E-2</v>
      </c>
    </row>
    <row r="2234" spans="1:23" x14ac:dyDescent="0.25">
      <c r="A2234">
        <v>2233</v>
      </c>
      <c r="B2234" t="s">
        <v>7375</v>
      </c>
      <c r="C2234" s="1">
        <v>42670</v>
      </c>
      <c r="D2234" s="1">
        <v>42675</v>
      </c>
      <c r="E2234" t="s">
        <v>22</v>
      </c>
      <c r="F2234" t="s">
        <v>4905</v>
      </c>
      <c r="G2234" t="s">
        <v>4906</v>
      </c>
      <c r="H2234" t="s">
        <v>25</v>
      </c>
      <c r="I2234" t="s">
        <v>26</v>
      </c>
      <c r="J2234" t="s">
        <v>7376</v>
      </c>
      <c r="K2234" t="s">
        <v>312</v>
      </c>
      <c r="L2234">
        <v>23666</v>
      </c>
      <c r="M2234" t="s">
        <v>29</v>
      </c>
      <c r="N2234" t="s">
        <v>3863</v>
      </c>
      <c r="O2234" t="s">
        <v>31</v>
      </c>
      <c r="P2234" t="s">
        <v>35</v>
      </c>
      <c r="Q2234" t="s">
        <v>3864</v>
      </c>
      <c r="R2234">
        <v>290.98</v>
      </c>
      <c r="S2234">
        <v>1</v>
      </c>
      <c r="T2234">
        <v>0</v>
      </c>
      <c r="U2234">
        <v>75.654799999999994</v>
      </c>
      <c r="V2234" t="str">
        <f t="shared" si="34"/>
        <v>Ben Wallace</v>
      </c>
      <c r="W2234">
        <f>Table2[Profit]/Table2[Sales]</f>
        <v>0.25999999999999995</v>
      </c>
    </row>
    <row r="2235" spans="1:23" x14ac:dyDescent="0.25">
      <c r="A2235">
        <v>2234</v>
      </c>
      <c r="B2235" t="s">
        <v>7377</v>
      </c>
      <c r="C2235" s="1">
        <v>43030</v>
      </c>
      <c r="D2235" s="1">
        <v>43034</v>
      </c>
      <c r="E2235" t="s">
        <v>49</v>
      </c>
      <c r="F2235" t="s">
        <v>294</v>
      </c>
      <c r="G2235" t="s">
        <v>295</v>
      </c>
      <c r="H2235" t="s">
        <v>101</v>
      </c>
      <c r="I2235" t="s">
        <v>26</v>
      </c>
      <c r="J2235" t="s">
        <v>4454</v>
      </c>
      <c r="K2235" t="s">
        <v>641</v>
      </c>
      <c r="L2235">
        <v>74133</v>
      </c>
      <c r="M2235" t="s">
        <v>104</v>
      </c>
      <c r="N2235" t="s">
        <v>6790</v>
      </c>
      <c r="O2235" t="s">
        <v>45</v>
      </c>
      <c r="P2235" t="s">
        <v>67</v>
      </c>
      <c r="Q2235" t="s">
        <v>6791</v>
      </c>
      <c r="R2235">
        <v>36.44</v>
      </c>
      <c r="S2235">
        <v>4</v>
      </c>
      <c r="T2235">
        <v>0</v>
      </c>
      <c r="U2235">
        <v>12.0252</v>
      </c>
      <c r="V2235" t="str">
        <f t="shared" si="34"/>
        <v>Paul Stevenson</v>
      </c>
      <c r="W2235">
        <f>Table2[Profit]/Table2[Sales]</f>
        <v>0.33</v>
      </c>
    </row>
    <row r="2236" spans="1:23" x14ac:dyDescent="0.25">
      <c r="A2236">
        <v>2235</v>
      </c>
      <c r="B2236" t="s">
        <v>7378</v>
      </c>
      <c r="C2236" s="1">
        <v>42628</v>
      </c>
      <c r="D2236" s="1">
        <v>42633</v>
      </c>
      <c r="E2236" t="s">
        <v>49</v>
      </c>
      <c r="F2236" t="s">
        <v>2161</v>
      </c>
      <c r="G2236" t="s">
        <v>2162</v>
      </c>
      <c r="H2236" t="s">
        <v>25</v>
      </c>
      <c r="I2236" t="s">
        <v>26</v>
      </c>
      <c r="J2236" t="s">
        <v>94</v>
      </c>
      <c r="K2236" t="s">
        <v>95</v>
      </c>
      <c r="L2236">
        <v>98105</v>
      </c>
      <c r="M2236" t="s">
        <v>43</v>
      </c>
      <c r="N2236" t="s">
        <v>7379</v>
      </c>
      <c r="O2236" t="s">
        <v>45</v>
      </c>
      <c r="P2236" t="s">
        <v>89</v>
      </c>
      <c r="Q2236" t="s">
        <v>7380</v>
      </c>
      <c r="R2236">
        <v>21.4</v>
      </c>
      <c r="S2236">
        <v>5</v>
      </c>
      <c r="T2236">
        <v>0</v>
      </c>
      <c r="U2236">
        <v>10.058</v>
      </c>
      <c r="V2236" t="str">
        <f t="shared" si="34"/>
        <v>Rob Beeghly</v>
      </c>
      <c r="W2236">
        <f>Table2[Profit]/Table2[Sales]</f>
        <v>0.47000000000000003</v>
      </c>
    </row>
    <row r="2237" spans="1:23" x14ac:dyDescent="0.25">
      <c r="A2237">
        <v>2236</v>
      </c>
      <c r="B2237" t="s">
        <v>7381</v>
      </c>
      <c r="C2237" s="1">
        <v>42638</v>
      </c>
      <c r="D2237" s="1">
        <v>42644</v>
      </c>
      <c r="E2237" t="s">
        <v>49</v>
      </c>
      <c r="F2237" t="s">
        <v>4043</v>
      </c>
      <c r="G2237" t="s">
        <v>4044</v>
      </c>
      <c r="H2237" t="s">
        <v>25</v>
      </c>
      <c r="I2237" t="s">
        <v>26</v>
      </c>
      <c r="J2237" t="s">
        <v>126</v>
      </c>
      <c r="K2237" t="s">
        <v>42</v>
      </c>
      <c r="L2237">
        <v>94109</v>
      </c>
      <c r="M2237" t="s">
        <v>43</v>
      </c>
      <c r="N2237" t="s">
        <v>672</v>
      </c>
      <c r="O2237" t="s">
        <v>45</v>
      </c>
      <c r="P2237" t="s">
        <v>67</v>
      </c>
      <c r="Q2237" t="s">
        <v>673</v>
      </c>
      <c r="R2237">
        <v>16.559999999999999</v>
      </c>
      <c r="S2237">
        <v>4</v>
      </c>
      <c r="T2237">
        <v>0</v>
      </c>
      <c r="U2237">
        <v>6.9551999999999996</v>
      </c>
      <c r="V2237" t="str">
        <f t="shared" si="34"/>
        <v>Julia West</v>
      </c>
      <c r="W2237">
        <f>Table2[Profit]/Table2[Sales]</f>
        <v>0.42</v>
      </c>
    </row>
    <row r="2238" spans="1:23" x14ac:dyDescent="0.25">
      <c r="A2238">
        <v>2237</v>
      </c>
      <c r="B2238" t="s">
        <v>7382</v>
      </c>
      <c r="C2238" s="1">
        <v>42896</v>
      </c>
      <c r="D2238" s="1">
        <v>42900</v>
      </c>
      <c r="E2238" t="s">
        <v>49</v>
      </c>
      <c r="F2238" t="s">
        <v>4498</v>
      </c>
      <c r="G2238" t="s">
        <v>4499</v>
      </c>
      <c r="H2238" t="s">
        <v>40</v>
      </c>
      <c r="I2238" t="s">
        <v>26</v>
      </c>
      <c r="J2238" t="s">
        <v>1507</v>
      </c>
      <c r="K2238" t="s">
        <v>53</v>
      </c>
      <c r="L2238">
        <v>32216</v>
      </c>
      <c r="M2238" t="s">
        <v>29</v>
      </c>
      <c r="N2238" t="s">
        <v>7383</v>
      </c>
      <c r="O2238" t="s">
        <v>45</v>
      </c>
      <c r="P2238" t="s">
        <v>58</v>
      </c>
      <c r="Q2238" t="s">
        <v>7384</v>
      </c>
      <c r="R2238">
        <v>1347.52</v>
      </c>
      <c r="S2238">
        <v>8</v>
      </c>
      <c r="T2238">
        <v>0.2</v>
      </c>
      <c r="U2238">
        <v>84.22</v>
      </c>
      <c r="V2238" t="str">
        <f t="shared" si="34"/>
        <v>Neil Ducich</v>
      </c>
      <c r="W2238">
        <f>Table2[Profit]/Table2[Sales]</f>
        <v>6.25E-2</v>
      </c>
    </row>
    <row r="2239" spans="1:23" x14ac:dyDescent="0.25">
      <c r="A2239">
        <v>2238</v>
      </c>
      <c r="B2239" t="s">
        <v>7385</v>
      </c>
      <c r="C2239" s="1">
        <v>41690</v>
      </c>
      <c r="D2239" s="1">
        <v>41696</v>
      </c>
      <c r="E2239" t="s">
        <v>49</v>
      </c>
      <c r="F2239" t="s">
        <v>205</v>
      </c>
      <c r="G2239" t="s">
        <v>206</v>
      </c>
      <c r="H2239" t="s">
        <v>40</v>
      </c>
      <c r="I2239" t="s">
        <v>26</v>
      </c>
      <c r="J2239" t="s">
        <v>1450</v>
      </c>
      <c r="K2239" t="s">
        <v>251</v>
      </c>
      <c r="L2239">
        <v>47374</v>
      </c>
      <c r="M2239" t="s">
        <v>104</v>
      </c>
      <c r="N2239" t="s">
        <v>4694</v>
      </c>
      <c r="O2239" t="s">
        <v>70</v>
      </c>
      <c r="P2239" t="s">
        <v>158</v>
      </c>
      <c r="Q2239" t="s">
        <v>4695</v>
      </c>
      <c r="R2239">
        <v>62.31</v>
      </c>
      <c r="S2239">
        <v>3</v>
      </c>
      <c r="T2239">
        <v>0</v>
      </c>
      <c r="U2239">
        <v>22.4316</v>
      </c>
      <c r="V2239" t="str">
        <f t="shared" si="34"/>
        <v>Linda Cazamias</v>
      </c>
      <c r="W2239">
        <f>Table2[Profit]/Table2[Sales]</f>
        <v>0.36</v>
      </c>
    </row>
    <row r="2240" spans="1:23" x14ac:dyDescent="0.25">
      <c r="A2240">
        <v>2239</v>
      </c>
      <c r="B2240" t="s">
        <v>7386</v>
      </c>
      <c r="C2240" s="1">
        <v>42786</v>
      </c>
      <c r="D2240" s="1">
        <v>42791</v>
      </c>
      <c r="E2240" t="s">
        <v>22</v>
      </c>
      <c r="F2240" t="s">
        <v>1372</v>
      </c>
      <c r="G2240" t="s">
        <v>1373</v>
      </c>
      <c r="H2240" t="s">
        <v>40</v>
      </c>
      <c r="I2240" t="s">
        <v>26</v>
      </c>
      <c r="J2240" t="s">
        <v>1459</v>
      </c>
      <c r="K2240" t="s">
        <v>450</v>
      </c>
      <c r="L2240">
        <v>80027</v>
      </c>
      <c r="M2240" t="s">
        <v>43</v>
      </c>
      <c r="N2240" t="s">
        <v>5315</v>
      </c>
      <c r="O2240" t="s">
        <v>45</v>
      </c>
      <c r="P2240" t="s">
        <v>266</v>
      </c>
      <c r="Q2240" t="s">
        <v>556</v>
      </c>
      <c r="R2240">
        <v>9.4320000000000004</v>
      </c>
      <c r="S2240">
        <v>3</v>
      </c>
      <c r="T2240">
        <v>0.2</v>
      </c>
      <c r="U2240">
        <v>3.0653999999999999</v>
      </c>
      <c r="V2240" t="str">
        <f t="shared" si="34"/>
        <v>Bart Pistole</v>
      </c>
      <c r="W2240">
        <f>Table2[Profit]/Table2[Sales]</f>
        <v>0.32499999999999996</v>
      </c>
    </row>
    <row r="2241" spans="1:23" x14ac:dyDescent="0.25">
      <c r="A2241">
        <v>2240</v>
      </c>
      <c r="B2241" t="s">
        <v>7387</v>
      </c>
      <c r="C2241" s="1">
        <v>41945</v>
      </c>
      <c r="D2241" s="1">
        <v>41949</v>
      </c>
      <c r="E2241" t="s">
        <v>49</v>
      </c>
      <c r="F2241" t="s">
        <v>7242</v>
      </c>
      <c r="G2241" t="s">
        <v>7243</v>
      </c>
      <c r="H2241" t="s">
        <v>25</v>
      </c>
      <c r="I2241" t="s">
        <v>26</v>
      </c>
      <c r="J2241" t="s">
        <v>263</v>
      </c>
      <c r="K2241" t="s">
        <v>264</v>
      </c>
      <c r="L2241">
        <v>10024</v>
      </c>
      <c r="M2241" t="s">
        <v>145</v>
      </c>
      <c r="N2241" t="s">
        <v>2461</v>
      </c>
      <c r="O2241" t="s">
        <v>45</v>
      </c>
      <c r="P2241" t="s">
        <v>46</v>
      </c>
      <c r="Q2241" t="s">
        <v>2462</v>
      </c>
      <c r="R2241">
        <v>34.86</v>
      </c>
      <c r="S2241">
        <v>7</v>
      </c>
      <c r="T2241">
        <v>0</v>
      </c>
      <c r="U2241">
        <v>16.035599999999999</v>
      </c>
      <c r="V2241" t="str">
        <f t="shared" si="34"/>
        <v>Roger Demir</v>
      </c>
      <c r="W2241">
        <f>Table2[Profit]/Table2[Sales]</f>
        <v>0.45999999999999996</v>
      </c>
    </row>
    <row r="2242" spans="1:23" x14ac:dyDescent="0.25">
      <c r="A2242">
        <v>2241</v>
      </c>
      <c r="B2242" t="s">
        <v>7388</v>
      </c>
      <c r="C2242" s="1">
        <v>42933</v>
      </c>
      <c r="D2242" s="1">
        <v>42939</v>
      </c>
      <c r="E2242" t="s">
        <v>49</v>
      </c>
      <c r="F2242" t="s">
        <v>2753</v>
      </c>
      <c r="G2242" t="s">
        <v>2754</v>
      </c>
      <c r="H2242" t="s">
        <v>101</v>
      </c>
      <c r="I2242" t="s">
        <v>26</v>
      </c>
      <c r="J2242" t="s">
        <v>7389</v>
      </c>
      <c r="K2242" t="s">
        <v>264</v>
      </c>
      <c r="L2242">
        <v>13440</v>
      </c>
      <c r="M2242" t="s">
        <v>145</v>
      </c>
      <c r="N2242" t="s">
        <v>644</v>
      </c>
      <c r="O2242" t="s">
        <v>70</v>
      </c>
      <c r="P2242" t="s">
        <v>71</v>
      </c>
      <c r="Q2242" t="s">
        <v>645</v>
      </c>
      <c r="R2242">
        <v>269.98</v>
      </c>
      <c r="S2242">
        <v>2</v>
      </c>
      <c r="T2242">
        <v>0</v>
      </c>
      <c r="U2242">
        <v>67.495000000000005</v>
      </c>
      <c r="V2242" t="str">
        <f t="shared" si="34"/>
        <v>Bill Eplett</v>
      </c>
      <c r="W2242">
        <f>Table2[Profit]/Table2[Sales]</f>
        <v>0.25</v>
      </c>
    </row>
    <row r="2243" spans="1:23" x14ac:dyDescent="0.25">
      <c r="A2243">
        <v>2242</v>
      </c>
      <c r="B2243" t="s">
        <v>7392</v>
      </c>
      <c r="C2243" s="1">
        <v>42986</v>
      </c>
      <c r="D2243" s="1">
        <v>42988</v>
      </c>
      <c r="E2243" t="s">
        <v>22</v>
      </c>
      <c r="F2243" t="s">
        <v>2261</v>
      </c>
      <c r="G2243" t="s">
        <v>2262</v>
      </c>
      <c r="H2243" t="s">
        <v>40</v>
      </c>
      <c r="I2243" t="s">
        <v>26</v>
      </c>
      <c r="J2243" t="s">
        <v>5073</v>
      </c>
      <c r="K2243" t="s">
        <v>491</v>
      </c>
      <c r="L2243">
        <v>43302</v>
      </c>
      <c r="M2243" t="s">
        <v>145</v>
      </c>
      <c r="N2243" t="s">
        <v>5269</v>
      </c>
      <c r="O2243" t="s">
        <v>70</v>
      </c>
      <c r="P2243" t="s">
        <v>158</v>
      </c>
      <c r="Q2243" t="s">
        <v>5270</v>
      </c>
      <c r="R2243">
        <v>116.83199999999999</v>
      </c>
      <c r="S2243">
        <v>4</v>
      </c>
      <c r="T2243">
        <v>0.2</v>
      </c>
      <c r="U2243">
        <v>33.589199999999998</v>
      </c>
      <c r="V2243" t="str">
        <f t="shared" ref="V2243:V2306" si="35">TRIM(G2243)</f>
        <v>Roland Schwarz</v>
      </c>
      <c r="W2243">
        <f>Table2[Profit]/Table2[Sales]</f>
        <v>0.28749999999999998</v>
      </c>
    </row>
    <row r="2244" spans="1:23" x14ac:dyDescent="0.25">
      <c r="A2244">
        <v>2243</v>
      </c>
      <c r="B2244" t="s">
        <v>7393</v>
      </c>
      <c r="C2244" s="1">
        <v>42688</v>
      </c>
      <c r="D2244" s="1">
        <v>42692</v>
      </c>
      <c r="E2244" t="s">
        <v>49</v>
      </c>
      <c r="F2244" t="s">
        <v>939</v>
      </c>
      <c r="G2244" t="s">
        <v>940</v>
      </c>
      <c r="H2244" t="s">
        <v>25</v>
      </c>
      <c r="I2244" t="s">
        <v>26</v>
      </c>
      <c r="J2244" t="s">
        <v>181</v>
      </c>
      <c r="K2244" t="s">
        <v>103</v>
      </c>
      <c r="L2244">
        <v>77041</v>
      </c>
      <c r="M2244" t="s">
        <v>104</v>
      </c>
      <c r="N2244" t="s">
        <v>4753</v>
      </c>
      <c r="O2244" t="s">
        <v>45</v>
      </c>
      <c r="P2244" t="s">
        <v>74</v>
      </c>
      <c r="Q2244" t="s">
        <v>4754</v>
      </c>
      <c r="R2244">
        <v>2.2959999999999998</v>
      </c>
      <c r="S2244">
        <v>2</v>
      </c>
      <c r="T2244">
        <v>0.8</v>
      </c>
      <c r="U2244">
        <v>-3.9032</v>
      </c>
      <c r="V2244" t="str">
        <f t="shared" si="35"/>
        <v>Kelly Collister</v>
      </c>
      <c r="W2244">
        <f>Table2[Profit]/Table2[Sales]</f>
        <v>-1.7000000000000002</v>
      </c>
    </row>
    <row r="2245" spans="1:23" x14ac:dyDescent="0.25">
      <c r="A2245">
        <v>2244</v>
      </c>
      <c r="B2245" t="s">
        <v>7394</v>
      </c>
      <c r="C2245" s="1">
        <v>42688</v>
      </c>
      <c r="D2245" s="1">
        <v>42691</v>
      </c>
      <c r="E2245" t="s">
        <v>185</v>
      </c>
      <c r="F2245" t="s">
        <v>792</v>
      </c>
      <c r="G2245" t="s">
        <v>793</v>
      </c>
      <c r="H2245" t="s">
        <v>25</v>
      </c>
      <c r="I2245" t="s">
        <v>26</v>
      </c>
      <c r="J2245" t="s">
        <v>263</v>
      </c>
      <c r="K2245" t="s">
        <v>264</v>
      </c>
      <c r="L2245">
        <v>10009</v>
      </c>
      <c r="M2245" t="s">
        <v>145</v>
      </c>
      <c r="N2245" t="s">
        <v>2424</v>
      </c>
      <c r="O2245" t="s">
        <v>31</v>
      </c>
      <c r="P2245" t="s">
        <v>35</v>
      </c>
      <c r="Q2245" t="s">
        <v>2425</v>
      </c>
      <c r="R2245">
        <v>408.00599999999997</v>
      </c>
      <c r="S2245">
        <v>2</v>
      </c>
      <c r="T2245">
        <v>0.1</v>
      </c>
      <c r="U2245">
        <v>72.534400000000005</v>
      </c>
      <c r="V2245" t="str">
        <f t="shared" si="35"/>
        <v>Maria Bertelson</v>
      </c>
      <c r="W2245">
        <f>Table2[Profit]/Table2[Sales]</f>
        <v>0.17777777777777781</v>
      </c>
    </row>
    <row r="2246" spans="1:23" x14ac:dyDescent="0.25">
      <c r="A2246">
        <v>2245</v>
      </c>
      <c r="B2246" t="s">
        <v>7395</v>
      </c>
      <c r="C2246" s="1">
        <v>41922</v>
      </c>
      <c r="D2246" s="1">
        <v>41922</v>
      </c>
      <c r="E2246" t="s">
        <v>1278</v>
      </c>
      <c r="F2246" t="s">
        <v>1577</v>
      </c>
      <c r="G2246" t="s">
        <v>1578</v>
      </c>
      <c r="H2246" t="s">
        <v>101</v>
      </c>
      <c r="I2246" t="s">
        <v>26</v>
      </c>
      <c r="J2246" t="s">
        <v>4997</v>
      </c>
      <c r="K2246" t="s">
        <v>42</v>
      </c>
      <c r="L2246">
        <v>95336</v>
      </c>
      <c r="M2246" t="s">
        <v>43</v>
      </c>
      <c r="N2246" t="s">
        <v>146</v>
      </c>
      <c r="O2246" t="s">
        <v>31</v>
      </c>
      <c r="P2246" t="s">
        <v>35</v>
      </c>
      <c r="Q2246" t="s">
        <v>147</v>
      </c>
      <c r="R2246">
        <v>122.352</v>
      </c>
      <c r="S2246">
        <v>3</v>
      </c>
      <c r="T2246">
        <v>0.2</v>
      </c>
      <c r="U2246">
        <v>13.7646</v>
      </c>
      <c r="V2246" t="str">
        <f t="shared" si="35"/>
        <v>Tanja Norvell</v>
      </c>
      <c r="W2246">
        <f>Table2[Profit]/Table2[Sales]</f>
        <v>0.11249999999999999</v>
      </c>
    </row>
    <row r="2247" spans="1:23" x14ac:dyDescent="0.25">
      <c r="A2247">
        <v>2246</v>
      </c>
      <c r="B2247" t="s">
        <v>7396</v>
      </c>
      <c r="C2247" s="1">
        <v>42082</v>
      </c>
      <c r="D2247" s="1">
        <v>42089</v>
      </c>
      <c r="E2247" t="s">
        <v>49</v>
      </c>
      <c r="F2247" t="s">
        <v>2484</v>
      </c>
      <c r="G2247" t="s">
        <v>2485</v>
      </c>
      <c r="H2247" t="s">
        <v>40</v>
      </c>
      <c r="I2247" t="s">
        <v>26</v>
      </c>
      <c r="J2247" t="s">
        <v>41</v>
      </c>
      <c r="K2247" t="s">
        <v>42</v>
      </c>
      <c r="L2247">
        <v>90004</v>
      </c>
      <c r="M2247" t="s">
        <v>43</v>
      </c>
      <c r="N2247" t="s">
        <v>1407</v>
      </c>
      <c r="O2247" t="s">
        <v>45</v>
      </c>
      <c r="P2247" t="s">
        <v>89</v>
      </c>
      <c r="Q2247" t="s">
        <v>1408</v>
      </c>
      <c r="R2247">
        <v>11.96</v>
      </c>
      <c r="S2247">
        <v>2</v>
      </c>
      <c r="T2247">
        <v>0</v>
      </c>
      <c r="U2247">
        <v>5.8604000000000003</v>
      </c>
      <c r="V2247" t="str">
        <f t="shared" si="35"/>
        <v>Mike Caudle</v>
      </c>
      <c r="W2247">
        <f>Table2[Profit]/Table2[Sales]</f>
        <v>0.49</v>
      </c>
    </row>
    <row r="2248" spans="1:23" x14ac:dyDescent="0.25">
      <c r="A2248">
        <v>2247</v>
      </c>
      <c r="B2248" t="s">
        <v>7397</v>
      </c>
      <c r="C2248" s="1">
        <v>42924</v>
      </c>
      <c r="D2248" s="1">
        <v>42928</v>
      </c>
      <c r="E2248" t="s">
        <v>49</v>
      </c>
      <c r="F2248" t="s">
        <v>5906</v>
      </c>
      <c r="G2248" t="s">
        <v>5907</v>
      </c>
      <c r="H2248" t="s">
        <v>101</v>
      </c>
      <c r="I2248" t="s">
        <v>26</v>
      </c>
      <c r="J2248" t="s">
        <v>94</v>
      </c>
      <c r="K2248" t="s">
        <v>95</v>
      </c>
      <c r="L2248">
        <v>98115</v>
      </c>
      <c r="M2248" t="s">
        <v>43</v>
      </c>
      <c r="N2248" t="s">
        <v>4827</v>
      </c>
      <c r="O2248" t="s">
        <v>31</v>
      </c>
      <c r="P2248" t="s">
        <v>64</v>
      </c>
      <c r="Q2248" t="s">
        <v>4828</v>
      </c>
      <c r="R2248">
        <v>15.84</v>
      </c>
      <c r="S2248">
        <v>3</v>
      </c>
      <c r="T2248">
        <v>0</v>
      </c>
      <c r="U2248">
        <v>4.9104000000000001</v>
      </c>
      <c r="V2248" t="str">
        <f t="shared" si="35"/>
        <v>Vicky Freymann</v>
      </c>
      <c r="W2248">
        <f>Table2[Profit]/Table2[Sales]</f>
        <v>0.31</v>
      </c>
    </row>
    <row r="2249" spans="1:23" x14ac:dyDescent="0.25">
      <c r="A2249">
        <v>2248</v>
      </c>
      <c r="B2249" t="s">
        <v>7398</v>
      </c>
      <c r="C2249" s="1">
        <v>42062</v>
      </c>
      <c r="D2249" s="1">
        <v>42065</v>
      </c>
      <c r="E2249" t="s">
        <v>49</v>
      </c>
      <c r="F2249" t="s">
        <v>217</v>
      </c>
      <c r="G2249" t="s">
        <v>218</v>
      </c>
      <c r="H2249" t="s">
        <v>40</v>
      </c>
      <c r="I2249" t="s">
        <v>26</v>
      </c>
      <c r="J2249" t="s">
        <v>3508</v>
      </c>
      <c r="K2249" t="s">
        <v>1388</v>
      </c>
      <c r="L2249">
        <v>2908</v>
      </c>
      <c r="M2249" t="s">
        <v>145</v>
      </c>
      <c r="N2249" t="s">
        <v>1949</v>
      </c>
      <c r="O2249" t="s">
        <v>70</v>
      </c>
      <c r="P2249" t="s">
        <v>71</v>
      </c>
      <c r="Q2249" t="s">
        <v>1950</v>
      </c>
      <c r="R2249">
        <v>105.98</v>
      </c>
      <c r="S2249">
        <v>2</v>
      </c>
      <c r="T2249">
        <v>0</v>
      </c>
      <c r="U2249">
        <v>1.0598000000000001</v>
      </c>
      <c r="V2249" t="str">
        <f t="shared" si="35"/>
        <v>Erin Smith</v>
      </c>
      <c r="W2249">
        <f>Table2[Profit]/Table2[Sales]</f>
        <v>0.01</v>
      </c>
    </row>
    <row r="2250" spans="1:23" x14ac:dyDescent="0.25">
      <c r="A2250">
        <v>2249</v>
      </c>
      <c r="B2250" t="s">
        <v>7399</v>
      </c>
      <c r="C2250" s="1">
        <v>42902</v>
      </c>
      <c r="D2250" s="1">
        <v>42907</v>
      </c>
      <c r="E2250" t="s">
        <v>49</v>
      </c>
      <c r="F2250" t="s">
        <v>1279</v>
      </c>
      <c r="G2250" t="s">
        <v>1280</v>
      </c>
      <c r="H2250" t="s">
        <v>40</v>
      </c>
      <c r="I2250" t="s">
        <v>26</v>
      </c>
      <c r="J2250" t="s">
        <v>296</v>
      </c>
      <c r="K2250" t="s">
        <v>208</v>
      </c>
      <c r="L2250">
        <v>60653</v>
      </c>
      <c r="M2250" t="s">
        <v>104</v>
      </c>
      <c r="N2250" t="s">
        <v>107</v>
      </c>
      <c r="O2250" t="s">
        <v>45</v>
      </c>
      <c r="P2250" t="s">
        <v>74</v>
      </c>
      <c r="Q2250" t="s">
        <v>108</v>
      </c>
      <c r="R2250">
        <v>5.9359999999999999</v>
      </c>
      <c r="S2250">
        <v>7</v>
      </c>
      <c r="T2250">
        <v>0.8</v>
      </c>
      <c r="U2250">
        <v>-8.9039999999999999</v>
      </c>
      <c r="V2250" t="str">
        <f t="shared" si="35"/>
        <v>Michael Kennedy</v>
      </c>
      <c r="W2250">
        <f>Table2[Profit]/Table2[Sales]</f>
        <v>-1.5</v>
      </c>
    </row>
    <row r="2251" spans="1:23" x14ac:dyDescent="0.25">
      <c r="A2251">
        <v>2250</v>
      </c>
      <c r="B2251" t="s">
        <v>7400</v>
      </c>
      <c r="C2251" s="1">
        <v>42824</v>
      </c>
      <c r="D2251" s="1">
        <v>42825</v>
      </c>
      <c r="E2251" t="s">
        <v>185</v>
      </c>
      <c r="F2251" t="s">
        <v>7401</v>
      </c>
      <c r="G2251" t="s">
        <v>7402</v>
      </c>
      <c r="H2251" t="s">
        <v>25</v>
      </c>
      <c r="I2251" t="s">
        <v>26</v>
      </c>
      <c r="J2251" t="s">
        <v>4745</v>
      </c>
      <c r="K2251" t="s">
        <v>641</v>
      </c>
      <c r="L2251">
        <v>73120</v>
      </c>
      <c r="M2251" t="s">
        <v>104</v>
      </c>
      <c r="N2251" t="s">
        <v>7403</v>
      </c>
      <c r="O2251" t="s">
        <v>45</v>
      </c>
      <c r="P2251" t="s">
        <v>170</v>
      </c>
      <c r="Q2251" t="s">
        <v>7404</v>
      </c>
      <c r="R2251">
        <v>325.86</v>
      </c>
      <c r="S2251">
        <v>2</v>
      </c>
      <c r="T2251">
        <v>0</v>
      </c>
      <c r="U2251">
        <v>149.8956</v>
      </c>
      <c r="V2251" t="str">
        <f t="shared" si="35"/>
        <v>Tony Molinari</v>
      </c>
      <c r="W2251">
        <f>Table2[Profit]/Table2[Sales]</f>
        <v>0.45999999999999996</v>
      </c>
    </row>
    <row r="2252" spans="1:23" x14ac:dyDescent="0.25">
      <c r="A2252">
        <v>2251</v>
      </c>
      <c r="B2252" t="s">
        <v>7405</v>
      </c>
      <c r="C2252" s="1">
        <v>42197</v>
      </c>
      <c r="D2252" s="1">
        <v>42202</v>
      </c>
      <c r="E2252" t="s">
        <v>22</v>
      </c>
      <c r="F2252" t="s">
        <v>1791</v>
      </c>
      <c r="G2252" t="s">
        <v>1792</v>
      </c>
      <c r="H2252" t="s">
        <v>25</v>
      </c>
      <c r="I2252" t="s">
        <v>26</v>
      </c>
      <c r="J2252" t="s">
        <v>296</v>
      </c>
      <c r="K2252" t="s">
        <v>208</v>
      </c>
      <c r="L2252">
        <v>60610</v>
      </c>
      <c r="M2252" t="s">
        <v>104</v>
      </c>
      <c r="N2252" t="s">
        <v>885</v>
      </c>
      <c r="O2252" t="s">
        <v>31</v>
      </c>
      <c r="P2252" t="s">
        <v>35</v>
      </c>
      <c r="Q2252" t="s">
        <v>886</v>
      </c>
      <c r="R2252">
        <v>383.60700000000003</v>
      </c>
      <c r="S2252">
        <v>9</v>
      </c>
      <c r="T2252">
        <v>0.3</v>
      </c>
      <c r="U2252">
        <v>-5.4801000000000002</v>
      </c>
      <c r="V2252" t="str">
        <f t="shared" si="35"/>
        <v>Rob Lucas</v>
      </c>
      <c r="W2252">
        <f>Table2[Profit]/Table2[Sales]</f>
        <v>-1.4285714285714285E-2</v>
      </c>
    </row>
    <row r="2253" spans="1:23" x14ac:dyDescent="0.25">
      <c r="A2253">
        <v>2252</v>
      </c>
      <c r="B2253" t="s">
        <v>7406</v>
      </c>
      <c r="C2253" s="1">
        <v>42855</v>
      </c>
      <c r="D2253" s="1">
        <v>42857</v>
      </c>
      <c r="E2253" t="s">
        <v>185</v>
      </c>
      <c r="F2253" t="s">
        <v>3183</v>
      </c>
      <c r="G2253" t="s">
        <v>3184</v>
      </c>
      <c r="H2253" t="s">
        <v>25</v>
      </c>
      <c r="I2253" t="s">
        <v>26</v>
      </c>
      <c r="J2253" t="s">
        <v>1281</v>
      </c>
      <c r="K2253" t="s">
        <v>740</v>
      </c>
      <c r="L2253">
        <v>6040</v>
      </c>
      <c r="M2253" t="s">
        <v>145</v>
      </c>
      <c r="N2253" t="s">
        <v>7407</v>
      </c>
      <c r="O2253" t="s">
        <v>45</v>
      </c>
      <c r="P2253" t="s">
        <v>46</v>
      </c>
      <c r="Q2253" t="s">
        <v>7408</v>
      </c>
      <c r="R2253">
        <v>5.76</v>
      </c>
      <c r="S2253">
        <v>2</v>
      </c>
      <c r="T2253">
        <v>0</v>
      </c>
      <c r="U2253">
        <v>2.8224</v>
      </c>
      <c r="V2253" t="str">
        <f t="shared" si="35"/>
        <v>Neoma Murray</v>
      </c>
      <c r="W2253">
        <f>Table2[Profit]/Table2[Sales]</f>
        <v>0.49000000000000005</v>
      </c>
    </row>
    <row r="2254" spans="1:23" x14ac:dyDescent="0.25">
      <c r="A2254">
        <v>2253</v>
      </c>
      <c r="B2254" t="s">
        <v>7409</v>
      </c>
      <c r="C2254" s="1">
        <v>41833</v>
      </c>
      <c r="D2254" s="1">
        <v>41837</v>
      </c>
      <c r="E2254" t="s">
        <v>49</v>
      </c>
      <c r="F2254" t="s">
        <v>1165</v>
      </c>
      <c r="G2254" t="s">
        <v>1166</v>
      </c>
      <c r="H2254" t="s">
        <v>40</v>
      </c>
      <c r="I2254" t="s">
        <v>26</v>
      </c>
      <c r="J2254" t="s">
        <v>41</v>
      </c>
      <c r="K2254" t="s">
        <v>42</v>
      </c>
      <c r="L2254">
        <v>90049</v>
      </c>
      <c r="M2254" t="s">
        <v>43</v>
      </c>
      <c r="N2254" t="s">
        <v>4755</v>
      </c>
      <c r="O2254" t="s">
        <v>31</v>
      </c>
      <c r="P2254" t="s">
        <v>55</v>
      </c>
      <c r="Q2254" t="s">
        <v>4756</v>
      </c>
      <c r="R2254">
        <v>351.21600000000001</v>
      </c>
      <c r="S2254">
        <v>3</v>
      </c>
      <c r="T2254">
        <v>0.2</v>
      </c>
      <c r="U2254">
        <v>4.3902000000000001</v>
      </c>
      <c r="V2254" t="str">
        <f t="shared" si="35"/>
        <v>Grace Kelly</v>
      </c>
      <c r="W2254">
        <f>Table2[Profit]/Table2[Sales]</f>
        <v>1.2500000000000001E-2</v>
      </c>
    </row>
    <row r="2255" spans="1:23" x14ac:dyDescent="0.25">
      <c r="A2255">
        <v>2254</v>
      </c>
      <c r="B2255" t="s">
        <v>7410</v>
      </c>
      <c r="C2255" s="1">
        <v>42000</v>
      </c>
      <c r="D2255" s="1">
        <v>42006</v>
      </c>
      <c r="E2255" t="s">
        <v>49</v>
      </c>
      <c r="F2255" t="s">
        <v>1887</v>
      </c>
      <c r="G2255" t="s">
        <v>1888</v>
      </c>
      <c r="H2255" t="s">
        <v>25</v>
      </c>
      <c r="I2255" t="s">
        <v>26</v>
      </c>
      <c r="J2255" t="s">
        <v>126</v>
      </c>
      <c r="K2255" t="s">
        <v>42</v>
      </c>
      <c r="L2255">
        <v>94122</v>
      </c>
      <c r="M2255" t="s">
        <v>43</v>
      </c>
      <c r="N2255" t="s">
        <v>1447</v>
      </c>
      <c r="O2255" t="s">
        <v>31</v>
      </c>
      <c r="P2255" t="s">
        <v>35</v>
      </c>
      <c r="Q2255" t="s">
        <v>1448</v>
      </c>
      <c r="R2255">
        <v>230.28</v>
      </c>
      <c r="S2255">
        <v>3</v>
      </c>
      <c r="T2255">
        <v>0.2</v>
      </c>
      <c r="U2255">
        <v>23.027999999999999</v>
      </c>
      <c r="V2255" t="str">
        <f t="shared" si="35"/>
        <v>Jeremy Farry</v>
      </c>
      <c r="W2255">
        <f>Table2[Profit]/Table2[Sales]</f>
        <v>9.9999999999999992E-2</v>
      </c>
    </row>
    <row r="2256" spans="1:23" x14ac:dyDescent="0.25">
      <c r="A2256">
        <v>2255</v>
      </c>
      <c r="B2256" t="s">
        <v>7411</v>
      </c>
      <c r="C2256" s="1">
        <v>42427</v>
      </c>
      <c r="D2256" s="1">
        <v>42430</v>
      </c>
      <c r="E2256" t="s">
        <v>22</v>
      </c>
      <c r="F2256" t="s">
        <v>4267</v>
      </c>
      <c r="G2256" t="s">
        <v>4268</v>
      </c>
      <c r="H2256" t="s">
        <v>25</v>
      </c>
      <c r="I2256" t="s">
        <v>26</v>
      </c>
      <c r="J2256" t="s">
        <v>7412</v>
      </c>
      <c r="K2256" t="s">
        <v>113</v>
      </c>
      <c r="L2256">
        <v>54601</v>
      </c>
      <c r="M2256" t="s">
        <v>104</v>
      </c>
      <c r="N2256" t="s">
        <v>414</v>
      </c>
      <c r="O2256" t="s">
        <v>45</v>
      </c>
      <c r="P2256" t="s">
        <v>74</v>
      </c>
      <c r="Q2256" t="s">
        <v>415</v>
      </c>
      <c r="R2256">
        <v>56.82</v>
      </c>
      <c r="S2256">
        <v>3</v>
      </c>
      <c r="T2256">
        <v>0</v>
      </c>
      <c r="U2256">
        <v>28.41</v>
      </c>
      <c r="V2256" t="str">
        <f t="shared" si="35"/>
        <v>Eric Barreto</v>
      </c>
      <c r="W2256">
        <f>Table2[Profit]/Table2[Sales]</f>
        <v>0.5</v>
      </c>
    </row>
    <row r="2257" spans="1:23" x14ac:dyDescent="0.25">
      <c r="A2257">
        <v>2256</v>
      </c>
      <c r="B2257" t="s">
        <v>7413</v>
      </c>
      <c r="C2257" s="1">
        <v>42086</v>
      </c>
      <c r="D2257" s="1">
        <v>42089</v>
      </c>
      <c r="E2257" t="s">
        <v>185</v>
      </c>
      <c r="F2257" t="s">
        <v>4057</v>
      </c>
      <c r="G2257" t="s">
        <v>4058</v>
      </c>
      <c r="H2257" t="s">
        <v>25</v>
      </c>
      <c r="I2257" t="s">
        <v>26</v>
      </c>
      <c r="J2257" t="s">
        <v>2548</v>
      </c>
      <c r="K2257" t="s">
        <v>376</v>
      </c>
      <c r="L2257">
        <v>29501</v>
      </c>
      <c r="M2257" t="s">
        <v>29</v>
      </c>
      <c r="N2257" t="s">
        <v>2106</v>
      </c>
      <c r="O2257" t="s">
        <v>45</v>
      </c>
      <c r="P2257" t="s">
        <v>266</v>
      </c>
      <c r="Q2257" t="s">
        <v>556</v>
      </c>
      <c r="R2257">
        <v>31.56</v>
      </c>
      <c r="S2257">
        <v>4</v>
      </c>
      <c r="T2257">
        <v>0</v>
      </c>
      <c r="U2257">
        <v>14.202</v>
      </c>
      <c r="V2257" t="str">
        <f t="shared" si="35"/>
        <v>Sheri Gordon</v>
      </c>
      <c r="W2257">
        <f>Table2[Profit]/Table2[Sales]</f>
        <v>0.45</v>
      </c>
    </row>
    <row r="2258" spans="1:23" x14ac:dyDescent="0.25">
      <c r="A2258">
        <v>2257</v>
      </c>
      <c r="B2258" t="s">
        <v>7414</v>
      </c>
      <c r="C2258" s="1">
        <v>43029</v>
      </c>
      <c r="D2258" s="1">
        <v>43036</v>
      </c>
      <c r="E2258" t="s">
        <v>49</v>
      </c>
      <c r="F2258" t="s">
        <v>3660</v>
      </c>
      <c r="G2258" t="s">
        <v>3661</v>
      </c>
      <c r="H2258" t="s">
        <v>25</v>
      </c>
      <c r="I2258" t="s">
        <v>26</v>
      </c>
      <c r="J2258" t="s">
        <v>3860</v>
      </c>
      <c r="K2258" t="s">
        <v>303</v>
      </c>
      <c r="L2258">
        <v>85301</v>
      </c>
      <c r="M2258" t="s">
        <v>43</v>
      </c>
      <c r="N2258" t="s">
        <v>2676</v>
      </c>
      <c r="O2258" t="s">
        <v>45</v>
      </c>
      <c r="P2258" t="s">
        <v>74</v>
      </c>
      <c r="Q2258" t="s">
        <v>2677</v>
      </c>
      <c r="R2258">
        <v>8.5589999999999993</v>
      </c>
      <c r="S2258">
        <v>1</v>
      </c>
      <c r="T2258">
        <v>0.7</v>
      </c>
      <c r="U2258">
        <v>-6.5618999999999996</v>
      </c>
      <c r="V2258" t="str">
        <f t="shared" si="35"/>
        <v>Natalie DeCherney</v>
      </c>
      <c r="W2258">
        <f>Table2[Profit]/Table2[Sales]</f>
        <v>-0.76666666666666672</v>
      </c>
    </row>
    <row r="2259" spans="1:23" x14ac:dyDescent="0.25">
      <c r="A2259">
        <v>2258</v>
      </c>
      <c r="B2259" t="s">
        <v>7415</v>
      </c>
      <c r="C2259" s="1">
        <v>42004</v>
      </c>
      <c r="D2259" s="1">
        <v>42009</v>
      </c>
      <c r="E2259" t="s">
        <v>49</v>
      </c>
      <c r="F2259" t="s">
        <v>6329</v>
      </c>
      <c r="G2259" t="s">
        <v>6330</v>
      </c>
      <c r="H2259" t="s">
        <v>40</v>
      </c>
      <c r="I2259" t="s">
        <v>26</v>
      </c>
      <c r="J2259" t="s">
        <v>4086</v>
      </c>
      <c r="K2259" t="s">
        <v>103</v>
      </c>
      <c r="L2259">
        <v>79907</v>
      </c>
      <c r="M2259" t="s">
        <v>104</v>
      </c>
      <c r="N2259" t="s">
        <v>6245</v>
      </c>
      <c r="O2259" t="s">
        <v>45</v>
      </c>
      <c r="P2259" t="s">
        <v>170</v>
      </c>
      <c r="Q2259" t="s">
        <v>662</v>
      </c>
      <c r="R2259">
        <v>49.567999999999998</v>
      </c>
      <c r="S2259">
        <v>2</v>
      </c>
      <c r="T2259">
        <v>0.2</v>
      </c>
      <c r="U2259">
        <v>17.968399999999999</v>
      </c>
      <c r="V2259" t="str">
        <f t="shared" si="35"/>
        <v>Candace McMahon</v>
      </c>
      <c r="W2259">
        <f>Table2[Profit]/Table2[Sales]</f>
        <v>0.36249999999999999</v>
      </c>
    </row>
    <row r="2260" spans="1:23" x14ac:dyDescent="0.25">
      <c r="A2260">
        <v>2259</v>
      </c>
      <c r="B2260" t="s">
        <v>7416</v>
      </c>
      <c r="C2260" s="1">
        <v>41764</v>
      </c>
      <c r="D2260" s="1">
        <v>41767</v>
      </c>
      <c r="E2260" t="s">
        <v>185</v>
      </c>
      <c r="F2260" t="s">
        <v>149</v>
      </c>
      <c r="G2260" t="s">
        <v>150</v>
      </c>
      <c r="H2260" t="s">
        <v>25</v>
      </c>
      <c r="I2260" t="s">
        <v>26</v>
      </c>
      <c r="J2260" t="s">
        <v>671</v>
      </c>
      <c r="K2260" t="s">
        <v>103</v>
      </c>
      <c r="L2260">
        <v>78207</v>
      </c>
      <c r="M2260" t="s">
        <v>104</v>
      </c>
      <c r="N2260" t="s">
        <v>297</v>
      </c>
      <c r="O2260" t="s">
        <v>31</v>
      </c>
      <c r="P2260" t="s">
        <v>35</v>
      </c>
      <c r="Q2260" t="s">
        <v>298</v>
      </c>
      <c r="R2260">
        <v>127.869</v>
      </c>
      <c r="S2260">
        <v>3</v>
      </c>
      <c r="T2260">
        <v>0.3</v>
      </c>
      <c r="U2260">
        <v>-9.1334999999999997</v>
      </c>
      <c r="V2260" t="str">
        <f t="shared" si="35"/>
        <v>Emily Burns</v>
      </c>
      <c r="W2260">
        <f>Table2[Profit]/Table2[Sales]</f>
        <v>-7.1428571428571425E-2</v>
      </c>
    </row>
    <row r="2261" spans="1:23" x14ac:dyDescent="0.25">
      <c r="A2261">
        <v>2260</v>
      </c>
      <c r="B2261" t="s">
        <v>7417</v>
      </c>
      <c r="C2261" s="1">
        <v>42342</v>
      </c>
      <c r="D2261" s="1">
        <v>42347</v>
      </c>
      <c r="E2261" t="s">
        <v>22</v>
      </c>
      <c r="F2261" t="s">
        <v>3673</v>
      </c>
      <c r="G2261" t="s">
        <v>3674</v>
      </c>
      <c r="H2261" t="s">
        <v>40</v>
      </c>
      <c r="I2261" t="s">
        <v>26</v>
      </c>
      <c r="J2261" t="s">
        <v>41</v>
      </c>
      <c r="K2261" t="s">
        <v>42</v>
      </c>
      <c r="L2261">
        <v>90049</v>
      </c>
      <c r="M2261" t="s">
        <v>43</v>
      </c>
      <c r="N2261" t="s">
        <v>949</v>
      </c>
      <c r="O2261" t="s">
        <v>45</v>
      </c>
      <c r="P2261" t="s">
        <v>170</v>
      </c>
      <c r="Q2261" t="s">
        <v>950</v>
      </c>
      <c r="R2261">
        <v>271.44</v>
      </c>
      <c r="S2261">
        <v>3</v>
      </c>
      <c r="T2261">
        <v>0</v>
      </c>
      <c r="U2261">
        <v>122.148</v>
      </c>
      <c r="V2261" t="str">
        <f t="shared" si="35"/>
        <v>Harry Marie</v>
      </c>
      <c r="W2261">
        <f>Table2[Profit]/Table2[Sales]</f>
        <v>0.45</v>
      </c>
    </row>
    <row r="2262" spans="1:23" x14ac:dyDescent="0.25">
      <c r="A2262">
        <v>2261</v>
      </c>
      <c r="B2262" t="s">
        <v>7422</v>
      </c>
      <c r="C2262" s="1">
        <v>43004</v>
      </c>
      <c r="D2262" s="1">
        <v>43008</v>
      </c>
      <c r="E2262" t="s">
        <v>49</v>
      </c>
      <c r="F2262" t="s">
        <v>2620</v>
      </c>
      <c r="G2262" t="s">
        <v>2621</v>
      </c>
      <c r="H2262" t="s">
        <v>101</v>
      </c>
      <c r="I2262" t="s">
        <v>26</v>
      </c>
      <c r="J2262" t="s">
        <v>7028</v>
      </c>
      <c r="K2262" t="s">
        <v>53</v>
      </c>
      <c r="L2262">
        <v>33023</v>
      </c>
      <c r="M2262" t="s">
        <v>29</v>
      </c>
      <c r="N2262" t="s">
        <v>6800</v>
      </c>
      <c r="O2262" t="s">
        <v>31</v>
      </c>
      <c r="P2262" t="s">
        <v>35</v>
      </c>
      <c r="Q2262" t="s">
        <v>6801</v>
      </c>
      <c r="R2262">
        <v>419.13600000000002</v>
      </c>
      <c r="S2262">
        <v>4</v>
      </c>
      <c r="T2262">
        <v>0.2</v>
      </c>
      <c r="U2262">
        <v>-57.6312</v>
      </c>
      <c r="V2262" t="str">
        <f t="shared" si="35"/>
        <v>Sanjit Jacobs</v>
      </c>
      <c r="W2262">
        <f>Table2[Profit]/Table2[Sales]</f>
        <v>-0.13749999999999998</v>
      </c>
    </row>
    <row r="2263" spans="1:23" x14ac:dyDescent="0.25">
      <c r="A2263">
        <v>2262</v>
      </c>
      <c r="B2263" t="s">
        <v>7423</v>
      </c>
      <c r="C2263" s="1">
        <v>41982</v>
      </c>
      <c r="D2263" s="1">
        <v>41987</v>
      </c>
      <c r="E2263" t="s">
        <v>49</v>
      </c>
      <c r="F2263" t="s">
        <v>6094</v>
      </c>
      <c r="G2263" t="s">
        <v>6095</v>
      </c>
      <c r="H2263" t="s">
        <v>40</v>
      </c>
      <c r="I2263" t="s">
        <v>26</v>
      </c>
      <c r="J2263" t="s">
        <v>1799</v>
      </c>
      <c r="K2263" t="s">
        <v>303</v>
      </c>
      <c r="L2263">
        <v>85204</v>
      </c>
      <c r="M2263" t="s">
        <v>43</v>
      </c>
      <c r="N2263" t="s">
        <v>3930</v>
      </c>
      <c r="O2263" t="s">
        <v>45</v>
      </c>
      <c r="P2263" t="s">
        <v>58</v>
      </c>
      <c r="Q2263" t="s">
        <v>3931</v>
      </c>
      <c r="R2263">
        <v>100.70399999999999</v>
      </c>
      <c r="S2263">
        <v>6</v>
      </c>
      <c r="T2263">
        <v>0.2</v>
      </c>
      <c r="U2263">
        <v>-1.2587999999999999</v>
      </c>
      <c r="V2263" t="str">
        <f t="shared" si="35"/>
        <v>Dario Medina</v>
      </c>
      <c r="W2263">
        <f>Table2[Profit]/Table2[Sales]</f>
        <v>-1.2500000000000001E-2</v>
      </c>
    </row>
    <row r="2264" spans="1:23" x14ac:dyDescent="0.25">
      <c r="A2264">
        <v>2263</v>
      </c>
      <c r="B2264" t="s">
        <v>7424</v>
      </c>
      <c r="C2264" s="1">
        <v>43072</v>
      </c>
      <c r="D2264" s="1">
        <v>43079</v>
      </c>
      <c r="E2264" t="s">
        <v>49</v>
      </c>
      <c r="F2264" t="s">
        <v>3573</v>
      </c>
      <c r="G2264" t="s">
        <v>3574</v>
      </c>
      <c r="H2264" t="s">
        <v>25</v>
      </c>
      <c r="I2264" t="s">
        <v>26</v>
      </c>
      <c r="J2264" t="s">
        <v>1682</v>
      </c>
      <c r="K2264" t="s">
        <v>87</v>
      </c>
      <c r="L2264">
        <v>28314</v>
      </c>
      <c r="M2264" t="s">
        <v>29</v>
      </c>
      <c r="N2264" t="s">
        <v>2107</v>
      </c>
      <c r="O2264" t="s">
        <v>45</v>
      </c>
      <c r="P2264" t="s">
        <v>77</v>
      </c>
      <c r="Q2264" t="s">
        <v>2108</v>
      </c>
      <c r="R2264">
        <v>45.216000000000001</v>
      </c>
      <c r="S2264">
        <v>3</v>
      </c>
      <c r="T2264">
        <v>0.2</v>
      </c>
      <c r="U2264">
        <v>4.5216000000000003</v>
      </c>
      <c r="V2264" t="str">
        <f t="shared" si="35"/>
        <v>Matt Collins</v>
      </c>
      <c r="W2264">
        <f>Table2[Profit]/Table2[Sales]</f>
        <v>0.1</v>
      </c>
    </row>
    <row r="2265" spans="1:23" x14ac:dyDescent="0.25">
      <c r="A2265">
        <v>2264</v>
      </c>
      <c r="B2265" t="s">
        <v>7425</v>
      </c>
      <c r="C2265" s="1">
        <v>42316</v>
      </c>
      <c r="D2265" s="1">
        <v>42321</v>
      </c>
      <c r="E2265" t="s">
        <v>49</v>
      </c>
      <c r="F2265" t="s">
        <v>4645</v>
      </c>
      <c r="G2265" t="s">
        <v>4646</v>
      </c>
      <c r="H2265" t="s">
        <v>25</v>
      </c>
      <c r="I2265" t="s">
        <v>26</v>
      </c>
      <c r="J2265" t="s">
        <v>181</v>
      </c>
      <c r="K2265" t="s">
        <v>103</v>
      </c>
      <c r="L2265">
        <v>77095</v>
      </c>
      <c r="M2265" t="s">
        <v>104</v>
      </c>
      <c r="N2265" t="s">
        <v>229</v>
      </c>
      <c r="O2265" t="s">
        <v>45</v>
      </c>
      <c r="P2265" t="s">
        <v>74</v>
      </c>
      <c r="Q2265" t="s">
        <v>230</v>
      </c>
      <c r="R2265">
        <v>10.476000000000001</v>
      </c>
      <c r="S2265">
        <v>6</v>
      </c>
      <c r="T2265">
        <v>0.8</v>
      </c>
      <c r="U2265">
        <v>-17.285399999999999</v>
      </c>
      <c r="V2265" t="str">
        <f t="shared" si="35"/>
        <v>Duane Benoit</v>
      </c>
      <c r="W2265">
        <f>Table2[Profit]/Table2[Sales]</f>
        <v>-1.6499999999999997</v>
      </c>
    </row>
    <row r="2266" spans="1:23" x14ac:dyDescent="0.25">
      <c r="A2266">
        <v>2265</v>
      </c>
      <c r="B2266" t="s">
        <v>7426</v>
      </c>
      <c r="C2266" s="1">
        <v>41748</v>
      </c>
      <c r="D2266" s="1">
        <v>41750</v>
      </c>
      <c r="E2266" t="s">
        <v>22</v>
      </c>
      <c r="F2266" t="s">
        <v>3064</v>
      </c>
      <c r="G2266" t="s">
        <v>3065</v>
      </c>
      <c r="H2266" t="s">
        <v>101</v>
      </c>
      <c r="I2266" t="s">
        <v>26</v>
      </c>
      <c r="J2266" t="s">
        <v>622</v>
      </c>
      <c r="K2266" t="s">
        <v>42</v>
      </c>
      <c r="L2266">
        <v>95123</v>
      </c>
      <c r="M2266" t="s">
        <v>43</v>
      </c>
      <c r="N2266" t="s">
        <v>898</v>
      </c>
      <c r="O2266" t="s">
        <v>31</v>
      </c>
      <c r="P2266" t="s">
        <v>64</v>
      </c>
      <c r="Q2266" t="s">
        <v>6817</v>
      </c>
      <c r="R2266">
        <v>76.14</v>
      </c>
      <c r="S2266">
        <v>3</v>
      </c>
      <c r="T2266">
        <v>0</v>
      </c>
      <c r="U2266">
        <v>26.649000000000001</v>
      </c>
      <c r="V2266" t="str">
        <f t="shared" si="35"/>
        <v>Nicole Fjeld</v>
      </c>
      <c r="W2266">
        <f>Table2[Profit]/Table2[Sales]</f>
        <v>0.35000000000000003</v>
      </c>
    </row>
    <row r="2267" spans="1:23" x14ac:dyDescent="0.25">
      <c r="A2267">
        <v>2266</v>
      </c>
      <c r="B2267" t="s">
        <v>7427</v>
      </c>
      <c r="C2267" s="1">
        <v>42149</v>
      </c>
      <c r="D2267" s="1">
        <v>42151</v>
      </c>
      <c r="E2267" t="s">
        <v>22</v>
      </c>
      <c r="F2267" t="s">
        <v>1152</v>
      </c>
      <c r="G2267" t="s">
        <v>1153</v>
      </c>
      <c r="H2267" t="s">
        <v>101</v>
      </c>
      <c r="I2267" t="s">
        <v>26</v>
      </c>
      <c r="J2267" t="s">
        <v>7078</v>
      </c>
      <c r="K2267" t="s">
        <v>4436</v>
      </c>
      <c r="L2267">
        <v>67212</v>
      </c>
      <c r="M2267" t="s">
        <v>104</v>
      </c>
      <c r="N2267" t="s">
        <v>7298</v>
      </c>
      <c r="O2267" t="s">
        <v>45</v>
      </c>
      <c r="P2267" t="s">
        <v>67</v>
      </c>
      <c r="Q2267" t="s">
        <v>7299</v>
      </c>
      <c r="R2267">
        <v>21.24</v>
      </c>
      <c r="S2267">
        <v>3</v>
      </c>
      <c r="T2267">
        <v>0</v>
      </c>
      <c r="U2267">
        <v>8.0711999999999993</v>
      </c>
      <c r="V2267" t="str">
        <f t="shared" si="35"/>
        <v>Nathan Mautz</v>
      </c>
      <c r="W2267">
        <f>Table2[Profit]/Table2[Sales]</f>
        <v>0.38</v>
      </c>
    </row>
    <row r="2268" spans="1:23" x14ac:dyDescent="0.25">
      <c r="A2268">
        <v>2267</v>
      </c>
      <c r="B2268" t="s">
        <v>7428</v>
      </c>
      <c r="C2268" s="1">
        <v>42933</v>
      </c>
      <c r="D2268" s="1">
        <v>42937</v>
      </c>
      <c r="E2268" t="s">
        <v>49</v>
      </c>
      <c r="F2268" t="s">
        <v>3605</v>
      </c>
      <c r="G2268" t="s">
        <v>3606</v>
      </c>
      <c r="H2268" t="s">
        <v>101</v>
      </c>
      <c r="I2268" t="s">
        <v>26</v>
      </c>
      <c r="J2268" t="s">
        <v>41</v>
      </c>
      <c r="K2268" t="s">
        <v>42</v>
      </c>
      <c r="L2268">
        <v>90036</v>
      </c>
      <c r="M2268" t="s">
        <v>43</v>
      </c>
      <c r="N2268" t="s">
        <v>3248</v>
      </c>
      <c r="O2268" t="s">
        <v>70</v>
      </c>
      <c r="P2268" t="s">
        <v>1204</v>
      </c>
      <c r="Q2268" t="s">
        <v>3249</v>
      </c>
      <c r="R2268">
        <v>479.98399999999998</v>
      </c>
      <c r="S2268">
        <v>2</v>
      </c>
      <c r="T2268">
        <v>0.2</v>
      </c>
      <c r="U2268">
        <v>89.997</v>
      </c>
      <c r="V2268" t="str">
        <f t="shared" si="35"/>
        <v>Alejandro Ballentine</v>
      </c>
      <c r="W2268">
        <f>Table2[Profit]/Table2[Sales]</f>
        <v>0.1875</v>
      </c>
    </row>
    <row r="2269" spans="1:23" x14ac:dyDescent="0.25">
      <c r="A2269">
        <v>2268</v>
      </c>
      <c r="B2269" t="s">
        <v>7429</v>
      </c>
      <c r="C2269" s="1">
        <v>42716</v>
      </c>
      <c r="D2269" s="1">
        <v>42722</v>
      </c>
      <c r="E2269" t="s">
        <v>49</v>
      </c>
      <c r="F2269" t="s">
        <v>3078</v>
      </c>
      <c r="G2269" t="s">
        <v>3079</v>
      </c>
      <c r="H2269" t="s">
        <v>101</v>
      </c>
      <c r="I2269" t="s">
        <v>26</v>
      </c>
      <c r="J2269" t="s">
        <v>321</v>
      </c>
      <c r="K2269" t="s">
        <v>235</v>
      </c>
      <c r="L2269">
        <v>49201</v>
      </c>
      <c r="M2269" t="s">
        <v>104</v>
      </c>
      <c r="N2269" t="s">
        <v>2056</v>
      </c>
      <c r="O2269" t="s">
        <v>70</v>
      </c>
      <c r="P2269" t="s">
        <v>71</v>
      </c>
      <c r="Q2269" t="s">
        <v>2057</v>
      </c>
      <c r="R2269">
        <v>657.93</v>
      </c>
      <c r="S2269">
        <v>7</v>
      </c>
      <c r="T2269">
        <v>0</v>
      </c>
      <c r="U2269">
        <v>184.22040000000001</v>
      </c>
      <c r="V2269" t="str">
        <f t="shared" si="35"/>
        <v>Matthew Grinstein</v>
      </c>
      <c r="W2269">
        <f>Table2[Profit]/Table2[Sales]</f>
        <v>0.28000000000000003</v>
      </c>
    </row>
    <row r="2270" spans="1:23" x14ac:dyDescent="0.25">
      <c r="A2270">
        <v>2269</v>
      </c>
      <c r="B2270" t="s">
        <v>7432</v>
      </c>
      <c r="C2270" s="1">
        <v>41740</v>
      </c>
      <c r="D2270" s="1">
        <v>41745</v>
      </c>
      <c r="E2270" t="s">
        <v>49</v>
      </c>
      <c r="F2270" t="s">
        <v>2775</v>
      </c>
      <c r="G2270" t="s">
        <v>2776</v>
      </c>
      <c r="H2270" t="s">
        <v>25</v>
      </c>
      <c r="I2270" t="s">
        <v>26</v>
      </c>
      <c r="J2270" t="s">
        <v>7433</v>
      </c>
      <c r="K2270" t="s">
        <v>6119</v>
      </c>
      <c r="L2270">
        <v>83501</v>
      </c>
      <c r="M2270" t="s">
        <v>43</v>
      </c>
      <c r="N2270" t="s">
        <v>4816</v>
      </c>
      <c r="O2270" t="s">
        <v>45</v>
      </c>
      <c r="P2270" t="s">
        <v>74</v>
      </c>
      <c r="Q2270" t="s">
        <v>4817</v>
      </c>
      <c r="R2270">
        <v>9.5839999999999996</v>
      </c>
      <c r="S2270">
        <v>1</v>
      </c>
      <c r="T2270">
        <v>0.2</v>
      </c>
      <c r="U2270">
        <v>3.3544</v>
      </c>
      <c r="V2270" t="str">
        <f t="shared" si="35"/>
        <v>Sanjit Engle</v>
      </c>
      <c r="W2270">
        <f>Table2[Profit]/Table2[Sales]</f>
        <v>0.35000000000000003</v>
      </c>
    </row>
    <row r="2271" spans="1:23" x14ac:dyDescent="0.25">
      <c r="A2271">
        <v>2270</v>
      </c>
      <c r="B2271" t="s">
        <v>7434</v>
      </c>
      <c r="C2271" s="1">
        <v>42164</v>
      </c>
      <c r="D2271" s="1">
        <v>42170</v>
      </c>
      <c r="E2271" t="s">
        <v>49</v>
      </c>
      <c r="F2271" t="s">
        <v>2671</v>
      </c>
      <c r="G2271" t="s">
        <v>2672</v>
      </c>
      <c r="H2271" t="s">
        <v>101</v>
      </c>
      <c r="I2271" t="s">
        <v>26</v>
      </c>
      <c r="J2271" t="s">
        <v>7376</v>
      </c>
      <c r="K2271" t="s">
        <v>312</v>
      </c>
      <c r="L2271">
        <v>23666</v>
      </c>
      <c r="M2271" t="s">
        <v>29</v>
      </c>
      <c r="N2271" t="s">
        <v>1698</v>
      </c>
      <c r="O2271" t="s">
        <v>45</v>
      </c>
      <c r="P2271" t="s">
        <v>74</v>
      </c>
      <c r="Q2271" t="s">
        <v>1699</v>
      </c>
      <c r="R2271">
        <v>113.1</v>
      </c>
      <c r="S2271">
        <v>3</v>
      </c>
      <c r="T2271">
        <v>0</v>
      </c>
      <c r="U2271">
        <v>56.55</v>
      </c>
      <c r="V2271" t="str">
        <f t="shared" si="35"/>
        <v>Anthony Garverick</v>
      </c>
      <c r="W2271">
        <f>Table2[Profit]/Table2[Sales]</f>
        <v>0.5</v>
      </c>
    </row>
    <row r="2272" spans="1:23" x14ac:dyDescent="0.25">
      <c r="A2272">
        <v>2271</v>
      </c>
      <c r="B2272" t="s">
        <v>7435</v>
      </c>
      <c r="C2272" s="1">
        <v>41847</v>
      </c>
      <c r="D2272" s="1">
        <v>41853</v>
      </c>
      <c r="E2272" t="s">
        <v>49</v>
      </c>
      <c r="F2272" t="s">
        <v>3632</v>
      </c>
      <c r="G2272" t="s">
        <v>3633</v>
      </c>
      <c r="H2272" t="s">
        <v>40</v>
      </c>
      <c r="I2272" t="s">
        <v>26</v>
      </c>
      <c r="J2272" t="s">
        <v>263</v>
      </c>
      <c r="K2272" t="s">
        <v>264</v>
      </c>
      <c r="L2272">
        <v>10035</v>
      </c>
      <c r="M2272" t="s">
        <v>145</v>
      </c>
      <c r="N2272" t="s">
        <v>7436</v>
      </c>
      <c r="O2272" t="s">
        <v>45</v>
      </c>
      <c r="P2272" t="s">
        <v>89</v>
      </c>
      <c r="Q2272" t="s">
        <v>7437</v>
      </c>
      <c r="R2272">
        <v>65.78</v>
      </c>
      <c r="S2272">
        <v>11</v>
      </c>
      <c r="T2272">
        <v>0</v>
      </c>
      <c r="U2272">
        <v>32.232199999999999</v>
      </c>
      <c r="V2272" t="str">
        <f t="shared" si="35"/>
        <v>Aaron Smayling</v>
      </c>
      <c r="W2272">
        <f>Table2[Profit]/Table2[Sales]</f>
        <v>0.49</v>
      </c>
    </row>
    <row r="2273" spans="1:23" x14ac:dyDescent="0.25">
      <c r="A2273">
        <v>2272</v>
      </c>
      <c r="B2273" t="s">
        <v>7438</v>
      </c>
      <c r="C2273" s="1">
        <v>42216</v>
      </c>
      <c r="D2273" s="1">
        <v>42222</v>
      </c>
      <c r="E2273" t="s">
        <v>49</v>
      </c>
      <c r="F2273" t="s">
        <v>1313</v>
      </c>
      <c r="G2273" t="s">
        <v>1314</v>
      </c>
      <c r="H2273" t="s">
        <v>40</v>
      </c>
      <c r="I2273" t="s">
        <v>26</v>
      </c>
      <c r="J2273" t="s">
        <v>7439</v>
      </c>
      <c r="K2273" t="s">
        <v>1473</v>
      </c>
      <c r="L2273">
        <v>39401</v>
      </c>
      <c r="M2273" t="s">
        <v>29</v>
      </c>
      <c r="N2273" t="s">
        <v>984</v>
      </c>
      <c r="O2273" t="s">
        <v>70</v>
      </c>
      <c r="P2273" t="s">
        <v>158</v>
      </c>
      <c r="Q2273" t="s">
        <v>985</v>
      </c>
      <c r="R2273">
        <v>239.7</v>
      </c>
      <c r="S2273">
        <v>6</v>
      </c>
      <c r="T2273">
        <v>0</v>
      </c>
      <c r="U2273">
        <v>105.468</v>
      </c>
      <c r="V2273" t="str">
        <f t="shared" si="35"/>
        <v>Allen Rosenblatt</v>
      </c>
      <c r="W2273">
        <f>Table2[Profit]/Table2[Sales]</f>
        <v>0.44000000000000006</v>
      </c>
    </row>
    <row r="2274" spans="1:23" x14ac:dyDescent="0.25">
      <c r="A2274">
        <v>2273</v>
      </c>
      <c r="B2274" t="s">
        <v>7440</v>
      </c>
      <c r="C2274" s="1">
        <v>42632</v>
      </c>
      <c r="D2274" s="1">
        <v>42635</v>
      </c>
      <c r="E2274" t="s">
        <v>185</v>
      </c>
      <c r="F2274" t="s">
        <v>3276</v>
      </c>
      <c r="G2274" t="s">
        <v>3277</v>
      </c>
      <c r="H2274" t="s">
        <v>101</v>
      </c>
      <c r="I2274" t="s">
        <v>26</v>
      </c>
      <c r="J2274" t="s">
        <v>143</v>
      </c>
      <c r="K2274" t="s">
        <v>144</v>
      </c>
      <c r="L2274">
        <v>19140</v>
      </c>
      <c r="M2274" t="s">
        <v>145</v>
      </c>
      <c r="N2274" t="s">
        <v>7441</v>
      </c>
      <c r="O2274" t="s">
        <v>31</v>
      </c>
      <c r="P2274" t="s">
        <v>64</v>
      </c>
      <c r="Q2274" t="s">
        <v>7442</v>
      </c>
      <c r="R2274">
        <v>25.632000000000001</v>
      </c>
      <c r="S2274">
        <v>3</v>
      </c>
      <c r="T2274">
        <v>0.2</v>
      </c>
      <c r="U2274">
        <v>3.8448000000000002</v>
      </c>
      <c r="V2274" t="str">
        <f t="shared" si="35"/>
        <v>Anne Pryor</v>
      </c>
      <c r="W2274">
        <f>Table2[Profit]/Table2[Sales]</f>
        <v>0.15</v>
      </c>
    </row>
    <row r="2275" spans="1:23" x14ac:dyDescent="0.25">
      <c r="A2275">
        <v>2274</v>
      </c>
      <c r="B2275" t="s">
        <v>7443</v>
      </c>
      <c r="C2275" s="1">
        <v>42531</v>
      </c>
      <c r="D2275" s="1">
        <v>42533</v>
      </c>
      <c r="E2275" t="s">
        <v>185</v>
      </c>
      <c r="F2275" t="s">
        <v>6082</v>
      </c>
      <c r="G2275" t="s">
        <v>6083</v>
      </c>
      <c r="H2275" t="s">
        <v>25</v>
      </c>
      <c r="I2275" t="s">
        <v>26</v>
      </c>
      <c r="J2275" t="s">
        <v>143</v>
      </c>
      <c r="K2275" t="s">
        <v>144</v>
      </c>
      <c r="L2275">
        <v>19140</v>
      </c>
      <c r="M2275" t="s">
        <v>145</v>
      </c>
      <c r="N2275" t="s">
        <v>7208</v>
      </c>
      <c r="O2275" t="s">
        <v>45</v>
      </c>
      <c r="P2275" t="s">
        <v>46</v>
      </c>
      <c r="Q2275" t="s">
        <v>7209</v>
      </c>
      <c r="R2275">
        <v>23.616</v>
      </c>
      <c r="S2275">
        <v>8</v>
      </c>
      <c r="T2275">
        <v>0.2</v>
      </c>
      <c r="U2275">
        <v>7.9703999999999997</v>
      </c>
      <c r="V2275" t="str">
        <f t="shared" si="35"/>
        <v>Joy Bell-</v>
      </c>
      <c r="W2275">
        <f>Table2[Profit]/Table2[Sales]</f>
        <v>0.33749999999999997</v>
      </c>
    </row>
    <row r="2276" spans="1:23" x14ac:dyDescent="0.25">
      <c r="A2276">
        <v>2275</v>
      </c>
      <c r="B2276" t="s">
        <v>7444</v>
      </c>
      <c r="C2276" s="1">
        <v>42608</v>
      </c>
      <c r="D2276" s="1">
        <v>42610</v>
      </c>
      <c r="E2276" t="s">
        <v>22</v>
      </c>
      <c r="F2276" t="s">
        <v>7445</v>
      </c>
      <c r="G2276" t="s">
        <v>7446</v>
      </c>
      <c r="H2276" t="s">
        <v>40</v>
      </c>
      <c r="I2276" t="s">
        <v>26</v>
      </c>
      <c r="J2276" t="s">
        <v>41</v>
      </c>
      <c r="K2276" t="s">
        <v>42</v>
      </c>
      <c r="L2276">
        <v>90045</v>
      </c>
      <c r="M2276" t="s">
        <v>43</v>
      </c>
      <c r="N2276" t="s">
        <v>465</v>
      </c>
      <c r="O2276" t="s">
        <v>45</v>
      </c>
      <c r="P2276" t="s">
        <v>67</v>
      </c>
      <c r="Q2276" t="s">
        <v>466</v>
      </c>
      <c r="R2276">
        <v>8.26</v>
      </c>
      <c r="S2276">
        <v>2</v>
      </c>
      <c r="T2276">
        <v>0</v>
      </c>
      <c r="U2276">
        <v>3.7995999999999999</v>
      </c>
      <c r="V2276" t="str">
        <f t="shared" si="35"/>
        <v>Tom Stivers</v>
      </c>
      <c r="W2276">
        <f>Table2[Profit]/Table2[Sales]</f>
        <v>0.46</v>
      </c>
    </row>
    <row r="2277" spans="1:23" x14ac:dyDescent="0.25">
      <c r="A2277">
        <v>2276</v>
      </c>
      <c r="B2277" t="s">
        <v>7447</v>
      </c>
      <c r="C2277" s="1">
        <v>43041</v>
      </c>
      <c r="D2277" s="1">
        <v>43043</v>
      </c>
      <c r="E2277" t="s">
        <v>22</v>
      </c>
      <c r="F2277" t="s">
        <v>5672</v>
      </c>
      <c r="G2277" t="s">
        <v>5673</v>
      </c>
      <c r="H2277" t="s">
        <v>101</v>
      </c>
      <c r="I2277" t="s">
        <v>26</v>
      </c>
      <c r="J2277" t="s">
        <v>7448</v>
      </c>
      <c r="K2277" t="s">
        <v>42</v>
      </c>
      <c r="L2277">
        <v>94526</v>
      </c>
      <c r="M2277" t="s">
        <v>43</v>
      </c>
      <c r="N2277" t="s">
        <v>1778</v>
      </c>
      <c r="O2277" t="s">
        <v>45</v>
      </c>
      <c r="P2277" t="s">
        <v>170</v>
      </c>
      <c r="Q2277" t="s">
        <v>1779</v>
      </c>
      <c r="R2277">
        <v>76.58</v>
      </c>
      <c r="S2277">
        <v>7</v>
      </c>
      <c r="T2277">
        <v>0</v>
      </c>
      <c r="U2277">
        <v>38.29</v>
      </c>
      <c r="V2277" t="str">
        <f t="shared" si="35"/>
        <v>Nancy Lomonaco</v>
      </c>
      <c r="W2277">
        <f>Table2[Profit]/Table2[Sales]</f>
        <v>0.5</v>
      </c>
    </row>
    <row r="2278" spans="1:23" x14ac:dyDescent="0.25">
      <c r="A2278">
        <v>2277</v>
      </c>
      <c r="B2278" t="s">
        <v>7451</v>
      </c>
      <c r="C2278" s="1">
        <v>42730</v>
      </c>
      <c r="D2278" s="1">
        <v>42735</v>
      </c>
      <c r="E2278" t="s">
        <v>49</v>
      </c>
      <c r="F2278" t="s">
        <v>2484</v>
      </c>
      <c r="G2278" t="s">
        <v>2485</v>
      </c>
      <c r="H2278" t="s">
        <v>40</v>
      </c>
      <c r="I2278" t="s">
        <v>26</v>
      </c>
      <c r="J2278" t="s">
        <v>41</v>
      </c>
      <c r="K2278" t="s">
        <v>42</v>
      </c>
      <c r="L2278">
        <v>90004</v>
      </c>
      <c r="M2278" t="s">
        <v>43</v>
      </c>
      <c r="N2278" t="s">
        <v>5103</v>
      </c>
      <c r="O2278" t="s">
        <v>45</v>
      </c>
      <c r="P2278" t="s">
        <v>572</v>
      </c>
      <c r="Q2278" t="s">
        <v>5104</v>
      </c>
      <c r="R2278">
        <v>17.760000000000002</v>
      </c>
      <c r="S2278">
        <v>2</v>
      </c>
      <c r="T2278">
        <v>0</v>
      </c>
      <c r="U2278">
        <v>4.9728000000000003</v>
      </c>
      <c r="V2278" t="str">
        <f t="shared" si="35"/>
        <v>Mike Caudle</v>
      </c>
      <c r="W2278">
        <f>Table2[Profit]/Table2[Sales]</f>
        <v>0.27999999999999997</v>
      </c>
    </row>
    <row r="2279" spans="1:23" x14ac:dyDescent="0.25">
      <c r="A2279">
        <v>2278</v>
      </c>
      <c r="B2279" t="s">
        <v>7454</v>
      </c>
      <c r="C2279" s="1">
        <v>42709</v>
      </c>
      <c r="D2279" s="1">
        <v>42714</v>
      </c>
      <c r="E2279" t="s">
        <v>22</v>
      </c>
      <c r="F2279" t="s">
        <v>6115</v>
      </c>
      <c r="G2279" t="s">
        <v>6116</v>
      </c>
      <c r="H2279" t="s">
        <v>101</v>
      </c>
      <c r="I2279" t="s">
        <v>26</v>
      </c>
      <c r="J2279" t="s">
        <v>95</v>
      </c>
      <c r="K2279" t="s">
        <v>2986</v>
      </c>
      <c r="L2279">
        <v>20016</v>
      </c>
      <c r="M2279" t="s">
        <v>145</v>
      </c>
      <c r="N2279" t="s">
        <v>2907</v>
      </c>
      <c r="O2279" t="s">
        <v>45</v>
      </c>
      <c r="P2279" t="s">
        <v>67</v>
      </c>
      <c r="Q2279" t="s">
        <v>2908</v>
      </c>
      <c r="R2279">
        <v>33.92</v>
      </c>
      <c r="S2279">
        <v>8</v>
      </c>
      <c r="T2279">
        <v>0</v>
      </c>
      <c r="U2279">
        <v>13.2288</v>
      </c>
      <c r="V2279" t="str">
        <f t="shared" si="35"/>
        <v>Tony Chapman</v>
      </c>
      <c r="W2279">
        <f>Table2[Profit]/Table2[Sales]</f>
        <v>0.38999999999999996</v>
      </c>
    </row>
    <row r="2280" spans="1:23" x14ac:dyDescent="0.25">
      <c r="A2280">
        <v>2279</v>
      </c>
      <c r="B2280" t="s">
        <v>7455</v>
      </c>
      <c r="C2280" s="1">
        <v>42975</v>
      </c>
      <c r="D2280" s="1">
        <v>42979</v>
      </c>
      <c r="E2280" t="s">
        <v>49</v>
      </c>
      <c r="F2280" t="s">
        <v>3078</v>
      </c>
      <c r="G2280" t="s">
        <v>3079</v>
      </c>
      <c r="H2280" t="s">
        <v>101</v>
      </c>
      <c r="I2280" t="s">
        <v>26</v>
      </c>
      <c r="J2280" t="s">
        <v>2517</v>
      </c>
      <c r="K2280" t="s">
        <v>113</v>
      </c>
      <c r="L2280">
        <v>53209</v>
      </c>
      <c r="M2280" t="s">
        <v>104</v>
      </c>
      <c r="N2280" t="s">
        <v>1971</v>
      </c>
      <c r="O2280" t="s">
        <v>45</v>
      </c>
      <c r="P2280" t="s">
        <v>572</v>
      </c>
      <c r="Q2280" t="s">
        <v>1972</v>
      </c>
      <c r="R2280">
        <v>21.81</v>
      </c>
      <c r="S2280">
        <v>3</v>
      </c>
      <c r="T2280">
        <v>0</v>
      </c>
      <c r="U2280">
        <v>5.8887</v>
      </c>
      <c r="V2280" t="str">
        <f t="shared" si="35"/>
        <v>Matthew Grinstein</v>
      </c>
      <c r="W2280">
        <f>Table2[Profit]/Table2[Sales]</f>
        <v>0.27</v>
      </c>
    </row>
    <row r="2281" spans="1:23" x14ac:dyDescent="0.25">
      <c r="A2281">
        <v>2280</v>
      </c>
      <c r="B2281" t="s">
        <v>7456</v>
      </c>
      <c r="C2281" s="1">
        <v>42201</v>
      </c>
      <c r="D2281" s="1">
        <v>42205</v>
      </c>
      <c r="E2281" t="s">
        <v>49</v>
      </c>
      <c r="F2281" t="s">
        <v>3692</v>
      </c>
      <c r="G2281" t="s">
        <v>3693</v>
      </c>
      <c r="H2281" t="s">
        <v>101</v>
      </c>
      <c r="I2281" t="s">
        <v>26</v>
      </c>
      <c r="J2281" t="s">
        <v>4400</v>
      </c>
      <c r="K2281" t="s">
        <v>2699</v>
      </c>
      <c r="L2281">
        <v>21215</v>
      </c>
      <c r="M2281" t="s">
        <v>145</v>
      </c>
      <c r="N2281" t="s">
        <v>2030</v>
      </c>
      <c r="O2281" t="s">
        <v>31</v>
      </c>
      <c r="P2281" t="s">
        <v>35</v>
      </c>
      <c r="Q2281" t="s">
        <v>2031</v>
      </c>
      <c r="R2281">
        <v>150.97999999999999</v>
      </c>
      <c r="S2281">
        <v>1</v>
      </c>
      <c r="T2281">
        <v>0</v>
      </c>
      <c r="U2281">
        <v>43.784199999999998</v>
      </c>
      <c r="V2281" t="str">
        <f t="shared" si="35"/>
        <v>Michael Granlund</v>
      </c>
      <c r="W2281">
        <f>Table2[Profit]/Table2[Sales]</f>
        <v>0.29000000000000004</v>
      </c>
    </row>
    <row r="2282" spans="1:23" x14ac:dyDescent="0.25">
      <c r="A2282">
        <v>2281</v>
      </c>
      <c r="B2282" t="s">
        <v>7457</v>
      </c>
      <c r="C2282" s="1">
        <v>42150</v>
      </c>
      <c r="D2282" s="1">
        <v>42153</v>
      </c>
      <c r="E2282" t="s">
        <v>22</v>
      </c>
      <c r="F2282" t="s">
        <v>3369</v>
      </c>
      <c r="G2282" t="s">
        <v>3370</v>
      </c>
      <c r="H2282" t="s">
        <v>101</v>
      </c>
      <c r="I2282" t="s">
        <v>26</v>
      </c>
      <c r="J2282" t="s">
        <v>1507</v>
      </c>
      <c r="K2282" t="s">
        <v>87</v>
      </c>
      <c r="L2282">
        <v>28540</v>
      </c>
      <c r="M2282" t="s">
        <v>29</v>
      </c>
      <c r="N2282" t="s">
        <v>5075</v>
      </c>
      <c r="O2282" t="s">
        <v>45</v>
      </c>
      <c r="P2282" t="s">
        <v>89</v>
      </c>
      <c r="Q2282" t="s">
        <v>5076</v>
      </c>
      <c r="R2282">
        <v>18.271999999999998</v>
      </c>
      <c r="S2282">
        <v>1</v>
      </c>
      <c r="T2282">
        <v>0.2</v>
      </c>
      <c r="U2282">
        <v>5.9383999999999997</v>
      </c>
      <c r="V2282" t="str">
        <f t="shared" si="35"/>
        <v>Ben Ferrer</v>
      </c>
      <c r="W2282">
        <f>Table2[Profit]/Table2[Sales]</f>
        <v>0.32500000000000001</v>
      </c>
    </row>
    <row r="2283" spans="1:23" x14ac:dyDescent="0.25">
      <c r="A2283">
        <v>2282</v>
      </c>
      <c r="B2283" t="s">
        <v>7460</v>
      </c>
      <c r="C2283" s="1">
        <v>42152</v>
      </c>
      <c r="D2283" s="1">
        <v>42157</v>
      </c>
      <c r="E2283" t="s">
        <v>49</v>
      </c>
      <c r="F2283" t="s">
        <v>3903</v>
      </c>
      <c r="G2283" t="s">
        <v>3904</v>
      </c>
      <c r="H2283" t="s">
        <v>25</v>
      </c>
      <c r="I2283" t="s">
        <v>26</v>
      </c>
      <c r="J2283" t="s">
        <v>382</v>
      </c>
      <c r="K2283" t="s">
        <v>264</v>
      </c>
      <c r="L2283">
        <v>14609</v>
      </c>
      <c r="M2283" t="s">
        <v>145</v>
      </c>
      <c r="N2283" t="s">
        <v>209</v>
      </c>
      <c r="O2283" t="s">
        <v>70</v>
      </c>
      <c r="P2283" t="s">
        <v>71</v>
      </c>
      <c r="Q2283" t="s">
        <v>210</v>
      </c>
      <c r="R2283">
        <v>45.99</v>
      </c>
      <c r="S2283">
        <v>1</v>
      </c>
      <c r="T2283">
        <v>0</v>
      </c>
      <c r="U2283">
        <v>13.3371</v>
      </c>
      <c r="V2283" t="str">
        <f t="shared" si="35"/>
        <v>Maxwell Schwartz</v>
      </c>
      <c r="W2283">
        <f>Table2[Profit]/Table2[Sales]</f>
        <v>0.28999999999999998</v>
      </c>
    </row>
    <row r="2284" spans="1:23" x14ac:dyDescent="0.25">
      <c r="A2284">
        <v>2283</v>
      </c>
      <c r="B2284" t="s">
        <v>7461</v>
      </c>
      <c r="C2284" s="1">
        <v>43048</v>
      </c>
      <c r="D2284" s="1">
        <v>43053</v>
      </c>
      <c r="E2284" t="s">
        <v>49</v>
      </c>
      <c r="F2284" t="s">
        <v>325</v>
      </c>
      <c r="G2284" t="s">
        <v>326</v>
      </c>
      <c r="H2284" t="s">
        <v>25</v>
      </c>
      <c r="I2284" t="s">
        <v>26</v>
      </c>
      <c r="J2284" t="s">
        <v>2311</v>
      </c>
      <c r="K2284" t="s">
        <v>42</v>
      </c>
      <c r="L2284">
        <v>92054</v>
      </c>
      <c r="M2284" t="s">
        <v>43</v>
      </c>
      <c r="N2284" t="s">
        <v>1272</v>
      </c>
      <c r="O2284" t="s">
        <v>31</v>
      </c>
      <c r="P2284" t="s">
        <v>64</v>
      </c>
      <c r="Q2284" t="s">
        <v>1273</v>
      </c>
      <c r="R2284">
        <v>47.12</v>
      </c>
      <c r="S2284">
        <v>8</v>
      </c>
      <c r="T2284">
        <v>0</v>
      </c>
      <c r="U2284">
        <v>20.732800000000001</v>
      </c>
      <c r="V2284" t="str">
        <f t="shared" si="35"/>
        <v>Joel Eaton</v>
      </c>
      <c r="W2284">
        <f>Table2[Profit]/Table2[Sales]</f>
        <v>0.44000000000000006</v>
      </c>
    </row>
    <row r="2285" spans="1:23" x14ac:dyDescent="0.25">
      <c r="A2285">
        <v>2284</v>
      </c>
      <c r="B2285" t="s">
        <v>7462</v>
      </c>
      <c r="C2285" s="1">
        <v>42393</v>
      </c>
      <c r="D2285" s="1">
        <v>42395</v>
      </c>
      <c r="E2285" t="s">
        <v>22</v>
      </c>
      <c r="F2285" t="s">
        <v>3559</v>
      </c>
      <c r="G2285" t="s">
        <v>3560</v>
      </c>
      <c r="H2285" t="s">
        <v>40</v>
      </c>
      <c r="I2285" t="s">
        <v>26</v>
      </c>
      <c r="J2285" t="s">
        <v>3413</v>
      </c>
      <c r="K2285" t="s">
        <v>1473</v>
      </c>
      <c r="L2285">
        <v>39503</v>
      </c>
      <c r="M2285" t="s">
        <v>29</v>
      </c>
      <c r="N2285" t="s">
        <v>1752</v>
      </c>
      <c r="O2285" t="s">
        <v>45</v>
      </c>
      <c r="P2285" t="s">
        <v>74</v>
      </c>
      <c r="Q2285" t="s">
        <v>1753</v>
      </c>
      <c r="R2285">
        <v>31.36</v>
      </c>
      <c r="S2285">
        <v>4</v>
      </c>
      <c r="T2285">
        <v>0</v>
      </c>
      <c r="U2285">
        <v>15.68</v>
      </c>
      <c r="V2285" t="str">
        <f t="shared" si="35"/>
        <v>Henry Goldwyn</v>
      </c>
      <c r="W2285">
        <f>Table2[Profit]/Table2[Sales]</f>
        <v>0.5</v>
      </c>
    </row>
    <row r="2286" spans="1:23" x14ac:dyDescent="0.25">
      <c r="A2286">
        <v>2285</v>
      </c>
      <c r="B2286" t="s">
        <v>7463</v>
      </c>
      <c r="C2286" s="1">
        <v>42735</v>
      </c>
      <c r="D2286" s="1">
        <v>42741</v>
      </c>
      <c r="E2286" t="s">
        <v>49</v>
      </c>
      <c r="F2286" t="s">
        <v>1803</v>
      </c>
      <c r="G2286" t="s">
        <v>1804</v>
      </c>
      <c r="H2286" t="s">
        <v>25</v>
      </c>
      <c r="I2286" t="s">
        <v>26</v>
      </c>
      <c r="J2286" t="s">
        <v>1507</v>
      </c>
      <c r="K2286" t="s">
        <v>53</v>
      </c>
      <c r="L2286">
        <v>32216</v>
      </c>
      <c r="M2286" t="s">
        <v>29</v>
      </c>
      <c r="N2286" t="s">
        <v>1541</v>
      </c>
      <c r="O2286" t="s">
        <v>45</v>
      </c>
      <c r="P2286" t="s">
        <v>67</v>
      </c>
      <c r="Q2286" t="s">
        <v>1542</v>
      </c>
      <c r="R2286">
        <v>47.616</v>
      </c>
      <c r="S2286">
        <v>3</v>
      </c>
      <c r="T2286">
        <v>0.2</v>
      </c>
      <c r="U2286">
        <v>3.5712000000000002</v>
      </c>
      <c r="V2286" t="str">
        <f t="shared" si="35"/>
        <v>Emily Phan</v>
      </c>
      <c r="W2286">
        <f>Table2[Profit]/Table2[Sales]</f>
        <v>7.4999999999999997E-2</v>
      </c>
    </row>
    <row r="2287" spans="1:23" x14ac:dyDescent="0.25">
      <c r="A2287">
        <v>2286</v>
      </c>
      <c r="B2287" t="s">
        <v>7464</v>
      </c>
      <c r="C2287" s="1">
        <v>42618</v>
      </c>
      <c r="D2287" s="1">
        <v>42623</v>
      </c>
      <c r="E2287" t="s">
        <v>49</v>
      </c>
      <c r="F2287" t="s">
        <v>6219</v>
      </c>
      <c r="G2287" t="s">
        <v>6220</v>
      </c>
      <c r="H2287" t="s">
        <v>101</v>
      </c>
      <c r="I2287" t="s">
        <v>26</v>
      </c>
      <c r="J2287" t="s">
        <v>181</v>
      </c>
      <c r="K2287" t="s">
        <v>103</v>
      </c>
      <c r="L2287">
        <v>77070</v>
      </c>
      <c r="M2287" t="s">
        <v>104</v>
      </c>
      <c r="N2287" t="s">
        <v>2102</v>
      </c>
      <c r="O2287" t="s">
        <v>45</v>
      </c>
      <c r="P2287" t="s">
        <v>77</v>
      </c>
      <c r="Q2287" t="s">
        <v>2103</v>
      </c>
      <c r="R2287">
        <v>62.79</v>
      </c>
      <c r="S2287">
        <v>3</v>
      </c>
      <c r="T2287">
        <v>0.8</v>
      </c>
      <c r="U2287">
        <v>-166.39349999999999</v>
      </c>
      <c r="V2287" t="str">
        <f t="shared" si="35"/>
        <v>Gary Hansen</v>
      </c>
      <c r="W2287">
        <f>Table2[Profit]/Table2[Sales]</f>
        <v>-2.65</v>
      </c>
    </row>
    <row r="2288" spans="1:23" x14ac:dyDescent="0.25">
      <c r="A2288">
        <v>2287</v>
      </c>
      <c r="B2288" t="s">
        <v>7465</v>
      </c>
      <c r="C2288" s="1">
        <v>42251</v>
      </c>
      <c r="D2288" s="1">
        <v>42254</v>
      </c>
      <c r="E2288" t="s">
        <v>22</v>
      </c>
      <c r="F2288" t="s">
        <v>871</v>
      </c>
      <c r="G2288" t="s">
        <v>872</v>
      </c>
      <c r="H2288" t="s">
        <v>40</v>
      </c>
      <c r="I2288" t="s">
        <v>26</v>
      </c>
      <c r="J2288" t="s">
        <v>181</v>
      </c>
      <c r="K2288" t="s">
        <v>103</v>
      </c>
      <c r="L2288">
        <v>77095</v>
      </c>
      <c r="M2288" t="s">
        <v>104</v>
      </c>
      <c r="N2288" t="s">
        <v>849</v>
      </c>
      <c r="O2288" t="s">
        <v>70</v>
      </c>
      <c r="P2288" t="s">
        <v>158</v>
      </c>
      <c r="Q2288" t="s">
        <v>850</v>
      </c>
      <c r="R2288">
        <v>134.376</v>
      </c>
      <c r="S2288">
        <v>3</v>
      </c>
      <c r="T2288">
        <v>0.2</v>
      </c>
      <c r="U2288">
        <v>6.7187999999999999</v>
      </c>
      <c r="V2288" t="str">
        <f t="shared" si="35"/>
        <v>David Smith</v>
      </c>
      <c r="W2288">
        <f>Table2[Profit]/Table2[Sales]</f>
        <v>4.9999999999999996E-2</v>
      </c>
    </row>
    <row r="2289" spans="1:23" x14ac:dyDescent="0.25">
      <c r="A2289">
        <v>2288</v>
      </c>
      <c r="B2289" t="s">
        <v>7466</v>
      </c>
      <c r="C2289" s="1">
        <v>42268</v>
      </c>
      <c r="D2289" s="1">
        <v>42273</v>
      </c>
      <c r="E2289" t="s">
        <v>49</v>
      </c>
      <c r="F2289" t="s">
        <v>2252</v>
      </c>
      <c r="G2289" t="s">
        <v>2253</v>
      </c>
      <c r="H2289" t="s">
        <v>101</v>
      </c>
      <c r="I2289" t="s">
        <v>26</v>
      </c>
      <c r="J2289" t="s">
        <v>4010</v>
      </c>
      <c r="K2289" t="s">
        <v>1233</v>
      </c>
      <c r="L2289">
        <v>2149</v>
      </c>
      <c r="M2289" t="s">
        <v>145</v>
      </c>
      <c r="N2289" t="s">
        <v>6489</v>
      </c>
      <c r="O2289" t="s">
        <v>70</v>
      </c>
      <c r="P2289" t="s">
        <v>71</v>
      </c>
      <c r="Q2289" t="s">
        <v>6490</v>
      </c>
      <c r="R2289">
        <v>589.9</v>
      </c>
      <c r="S2289">
        <v>2</v>
      </c>
      <c r="T2289">
        <v>0</v>
      </c>
      <c r="U2289">
        <v>147.47499999999999</v>
      </c>
      <c r="V2289" t="str">
        <f t="shared" si="35"/>
        <v>Tracy Hopkins</v>
      </c>
      <c r="W2289">
        <f>Table2[Profit]/Table2[Sales]</f>
        <v>0.25</v>
      </c>
    </row>
    <row r="2290" spans="1:23" x14ac:dyDescent="0.25">
      <c r="A2290">
        <v>2289</v>
      </c>
      <c r="B2290" t="s">
        <v>7467</v>
      </c>
      <c r="C2290" s="1">
        <v>43093</v>
      </c>
      <c r="D2290" s="1">
        <v>43094</v>
      </c>
      <c r="E2290" t="s">
        <v>185</v>
      </c>
      <c r="F2290" t="s">
        <v>726</v>
      </c>
      <c r="G2290" t="s">
        <v>727</v>
      </c>
      <c r="H2290" t="s">
        <v>101</v>
      </c>
      <c r="I2290" t="s">
        <v>26</v>
      </c>
      <c r="J2290" t="s">
        <v>41</v>
      </c>
      <c r="K2290" t="s">
        <v>42</v>
      </c>
      <c r="L2290">
        <v>90049</v>
      </c>
      <c r="M2290" t="s">
        <v>43</v>
      </c>
      <c r="N2290" t="s">
        <v>1203</v>
      </c>
      <c r="O2290" t="s">
        <v>70</v>
      </c>
      <c r="P2290" t="s">
        <v>1204</v>
      </c>
      <c r="Q2290" t="s">
        <v>1205</v>
      </c>
      <c r="R2290">
        <v>2879.9520000000002</v>
      </c>
      <c r="S2290">
        <v>6</v>
      </c>
      <c r="T2290">
        <v>0.2</v>
      </c>
      <c r="U2290">
        <v>1007.9832</v>
      </c>
      <c r="V2290" t="str">
        <f t="shared" si="35"/>
        <v>Robert Marley</v>
      </c>
      <c r="W2290">
        <f>Table2[Profit]/Table2[Sales]</f>
        <v>0.35</v>
      </c>
    </row>
    <row r="2291" spans="1:23" x14ac:dyDescent="0.25">
      <c r="A2291">
        <v>2290</v>
      </c>
      <c r="B2291" t="s">
        <v>7468</v>
      </c>
      <c r="C2291" s="1">
        <v>42282</v>
      </c>
      <c r="D2291" s="1">
        <v>42285</v>
      </c>
      <c r="E2291" t="s">
        <v>22</v>
      </c>
      <c r="F2291" t="s">
        <v>2027</v>
      </c>
      <c r="G2291" t="s">
        <v>2028</v>
      </c>
      <c r="H2291" t="s">
        <v>40</v>
      </c>
      <c r="I2291" t="s">
        <v>26</v>
      </c>
      <c r="J2291" t="s">
        <v>514</v>
      </c>
      <c r="K2291" t="s">
        <v>242</v>
      </c>
      <c r="L2291">
        <v>19805</v>
      </c>
      <c r="M2291" t="s">
        <v>145</v>
      </c>
      <c r="N2291" t="s">
        <v>752</v>
      </c>
      <c r="O2291" t="s">
        <v>45</v>
      </c>
      <c r="P2291" t="s">
        <v>58</v>
      </c>
      <c r="Q2291" t="s">
        <v>753</v>
      </c>
      <c r="R2291">
        <v>77.55</v>
      </c>
      <c r="S2291">
        <v>5</v>
      </c>
      <c r="T2291">
        <v>0</v>
      </c>
      <c r="U2291">
        <v>21.713999999999999</v>
      </c>
      <c r="V2291" t="str">
        <f t="shared" si="35"/>
        <v>Sylvia Foulston</v>
      </c>
      <c r="W2291">
        <f>Table2[Profit]/Table2[Sales]</f>
        <v>0.27999999999999997</v>
      </c>
    </row>
    <row r="2292" spans="1:23" x14ac:dyDescent="0.25">
      <c r="A2292">
        <v>2291</v>
      </c>
      <c r="B2292" t="s">
        <v>7469</v>
      </c>
      <c r="C2292" s="1">
        <v>42987</v>
      </c>
      <c r="D2292" s="1">
        <v>42992</v>
      </c>
      <c r="E2292" t="s">
        <v>49</v>
      </c>
      <c r="F2292" t="s">
        <v>50</v>
      </c>
      <c r="G2292" t="s">
        <v>51</v>
      </c>
      <c r="H2292" t="s">
        <v>25</v>
      </c>
      <c r="I2292" t="s">
        <v>26</v>
      </c>
      <c r="J2292" t="s">
        <v>375</v>
      </c>
      <c r="K2292" t="s">
        <v>328</v>
      </c>
      <c r="L2292">
        <v>38401</v>
      </c>
      <c r="M2292" t="s">
        <v>29</v>
      </c>
      <c r="N2292" t="s">
        <v>1284</v>
      </c>
      <c r="O2292" t="s">
        <v>45</v>
      </c>
      <c r="P2292" t="s">
        <v>572</v>
      </c>
      <c r="Q2292" t="s">
        <v>1285</v>
      </c>
      <c r="R2292">
        <v>8.8320000000000007</v>
      </c>
      <c r="S2292">
        <v>3</v>
      </c>
      <c r="T2292">
        <v>0.2</v>
      </c>
      <c r="U2292">
        <v>-1.9872000000000001</v>
      </c>
      <c r="V2292" t="str">
        <f t="shared" si="35"/>
        <v>Sean O'Donnell</v>
      </c>
      <c r="W2292">
        <f>Table2[Profit]/Table2[Sales]</f>
        <v>-0.22499999999999998</v>
      </c>
    </row>
    <row r="2293" spans="1:23" x14ac:dyDescent="0.25">
      <c r="A2293">
        <v>2292</v>
      </c>
      <c r="B2293" t="s">
        <v>7470</v>
      </c>
      <c r="C2293" s="1">
        <v>42687</v>
      </c>
      <c r="D2293" s="1">
        <v>42692</v>
      </c>
      <c r="E2293" t="s">
        <v>49</v>
      </c>
      <c r="F2293" t="s">
        <v>2595</v>
      </c>
      <c r="G2293" t="s">
        <v>2596</v>
      </c>
      <c r="H2293" t="s">
        <v>40</v>
      </c>
      <c r="I2293" t="s">
        <v>26</v>
      </c>
      <c r="J2293" t="s">
        <v>263</v>
      </c>
      <c r="K2293" t="s">
        <v>264</v>
      </c>
      <c r="L2293">
        <v>10011</v>
      </c>
      <c r="M2293" t="s">
        <v>145</v>
      </c>
      <c r="N2293" t="s">
        <v>721</v>
      </c>
      <c r="O2293" t="s">
        <v>45</v>
      </c>
      <c r="P2293" t="s">
        <v>58</v>
      </c>
      <c r="Q2293" t="s">
        <v>722</v>
      </c>
      <c r="R2293">
        <v>77.55</v>
      </c>
      <c r="S2293">
        <v>5</v>
      </c>
      <c r="T2293">
        <v>0</v>
      </c>
      <c r="U2293">
        <v>20.163</v>
      </c>
      <c r="V2293" t="str">
        <f t="shared" si="35"/>
        <v>Cyma Kinney</v>
      </c>
      <c r="W2293">
        <f>Table2[Profit]/Table2[Sales]</f>
        <v>0.26</v>
      </c>
    </row>
    <row r="2294" spans="1:23" x14ac:dyDescent="0.25">
      <c r="A2294">
        <v>2293</v>
      </c>
      <c r="B2294" t="s">
        <v>7471</v>
      </c>
      <c r="C2294" s="1">
        <v>42292</v>
      </c>
      <c r="D2294" s="1">
        <v>42292</v>
      </c>
      <c r="E2294" t="s">
        <v>1278</v>
      </c>
      <c r="F2294" t="s">
        <v>2589</v>
      </c>
      <c r="G2294" t="s">
        <v>2590</v>
      </c>
      <c r="H2294" t="s">
        <v>25</v>
      </c>
      <c r="I2294" t="s">
        <v>26</v>
      </c>
      <c r="J2294" t="s">
        <v>6034</v>
      </c>
      <c r="K2294" t="s">
        <v>235</v>
      </c>
      <c r="L2294">
        <v>48858</v>
      </c>
      <c r="M2294" t="s">
        <v>104</v>
      </c>
      <c r="N2294" t="s">
        <v>7472</v>
      </c>
      <c r="O2294" t="s">
        <v>31</v>
      </c>
      <c r="P2294" t="s">
        <v>64</v>
      </c>
      <c r="Q2294" t="s">
        <v>7473</v>
      </c>
      <c r="R2294">
        <v>17.14</v>
      </c>
      <c r="S2294">
        <v>2</v>
      </c>
      <c r="T2294">
        <v>0</v>
      </c>
      <c r="U2294">
        <v>6.1703999999999999</v>
      </c>
      <c r="V2294" t="str">
        <f t="shared" si="35"/>
        <v>Guy Armstrong</v>
      </c>
      <c r="W2294">
        <f>Table2[Profit]/Table2[Sales]</f>
        <v>0.36</v>
      </c>
    </row>
    <row r="2295" spans="1:23" x14ac:dyDescent="0.25">
      <c r="A2295">
        <v>2294</v>
      </c>
      <c r="B2295" t="s">
        <v>7474</v>
      </c>
      <c r="C2295" s="1">
        <v>42950</v>
      </c>
      <c r="D2295" s="1">
        <v>42955</v>
      </c>
      <c r="E2295" t="s">
        <v>22</v>
      </c>
      <c r="F2295" t="s">
        <v>1941</v>
      </c>
      <c r="G2295" t="s">
        <v>1942</v>
      </c>
      <c r="H2295" t="s">
        <v>25</v>
      </c>
      <c r="I2295" t="s">
        <v>26</v>
      </c>
      <c r="J2295" t="s">
        <v>126</v>
      </c>
      <c r="K2295" t="s">
        <v>42</v>
      </c>
      <c r="L2295">
        <v>94122</v>
      </c>
      <c r="M2295" t="s">
        <v>43</v>
      </c>
      <c r="N2295" t="s">
        <v>1868</v>
      </c>
      <c r="O2295" t="s">
        <v>45</v>
      </c>
      <c r="P2295" t="s">
        <v>46</v>
      </c>
      <c r="Q2295" t="s">
        <v>1869</v>
      </c>
      <c r="R2295">
        <v>51.75</v>
      </c>
      <c r="S2295">
        <v>5</v>
      </c>
      <c r="T2295">
        <v>0</v>
      </c>
      <c r="U2295">
        <v>24.84</v>
      </c>
      <c r="V2295" t="str">
        <f t="shared" si="35"/>
        <v>Bruce Degenhardt</v>
      </c>
      <c r="W2295">
        <f>Table2[Profit]/Table2[Sales]</f>
        <v>0.48</v>
      </c>
    </row>
    <row r="2296" spans="1:23" x14ac:dyDescent="0.25">
      <c r="A2296">
        <v>2295</v>
      </c>
      <c r="B2296" t="s">
        <v>7475</v>
      </c>
      <c r="C2296" s="1">
        <v>42237</v>
      </c>
      <c r="D2296" s="1">
        <v>42242</v>
      </c>
      <c r="E2296" t="s">
        <v>49</v>
      </c>
      <c r="F2296" t="s">
        <v>871</v>
      </c>
      <c r="G2296" t="s">
        <v>872</v>
      </c>
      <c r="H2296" t="s">
        <v>40</v>
      </c>
      <c r="I2296" t="s">
        <v>26</v>
      </c>
      <c r="J2296" t="s">
        <v>126</v>
      </c>
      <c r="K2296" t="s">
        <v>42</v>
      </c>
      <c r="L2296">
        <v>94122</v>
      </c>
      <c r="M2296" t="s">
        <v>43</v>
      </c>
      <c r="N2296" t="s">
        <v>7476</v>
      </c>
      <c r="O2296" t="s">
        <v>31</v>
      </c>
      <c r="P2296" t="s">
        <v>32</v>
      </c>
      <c r="Q2296" t="s">
        <v>7477</v>
      </c>
      <c r="R2296">
        <v>586.39800000000002</v>
      </c>
      <c r="S2296">
        <v>6</v>
      </c>
      <c r="T2296">
        <v>0.15</v>
      </c>
      <c r="U2296">
        <v>34.494</v>
      </c>
      <c r="V2296" t="str">
        <f t="shared" si="35"/>
        <v>David Smith</v>
      </c>
      <c r="W2296">
        <f>Table2[Profit]/Table2[Sales]</f>
        <v>5.8823529411764705E-2</v>
      </c>
    </row>
    <row r="2297" spans="1:23" x14ac:dyDescent="0.25">
      <c r="A2297">
        <v>2296</v>
      </c>
      <c r="B2297" t="s">
        <v>7478</v>
      </c>
      <c r="C2297" s="1">
        <v>42806</v>
      </c>
      <c r="D2297" s="1">
        <v>42811</v>
      </c>
      <c r="E2297" t="s">
        <v>49</v>
      </c>
      <c r="F2297" t="s">
        <v>4201</v>
      </c>
      <c r="G2297" t="s">
        <v>4202</v>
      </c>
      <c r="H2297" t="s">
        <v>40</v>
      </c>
      <c r="I2297" t="s">
        <v>26</v>
      </c>
      <c r="J2297" t="s">
        <v>126</v>
      </c>
      <c r="K2297" t="s">
        <v>42</v>
      </c>
      <c r="L2297">
        <v>94122</v>
      </c>
      <c r="M2297" t="s">
        <v>43</v>
      </c>
      <c r="N2297" t="s">
        <v>1750</v>
      </c>
      <c r="O2297" t="s">
        <v>45</v>
      </c>
      <c r="P2297" t="s">
        <v>58</v>
      </c>
      <c r="Q2297" t="s">
        <v>1751</v>
      </c>
      <c r="R2297">
        <v>242.94</v>
      </c>
      <c r="S2297">
        <v>3</v>
      </c>
      <c r="T2297">
        <v>0</v>
      </c>
      <c r="U2297">
        <v>9.7175999999999991</v>
      </c>
      <c r="V2297" t="str">
        <f t="shared" si="35"/>
        <v>Bill Stewart</v>
      </c>
      <c r="W2297">
        <f>Table2[Profit]/Table2[Sales]</f>
        <v>3.9999999999999994E-2</v>
      </c>
    </row>
    <row r="2298" spans="1:23" x14ac:dyDescent="0.25">
      <c r="A2298">
        <v>2297</v>
      </c>
      <c r="B2298" t="s">
        <v>7479</v>
      </c>
      <c r="C2298" s="1">
        <v>42852</v>
      </c>
      <c r="D2298" s="1">
        <v>42854</v>
      </c>
      <c r="E2298" t="s">
        <v>185</v>
      </c>
      <c r="F2298" t="s">
        <v>2255</v>
      </c>
      <c r="G2298" t="s">
        <v>2256</v>
      </c>
      <c r="H2298" t="s">
        <v>25</v>
      </c>
      <c r="I2298" t="s">
        <v>26</v>
      </c>
      <c r="J2298" t="s">
        <v>41</v>
      </c>
      <c r="K2298" t="s">
        <v>42</v>
      </c>
      <c r="L2298">
        <v>90045</v>
      </c>
      <c r="M2298" t="s">
        <v>43</v>
      </c>
      <c r="N2298" t="s">
        <v>1149</v>
      </c>
      <c r="O2298" t="s">
        <v>45</v>
      </c>
      <c r="P2298" t="s">
        <v>67</v>
      </c>
      <c r="Q2298" t="s">
        <v>1150</v>
      </c>
      <c r="R2298">
        <v>123.92</v>
      </c>
      <c r="S2298">
        <v>4</v>
      </c>
      <c r="T2298">
        <v>0</v>
      </c>
      <c r="U2298">
        <v>33.458399999999997</v>
      </c>
      <c r="V2298" t="str">
        <f t="shared" si="35"/>
        <v>Arthur Prichep</v>
      </c>
      <c r="W2298">
        <f>Table2[Profit]/Table2[Sales]</f>
        <v>0.26999999999999996</v>
      </c>
    </row>
    <row r="2299" spans="1:23" x14ac:dyDescent="0.25">
      <c r="A2299">
        <v>2298</v>
      </c>
      <c r="B2299" t="s">
        <v>7480</v>
      </c>
      <c r="C2299" s="1">
        <v>42624</v>
      </c>
      <c r="D2299" s="1">
        <v>42629</v>
      </c>
      <c r="E2299" t="s">
        <v>49</v>
      </c>
      <c r="F2299" t="s">
        <v>4442</v>
      </c>
      <c r="G2299" t="s">
        <v>4443</v>
      </c>
      <c r="H2299" t="s">
        <v>25</v>
      </c>
      <c r="I2299" t="s">
        <v>26</v>
      </c>
      <c r="J2299" t="s">
        <v>5411</v>
      </c>
      <c r="K2299" t="s">
        <v>312</v>
      </c>
      <c r="L2299">
        <v>23602</v>
      </c>
      <c r="M2299" t="s">
        <v>29</v>
      </c>
      <c r="N2299" t="s">
        <v>7481</v>
      </c>
      <c r="O2299" t="s">
        <v>70</v>
      </c>
      <c r="P2299" t="s">
        <v>1204</v>
      </c>
      <c r="Q2299" t="s">
        <v>7482</v>
      </c>
      <c r="R2299">
        <v>1599.92</v>
      </c>
      <c r="S2299">
        <v>8</v>
      </c>
      <c r="T2299">
        <v>0</v>
      </c>
      <c r="U2299">
        <v>751.9624</v>
      </c>
      <c r="V2299" t="str">
        <f t="shared" si="35"/>
        <v>Jill Fjeld</v>
      </c>
      <c r="W2299">
        <f>Table2[Profit]/Table2[Sales]</f>
        <v>0.47</v>
      </c>
    </row>
    <row r="2300" spans="1:23" x14ac:dyDescent="0.25">
      <c r="A2300">
        <v>2299</v>
      </c>
      <c r="B2300" t="s">
        <v>7483</v>
      </c>
      <c r="C2300" s="1">
        <v>43030</v>
      </c>
      <c r="D2300" s="1">
        <v>43032</v>
      </c>
      <c r="E2300" t="s">
        <v>22</v>
      </c>
      <c r="F2300" t="s">
        <v>3756</v>
      </c>
      <c r="G2300" t="s">
        <v>3757</v>
      </c>
      <c r="H2300" t="s">
        <v>25</v>
      </c>
      <c r="I2300" t="s">
        <v>26</v>
      </c>
      <c r="J2300" t="s">
        <v>5230</v>
      </c>
      <c r="K2300" t="s">
        <v>450</v>
      </c>
      <c r="L2300">
        <v>80525</v>
      </c>
      <c r="M2300" t="s">
        <v>43</v>
      </c>
      <c r="N2300" t="s">
        <v>1704</v>
      </c>
      <c r="O2300" t="s">
        <v>45</v>
      </c>
      <c r="P2300" t="s">
        <v>74</v>
      </c>
      <c r="Q2300" t="s">
        <v>1705</v>
      </c>
      <c r="R2300">
        <v>3.1680000000000001</v>
      </c>
      <c r="S2300">
        <v>4</v>
      </c>
      <c r="T2300">
        <v>0.7</v>
      </c>
      <c r="U2300">
        <v>-2.5344000000000002</v>
      </c>
      <c r="V2300" t="str">
        <f t="shared" si="35"/>
        <v>Helen Abelman</v>
      </c>
      <c r="W2300">
        <f>Table2[Profit]/Table2[Sales]</f>
        <v>-0.8</v>
      </c>
    </row>
    <row r="2301" spans="1:23" x14ac:dyDescent="0.25">
      <c r="A2301">
        <v>2300</v>
      </c>
      <c r="B2301" t="s">
        <v>7484</v>
      </c>
      <c r="C2301" s="1">
        <v>42218</v>
      </c>
      <c r="D2301" s="1">
        <v>42222</v>
      </c>
      <c r="E2301" t="s">
        <v>49</v>
      </c>
      <c r="F2301" t="s">
        <v>3914</v>
      </c>
      <c r="G2301" t="s">
        <v>3915</v>
      </c>
      <c r="H2301" t="s">
        <v>25</v>
      </c>
      <c r="I2301" t="s">
        <v>26</v>
      </c>
      <c r="J2301" t="s">
        <v>94</v>
      </c>
      <c r="K2301" t="s">
        <v>95</v>
      </c>
      <c r="L2301">
        <v>98105</v>
      </c>
      <c r="M2301" t="s">
        <v>43</v>
      </c>
      <c r="N2301" t="s">
        <v>5696</v>
      </c>
      <c r="O2301" t="s">
        <v>45</v>
      </c>
      <c r="P2301" t="s">
        <v>74</v>
      </c>
      <c r="Q2301" t="s">
        <v>5697</v>
      </c>
      <c r="R2301">
        <v>6.3680000000000003</v>
      </c>
      <c r="S2301">
        <v>2</v>
      </c>
      <c r="T2301">
        <v>0.2</v>
      </c>
      <c r="U2301">
        <v>2.1492</v>
      </c>
      <c r="V2301" t="str">
        <f t="shared" si="35"/>
        <v>Corey-Lock</v>
      </c>
      <c r="W2301">
        <f>Table2[Profit]/Table2[Sales]</f>
        <v>0.33749999999999997</v>
      </c>
    </row>
    <row r="2302" spans="1:23" x14ac:dyDescent="0.25">
      <c r="A2302">
        <v>2301</v>
      </c>
      <c r="B2302" t="s">
        <v>7485</v>
      </c>
      <c r="C2302" s="1">
        <v>42594</v>
      </c>
      <c r="D2302" s="1">
        <v>42598</v>
      </c>
      <c r="E2302" t="s">
        <v>49</v>
      </c>
      <c r="F2302" t="s">
        <v>5210</v>
      </c>
      <c r="G2302" t="s">
        <v>5211</v>
      </c>
      <c r="H2302" t="s">
        <v>101</v>
      </c>
      <c r="I2302" t="s">
        <v>26</v>
      </c>
      <c r="J2302" t="s">
        <v>263</v>
      </c>
      <c r="K2302" t="s">
        <v>264</v>
      </c>
      <c r="L2302">
        <v>10011</v>
      </c>
      <c r="M2302" t="s">
        <v>145</v>
      </c>
      <c r="N2302" t="s">
        <v>1563</v>
      </c>
      <c r="O2302" t="s">
        <v>31</v>
      </c>
      <c r="P2302" t="s">
        <v>35</v>
      </c>
      <c r="Q2302" t="s">
        <v>1564</v>
      </c>
      <c r="R2302">
        <v>145.76400000000001</v>
      </c>
      <c r="S2302">
        <v>2</v>
      </c>
      <c r="T2302">
        <v>0.1</v>
      </c>
      <c r="U2302">
        <v>-8.0980000000000008</v>
      </c>
      <c r="V2302" t="str">
        <f t="shared" si="35"/>
        <v>Becky Castell</v>
      </c>
      <c r="W2302">
        <f>Table2[Profit]/Table2[Sales]</f>
        <v>-5.5555555555555559E-2</v>
      </c>
    </row>
    <row r="2303" spans="1:23" x14ac:dyDescent="0.25">
      <c r="A2303">
        <v>2302</v>
      </c>
      <c r="B2303" t="s">
        <v>7486</v>
      </c>
      <c r="C2303" s="1">
        <v>41789</v>
      </c>
      <c r="D2303" s="1">
        <v>41795</v>
      </c>
      <c r="E2303" t="s">
        <v>49</v>
      </c>
      <c r="F2303" t="s">
        <v>1897</v>
      </c>
      <c r="G2303" t="s">
        <v>1898</v>
      </c>
      <c r="H2303" t="s">
        <v>40</v>
      </c>
      <c r="I2303" t="s">
        <v>26</v>
      </c>
      <c r="J2303" t="s">
        <v>1450</v>
      </c>
      <c r="K2303" t="s">
        <v>312</v>
      </c>
      <c r="L2303">
        <v>23223</v>
      </c>
      <c r="M2303" t="s">
        <v>29</v>
      </c>
      <c r="N2303" t="s">
        <v>2705</v>
      </c>
      <c r="O2303" t="s">
        <v>45</v>
      </c>
      <c r="P2303" t="s">
        <v>89</v>
      </c>
      <c r="Q2303" t="s">
        <v>2706</v>
      </c>
      <c r="R2303">
        <v>13.62</v>
      </c>
      <c r="S2303">
        <v>3</v>
      </c>
      <c r="T2303">
        <v>0</v>
      </c>
      <c r="U2303">
        <v>6.1289999999999996</v>
      </c>
      <c r="V2303" t="str">
        <f t="shared" si="35"/>
        <v>Ellis Ballard</v>
      </c>
      <c r="W2303">
        <f>Table2[Profit]/Table2[Sales]</f>
        <v>0.45</v>
      </c>
    </row>
    <row r="2304" spans="1:23" x14ac:dyDescent="0.25">
      <c r="A2304">
        <v>2303</v>
      </c>
      <c r="B2304" t="s">
        <v>7487</v>
      </c>
      <c r="C2304" s="1">
        <v>42486</v>
      </c>
      <c r="D2304" s="1">
        <v>42491</v>
      </c>
      <c r="E2304" t="s">
        <v>49</v>
      </c>
      <c r="F2304" t="s">
        <v>7488</v>
      </c>
      <c r="G2304" t="s">
        <v>7489</v>
      </c>
      <c r="H2304" t="s">
        <v>101</v>
      </c>
      <c r="I2304" t="s">
        <v>26</v>
      </c>
      <c r="J2304" t="s">
        <v>263</v>
      </c>
      <c r="K2304" t="s">
        <v>264</v>
      </c>
      <c r="L2304">
        <v>10009</v>
      </c>
      <c r="M2304" t="s">
        <v>145</v>
      </c>
      <c r="N2304" t="s">
        <v>6747</v>
      </c>
      <c r="O2304" t="s">
        <v>31</v>
      </c>
      <c r="P2304" t="s">
        <v>35</v>
      </c>
      <c r="Q2304" t="s">
        <v>6748</v>
      </c>
      <c r="R2304">
        <v>434.64600000000002</v>
      </c>
      <c r="S2304">
        <v>3</v>
      </c>
      <c r="T2304">
        <v>0.1</v>
      </c>
      <c r="U2304">
        <v>62.782200000000003</v>
      </c>
      <c r="V2304" t="str">
        <f t="shared" si="35"/>
        <v>Dennis Bolton</v>
      </c>
      <c r="W2304">
        <f>Table2[Profit]/Table2[Sales]</f>
        <v>0.14444444444444446</v>
      </c>
    </row>
    <row r="2305" spans="1:23" x14ac:dyDescent="0.25">
      <c r="A2305">
        <v>2304</v>
      </c>
      <c r="B2305" t="s">
        <v>7490</v>
      </c>
      <c r="C2305" s="1">
        <v>42869</v>
      </c>
      <c r="D2305" s="1">
        <v>42874</v>
      </c>
      <c r="E2305" t="s">
        <v>49</v>
      </c>
      <c r="F2305" t="s">
        <v>132</v>
      </c>
      <c r="G2305" t="s">
        <v>133</v>
      </c>
      <c r="H2305" t="s">
        <v>40</v>
      </c>
      <c r="I2305" t="s">
        <v>26</v>
      </c>
      <c r="J2305" t="s">
        <v>94</v>
      </c>
      <c r="K2305" t="s">
        <v>95</v>
      </c>
      <c r="L2305">
        <v>98103</v>
      </c>
      <c r="M2305" t="s">
        <v>43</v>
      </c>
      <c r="N2305" t="s">
        <v>7491</v>
      </c>
      <c r="O2305" t="s">
        <v>45</v>
      </c>
      <c r="P2305" t="s">
        <v>89</v>
      </c>
      <c r="Q2305" t="s">
        <v>7492</v>
      </c>
      <c r="R2305">
        <v>440.19</v>
      </c>
      <c r="S2305">
        <v>9</v>
      </c>
      <c r="T2305">
        <v>0</v>
      </c>
      <c r="U2305">
        <v>206.88929999999999</v>
      </c>
      <c r="V2305" t="str">
        <f t="shared" si="35"/>
        <v>Ken Black</v>
      </c>
      <c r="W2305">
        <f>Table2[Profit]/Table2[Sales]</f>
        <v>0.47</v>
      </c>
    </row>
    <row r="2306" spans="1:23" x14ac:dyDescent="0.25">
      <c r="A2306">
        <v>2305</v>
      </c>
      <c r="B2306" t="s">
        <v>7493</v>
      </c>
      <c r="C2306" s="1">
        <v>42833</v>
      </c>
      <c r="D2306" s="1">
        <v>42837</v>
      </c>
      <c r="E2306" t="s">
        <v>49</v>
      </c>
      <c r="F2306" t="s">
        <v>4900</v>
      </c>
      <c r="G2306" t="s">
        <v>4901</v>
      </c>
      <c r="H2306" t="s">
        <v>101</v>
      </c>
      <c r="I2306" t="s">
        <v>26</v>
      </c>
      <c r="J2306" t="s">
        <v>126</v>
      </c>
      <c r="K2306" t="s">
        <v>42</v>
      </c>
      <c r="L2306">
        <v>94110</v>
      </c>
      <c r="M2306" t="s">
        <v>43</v>
      </c>
      <c r="N2306" t="s">
        <v>4651</v>
      </c>
      <c r="O2306" t="s">
        <v>45</v>
      </c>
      <c r="P2306" t="s">
        <v>89</v>
      </c>
      <c r="Q2306" t="s">
        <v>4652</v>
      </c>
      <c r="R2306">
        <v>244.55</v>
      </c>
      <c r="S2306">
        <v>5</v>
      </c>
      <c r="T2306">
        <v>0</v>
      </c>
      <c r="U2306">
        <v>114.9385</v>
      </c>
      <c r="V2306" t="str">
        <f t="shared" si="35"/>
        <v>Adrian Hane</v>
      </c>
      <c r="W2306">
        <f>Table2[Profit]/Table2[Sales]</f>
        <v>0.47</v>
      </c>
    </row>
    <row r="2307" spans="1:23" x14ac:dyDescent="0.25">
      <c r="A2307">
        <v>2306</v>
      </c>
      <c r="B2307" t="s">
        <v>7494</v>
      </c>
      <c r="C2307" s="1">
        <v>42783</v>
      </c>
      <c r="D2307" s="1">
        <v>42789</v>
      </c>
      <c r="E2307" t="s">
        <v>49</v>
      </c>
      <c r="F2307" t="s">
        <v>6219</v>
      </c>
      <c r="G2307" t="s">
        <v>6220</v>
      </c>
      <c r="H2307" t="s">
        <v>101</v>
      </c>
      <c r="I2307" t="s">
        <v>26</v>
      </c>
      <c r="J2307" t="s">
        <v>4823</v>
      </c>
      <c r="K2307" t="s">
        <v>781</v>
      </c>
      <c r="L2307">
        <v>8861</v>
      </c>
      <c r="M2307" t="s">
        <v>145</v>
      </c>
      <c r="N2307" t="s">
        <v>3920</v>
      </c>
      <c r="O2307" t="s">
        <v>45</v>
      </c>
      <c r="P2307" t="s">
        <v>89</v>
      </c>
      <c r="Q2307" t="s">
        <v>3921</v>
      </c>
      <c r="R2307">
        <v>11.76</v>
      </c>
      <c r="S2307">
        <v>2</v>
      </c>
      <c r="T2307">
        <v>0</v>
      </c>
      <c r="U2307">
        <v>5.7624000000000004</v>
      </c>
      <c r="V2307" t="str">
        <f t="shared" ref="V2307:V2370" si="36">TRIM(G2307)</f>
        <v>Gary Hansen</v>
      </c>
      <c r="W2307">
        <f>Table2[Profit]/Table2[Sales]</f>
        <v>0.49000000000000005</v>
      </c>
    </row>
    <row r="2308" spans="1:23" x14ac:dyDescent="0.25">
      <c r="A2308">
        <v>2307</v>
      </c>
      <c r="B2308" t="s">
        <v>7495</v>
      </c>
      <c r="C2308" s="1">
        <v>42910</v>
      </c>
      <c r="D2308" s="1">
        <v>42912</v>
      </c>
      <c r="E2308" t="s">
        <v>22</v>
      </c>
      <c r="F2308" t="s">
        <v>3381</v>
      </c>
      <c r="G2308" t="s">
        <v>3382</v>
      </c>
      <c r="H2308" t="s">
        <v>25</v>
      </c>
      <c r="I2308" t="s">
        <v>26</v>
      </c>
      <c r="J2308" t="s">
        <v>126</v>
      </c>
      <c r="K2308" t="s">
        <v>42</v>
      </c>
      <c r="L2308">
        <v>94110</v>
      </c>
      <c r="M2308" t="s">
        <v>43</v>
      </c>
      <c r="N2308" t="s">
        <v>6762</v>
      </c>
      <c r="O2308" t="s">
        <v>45</v>
      </c>
      <c r="P2308" t="s">
        <v>266</v>
      </c>
      <c r="Q2308" t="s">
        <v>6763</v>
      </c>
      <c r="R2308">
        <v>2.88</v>
      </c>
      <c r="S2308">
        <v>1</v>
      </c>
      <c r="T2308">
        <v>0</v>
      </c>
      <c r="U2308">
        <v>1.3535999999999999</v>
      </c>
      <c r="V2308" t="str">
        <f t="shared" si="36"/>
        <v>Kean Thornton</v>
      </c>
      <c r="W2308">
        <f>Table2[Profit]/Table2[Sales]</f>
        <v>0.47</v>
      </c>
    </row>
    <row r="2309" spans="1:23" x14ac:dyDescent="0.25">
      <c r="A2309">
        <v>2308</v>
      </c>
      <c r="B2309" t="s">
        <v>7496</v>
      </c>
      <c r="C2309" s="1">
        <v>41764</v>
      </c>
      <c r="D2309" s="1">
        <v>41769</v>
      </c>
      <c r="E2309" t="s">
        <v>49</v>
      </c>
      <c r="F2309" t="s">
        <v>4522</v>
      </c>
      <c r="G2309" t="s">
        <v>4523</v>
      </c>
      <c r="H2309" t="s">
        <v>40</v>
      </c>
      <c r="I2309" t="s">
        <v>26</v>
      </c>
      <c r="J2309" t="s">
        <v>3637</v>
      </c>
      <c r="K2309" t="s">
        <v>208</v>
      </c>
      <c r="L2309">
        <v>61032</v>
      </c>
      <c r="M2309" t="s">
        <v>104</v>
      </c>
      <c r="N2309" t="s">
        <v>390</v>
      </c>
      <c r="O2309" t="s">
        <v>45</v>
      </c>
      <c r="P2309" t="s">
        <v>58</v>
      </c>
      <c r="Q2309" t="s">
        <v>391</v>
      </c>
      <c r="R2309">
        <v>45.247999999999998</v>
      </c>
      <c r="S2309">
        <v>2</v>
      </c>
      <c r="T2309">
        <v>0.2</v>
      </c>
      <c r="U2309">
        <v>3.9592000000000001</v>
      </c>
      <c r="V2309" t="str">
        <f t="shared" si="36"/>
        <v>Katharine Harms</v>
      </c>
      <c r="W2309">
        <f>Table2[Profit]/Table2[Sales]</f>
        <v>8.7500000000000008E-2</v>
      </c>
    </row>
    <row r="2310" spans="1:23" x14ac:dyDescent="0.25">
      <c r="A2310">
        <v>2309</v>
      </c>
      <c r="B2310" t="s">
        <v>7497</v>
      </c>
      <c r="C2310" s="1">
        <v>42127</v>
      </c>
      <c r="D2310" s="1">
        <v>42131</v>
      </c>
      <c r="E2310" t="s">
        <v>49</v>
      </c>
      <c r="F2310" t="s">
        <v>5686</v>
      </c>
      <c r="G2310" t="s">
        <v>5687</v>
      </c>
      <c r="H2310" t="s">
        <v>25</v>
      </c>
      <c r="I2310" t="s">
        <v>26</v>
      </c>
      <c r="J2310" t="s">
        <v>143</v>
      </c>
      <c r="K2310" t="s">
        <v>144</v>
      </c>
      <c r="L2310">
        <v>19140</v>
      </c>
      <c r="M2310" t="s">
        <v>145</v>
      </c>
      <c r="N2310" t="s">
        <v>2798</v>
      </c>
      <c r="O2310" t="s">
        <v>45</v>
      </c>
      <c r="P2310" t="s">
        <v>67</v>
      </c>
      <c r="Q2310" t="s">
        <v>2799</v>
      </c>
      <c r="R2310">
        <v>59.904000000000003</v>
      </c>
      <c r="S2310">
        <v>2</v>
      </c>
      <c r="T2310">
        <v>0.2</v>
      </c>
      <c r="U2310">
        <v>14.2272</v>
      </c>
      <c r="V2310" t="str">
        <f t="shared" si="36"/>
        <v>Stewart Visinsky</v>
      </c>
      <c r="W2310">
        <f>Table2[Profit]/Table2[Sales]</f>
        <v>0.23749999999999999</v>
      </c>
    </row>
    <row r="2311" spans="1:23" x14ac:dyDescent="0.25">
      <c r="A2311">
        <v>2310</v>
      </c>
      <c r="B2311" t="s">
        <v>7498</v>
      </c>
      <c r="C2311" s="1">
        <v>42631</v>
      </c>
      <c r="D2311" s="1">
        <v>42635</v>
      </c>
      <c r="E2311" t="s">
        <v>49</v>
      </c>
      <c r="F2311" t="s">
        <v>1177</v>
      </c>
      <c r="G2311" t="s">
        <v>1178</v>
      </c>
      <c r="H2311" t="s">
        <v>25</v>
      </c>
      <c r="I2311" t="s">
        <v>26</v>
      </c>
      <c r="J2311" t="s">
        <v>1507</v>
      </c>
      <c r="K2311" t="s">
        <v>53</v>
      </c>
      <c r="L2311">
        <v>32216</v>
      </c>
      <c r="M2311" t="s">
        <v>29</v>
      </c>
      <c r="N2311" t="s">
        <v>2089</v>
      </c>
      <c r="O2311" t="s">
        <v>45</v>
      </c>
      <c r="P2311" t="s">
        <v>46</v>
      </c>
      <c r="Q2311" t="s">
        <v>2090</v>
      </c>
      <c r="R2311">
        <v>3</v>
      </c>
      <c r="S2311">
        <v>1</v>
      </c>
      <c r="T2311">
        <v>0.2</v>
      </c>
      <c r="U2311">
        <v>1.05</v>
      </c>
      <c r="V2311" t="str">
        <f t="shared" si="36"/>
        <v>Patrick O'Brill</v>
      </c>
      <c r="W2311">
        <f>Table2[Profit]/Table2[Sales]</f>
        <v>0.35000000000000003</v>
      </c>
    </row>
    <row r="2312" spans="1:23" x14ac:dyDescent="0.25">
      <c r="A2312">
        <v>2311</v>
      </c>
      <c r="B2312" t="s">
        <v>7499</v>
      </c>
      <c r="C2312" s="1">
        <v>42635</v>
      </c>
      <c r="D2312" s="1">
        <v>42639</v>
      </c>
      <c r="E2312" t="s">
        <v>49</v>
      </c>
      <c r="F2312" t="s">
        <v>4618</v>
      </c>
      <c r="G2312" t="s">
        <v>4619</v>
      </c>
      <c r="H2312" t="s">
        <v>25</v>
      </c>
      <c r="I2312" t="s">
        <v>26</v>
      </c>
      <c r="J2312" t="s">
        <v>1341</v>
      </c>
      <c r="K2312" t="s">
        <v>53</v>
      </c>
      <c r="L2312">
        <v>33024</v>
      </c>
      <c r="M2312" t="s">
        <v>29</v>
      </c>
      <c r="N2312" t="s">
        <v>2919</v>
      </c>
      <c r="O2312" t="s">
        <v>45</v>
      </c>
      <c r="P2312" t="s">
        <v>74</v>
      </c>
      <c r="Q2312" t="s">
        <v>2920</v>
      </c>
      <c r="R2312">
        <v>7.5060000000000002</v>
      </c>
      <c r="S2312">
        <v>9</v>
      </c>
      <c r="T2312">
        <v>0.7</v>
      </c>
      <c r="U2312">
        <v>-6.0048000000000004</v>
      </c>
      <c r="V2312" t="str">
        <f t="shared" si="36"/>
        <v>Amy Cox</v>
      </c>
      <c r="W2312">
        <f>Table2[Profit]/Table2[Sales]</f>
        <v>-0.8</v>
      </c>
    </row>
    <row r="2313" spans="1:23" x14ac:dyDescent="0.25">
      <c r="A2313">
        <v>2312</v>
      </c>
      <c r="B2313" t="s">
        <v>7500</v>
      </c>
      <c r="C2313" s="1">
        <v>42379</v>
      </c>
      <c r="D2313" s="1">
        <v>42386</v>
      </c>
      <c r="E2313" t="s">
        <v>49</v>
      </c>
      <c r="F2313" t="s">
        <v>132</v>
      </c>
      <c r="G2313" t="s">
        <v>133</v>
      </c>
      <c r="H2313" t="s">
        <v>40</v>
      </c>
      <c r="I2313" t="s">
        <v>26</v>
      </c>
      <c r="J2313" t="s">
        <v>94</v>
      </c>
      <c r="K2313" t="s">
        <v>95</v>
      </c>
      <c r="L2313">
        <v>98115</v>
      </c>
      <c r="M2313" t="s">
        <v>43</v>
      </c>
      <c r="N2313" t="s">
        <v>3393</v>
      </c>
      <c r="O2313" t="s">
        <v>31</v>
      </c>
      <c r="P2313" t="s">
        <v>64</v>
      </c>
      <c r="Q2313" t="s">
        <v>3394</v>
      </c>
      <c r="R2313">
        <v>79.92</v>
      </c>
      <c r="S2313">
        <v>4</v>
      </c>
      <c r="T2313">
        <v>0</v>
      </c>
      <c r="U2313">
        <v>34.365600000000001</v>
      </c>
      <c r="V2313" t="str">
        <f t="shared" si="36"/>
        <v>Ken Black</v>
      </c>
      <c r="W2313">
        <f>Table2[Profit]/Table2[Sales]</f>
        <v>0.43</v>
      </c>
    </row>
    <row r="2314" spans="1:23" x14ac:dyDescent="0.25">
      <c r="A2314">
        <v>2313</v>
      </c>
      <c r="B2314" t="s">
        <v>7501</v>
      </c>
      <c r="C2314" s="1">
        <v>42861</v>
      </c>
      <c r="D2314" s="1">
        <v>42866</v>
      </c>
      <c r="E2314" t="s">
        <v>49</v>
      </c>
      <c r="F2314" t="s">
        <v>5063</v>
      </c>
      <c r="G2314" t="s">
        <v>5064</v>
      </c>
      <c r="H2314" t="s">
        <v>40</v>
      </c>
      <c r="I2314" t="s">
        <v>26</v>
      </c>
      <c r="J2314" t="s">
        <v>102</v>
      </c>
      <c r="K2314" t="s">
        <v>103</v>
      </c>
      <c r="L2314">
        <v>76106</v>
      </c>
      <c r="M2314" t="s">
        <v>104</v>
      </c>
      <c r="N2314" t="s">
        <v>2124</v>
      </c>
      <c r="O2314" t="s">
        <v>45</v>
      </c>
      <c r="P2314" t="s">
        <v>74</v>
      </c>
      <c r="Q2314" t="s">
        <v>2125</v>
      </c>
      <c r="R2314">
        <v>11.06</v>
      </c>
      <c r="S2314">
        <v>10</v>
      </c>
      <c r="T2314">
        <v>0.8</v>
      </c>
      <c r="U2314">
        <v>-18.802</v>
      </c>
      <c r="V2314" t="str">
        <f t="shared" si="36"/>
        <v>Dorothy Badders</v>
      </c>
      <c r="W2314">
        <f>Table2[Profit]/Table2[Sales]</f>
        <v>-1.7</v>
      </c>
    </row>
    <row r="2315" spans="1:23" x14ac:dyDescent="0.25">
      <c r="A2315">
        <v>2314</v>
      </c>
      <c r="B2315" t="s">
        <v>7502</v>
      </c>
      <c r="C2315" s="1">
        <v>42582</v>
      </c>
      <c r="D2315" s="1">
        <v>42588</v>
      </c>
      <c r="E2315" t="s">
        <v>49</v>
      </c>
      <c r="F2315" t="s">
        <v>909</v>
      </c>
      <c r="G2315" t="s">
        <v>910</v>
      </c>
      <c r="H2315" t="s">
        <v>25</v>
      </c>
      <c r="I2315" t="s">
        <v>26</v>
      </c>
      <c r="J2315" t="s">
        <v>873</v>
      </c>
      <c r="K2315" t="s">
        <v>235</v>
      </c>
      <c r="L2315">
        <v>48205</v>
      </c>
      <c r="M2315" t="s">
        <v>104</v>
      </c>
      <c r="N2315" t="s">
        <v>4519</v>
      </c>
      <c r="O2315" t="s">
        <v>45</v>
      </c>
      <c r="P2315" t="s">
        <v>77</v>
      </c>
      <c r="Q2315" t="s">
        <v>4520</v>
      </c>
      <c r="R2315">
        <v>283.14</v>
      </c>
      <c r="S2315">
        <v>4</v>
      </c>
      <c r="T2315">
        <v>0.1</v>
      </c>
      <c r="U2315">
        <v>72.358000000000004</v>
      </c>
      <c r="V2315" t="str">
        <f t="shared" si="36"/>
        <v>Ken Lonsdale</v>
      </c>
      <c r="W2315">
        <f>Table2[Profit]/Table2[Sales]</f>
        <v>0.25555555555555559</v>
      </c>
    </row>
    <row r="2316" spans="1:23" x14ac:dyDescent="0.25">
      <c r="A2316">
        <v>2315</v>
      </c>
      <c r="B2316" t="s">
        <v>7503</v>
      </c>
      <c r="C2316" s="1">
        <v>42821</v>
      </c>
      <c r="D2316" s="1">
        <v>42823</v>
      </c>
      <c r="E2316" t="s">
        <v>22</v>
      </c>
      <c r="F2316" t="s">
        <v>117</v>
      </c>
      <c r="G2316" t="s">
        <v>118</v>
      </c>
      <c r="H2316" t="s">
        <v>25</v>
      </c>
      <c r="I2316" t="s">
        <v>26</v>
      </c>
      <c r="J2316" t="s">
        <v>143</v>
      </c>
      <c r="K2316" t="s">
        <v>144</v>
      </c>
      <c r="L2316">
        <v>19120</v>
      </c>
      <c r="M2316" t="s">
        <v>145</v>
      </c>
      <c r="N2316" t="s">
        <v>5901</v>
      </c>
      <c r="O2316" t="s">
        <v>31</v>
      </c>
      <c r="P2316" t="s">
        <v>64</v>
      </c>
      <c r="Q2316" t="s">
        <v>5902</v>
      </c>
      <c r="R2316">
        <v>15.007999999999999</v>
      </c>
      <c r="S2316">
        <v>2</v>
      </c>
      <c r="T2316">
        <v>0.2</v>
      </c>
      <c r="U2316">
        <v>1.5007999999999999</v>
      </c>
      <c r="V2316" t="str">
        <f t="shared" si="36"/>
        <v>Alejandro Grove</v>
      </c>
      <c r="W2316">
        <f>Table2[Profit]/Table2[Sales]</f>
        <v>0.1</v>
      </c>
    </row>
    <row r="2317" spans="1:23" x14ac:dyDescent="0.25">
      <c r="A2317">
        <v>2316</v>
      </c>
      <c r="B2317" t="s">
        <v>7504</v>
      </c>
      <c r="C2317" s="1">
        <v>41712</v>
      </c>
      <c r="D2317" s="1">
        <v>41717</v>
      </c>
      <c r="E2317" t="s">
        <v>49</v>
      </c>
      <c r="F2317" t="s">
        <v>5628</v>
      </c>
      <c r="G2317" t="s">
        <v>5629</v>
      </c>
      <c r="H2317" t="s">
        <v>25</v>
      </c>
      <c r="I2317" t="s">
        <v>26</v>
      </c>
      <c r="J2317" t="s">
        <v>7505</v>
      </c>
      <c r="K2317" t="s">
        <v>120</v>
      </c>
      <c r="L2317">
        <v>84321</v>
      </c>
      <c r="M2317" t="s">
        <v>43</v>
      </c>
      <c r="N2317" t="s">
        <v>5373</v>
      </c>
      <c r="O2317" t="s">
        <v>45</v>
      </c>
      <c r="P2317" t="s">
        <v>74</v>
      </c>
      <c r="Q2317" t="s">
        <v>5374</v>
      </c>
      <c r="R2317">
        <v>33.088000000000001</v>
      </c>
      <c r="S2317">
        <v>4</v>
      </c>
      <c r="T2317">
        <v>0.2</v>
      </c>
      <c r="U2317">
        <v>11.167199999999999</v>
      </c>
      <c r="V2317" t="str">
        <f t="shared" si="36"/>
        <v>Jason Fortune-</v>
      </c>
      <c r="W2317">
        <f>Table2[Profit]/Table2[Sales]</f>
        <v>0.33749999999999997</v>
      </c>
    </row>
    <row r="2318" spans="1:23" x14ac:dyDescent="0.25">
      <c r="A2318">
        <v>2317</v>
      </c>
      <c r="B2318" t="s">
        <v>7508</v>
      </c>
      <c r="C2318" s="1">
        <v>42565</v>
      </c>
      <c r="D2318" s="1">
        <v>42569</v>
      </c>
      <c r="E2318" t="s">
        <v>22</v>
      </c>
      <c r="F2318" t="s">
        <v>6129</v>
      </c>
      <c r="G2318" t="s">
        <v>6130</v>
      </c>
      <c r="H2318" t="s">
        <v>25</v>
      </c>
      <c r="I2318" t="s">
        <v>26</v>
      </c>
      <c r="J2318" t="s">
        <v>1540</v>
      </c>
      <c r="K2318" t="s">
        <v>264</v>
      </c>
      <c r="L2318">
        <v>13021</v>
      </c>
      <c r="M2318" t="s">
        <v>145</v>
      </c>
      <c r="N2318" t="s">
        <v>5292</v>
      </c>
      <c r="O2318" t="s">
        <v>45</v>
      </c>
      <c r="P2318" t="s">
        <v>266</v>
      </c>
      <c r="Q2318" t="s">
        <v>5293</v>
      </c>
      <c r="R2318">
        <v>29.61</v>
      </c>
      <c r="S2318">
        <v>9</v>
      </c>
      <c r="T2318">
        <v>0</v>
      </c>
      <c r="U2318">
        <v>13.3245</v>
      </c>
      <c r="V2318" t="str">
        <f t="shared" si="36"/>
        <v>Richard Eichhorn</v>
      </c>
      <c r="W2318">
        <f>Table2[Profit]/Table2[Sales]</f>
        <v>0.45</v>
      </c>
    </row>
    <row r="2319" spans="1:23" x14ac:dyDescent="0.25">
      <c r="A2319">
        <v>2318</v>
      </c>
      <c r="B2319" t="s">
        <v>7509</v>
      </c>
      <c r="C2319" s="1">
        <v>42705</v>
      </c>
      <c r="D2319" s="1">
        <v>42705</v>
      </c>
      <c r="E2319" t="s">
        <v>1278</v>
      </c>
      <c r="F2319" t="s">
        <v>1359</v>
      </c>
      <c r="G2319" t="s">
        <v>1360</v>
      </c>
      <c r="H2319" t="s">
        <v>25</v>
      </c>
      <c r="I2319" t="s">
        <v>26</v>
      </c>
      <c r="J2319" t="s">
        <v>4494</v>
      </c>
      <c r="K2319" t="s">
        <v>87</v>
      </c>
      <c r="L2319">
        <v>27604</v>
      </c>
      <c r="M2319" t="s">
        <v>29</v>
      </c>
      <c r="N2319" t="s">
        <v>4746</v>
      </c>
      <c r="O2319" t="s">
        <v>70</v>
      </c>
      <c r="P2319" t="s">
        <v>71</v>
      </c>
      <c r="Q2319" t="s">
        <v>4747</v>
      </c>
      <c r="R2319">
        <v>863.928</v>
      </c>
      <c r="S2319">
        <v>9</v>
      </c>
      <c r="T2319">
        <v>0.2</v>
      </c>
      <c r="U2319">
        <v>86.392799999999994</v>
      </c>
      <c r="V2319" t="str">
        <f t="shared" si="36"/>
        <v>Mike Vittorini</v>
      </c>
      <c r="W2319">
        <f>Table2[Profit]/Table2[Sales]</f>
        <v>9.9999999999999992E-2</v>
      </c>
    </row>
    <row r="2320" spans="1:23" x14ac:dyDescent="0.25">
      <c r="A2320">
        <v>2319</v>
      </c>
      <c r="B2320" t="s">
        <v>7510</v>
      </c>
      <c r="C2320" s="1">
        <v>42611</v>
      </c>
      <c r="D2320" s="1">
        <v>42616</v>
      </c>
      <c r="E2320" t="s">
        <v>49</v>
      </c>
      <c r="F2320" t="s">
        <v>2724</v>
      </c>
      <c r="G2320" t="s">
        <v>2725</v>
      </c>
      <c r="H2320" t="s">
        <v>40</v>
      </c>
      <c r="I2320" t="s">
        <v>26</v>
      </c>
      <c r="J2320" t="s">
        <v>143</v>
      </c>
      <c r="K2320" t="s">
        <v>144</v>
      </c>
      <c r="L2320">
        <v>19120</v>
      </c>
      <c r="M2320" t="s">
        <v>145</v>
      </c>
      <c r="N2320" t="s">
        <v>6409</v>
      </c>
      <c r="O2320" t="s">
        <v>31</v>
      </c>
      <c r="P2320" t="s">
        <v>55</v>
      </c>
      <c r="Q2320" t="s">
        <v>6410</v>
      </c>
      <c r="R2320">
        <v>241.92</v>
      </c>
      <c r="S2320">
        <v>4</v>
      </c>
      <c r="T2320">
        <v>0.4</v>
      </c>
      <c r="U2320">
        <v>-56.448</v>
      </c>
      <c r="V2320" t="str">
        <f t="shared" si="36"/>
        <v>George Bell</v>
      </c>
      <c r="W2320">
        <f>Table2[Profit]/Table2[Sales]</f>
        <v>-0.23333333333333334</v>
      </c>
    </row>
    <row r="2321" spans="1:23" x14ac:dyDescent="0.25">
      <c r="A2321">
        <v>2320</v>
      </c>
      <c r="B2321" t="s">
        <v>7511</v>
      </c>
      <c r="C2321" s="1">
        <v>42545</v>
      </c>
      <c r="D2321" s="1">
        <v>42551</v>
      </c>
      <c r="E2321" t="s">
        <v>49</v>
      </c>
      <c r="F2321" t="s">
        <v>2717</v>
      </c>
      <c r="G2321" t="s">
        <v>2718</v>
      </c>
      <c r="H2321" t="s">
        <v>25</v>
      </c>
      <c r="I2321" t="s">
        <v>26</v>
      </c>
      <c r="J2321" t="s">
        <v>1450</v>
      </c>
      <c r="K2321" t="s">
        <v>251</v>
      </c>
      <c r="L2321">
        <v>47374</v>
      </c>
      <c r="M2321" t="s">
        <v>104</v>
      </c>
      <c r="N2321" t="s">
        <v>7512</v>
      </c>
      <c r="O2321" t="s">
        <v>70</v>
      </c>
      <c r="P2321" t="s">
        <v>71</v>
      </c>
      <c r="Q2321" t="s">
        <v>7513</v>
      </c>
      <c r="R2321">
        <v>440.91</v>
      </c>
      <c r="S2321">
        <v>9</v>
      </c>
      <c r="T2321">
        <v>0</v>
      </c>
      <c r="U2321">
        <v>123.45480000000001</v>
      </c>
      <c r="V2321" t="str">
        <f t="shared" si="36"/>
        <v>Hunter Lopez</v>
      </c>
      <c r="W2321">
        <f>Table2[Profit]/Table2[Sales]</f>
        <v>0.27999999999999997</v>
      </c>
    </row>
    <row r="2322" spans="1:23" x14ac:dyDescent="0.25">
      <c r="A2322">
        <v>2321</v>
      </c>
      <c r="B2322" t="s">
        <v>7514</v>
      </c>
      <c r="C2322" s="1">
        <v>42824</v>
      </c>
      <c r="D2322" s="1">
        <v>42828</v>
      </c>
      <c r="E2322" t="s">
        <v>49</v>
      </c>
      <c r="F2322" t="s">
        <v>5986</v>
      </c>
      <c r="G2322" t="s">
        <v>5987</v>
      </c>
      <c r="H2322" t="s">
        <v>25</v>
      </c>
      <c r="I2322" t="s">
        <v>26</v>
      </c>
      <c r="J2322" t="s">
        <v>2439</v>
      </c>
      <c r="K2322" t="s">
        <v>144</v>
      </c>
      <c r="L2322">
        <v>17602</v>
      </c>
      <c r="M2322" t="s">
        <v>145</v>
      </c>
      <c r="N2322" t="s">
        <v>174</v>
      </c>
      <c r="O2322" t="s">
        <v>45</v>
      </c>
      <c r="P2322" t="s">
        <v>74</v>
      </c>
      <c r="Q2322" t="s">
        <v>175</v>
      </c>
      <c r="R2322">
        <v>5.7149999999999999</v>
      </c>
      <c r="S2322">
        <v>5</v>
      </c>
      <c r="T2322">
        <v>0.7</v>
      </c>
      <c r="U2322">
        <v>-4.7625000000000002</v>
      </c>
      <c r="V2322" t="str">
        <f t="shared" si="36"/>
        <v>Becky Pak</v>
      </c>
      <c r="W2322">
        <f>Table2[Profit]/Table2[Sales]</f>
        <v>-0.83333333333333337</v>
      </c>
    </row>
    <row r="2323" spans="1:23" x14ac:dyDescent="0.25">
      <c r="A2323">
        <v>2322</v>
      </c>
      <c r="B2323" t="s">
        <v>7515</v>
      </c>
      <c r="C2323" s="1">
        <v>41993</v>
      </c>
      <c r="D2323" s="1">
        <v>41995</v>
      </c>
      <c r="E2323" t="s">
        <v>185</v>
      </c>
      <c r="F2323" t="s">
        <v>4808</v>
      </c>
      <c r="G2323" t="s">
        <v>4809</v>
      </c>
      <c r="H2323" t="s">
        <v>25</v>
      </c>
      <c r="I2323" t="s">
        <v>26</v>
      </c>
      <c r="J2323" t="s">
        <v>1299</v>
      </c>
      <c r="K2323" t="s">
        <v>303</v>
      </c>
      <c r="L2323">
        <v>85705</v>
      </c>
      <c r="M2323" t="s">
        <v>43</v>
      </c>
      <c r="N2323" t="s">
        <v>5729</v>
      </c>
      <c r="O2323" t="s">
        <v>31</v>
      </c>
      <c r="P2323" t="s">
        <v>64</v>
      </c>
      <c r="Q2323" t="s">
        <v>5730</v>
      </c>
      <c r="R2323">
        <v>51.968000000000004</v>
      </c>
      <c r="S2323">
        <v>2</v>
      </c>
      <c r="T2323">
        <v>0.2</v>
      </c>
      <c r="U2323">
        <v>10.393599999999999</v>
      </c>
      <c r="V2323" t="str">
        <f t="shared" si="36"/>
        <v>Carol Triggs</v>
      </c>
      <c r="W2323">
        <f>Table2[Profit]/Table2[Sales]</f>
        <v>0.19999999999999998</v>
      </c>
    </row>
    <row r="2324" spans="1:23" x14ac:dyDescent="0.25">
      <c r="A2324">
        <v>2323</v>
      </c>
      <c r="B2324" t="s">
        <v>7516</v>
      </c>
      <c r="C2324" s="1">
        <v>42355</v>
      </c>
      <c r="D2324" s="1">
        <v>42355</v>
      </c>
      <c r="E2324" t="s">
        <v>1278</v>
      </c>
      <c r="F2324" t="s">
        <v>2084</v>
      </c>
      <c r="G2324" t="s">
        <v>2085</v>
      </c>
      <c r="H2324" t="s">
        <v>25</v>
      </c>
      <c r="I2324" t="s">
        <v>26</v>
      </c>
      <c r="J2324" t="s">
        <v>873</v>
      </c>
      <c r="K2324" t="s">
        <v>235</v>
      </c>
      <c r="L2324">
        <v>48205</v>
      </c>
      <c r="M2324" t="s">
        <v>104</v>
      </c>
      <c r="N2324" t="s">
        <v>2997</v>
      </c>
      <c r="O2324" t="s">
        <v>45</v>
      </c>
      <c r="P2324" t="s">
        <v>74</v>
      </c>
      <c r="Q2324" t="s">
        <v>2998</v>
      </c>
      <c r="R2324">
        <v>29.52</v>
      </c>
      <c r="S2324">
        <v>4</v>
      </c>
      <c r="T2324">
        <v>0</v>
      </c>
      <c r="U2324">
        <v>14.4648</v>
      </c>
      <c r="V2324" t="str">
        <f t="shared" si="36"/>
        <v>John Lee</v>
      </c>
      <c r="W2324">
        <f>Table2[Profit]/Table2[Sales]</f>
        <v>0.49</v>
      </c>
    </row>
    <row r="2325" spans="1:23" x14ac:dyDescent="0.25">
      <c r="A2325">
        <v>2324</v>
      </c>
      <c r="B2325" t="s">
        <v>7517</v>
      </c>
      <c r="C2325" s="1">
        <v>42866</v>
      </c>
      <c r="D2325" s="1">
        <v>42872</v>
      </c>
      <c r="E2325" t="s">
        <v>49</v>
      </c>
      <c r="F2325" t="s">
        <v>3711</v>
      </c>
      <c r="G2325" t="s">
        <v>3712</v>
      </c>
      <c r="H2325" t="s">
        <v>101</v>
      </c>
      <c r="I2325" t="s">
        <v>26</v>
      </c>
      <c r="J2325" t="s">
        <v>1225</v>
      </c>
      <c r="K2325" t="s">
        <v>103</v>
      </c>
      <c r="L2325">
        <v>78745</v>
      </c>
      <c r="M2325" t="s">
        <v>104</v>
      </c>
      <c r="N2325" t="s">
        <v>6937</v>
      </c>
      <c r="O2325" t="s">
        <v>45</v>
      </c>
      <c r="P2325" t="s">
        <v>67</v>
      </c>
      <c r="Q2325" t="s">
        <v>6938</v>
      </c>
      <c r="R2325">
        <v>5.2480000000000002</v>
      </c>
      <c r="S2325">
        <v>2</v>
      </c>
      <c r="T2325">
        <v>0.2</v>
      </c>
      <c r="U2325">
        <v>0.59040000000000004</v>
      </c>
      <c r="V2325" t="str">
        <f t="shared" si="36"/>
        <v>Julie Kriz</v>
      </c>
      <c r="W2325">
        <f>Table2[Profit]/Table2[Sales]</f>
        <v>0.1125</v>
      </c>
    </row>
    <row r="2326" spans="1:23" x14ac:dyDescent="0.25">
      <c r="A2326">
        <v>2325</v>
      </c>
      <c r="B2326" t="s">
        <v>7518</v>
      </c>
      <c r="C2326" s="1">
        <v>42545</v>
      </c>
      <c r="D2326" s="1">
        <v>42549</v>
      </c>
      <c r="E2326" t="s">
        <v>49</v>
      </c>
      <c r="F2326" t="s">
        <v>6451</v>
      </c>
      <c r="G2326" t="s">
        <v>6452</v>
      </c>
      <c r="H2326" t="s">
        <v>40</v>
      </c>
      <c r="I2326" t="s">
        <v>26</v>
      </c>
      <c r="J2326" t="s">
        <v>181</v>
      </c>
      <c r="K2326" t="s">
        <v>103</v>
      </c>
      <c r="L2326">
        <v>77095</v>
      </c>
      <c r="M2326" t="s">
        <v>104</v>
      </c>
      <c r="N2326" t="s">
        <v>4347</v>
      </c>
      <c r="O2326" t="s">
        <v>45</v>
      </c>
      <c r="P2326" t="s">
        <v>77</v>
      </c>
      <c r="Q2326" t="s">
        <v>4348</v>
      </c>
      <c r="R2326">
        <v>8.7119999999999997</v>
      </c>
      <c r="S2326">
        <v>2</v>
      </c>
      <c r="T2326">
        <v>0.8</v>
      </c>
      <c r="U2326">
        <v>-19.602</v>
      </c>
      <c r="V2326" t="str">
        <f t="shared" si="36"/>
        <v>Dave Hallsten</v>
      </c>
      <c r="W2326">
        <f>Table2[Profit]/Table2[Sales]</f>
        <v>-2.25</v>
      </c>
    </row>
    <row r="2327" spans="1:23" x14ac:dyDescent="0.25">
      <c r="A2327">
        <v>2326</v>
      </c>
      <c r="B2327" t="s">
        <v>7519</v>
      </c>
      <c r="C2327" s="1">
        <v>42507</v>
      </c>
      <c r="D2327" s="1">
        <v>42508</v>
      </c>
      <c r="E2327" t="s">
        <v>185</v>
      </c>
      <c r="F2327" t="s">
        <v>1297</v>
      </c>
      <c r="G2327" t="s">
        <v>1298</v>
      </c>
      <c r="H2327" t="s">
        <v>25</v>
      </c>
      <c r="I2327" t="s">
        <v>26</v>
      </c>
      <c r="J2327" t="s">
        <v>7520</v>
      </c>
      <c r="K2327" t="s">
        <v>740</v>
      </c>
      <c r="L2327">
        <v>6708</v>
      </c>
      <c r="M2327" t="s">
        <v>145</v>
      </c>
      <c r="N2327" t="s">
        <v>2543</v>
      </c>
      <c r="O2327" t="s">
        <v>45</v>
      </c>
      <c r="P2327" t="s">
        <v>572</v>
      </c>
      <c r="Q2327" t="s">
        <v>2544</v>
      </c>
      <c r="R2327">
        <v>65.17</v>
      </c>
      <c r="S2327">
        <v>7</v>
      </c>
      <c r="T2327">
        <v>0</v>
      </c>
      <c r="U2327">
        <v>18.8993</v>
      </c>
      <c r="V2327" t="str">
        <f t="shared" si="36"/>
        <v>Arthur Gainer</v>
      </c>
      <c r="W2327">
        <f>Table2[Profit]/Table2[Sales]</f>
        <v>0.28999999999999998</v>
      </c>
    </row>
    <row r="2328" spans="1:23" x14ac:dyDescent="0.25">
      <c r="A2328">
        <v>2327</v>
      </c>
      <c r="B2328" t="s">
        <v>7521</v>
      </c>
      <c r="C2328" s="1">
        <v>42915</v>
      </c>
      <c r="D2328" s="1">
        <v>42916</v>
      </c>
      <c r="E2328" t="s">
        <v>185</v>
      </c>
      <c r="F2328" t="s">
        <v>4951</v>
      </c>
      <c r="G2328" t="s">
        <v>4952</v>
      </c>
      <c r="H2328" t="s">
        <v>25</v>
      </c>
      <c r="I2328" t="s">
        <v>26</v>
      </c>
      <c r="J2328" t="s">
        <v>41</v>
      </c>
      <c r="K2328" t="s">
        <v>42</v>
      </c>
      <c r="L2328">
        <v>90049</v>
      </c>
      <c r="M2328" t="s">
        <v>43</v>
      </c>
      <c r="N2328" t="s">
        <v>4666</v>
      </c>
      <c r="O2328" t="s">
        <v>45</v>
      </c>
      <c r="P2328" t="s">
        <v>74</v>
      </c>
      <c r="Q2328" t="s">
        <v>4667</v>
      </c>
      <c r="R2328">
        <v>895.92</v>
      </c>
      <c r="S2328">
        <v>5</v>
      </c>
      <c r="T2328">
        <v>0.2</v>
      </c>
      <c r="U2328">
        <v>302.37299999999999</v>
      </c>
      <c r="V2328" t="str">
        <f t="shared" si="36"/>
        <v>William Brown</v>
      </c>
      <c r="W2328">
        <f>Table2[Profit]/Table2[Sales]</f>
        <v>0.33750000000000002</v>
      </c>
    </row>
    <row r="2329" spans="1:23" x14ac:dyDescent="0.25">
      <c r="A2329">
        <v>2328</v>
      </c>
      <c r="B2329" t="s">
        <v>7522</v>
      </c>
      <c r="C2329" s="1">
        <v>41729</v>
      </c>
      <c r="D2329" s="1">
        <v>41729</v>
      </c>
      <c r="E2329" t="s">
        <v>1278</v>
      </c>
      <c r="F2329" t="s">
        <v>1041</v>
      </c>
      <c r="G2329" t="s">
        <v>1042</v>
      </c>
      <c r="H2329" t="s">
        <v>25</v>
      </c>
      <c r="I2329" t="s">
        <v>26</v>
      </c>
      <c r="J2329" t="s">
        <v>143</v>
      </c>
      <c r="K2329" t="s">
        <v>144</v>
      </c>
      <c r="L2329">
        <v>19120</v>
      </c>
      <c r="M2329" t="s">
        <v>145</v>
      </c>
      <c r="N2329" t="s">
        <v>3070</v>
      </c>
      <c r="O2329" t="s">
        <v>45</v>
      </c>
      <c r="P2329" t="s">
        <v>74</v>
      </c>
      <c r="Q2329" t="s">
        <v>3071</v>
      </c>
      <c r="R2329">
        <v>0.85199999999999998</v>
      </c>
      <c r="S2329">
        <v>1</v>
      </c>
      <c r="T2329">
        <v>0.7</v>
      </c>
      <c r="U2329">
        <v>-0.59640000000000004</v>
      </c>
      <c r="V2329" t="str">
        <f t="shared" si="36"/>
        <v>Jas O'Carroll</v>
      </c>
      <c r="W2329">
        <f>Table2[Profit]/Table2[Sales]</f>
        <v>-0.70000000000000007</v>
      </c>
    </row>
    <row r="2330" spans="1:23" x14ac:dyDescent="0.25">
      <c r="A2330">
        <v>2329</v>
      </c>
      <c r="B2330" t="s">
        <v>7523</v>
      </c>
      <c r="C2330" s="1">
        <v>41989</v>
      </c>
      <c r="D2330" s="1">
        <v>41994</v>
      </c>
      <c r="E2330" t="s">
        <v>49</v>
      </c>
      <c r="F2330" t="s">
        <v>6786</v>
      </c>
      <c r="G2330" t="s">
        <v>6787</v>
      </c>
      <c r="H2330" t="s">
        <v>25</v>
      </c>
      <c r="I2330" t="s">
        <v>26</v>
      </c>
      <c r="J2330" t="s">
        <v>1657</v>
      </c>
      <c r="K2330" t="s">
        <v>103</v>
      </c>
      <c r="L2330">
        <v>77340</v>
      </c>
      <c r="M2330" t="s">
        <v>104</v>
      </c>
      <c r="N2330" t="s">
        <v>3140</v>
      </c>
      <c r="O2330" t="s">
        <v>45</v>
      </c>
      <c r="P2330" t="s">
        <v>89</v>
      </c>
      <c r="Q2330" t="s">
        <v>3141</v>
      </c>
      <c r="R2330">
        <v>36.287999999999997</v>
      </c>
      <c r="S2330">
        <v>7</v>
      </c>
      <c r="T2330">
        <v>0.2</v>
      </c>
      <c r="U2330">
        <v>12.700799999999999</v>
      </c>
      <c r="V2330" t="str">
        <f t="shared" si="36"/>
        <v>Ed Jacobs</v>
      </c>
      <c r="W2330">
        <f>Table2[Profit]/Table2[Sales]</f>
        <v>0.35000000000000003</v>
      </c>
    </row>
    <row r="2331" spans="1:23" x14ac:dyDescent="0.25">
      <c r="A2331">
        <v>2330</v>
      </c>
      <c r="B2331" t="s">
        <v>7524</v>
      </c>
      <c r="C2331" s="1">
        <v>42873</v>
      </c>
      <c r="D2331" s="1">
        <v>42875</v>
      </c>
      <c r="E2331" t="s">
        <v>185</v>
      </c>
      <c r="F2331" t="s">
        <v>3751</v>
      </c>
      <c r="G2331" t="s">
        <v>3752</v>
      </c>
      <c r="H2331" t="s">
        <v>25</v>
      </c>
      <c r="I2331" t="s">
        <v>26</v>
      </c>
      <c r="J2331" t="s">
        <v>412</v>
      </c>
      <c r="K2331" t="s">
        <v>413</v>
      </c>
      <c r="L2331">
        <v>97206</v>
      </c>
      <c r="M2331" t="s">
        <v>43</v>
      </c>
      <c r="N2331" t="s">
        <v>3366</v>
      </c>
      <c r="O2331" t="s">
        <v>70</v>
      </c>
      <c r="P2331" t="s">
        <v>71</v>
      </c>
      <c r="Q2331" t="s">
        <v>6188</v>
      </c>
      <c r="R2331">
        <v>344.70400000000001</v>
      </c>
      <c r="S2331">
        <v>2</v>
      </c>
      <c r="T2331">
        <v>0.2</v>
      </c>
      <c r="U2331">
        <v>38.779200000000003</v>
      </c>
      <c r="V2331" t="str">
        <f t="shared" si="36"/>
        <v>Adrian Barton</v>
      </c>
      <c r="W2331">
        <f>Table2[Profit]/Table2[Sales]</f>
        <v>0.1125</v>
      </c>
    </row>
    <row r="2332" spans="1:23" x14ac:dyDescent="0.25">
      <c r="A2332">
        <v>2331</v>
      </c>
      <c r="B2332" t="s">
        <v>7525</v>
      </c>
      <c r="C2332" s="1">
        <v>42136</v>
      </c>
      <c r="D2332" s="1">
        <v>42140</v>
      </c>
      <c r="E2332" t="s">
        <v>49</v>
      </c>
      <c r="F2332" t="s">
        <v>3272</v>
      </c>
      <c r="G2332" t="s">
        <v>3273</v>
      </c>
      <c r="H2332" t="s">
        <v>25</v>
      </c>
      <c r="I2332" t="s">
        <v>26</v>
      </c>
      <c r="J2332" t="s">
        <v>1459</v>
      </c>
      <c r="K2332" t="s">
        <v>450</v>
      </c>
      <c r="L2332">
        <v>80027</v>
      </c>
      <c r="M2332" t="s">
        <v>43</v>
      </c>
      <c r="N2332" t="s">
        <v>4152</v>
      </c>
      <c r="O2332" t="s">
        <v>70</v>
      </c>
      <c r="P2332" t="s">
        <v>71</v>
      </c>
      <c r="Q2332" t="s">
        <v>4153</v>
      </c>
      <c r="R2332">
        <v>201.584</v>
      </c>
      <c r="S2332">
        <v>2</v>
      </c>
      <c r="T2332">
        <v>0.2</v>
      </c>
      <c r="U2332">
        <v>20.1584</v>
      </c>
      <c r="V2332" t="str">
        <f t="shared" si="36"/>
        <v>Larry Tron</v>
      </c>
      <c r="W2332">
        <f>Table2[Profit]/Table2[Sales]</f>
        <v>0.1</v>
      </c>
    </row>
    <row r="2333" spans="1:23" x14ac:dyDescent="0.25">
      <c r="A2333">
        <v>2332</v>
      </c>
      <c r="B2333" t="s">
        <v>7526</v>
      </c>
      <c r="C2333" s="1">
        <v>43072</v>
      </c>
      <c r="D2333" s="1">
        <v>43076</v>
      </c>
      <c r="E2333" t="s">
        <v>22</v>
      </c>
      <c r="F2333" t="s">
        <v>3907</v>
      </c>
      <c r="G2333" t="s">
        <v>3908</v>
      </c>
      <c r="H2333" t="s">
        <v>101</v>
      </c>
      <c r="I2333" t="s">
        <v>26</v>
      </c>
      <c r="J2333" t="s">
        <v>94</v>
      </c>
      <c r="K2333" t="s">
        <v>95</v>
      </c>
      <c r="L2333">
        <v>98115</v>
      </c>
      <c r="M2333" t="s">
        <v>43</v>
      </c>
      <c r="N2333" t="s">
        <v>3728</v>
      </c>
      <c r="O2333" t="s">
        <v>31</v>
      </c>
      <c r="P2333" t="s">
        <v>55</v>
      </c>
      <c r="Q2333" t="s">
        <v>3729</v>
      </c>
      <c r="R2333">
        <v>521.96</v>
      </c>
      <c r="S2333">
        <v>2</v>
      </c>
      <c r="T2333">
        <v>0</v>
      </c>
      <c r="U2333">
        <v>88.733199999999997</v>
      </c>
      <c r="V2333" t="str">
        <f t="shared" si="36"/>
        <v>Corinna Mitchell</v>
      </c>
      <c r="W2333">
        <f>Table2[Profit]/Table2[Sales]</f>
        <v>0.16999999999999998</v>
      </c>
    </row>
    <row r="2334" spans="1:23" x14ac:dyDescent="0.25">
      <c r="A2334">
        <v>2333</v>
      </c>
      <c r="B2334" t="s">
        <v>7527</v>
      </c>
      <c r="C2334" s="1">
        <v>42350</v>
      </c>
      <c r="D2334" s="1">
        <v>42355</v>
      </c>
      <c r="E2334" t="s">
        <v>49</v>
      </c>
      <c r="F2334" t="s">
        <v>652</v>
      </c>
      <c r="G2334" t="s">
        <v>653</v>
      </c>
      <c r="H2334" t="s">
        <v>25</v>
      </c>
      <c r="I2334" t="s">
        <v>26</v>
      </c>
      <c r="J2334" t="s">
        <v>4400</v>
      </c>
      <c r="K2334" t="s">
        <v>2699</v>
      </c>
      <c r="L2334">
        <v>21215</v>
      </c>
      <c r="M2334" t="s">
        <v>145</v>
      </c>
      <c r="N2334" t="s">
        <v>1713</v>
      </c>
      <c r="O2334" t="s">
        <v>45</v>
      </c>
      <c r="P2334" t="s">
        <v>67</v>
      </c>
      <c r="Q2334" t="s">
        <v>1714</v>
      </c>
      <c r="R2334">
        <v>8.2200000000000006</v>
      </c>
      <c r="S2334">
        <v>3</v>
      </c>
      <c r="T2334">
        <v>0</v>
      </c>
      <c r="U2334">
        <v>2.2193999999999998</v>
      </c>
      <c r="V2334" t="str">
        <f t="shared" si="36"/>
        <v>Eric Murdock</v>
      </c>
      <c r="W2334">
        <f>Table2[Profit]/Table2[Sales]</f>
        <v>0.26999999999999996</v>
      </c>
    </row>
    <row r="2335" spans="1:23" x14ac:dyDescent="0.25">
      <c r="A2335">
        <v>2334</v>
      </c>
      <c r="B2335" t="s">
        <v>7528</v>
      </c>
      <c r="C2335" s="1">
        <v>42287</v>
      </c>
      <c r="D2335" s="1">
        <v>42288</v>
      </c>
      <c r="E2335" t="s">
        <v>185</v>
      </c>
      <c r="F2335" t="s">
        <v>2062</v>
      </c>
      <c r="G2335" t="s">
        <v>2063</v>
      </c>
      <c r="H2335" t="s">
        <v>40</v>
      </c>
      <c r="I2335" t="s">
        <v>26</v>
      </c>
      <c r="J2335" t="s">
        <v>126</v>
      </c>
      <c r="K2335" t="s">
        <v>42</v>
      </c>
      <c r="L2335">
        <v>94109</v>
      </c>
      <c r="M2335" t="s">
        <v>43</v>
      </c>
      <c r="N2335" t="s">
        <v>1953</v>
      </c>
      <c r="O2335" t="s">
        <v>45</v>
      </c>
      <c r="P2335" t="s">
        <v>89</v>
      </c>
      <c r="Q2335" t="s">
        <v>1954</v>
      </c>
      <c r="R2335">
        <v>45.36</v>
      </c>
      <c r="S2335">
        <v>7</v>
      </c>
      <c r="T2335">
        <v>0</v>
      </c>
      <c r="U2335">
        <v>21.7728</v>
      </c>
      <c r="V2335" t="str">
        <f t="shared" si="36"/>
        <v>Denny Joy</v>
      </c>
      <c r="W2335">
        <f>Table2[Profit]/Table2[Sales]</f>
        <v>0.48</v>
      </c>
    </row>
    <row r="2336" spans="1:23" x14ac:dyDescent="0.25">
      <c r="A2336">
        <v>2335</v>
      </c>
      <c r="B2336" t="s">
        <v>7529</v>
      </c>
      <c r="C2336" s="1">
        <v>42112</v>
      </c>
      <c r="D2336" s="1">
        <v>42114</v>
      </c>
      <c r="E2336" t="s">
        <v>22</v>
      </c>
      <c r="F2336" t="s">
        <v>3000</v>
      </c>
      <c r="G2336" t="s">
        <v>3001</v>
      </c>
      <c r="H2336" t="s">
        <v>101</v>
      </c>
      <c r="I2336" t="s">
        <v>26</v>
      </c>
      <c r="J2336" t="s">
        <v>41</v>
      </c>
      <c r="K2336" t="s">
        <v>42</v>
      </c>
      <c r="L2336">
        <v>90004</v>
      </c>
      <c r="M2336" t="s">
        <v>43</v>
      </c>
      <c r="N2336" t="s">
        <v>1088</v>
      </c>
      <c r="O2336" t="s">
        <v>45</v>
      </c>
      <c r="P2336" t="s">
        <v>58</v>
      </c>
      <c r="Q2336" t="s">
        <v>1089</v>
      </c>
      <c r="R2336">
        <v>947.17</v>
      </c>
      <c r="S2336">
        <v>7</v>
      </c>
      <c r="T2336">
        <v>0</v>
      </c>
      <c r="U2336">
        <v>9.4717000000000002</v>
      </c>
      <c r="V2336" t="str">
        <f t="shared" si="36"/>
        <v>Deanra Eno</v>
      </c>
      <c r="W2336">
        <f>Table2[Profit]/Table2[Sales]</f>
        <v>0.01</v>
      </c>
    </row>
    <row r="2337" spans="1:23" x14ac:dyDescent="0.25">
      <c r="A2337">
        <v>2336</v>
      </c>
      <c r="B2337" t="s">
        <v>7532</v>
      </c>
      <c r="C2337" s="1">
        <v>41797</v>
      </c>
      <c r="D2337" s="1">
        <v>41801</v>
      </c>
      <c r="E2337" t="s">
        <v>22</v>
      </c>
      <c r="F2337" t="s">
        <v>7533</v>
      </c>
      <c r="G2337" t="s">
        <v>7534</v>
      </c>
      <c r="H2337" t="s">
        <v>25</v>
      </c>
      <c r="I2337" t="s">
        <v>26</v>
      </c>
      <c r="J2337" t="s">
        <v>449</v>
      </c>
      <c r="K2337" t="s">
        <v>208</v>
      </c>
      <c r="L2337">
        <v>60505</v>
      </c>
      <c r="M2337" t="s">
        <v>104</v>
      </c>
      <c r="N2337" t="s">
        <v>1422</v>
      </c>
      <c r="O2337" t="s">
        <v>31</v>
      </c>
      <c r="P2337" t="s">
        <v>55</v>
      </c>
      <c r="Q2337" t="s">
        <v>1423</v>
      </c>
      <c r="R2337">
        <v>268.935</v>
      </c>
      <c r="S2337">
        <v>3</v>
      </c>
      <c r="T2337">
        <v>0.5</v>
      </c>
      <c r="U2337">
        <v>-209.76929999999999</v>
      </c>
      <c r="V2337" t="str">
        <f t="shared" si="36"/>
        <v>Nick Radford</v>
      </c>
      <c r="W2337">
        <f>Table2[Profit]/Table2[Sales]</f>
        <v>-0.77999999999999992</v>
      </c>
    </row>
    <row r="2338" spans="1:23" x14ac:dyDescent="0.25">
      <c r="A2338">
        <v>2337</v>
      </c>
      <c r="B2338" t="s">
        <v>7535</v>
      </c>
      <c r="C2338" s="1">
        <v>42979</v>
      </c>
      <c r="D2338" s="1">
        <v>42985</v>
      </c>
      <c r="E2338" t="s">
        <v>49</v>
      </c>
      <c r="F2338" t="s">
        <v>2278</v>
      </c>
      <c r="G2338" t="s">
        <v>2279</v>
      </c>
      <c r="H2338" t="s">
        <v>101</v>
      </c>
      <c r="I2338" t="s">
        <v>26</v>
      </c>
      <c r="J2338" t="s">
        <v>94</v>
      </c>
      <c r="K2338" t="s">
        <v>95</v>
      </c>
      <c r="L2338">
        <v>98103</v>
      </c>
      <c r="M2338" t="s">
        <v>43</v>
      </c>
      <c r="N2338" t="s">
        <v>2987</v>
      </c>
      <c r="O2338" t="s">
        <v>45</v>
      </c>
      <c r="P2338" t="s">
        <v>67</v>
      </c>
      <c r="Q2338" t="s">
        <v>2988</v>
      </c>
      <c r="R2338">
        <v>7.58</v>
      </c>
      <c r="S2338">
        <v>1</v>
      </c>
      <c r="T2338">
        <v>0</v>
      </c>
      <c r="U2338">
        <v>2.9561999999999999</v>
      </c>
      <c r="V2338" t="str">
        <f t="shared" si="36"/>
        <v>Christine Kargatis</v>
      </c>
      <c r="W2338">
        <f>Table2[Profit]/Table2[Sales]</f>
        <v>0.39</v>
      </c>
    </row>
    <row r="2339" spans="1:23" x14ac:dyDescent="0.25">
      <c r="A2339">
        <v>2338</v>
      </c>
      <c r="B2339" t="s">
        <v>7536</v>
      </c>
      <c r="C2339" s="1">
        <v>42512</v>
      </c>
      <c r="D2339" s="1">
        <v>42512</v>
      </c>
      <c r="E2339" t="s">
        <v>1278</v>
      </c>
      <c r="F2339" t="s">
        <v>1887</v>
      </c>
      <c r="G2339" t="s">
        <v>1888</v>
      </c>
      <c r="H2339" t="s">
        <v>25</v>
      </c>
      <c r="I2339" t="s">
        <v>26</v>
      </c>
      <c r="J2339" t="s">
        <v>7537</v>
      </c>
      <c r="K2339" t="s">
        <v>1260</v>
      </c>
      <c r="L2339">
        <v>30605</v>
      </c>
      <c r="M2339" t="s">
        <v>29</v>
      </c>
      <c r="N2339" t="s">
        <v>1995</v>
      </c>
      <c r="O2339" t="s">
        <v>45</v>
      </c>
      <c r="P2339" t="s">
        <v>46</v>
      </c>
      <c r="Q2339" t="s">
        <v>1996</v>
      </c>
      <c r="R2339">
        <v>14.73</v>
      </c>
      <c r="S2339">
        <v>3</v>
      </c>
      <c r="T2339">
        <v>0</v>
      </c>
      <c r="U2339">
        <v>7.2176999999999998</v>
      </c>
      <c r="V2339" t="str">
        <f t="shared" si="36"/>
        <v>Jeremy Farry</v>
      </c>
      <c r="W2339">
        <f>Table2[Profit]/Table2[Sales]</f>
        <v>0.49</v>
      </c>
    </row>
    <row r="2340" spans="1:23" x14ac:dyDescent="0.25">
      <c r="A2340">
        <v>2339</v>
      </c>
      <c r="B2340" t="s">
        <v>7538</v>
      </c>
      <c r="C2340" s="1">
        <v>42685</v>
      </c>
      <c r="D2340" s="1">
        <v>42689</v>
      </c>
      <c r="E2340" t="s">
        <v>49</v>
      </c>
      <c r="F2340" t="s">
        <v>6326</v>
      </c>
      <c r="G2340" t="s">
        <v>6327</v>
      </c>
      <c r="H2340" t="s">
        <v>101</v>
      </c>
      <c r="I2340" t="s">
        <v>26</v>
      </c>
      <c r="J2340" t="s">
        <v>4638</v>
      </c>
      <c r="K2340" t="s">
        <v>53</v>
      </c>
      <c r="L2340">
        <v>32712</v>
      </c>
      <c r="M2340" t="s">
        <v>29</v>
      </c>
      <c r="N2340" t="s">
        <v>407</v>
      </c>
      <c r="O2340" t="s">
        <v>45</v>
      </c>
      <c r="P2340" t="s">
        <v>74</v>
      </c>
      <c r="Q2340" t="s">
        <v>408</v>
      </c>
      <c r="R2340">
        <v>9.8879999999999999</v>
      </c>
      <c r="S2340">
        <v>2</v>
      </c>
      <c r="T2340">
        <v>0.7</v>
      </c>
      <c r="U2340">
        <v>-6.9215999999999998</v>
      </c>
      <c r="V2340" t="str">
        <f t="shared" si="36"/>
        <v>Laurel Beltran</v>
      </c>
      <c r="W2340">
        <f>Table2[Profit]/Table2[Sales]</f>
        <v>-0.7</v>
      </c>
    </row>
    <row r="2341" spans="1:23" x14ac:dyDescent="0.25">
      <c r="A2341">
        <v>2340</v>
      </c>
      <c r="B2341" t="s">
        <v>7539</v>
      </c>
      <c r="C2341" s="1">
        <v>41968</v>
      </c>
      <c r="D2341" s="1">
        <v>41972</v>
      </c>
      <c r="E2341" t="s">
        <v>22</v>
      </c>
      <c r="F2341" t="s">
        <v>3996</v>
      </c>
      <c r="G2341" t="s">
        <v>3997</v>
      </c>
      <c r="H2341" t="s">
        <v>101</v>
      </c>
      <c r="I2341" t="s">
        <v>26</v>
      </c>
      <c r="J2341" t="s">
        <v>263</v>
      </c>
      <c r="K2341" t="s">
        <v>264</v>
      </c>
      <c r="L2341">
        <v>10009</v>
      </c>
      <c r="M2341" t="s">
        <v>145</v>
      </c>
      <c r="N2341" t="s">
        <v>5483</v>
      </c>
      <c r="O2341" t="s">
        <v>45</v>
      </c>
      <c r="P2341" t="s">
        <v>58</v>
      </c>
      <c r="Q2341" t="s">
        <v>5484</v>
      </c>
      <c r="R2341">
        <v>1117.92</v>
      </c>
      <c r="S2341">
        <v>4</v>
      </c>
      <c r="T2341">
        <v>0</v>
      </c>
      <c r="U2341">
        <v>55.896000000000001</v>
      </c>
      <c r="V2341" t="str">
        <f t="shared" si="36"/>
        <v>Mike Pelletier</v>
      </c>
      <c r="W2341">
        <f>Table2[Profit]/Table2[Sales]</f>
        <v>4.9999999999999996E-2</v>
      </c>
    </row>
    <row r="2342" spans="1:23" x14ac:dyDescent="0.25">
      <c r="A2342">
        <v>2341</v>
      </c>
      <c r="B2342" t="s">
        <v>7540</v>
      </c>
      <c r="C2342" s="1">
        <v>41950</v>
      </c>
      <c r="D2342" s="1">
        <v>41955</v>
      </c>
      <c r="E2342" t="s">
        <v>49</v>
      </c>
      <c r="F2342" t="s">
        <v>239</v>
      </c>
      <c r="G2342" t="s">
        <v>240</v>
      </c>
      <c r="H2342" t="s">
        <v>25</v>
      </c>
      <c r="I2342" t="s">
        <v>26</v>
      </c>
      <c r="J2342" t="s">
        <v>126</v>
      </c>
      <c r="K2342" t="s">
        <v>42</v>
      </c>
      <c r="L2342">
        <v>94110</v>
      </c>
      <c r="M2342" t="s">
        <v>43</v>
      </c>
      <c r="N2342" t="s">
        <v>2750</v>
      </c>
      <c r="O2342" t="s">
        <v>45</v>
      </c>
      <c r="P2342" t="s">
        <v>74</v>
      </c>
      <c r="Q2342" t="s">
        <v>2751</v>
      </c>
      <c r="R2342">
        <v>123.14400000000001</v>
      </c>
      <c r="S2342">
        <v>7</v>
      </c>
      <c r="T2342">
        <v>0.2</v>
      </c>
      <c r="U2342">
        <v>46.179000000000002</v>
      </c>
      <c r="V2342" t="str">
        <f t="shared" si="36"/>
        <v>Lena Hernandez</v>
      </c>
      <c r="W2342">
        <f>Table2[Profit]/Table2[Sales]</f>
        <v>0.375</v>
      </c>
    </row>
    <row r="2343" spans="1:23" x14ac:dyDescent="0.25">
      <c r="A2343">
        <v>2342</v>
      </c>
      <c r="B2343" t="s">
        <v>7541</v>
      </c>
      <c r="C2343" s="1">
        <v>42569</v>
      </c>
      <c r="D2343" s="1">
        <v>42574</v>
      </c>
      <c r="E2343" t="s">
        <v>22</v>
      </c>
      <c r="F2343" t="s">
        <v>5207</v>
      </c>
      <c r="G2343" t="s">
        <v>5208</v>
      </c>
      <c r="H2343" t="s">
        <v>25</v>
      </c>
      <c r="I2343" t="s">
        <v>26</v>
      </c>
      <c r="J2343" t="s">
        <v>808</v>
      </c>
      <c r="K2343" t="s">
        <v>103</v>
      </c>
      <c r="L2343">
        <v>75217</v>
      </c>
      <c r="M2343" t="s">
        <v>104</v>
      </c>
      <c r="N2343" t="s">
        <v>7542</v>
      </c>
      <c r="O2343" t="s">
        <v>70</v>
      </c>
      <c r="P2343" t="s">
        <v>158</v>
      </c>
      <c r="Q2343" t="s">
        <v>7543</v>
      </c>
      <c r="R2343">
        <v>15.576000000000001</v>
      </c>
      <c r="S2343">
        <v>3</v>
      </c>
      <c r="T2343">
        <v>0.2</v>
      </c>
      <c r="U2343">
        <v>3.3098999999999998</v>
      </c>
      <c r="V2343" t="str">
        <f t="shared" si="36"/>
        <v>Susan Vittorini</v>
      </c>
      <c r="W2343">
        <f>Table2[Profit]/Table2[Sales]</f>
        <v>0.21249999999999999</v>
      </c>
    </row>
    <row r="2344" spans="1:23" x14ac:dyDescent="0.25">
      <c r="A2344">
        <v>2343</v>
      </c>
      <c r="B2344" t="s">
        <v>7544</v>
      </c>
      <c r="C2344" s="1">
        <v>42092</v>
      </c>
      <c r="D2344" s="1">
        <v>42094</v>
      </c>
      <c r="E2344" t="s">
        <v>22</v>
      </c>
      <c r="F2344" t="s">
        <v>4978</v>
      </c>
      <c r="G2344" t="s">
        <v>4979</v>
      </c>
      <c r="H2344" t="s">
        <v>25</v>
      </c>
      <c r="I2344" t="s">
        <v>26</v>
      </c>
      <c r="J2344" t="s">
        <v>941</v>
      </c>
      <c r="K2344" t="s">
        <v>42</v>
      </c>
      <c r="L2344">
        <v>92105</v>
      </c>
      <c r="M2344" t="s">
        <v>43</v>
      </c>
      <c r="N2344" t="s">
        <v>563</v>
      </c>
      <c r="O2344" t="s">
        <v>45</v>
      </c>
      <c r="P2344" t="s">
        <v>89</v>
      </c>
      <c r="Q2344" t="s">
        <v>564</v>
      </c>
      <c r="R2344">
        <v>212.64</v>
      </c>
      <c r="S2344">
        <v>6</v>
      </c>
      <c r="T2344">
        <v>0</v>
      </c>
      <c r="U2344">
        <v>99.940799999999996</v>
      </c>
      <c r="V2344" t="str">
        <f t="shared" si="36"/>
        <v>Richard Bierner</v>
      </c>
      <c r="W2344">
        <f>Table2[Profit]/Table2[Sales]</f>
        <v>0.47000000000000003</v>
      </c>
    </row>
    <row r="2345" spans="1:23" x14ac:dyDescent="0.25">
      <c r="A2345">
        <v>2344</v>
      </c>
      <c r="B2345" t="s">
        <v>7545</v>
      </c>
      <c r="C2345" s="1">
        <v>42467</v>
      </c>
      <c r="D2345" s="1">
        <v>42472</v>
      </c>
      <c r="E2345" t="s">
        <v>49</v>
      </c>
      <c r="F2345" t="s">
        <v>968</v>
      </c>
      <c r="G2345" t="s">
        <v>969</v>
      </c>
      <c r="H2345" t="s">
        <v>40</v>
      </c>
      <c r="I2345" t="s">
        <v>26</v>
      </c>
      <c r="J2345" t="s">
        <v>263</v>
      </c>
      <c r="K2345" t="s">
        <v>264</v>
      </c>
      <c r="L2345">
        <v>10035</v>
      </c>
      <c r="M2345" t="s">
        <v>145</v>
      </c>
      <c r="N2345" t="s">
        <v>34</v>
      </c>
      <c r="O2345" t="s">
        <v>31</v>
      </c>
      <c r="P2345" t="s">
        <v>35</v>
      </c>
      <c r="Q2345" t="s">
        <v>36</v>
      </c>
      <c r="R2345">
        <v>658.74599999999998</v>
      </c>
      <c r="S2345">
        <v>3</v>
      </c>
      <c r="T2345">
        <v>0.1</v>
      </c>
      <c r="U2345">
        <v>146.38800000000001</v>
      </c>
      <c r="V2345" t="str">
        <f t="shared" si="36"/>
        <v>Dorris liebe</v>
      </c>
      <c r="W2345">
        <f>Table2[Profit]/Table2[Sales]</f>
        <v>0.22222222222222224</v>
      </c>
    </row>
    <row r="2346" spans="1:23" x14ac:dyDescent="0.25">
      <c r="A2346">
        <v>2345</v>
      </c>
      <c r="B2346" t="s">
        <v>7546</v>
      </c>
      <c r="C2346" s="1">
        <v>42168</v>
      </c>
      <c r="D2346" s="1">
        <v>42174</v>
      </c>
      <c r="E2346" t="s">
        <v>49</v>
      </c>
      <c r="F2346" t="s">
        <v>3163</v>
      </c>
      <c r="G2346" t="s">
        <v>3164</v>
      </c>
      <c r="H2346" t="s">
        <v>101</v>
      </c>
      <c r="I2346" t="s">
        <v>26</v>
      </c>
      <c r="J2346" t="s">
        <v>7433</v>
      </c>
      <c r="K2346" t="s">
        <v>5127</v>
      </c>
      <c r="L2346">
        <v>4240</v>
      </c>
      <c r="M2346" t="s">
        <v>145</v>
      </c>
      <c r="N2346" t="s">
        <v>3518</v>
      </c>
      <c r="O2346" t="s">
        <v>45</v>
      </c>
      <c r="P2346" t="s">
        <v>74</v>
      </c>
      <c r="Q2346" t="s">
        <v>3519</v>
      </c>
      <c r="R2346">
        <v>8.26</v>
      </c>
      <c r="S2346">
        <v>2</v>
      </c>
      <c r="T2346">
        <v>0</v>
      </c>
      <c r="U2346">
        <v>3.8822000000000001</v>
      </c>
      <c r="V2346" t="str">
        <f t="shared" si="36"/>
        <v>Penelope Sewall</v>
      </c>
      <c r="W2346">
        <f>Table2[Profit]/Table2[Sales]</f>
        <v>0.47000000000000003</v>
      </c>
    </row>
    <row r="2347" spans="1:23" x14ac:dyDescent="0.25">
      <c r="A2347">
        <v>2346</v>
      </c>
      <c r="B2347" t="s">
        <v>7547</v>
      </c>
      <c r="C2347" s="1">
        <v>42053</v>
      </c>
      <c r="D2347" s="1">
        <v>42059</v>
      </c>
      <c r="E2347" t="s">
        <v>49</v>
      </c>
      <c r="F2347" t="s">
        <v>1289</v>
      </c>
      <c r="G2347" t="s">
        <v>1290</v>
      </c>
      <c r="H2347" t="s">
        <v>25</v>
      </c>
      <c r="I2347" t="s">
        <v>26</v>
      </c>
      <c r="J2347" t="s">
        <v>1161</v>
      </c>
      <c r="K2347" t="s">
        <v>42</v>
      </c>
      <c r="L2347">
        <v>90805</v>
      </c>
      <c r="M2347" t="s">
        <v>43</v>
      </c>
      <c r="N2347" t="s">
        <v>2223</v>
      </c>
      <c r="O2347" t="s">
        <v>45</v>
      </c>
      <c r="P2347" t="s">
        <v>46</v>
      </c>
      <c r="Q2347" t="s">
        <v>2224</v>
      </c>
      <c r="R2347">
        <v>61.06</v>
      </c>
      <c r="S2347">
        <v>2</v>
      </c>
      <c r="T2347">
        <v>0</v>
      </c>
      <c r="U2347">
        <v>28.087599999999998</v>
      </c>
      <c r="V2347" t="str">
        <f t="shared" si="36"/>
        <v>Guy Thornton</v>
      </c>
      <c r="W2347">
        <f>Table2[Profit]/Table2[Sales]</f>
        <v>0.45999999999999996</v>
      </c>
    </row>
    <row r="2348" spans="1:23" x14ac:dyDescent="0.25">
      <c r="A2348">
        <v>2347</v>
      </c>
      <c r="B2348" t="s">
        <v>7548</v>
      </c>
      <c r="C2348" s="1">
        <v>43051</v>
      </c>
      <c r="D2348" s="1">
        <v>43055</v>
      </c>
      <c r="E2348" t="s">
        <v>49</v>
      </c>
      <c r="F2348" t="s">
        <v>3201</v>
      </c>
      <c r="G2348" t="s">
        <v>3202</v>
      </c>
      <c r="H2348" t="s">
        <v>25</v>
      </c>
      <c r="I2348" t="s">
        <v>26</v>
      </c>
      <c r="J2348" t="s">
        <v>94</v>
      </c>
      <c r="K2348" t="s">
        <v>95</v>
      </c>
      <c r="L2348">
        <v>98115</v>
      </c>
      <c r="M2348" t="s">
        <v>43</v>
      </c>
      <c r="N2348" t="s">
        <v>2645</v>
      </c>
      <c r="O2348" t="s">
        <v>45</v>
      </c>
      <c r="P2348" t="s">
        <v>46</v>
      </c>
      <c r="Q2348" t="s">
        <v>2646</v>
      </c>
      <c r="R2348">
        <v>9.9600000000000009</v>
      </c>
      <c r="S2348">
        <v>2</v>
      </c>
      <c r="T2348">
        <v>0</v>
      </c>
      <c r="U2348">
        <v>4.5815999999999999</v>
      </c>
      <c r="V2348" t="str">
        <f t="shared" si="36"/>
        <v>Christine Sundaresam</v>
      </c>
      <c r="W2348">
        <f>Table2[Profit]/Table2[Sales]</f>
        <v>0.45999999999999996</v>
      </c>
    </row>
    <row r="2349" spans="1:23" x14ac:dyDescent="0.25">
      <c r="A2349">
        <v>2348</v>
      </c>
      <c r="B2349" t="s">
        <v>7549</v>
      </c>
      <c r="C2349" s="1">
        <v>42799</v>
      </c>
      <c r="D2349" s="1">
        <v>42799</v>
      </c>
      <c r="E2349" t="s">
        <v>1278</v>
      </c>
      <c r="F2349" t="s">
        <v>1275</v>
      </c>
      <c r="G2349" t="s">
        <v>1276</v>
      </c>
      <c r="H2349" t="s">
        <v>25</v>
      </c>
      <c r="I2349" t="s">
        <v>26</v>
      </c>
      <c r="J2349" t="s">
        <v>382</v>
      </c>
      <c r="K2349" t="s">
        <v>226</v>
      </c>
      <c r="L2349">
        <v>55901</v>
      </c>
      <c r="M2349" t="s">
        <v>104</v>
      </c>
      <c r="N2349" t="s">
        <v>5839</v>
      </c>
      <c r="O2349" t="s">
        <v>45</v>
      </c>
      <c r="P2349" t="s">
        <v>266</v>
      </c>
      <c r="Q2349" t="s">
        <v>5840</v>
      </c>
      <c r="R2349">
        <v>7.9</v>
      </c>
      <c r="S2349">
        <v>2</v>
      </c>
      <c r="T2349">
        <v>0</v>
      </c>
      <c r="U2349">
        <v>2.528</v>
      </c>
      <c r="V2349" t="str">
        <f t="shared" si="36"/>
        <v>Julia Dunbar</v>
      </c>
      <c r="W2349">
        <f>Table2[Profit]/Table2[Sales]</f>
        <v>0.32</v>
      </c>
    </row>
    <row r="2350" spans="1:23" x14ac:dyDescent="0.25">
      <c r="A2350">
        <v>2349</v>
      </c>
      <c r="B2350" t="s">
        <v>7550</v>
      </c>
      <c r="C2350" s="1">
        <v>42432</v>
      </c>
      <c r="D2350" s="1">
        <v>42432</v>
      </c>
      <c r="E2350" t="s">
        <v>1278</v>
      </c>
      <c r="F2350" t="s">
        <v>3084</v>
      </c>
      <c r="G2350" t="s">
        <v>3085</v>
      </c>
      <c r="H2350" t="s">
        <v>40</v>
      </c>
      <c r="I2350" t="s">
        <v>26</v>
      </c>
      <c r="J2350" t="s">
        <v>126</v>
      </c>
      <c r="K2350" t="s">
        <v>42</v>
      </c>
      <c r="L2350">
        <v>94110</v>
      </c>
      <c r="M2350" t="s">
        <v>43</v>
      </c>
      <c r="N2350" t="s">
        <v>6673</v>
      </c>
      <c r="O2350" t="s">
        <v>45</v>
      </c>
      <c r="P2350" t="s">
        <v>572</v>
      </c>
      <c r="Q2350" t="s">
        <v>6674</v>
      </c>
      <c r="R2350">
        <v>25.35</v>
      </c>
      <c r="S2350">
        <v>3</v>
      </c>
      <c r="T2350">
        <v>0</v>
      </c>
      <c r="U2350">
        <v>7.6050000000000004</v>
      </c>
      <c r="V2350" t="str">
        <f t="shared" si="36"/>
        <v>Theresa Swint</v>
      </c>
      <c r="W2350">
        <f>Table2[Profit]/Table2[Sales]</f>
        <v>0.3</v>
      </c>
    </row>
    <row r="2351" spans="1:23" x14ac:dyDescent="0.25">
      <c r="A2351">
        <v>2350</v>
      </c>
      <c r="B2351" t="s">
        <v>7551</v>
      </c>
      <c r="C2351" s="1">
        <v>42728</v>
      </c>
      <c r="D2351" s="1">
        <v>42729</v>
      </c>
      <c r="E2351" t="s">
        <v>185</v>
      </c>
      <c r="F2351" t="s">
        <v>2408</v>
      </c>
      <c r="G2351" t="s">
        <v>2409</v>
      </c>
      <c r="H2351" t="s">
        <v>40</v>
      </c>
      <c r="I2351" t="s">
        <v>26</v>
      </c>
      <c r="J2351" t="s">
        <v>94</v>
      </c>
      <c r="K2351" t="s">
        <v>95</v>
      </c>
      <c r="L2351">
        <v>98103</v>
      </c>
      <c r="M2351" t="s">
        <v>43</v>
      </c>
      <c r="N2351" t="s">
        <v>1839</v>
      </c>
      <c r="O2351" t="s">
        <v>45</v>
      </c>
      <c r="P2351" t="s">
        <v>89</v>
      </c>
      <c r="Q2351" t="s">
        <v>1840</v>
      </c>
      <c r="R2351">
        <v>33.4</v>
      </c>
      <c r="S2351">
        <v>5</v>
      </c>
      <c r="T2351">
        <v>0</v>
      </c>
      <c r="U2351">
        <v>16.032</v>
      </c>
      <c r="V2351" t="str">
        <f t="shared" si="36"/>
        <v>Benjamin Venier</v>
      </c>
      <c r="W2351">
        <f>Table2[Profit]/Table2[Sales]</f>
        <v>0.48000000000000004</v>
      </c>
    </row>
    <row r="2352" spans="1:23" x14ac:dyDescent="0.25">
      <c r="A2352">
        <v>2351</v>
      </c>
      <c r="B2352" t="s">
        <v>7552</v>
      </c>
      <c r="C2352" s="1">
        <v>42650</v>
      </c>
      <c r="D2352" s="1">
        <v>42652</v>
      </c>
      <c r="E2352" t="s">
        <v>185</v>
      </c>
      <c r="F2352" t="s">
        <v>3198</v>
      </c>
      <c r="G2352" t="s">
        <v>3199</v>
      </c>
      <c r="H2352" t="s">
        <v>40</v>
      </c>
      <c r="I2352" t="s">
        <v>26</v>
      </c>
      <c r="J2352" t="s">
        <v>4578</v>
      </c>
      <c r="K2352" t="s">
        <v>95</v>
      </c>
      <c r="L2352">
        <v>99207</v>
      </c>
      <c r="M2352" t="s">
        <v>43</v>
      </c>
      <c r="N2352" t="s">
        <v>6180</v>
      </c>
      <c r="O2352" t="s">
        <v>70</v>
      </c>
      <c r="P2352" t="s">
        <v>675</v>
      </c>
      <c r="Q2352" t="s">
        <v>6181</v>
      </c>
      <c r="R2352">
        <v>837.6</v>
      </c>
      <c r="S2352">
        <v>3</v>
      </c>
      <c r="T2352">
        <v>0.2</v>
      </c>
      <c r="U2352">
        <v>62.82</v>
      </c>
      <c r="V2352" t="str">
        <f t="shared" si="36"/>
        <v>Dionis Lloyd</v>
      </c>
      <c r="W2352">
        <f>Table2[Profit]/Table2[Sales]</f>
        <v>7.4999999999999997E-2</v>
      </c>
    </row>
    <row r="2353" spans="1:23" x14ac:dyDescent="0.25">
      <c r="A2353">
        <v>2352</v>
      </c>
      <c r="B2353" t="s">
        <v>7553</v>
      </c>
      <c r="C2353" s="1">
        <v>42713</v>
      </c>
      <c r="D2353" s="1">
        <v>42717</v>
      </c>
      <c r="E2353" t="s">
        <v>49</v>
      </c>
      <c r="F2353" t="s">
        <v>149</v>
      </c>
      <c r="G2353" t="s">
        <v>150</v>
      </c>
      <c r="H2353" t="s">
        <v>25</v>
      </c>
      <c r="I2353" t="s">
        <v>26</v>
      </c>
      <c r="J2353" t="s">
        <v>606</v>
      </c>
      <c r="K2353" t="s">
        <v>328</v>
      </c>
      <c r="L2353">
        <v>37064</v>
      </c>
      <c r="M2353" t="s">
        <v>29</v>
      </c>
      <c r="N2353" t="s">
        <v>4087</v>
      </c>
      <c r="O2353" t="s">
        <v>70</v>
      </c>
      <c r="P2353" t="s">
        <v>71</v>
      </c>
      <c r="Q2353" t="s">
        <v>4088</v>
      </c>
      <c r="R2353">
        <v>40.68</v>
      </c>
      <c r="S2353">
        <v>3</v>
      </c>
      <c r="T2353">
        <v>0.2</v>
      </c>
      <c r="U2353">
        <v>-9.1530000000000005</v>
      </c>
      <c r="V2353" t="str">
        <f t="shared" si="36"/>
        <v>Emily Burns</v>
      </c>
      <c r="W2353">
        <f>Table2[Profit]/Table2[Sales]</f>
        <v>-0.22500000000000001</v>
      </c>
    </row>
    <row r="2354" spans="1:23" x14ac:dyDescent="0.25">
      <c r="A2354">
        <v>2353</v>
      </c>
      <c r="B2354" t="s">
        <v>7554</v>
      </c>
      <c r="C2354" s="1">
        <v>43059</v>
      </c>
      <c r="D2354" s="1">
        <v>43063</v>
      </c>
      <c r="E2354" t="s">
        <v>49</v>
      </c>
      <c r="F2354" t="s">
        <v>2459</v>
      </c>
      <c r="G2354" t="s">
        <v>2460</v>
      </c>
      <c r="H2354" t="s">
        <v>25</v>
      </c>
      <c r="I2354" t="s">
        <v>26</v>
      </c>
      <c r="J2354" t="s">
        <v>321</v>
      </c>
      <c r="K2354" t="s">
        <v>328</v>
      </c>
      <c r="L2354">
        <v>38301</v>
      </c>
      <c r="M2354" t="s">
        <v>29</v>
      </c>
      <c r="N2354" t="s">
        <v>2065</v>
      </c>
      <c r="O2354" t="s">
        <v>31</v>
      </c>
      <c r="P2354" t="s">
        <v>35</v>
      </c>
      <c r="Q2354" t="s">
        <v>2066</v>
      </c>
      <c r="R2354">
        <v>209.56800000000001</v>
      </c>
      <c r="S2354">
        <v>2</v>
      </c>
      <c r="T2354">
        <v>0.2</v>
      </c>
      <c r="U2354">
        <v>-23.5764</v>
      </c>
      <c r="V2354" t="str">
        <f t="shared" si="36"/>
        <v>Erica Smith</v>
      </c>
      <c r="W2354">
        <f>Table2[Profit]/Table2[Sales]</f>
        <v>-0.11249999999999999</v>
      </c>
    </row>
    <row r="2355" spans="1:23" x14ac:dyDescent="0.25">
      <c r="A2355">
        <v>2354</v>
      </c>
      <c r="B2355" t="s">
        <v>7555</v>
      </c>
      <c r="C2355" s="1">
        <v>42350</v>
      </c>
      <c r="D2355" s="1">
        <v>42354</v>
      </c>
      <c r="E2355" t="s">
        <v>49</v>
      </c>
      <c r="F2355" t="s">
        <v>857</v>
      </c>
      <c r="G2355" t="s">
        <v>858</v>
      </c>
      <c r="H2355" t="s">
        <v>25</v>
      </c>
      <c r="I2355" t="s">
        <v>26</v>
      </c>
      <c r="J2355" t="s">
        <v>1225</v>
      </c>
      <c r="K2355" t="s">
        <v>103</v>
      </c>
      <c r="L2355">
        <v>78745</v>
      </c>
      <c r="M2355" t="s">
        <v>104</v>
      </c>
      <c r="N2355" t="s">
        <v>7556</v>
      </c>
      <c r="O2355" t="s">
        <v>70</v>
      </c>
      <c r="P2355" t="s">
        <v>158</v>
      </c>
      <c r="Q2355" t="s">
        <v>7557</v>
      </c>
      <c r="R2355">
        <v>22.367999999999999</v>
      </c>
      <c r="S2355">
        <v>4</v>
      </c>
      <c r="T2355">
        <v>0.2</v>
      </c>
      <c r="U2355">
        <v>6.4307999999999996</v>
      </c>
      <c r="V2355" t="str">
        <f t="shared" si="36"/>
        <v>Joni Blumstein</v>
      </c>
      <c r="W2355">
        <f>Table2[Profit]/Table2[Sales]</f>
        <v>0.28749999999999998</v>
      </c>
    </row>
    <row r="2356" spans="1:23" x14ac:dyDescent="0.25">
      <c r="A2356">
        <v>2355</v>
      </c>
      <c r="B2356" t="s">
        <v>7558</v>
      </c>
      <c r="C2356" s="1">
        <v>42769</v>
      </c>
      <c r="D2356" s="1">
        <v>42774</v>
      </c>
      <c r="E2356" t="s">
        <v>49</v>
      </c>
      <c r="F2356" t="s">
        <v>5407</v>
      </c>
      <c r="G2356" t="s">
        <v>5408</v>
      </c>
      <c r="H2356" t="s">
        <v>25</v>
      </c>
      <c r="I2356" t="s">
        <v>26</v>
      </c>
      <c r="J2356" t="s">
        <v>1341</v>
      </c>
      <c r="K2356" t="s">
        <v>53</v>
      </c>
      <c r="L2356">
        <v>33024</v>
      </c>
      <c r="M2356" t="s">
        <v>29</v>
      </c>
      <c r="N2356" t="s">
        <v>2412</v>
      </c>
      <c r="O2356" t="s">
        <v>45</v>
      </c>
      <c r="P2356" t="s">
        <v>74</v>
      </c>
      <c r="Q2356" t="s">
        <v>2413</v>
      </c>
      <c r="R2356">
        <v>3.8820000000000001</v>
      </c>
      <c r="S2356">
        <v>2</v>
      </c>
      <c r="T2356">
        <v>0.7</v>
      </c>
      <c r="U2356">
        <v>-2.5880000000000001</v>
      </c>
      <c r="V2356" t="str">
        <f t="shared" si="36"/>
        <v>Shahid Collister</v>
      </c>
      <c r="W2356">
        <f>Table2[Profit]/Table2[Sales]</f>
        <v>-0.66666666666666663</v>
      </c>
    </row>
    <row r="2357" spans="1:23" x14ac:dyDescent="0.25">
      <c r="A2357">
        <v>2356</v>
      </c>
      <c r="B2357" t="s">
        <v>7561</v>
      </c>
      <c r="C2357" s="1">
        <v>42999</v>
      </c>
      <c r="D2357" s="1">
        <v>43003</v>
      </c>
      <c r="E2357" t="s">
        <v>49</v>
      </c>
      <c r="F2357" t="s">
        <v>149</v>
      </c>
      <c r="G2357" t="s">
        <v>150</v>
      </c>
      <c r="H2357" t="s">
        <v>25</v>
      </c>
      <c r="I2357" t="s">
        <v>26</v>
      </c>
      <c r="J2357" t="s">
        <v>143</v>
      </c>
      <c r="K2357" t="s">
        <v>144</v>
      </c>
      <c r="L2357">
        <v>19143</v>
      </c>
      <c r="M2357" t="s">
        <v>145</v>
      </c>
      <c r="N2357" t="s">
        <v>5261</v>
      </c>
      <c r="O2357" t="s">
        <v>45</v>
      </c>
      <c r="P2357" t="s">
        <v>74</v>
      </c>
      <c r="Q2357" t="s">
        <v>5262</v>
      </c>
      <c r="R2357">
        <v>1.9079999999999999</v>
      </c>
      <c r="S2357">
        <v>2</v>
      </c>
      <c r="T2357">
        <v>0.7</v>
      </c>
      <c r="U2357">
        <v>-1.5264</v>
      </c>
      <c r="V2357" t="str">
        <f t="shared" si="36"/>
        <v>Emily Burns</v>
      </c>
      <c r="W2357">
        <f>Table2[Profit]/Table2[Sales]</f>
        <v>-0.8</v>
      </c>
    </row>
    <row r="2358" spans="1:23" x14ac:dyDescent="0.25">
      <c r="A2358">
        <v>2357</v>
      </c>
      <c r="B2358" t="s">
        <v>7562</v>
      </c>
      <c r="C2358" s="1">
        <v>42855</v>
      </c>
      <c r="D2358" s="1">
        <v>42860</v>
      </c>
      <c r="E2358" t="s">
        <v>49</v>
      </c>
      <c r="F2358" t="s">
        <v>6115</v>
      </c>
      <c r="G2358" t="s">
        <v>6116</v>
      </c>
      <c r="H2358" t="s">
        <v>101</v>
      </c>
      <c r="I2358" t="s">
        <v>26</v>
      </c>
      <c r="J2358" t="s">
        <v>7448</v>
      </c>
      <c r="K2358" t="s">
        <v>208</v>
      </c>
      <c r="L2358">
        <v>61832</v>
      </c>
      <c r="M2358" t="s">
        <v>104</v>
      </c>
      <c r="N2358" t="s">
        <v>2227</v>
      </c>
      <c r="O2358" t="s">
        <v>45</v>
      </c>
      <c r="P2358" t="s">
        <v>74</v>
      </c>
      <c r="Q2358" t="s">
        <v>2228</v>
      </c>
      <c r="R2358">
        <v>43.372</v>
      </c>
      <c r="S2358">
        <v>7</v>
      </c>
      <c r="T2358">
        <v>0.8</v>
      </c>
      <c r="U2358">
        <v>-69.395200000000003</v>
      </c>
      <c r="V2358" t="str">
        <f t="shared" si="36"/>
        <v>Tony Chapman</v>
      </c>
      <c r="W2358">
        <f>Table2[Profit]/Table2[Sales]</f>
        <v>-1.6</v>
      </c>
    </row>
    <row r="2359" spans="1:23" x14ac:dyDescent="0.25">
      <c r="A2359">
        <v>2358</v>
      </c>
      <c r="B2359" t="s">
        <v>7563</v>
      </c>
      <c r="C2359" s="1">
        <v>41946</v>
      </c>
      <c r="D2359" s="1">
        <v>41950</v>
      </c>
      <c r="E2359" t="s">
        <v>49</v>
      </c>
      <c r="F2359" t="s">
        <v>5319</v>
      </c>
      <c r="G2359" t="s">
        <v>5320</v>
      </c>
      <c r="H2359" t="s">
        <v>25</v>
      </c>
      <c r="I2359" t="s">
        <v>26</v>
      </c>
      <c r="J2359" t="s">
        <v>263</v>
      </c>
      <c r="K2359" t="s">
        <v>264</v>
      </c>
      <c r="L2359">
        <v>10009</v>
      </c>
      <c r="M2359" t="s">
        <v>145</v>
      </c>
      <c r="N2359" t="s">
        <v>1794</v>
      </c>
      <c r="O2359" t="s">
        <v>70</v>
      </c>
      <c r="P2359" t="s">
        <v>71</v>
      </c>
      <c r="Q2359" t="s">
        <v>1795</v>
      </c>
      <c r="R2359">
        <v>783.96</v>
      </c>
      <c r="S2359">
        <v>4</v>
      </c>
      <c r="T2359">
        <v>0</v>
      </c>
      <c r="U2359">
        <v>219.50880000000001</v>
      </c>
      <c r="V2359" t="str">
        <f t="shared" si="36"/>
        <v>Speros Goranitis</v>
      </c>
      <c r="W2359">
        <f>Table2[Profit]/Table2[Sales]</f>
        <v>0.27999999999999997</v>
      </c>
    </row>
    <row r="2360" spans="1:23" x14ac:dyDescent="0.25">
      <c r="A2360">
        <v>2359</v>
      </c>
      <c r="B2360" t="s">
        <v>7564</v>
      </c>
      <c r="C2360" s="1">
        <v>42734</v>
      </c>
      <c r="D2360" s="1">
        <v>42739</v>
      </c>
      <c r="E2360" t="s">
        <v>49</v>
      </c>
      <c r="F2360" t="s">
        <v>2429</v>
      </c>
      <c r="G2360" t="s">
        <v>2430</v>
      </c>
      <c r="H2360" t="s">
        <v>25</v>
      </c>
      <c r="I2360" t="s">
        <v>26</v>
      </c>
      <c r="J2360" t="s">
        <v>490</v>
      </c>
      <c r="K2360" t="s">
        <v>491</v>
      </c>
      <c r="L2360">
        <v>43229</v>
      </c>
      <c r="M2360" t="s">
        <v>145</v>
      </c>
      <c r="N2360" t="s">
        <v>7208</v>
      </c>
      <c r="O2360" t="s">
        <v>45</v>
      </c>
      <c r="P2360" t="s">
        <v>46</v>
      </c>
      <c r="Q2360" t="s">
        <v>7209</v>
      </c>
      <c r="R2360">
        <v>5.9039999999999999</v>
      </c>
      <c r="S2360">
        <v>2</v>
      </c>
      <c r="T2360">
        <v>0.2</v>
      </c>
      <c r="U2360">
        <v>1.9925999999999999</v>
      </c>
      <c r="V2360" t="str">
        <f t="shared" si="36"/>
        <v>Bryan Mills</v>
      </c>
      <c r="W2360">
        <f>Table2[Profit]/Table2[Sales]</f>
        <v>0.33749999999999997</v>
      </c>
    </row>
    <row r="2361" spans="1:23" x14ac:dyDescent="0.25">
      <c r="A2361">
        <v>2360</v>
      </c>
      <c r="B2361" t="s">
        <v>7565</v>
      </c>
      <c r="C2361" s="1">
        <v>41899</v>
      </c>
      <c r="D2361" s="1">
        <v>41903</v>
      </c>
      <c r="E2361" t="s">
        <v>49</v>
      </c>
      <c r="F2361" t="s">
        <v>7533</v>
      </c>
      <c r="G2361" t="s">
        <v>7534</v>
      </c>
      <c r="H2361" t="s">
        <v>25</v>
      </c>
      <c r="I2361" t="s">
        <v>26</v>
      </c>
      <c r="J2361" t="s">
        <v>6767</v>
      </c>
      <c r="K2361" t="s">
        <v>42</v>
      </c>
      <c r="L2361">
        <v>91911</v>
      </c>
      <c r="M2361" t="s">
        <v>43</v>
      </c>
      <c r="N2361" t="s">
        <v>7566</v>
      </c>
      <c r="O2361" t="s">
        <v>45</v>
      </c>
      <c r="P2361" t="s">
        <v>170</v>
      </c>
      <c r="Q2361" t="s">
        <v>7567</v>
      </c>
      <c r="R2361">
        <v>182.94</v>
      </c>
      <c r="S2361">
        <v>3</v>
      </c>
      <c r="T2361">
        <v>0</v>
      </c>
      <c r="U2361">
        <v>85.981800000000007</v>
      </c>
      <c r="V2361" t="str">
        <f t="shared" si="36"/>
        <v>Nick Radford</v>
      </c>
      <c r="W2361">
        <f>Table2[Profit]/Table2[Sales]</f>
        <v>0.47000000000000003</v>
      </c>
    </row>
    <row r="2362" spans="1:23" x14ac:dyDescent="0.25">
      <c r="A2362">
        <v>2361</v>
      </c>
      <c r="B2362" t="s">
        <v>7568</v>
      </c>
      <c r="C2362" s="1">
        <v>43063</v>
      </c>
      <c r="D2362" s="1">
        <v>43066</v>
      </c>
      <c r="E2362" t="s">
        <v>185</v>
      </c>
      <c r="F2362" t="s">
        <v>2536</v>
      </c>
      <c r="G2362" t="s">
        <v>2537</v>
      </c>
      <c r="H2362" t="s">
        <v>25</v>
      </c>
      <c r="I2362" t="s">
        <v>26</v>
      </c>
      <c r="J2362" t="s">
        <v>126</v>
      </c>
      <c r="K2362" t="s">
        <v>42</v>
      </c>
      <c r="L2362">
        <v>94110</v>
      </c>
      <c r="M2362" t="s">
        <v>43</v>
      </c>
      <c r="N2362" t="s">
        <v>3515</v>
      </c>
      <c r="O2362" t="s">
        <v>45</v>
      </c>
      <c r="P2362" t="s">
        <v>67</v>
      </c>
      <c r="Q2362" t="s">
        <v>3516</v>
      </c>
      <c r="R2362">
        <v>27.76</v>
      </c>
      <c r="S2362">
        <v>4</v>
      </c>
      <c r="T2362">
        <v>0</v>
      </c>
      <c r="U2362">
        <v>9.9936000000000007</v>
      </c>
      <c r="V2362" t="str">
        <f t="shared" si="36"/>
        <v>Patrick Gardner</v>
      </c>
      <c r="W2362">
        <f>Table2[Profit]/Table2[Sales]</f>
        <v>0.36</v>
      </c>
    </row>
    <row r="2363" spans="1:23" x14ac:dyDescent="0.25">
      <c r="A2363">
        <v>2362</v>
      </c>
      <c r="B2363" t="s">
        <v>7569</v>
      </c>
      <c r="C2363" s="1">
        <v>42118</v>
      </c>
      <c r="D2363" s="1">
        <v>42122</v>
      </c>
      <c r="E2363" t="s">
        <v>49</v>
      </c>
      <c r="F2363" t="s">
        <v>4014</v>
      </c>
      <c r="G2363" t="s">
        <v>4015</v>
      </c>
      <c r="H2363" t="s">
        <v>101</v>
      </c>
      <c r="I2363" t="s">
        <v>26</v>
      </c>
      <c r="J2363" t="s">
        <v>263</v>
      </c>
      <c r="K2363" t="s">
        <v>264</v>
      </c>
      <c r="L2363">
        <v>10009</v>
      </c>
      <c r="M2363" t="s">
        <v>145</v>
      </c>
      <c r="N2363" t="s">
        <v>4140</v>
      </c>
      <c r="O2363" t="s">
        <v>45</v>
      </c>
      <c r="P2363" t="s">
        <v>67</v>
      </c>
      <c r="Q2363" t="s">
        <v>4141</v>
      </c>
      <c r="R2363">
        <v>25.99</v>
      </c>
      <c r="S2363">
        <v>1</v>
      </c>
      <c r="T2363">
        <v>0</v>
      </c>
      <c r="U2363">
        <v>7.5370999999999997</v>
      </c>
      <c r="V2363" t="str">
        <f t="shared" si="36"/>
        <v>Deborah Brumfield</v>
      </c>
      <c r="W2363">
        <f>Table2[Profit]/Table2[Sales]</f>
        <v>0.28999999999999998</v>
      </c>
    </row>
    <row r="2364" spans="1:23" x14ac:dyDescent="0.25">
      <c r="A2364">
        <v>2363</v>
      </c>
      <c r="B2364" t="s">
        <v>7570</v>
      </c>
      <c r="C2364" s="1">
        <v>42072</v>
      </c>
      <c r="D2364" s="1">
        <v>42075</v>
      </c>
      <c r="E2364" t="s">
        <v>185</v>
      </c>
      <c r="F2364" t="s">
        <v>3044</v>
      </c>
      <c r="G2364" t="s">
        <v>3045</v>
      </c>
      <c r="H2364" t="s">
        <v>40</v>
      </c>
      <c r="I2364" t="s">
        <v>26</v>
      </c>
      <c r="J2364" t="s">
        <v>671</v>
      </c>
      <c r="K2364" t="s">
        <v>103</v>
      </c>
      <c r="L2364">
        <v>78207</v>
      </c>
      <c r="M2364" t="s">
        <v>104</v>
      </c>
      <c r="N2364" t="s">
        <v>2777</v>
      </c>
      <c r="O2364" t="s">
        <v>70</v>
      </c>
      <c r="P2364" t="s">
        <v>158</v>
      </c>
      <c r="Q2364" t="s">
        <v>2778</v>
      </c>
      <c r="R2364">
        <v>113.52</v>
      </c>
      <c r="S2364">
        <v>5</v>
      </c>
      <c r="T2364">
        <v>0.2</v>
      </c>
      <c r="U2364">
        <v>29.798999999999999</v>
      </c>
      <c r="V2364" t="str">
        <f t="shared" si="36"/>
        <v>Noel Staavos</v>
      </c>
      <c r="W2364">
        <f>Table2[Profit]/Table2[Sales]</f>
        <v>0.26250000000000001</v>
      </c>
    </row>
    <row r="2365" spans="1:23" x14ac:dyDescent="0.25">
      <c r="A2365">
        <v>2364</v>
      </c>
      <c r="B2365" t="s">
        <v>7571</v>
      </c>
      <c r="C2365" s="1">
        <v>42888</v>
      </c>
      <c r="D2365" s="1">
        <v>42889</v>
      </c>
      <c r="E2365" t="s">
        <v>1278</v>
      </c>
      <c r="F2365" t="s">
        <v>7572</v>
      </c>
      <c r="G2365" t="s">
        <v>7573</v>
      </c>
      <c r="H2365" t="s">
        <v>25</v>
      </c>
      <c r="I2365" t="s">
        <v>26</v>
      </c>
      <c r="J2365" t="s">
        <v>1507</v>
      </c>
      <c r="K2365" t="s">
        <v>87</v>
      </c>
      <c r="L2365">
        <v>28540</v>
      </c>
      <c r="M2365" t="s">
        <v>29</v>
      </c>
      <c r="N2365" t="s">
        <v>6820</v>
      </c>
      <c r="O2365" t="s">
        <v>45</v>
      </c>
      <c r="P2365" t="s">
        <v>89</v>
      </c>
      <c r="Q2365" t="s">
        <v>6821</v>
      </c>
      <c r="R2365">
        <v>25.344000000000001</v>
      </c>
      <c r="S2365">
        <v>4</v>
      </c>
      <c r="T2365">
        <v>0.2</v>
      </c>
      <c r="U2365">
        <v>9.1872000000000007</v>
      </c>
      <c r="V2365" t="str">
        <f t="shared" si="36"/>
        <v>Cari Schnelling</v>
      </c>
      <c r="W2365">
        <f>Table2[Profit]/Table2[Sales]</f>
        <v>0.36249999999999999</v>
      </c>
    </row>
    <row r="2366" spans="1:23" x14ac:dyDescent="0.25">
      <c r="A2366">
        <v>2365</v>
      </c>
      <c r="B2366" t="s">
        <v>7574</v>
      </c>
      <c r="C2366" s="1">
        <v>42632</v>
      </c>
      <c r="D2366" s="1">
        <v>42637</v>
      </c>
      <c r="E2366" t="s">
        <v>22</v>
      </c>
      <c r="F2366" t="s">
        <v>2100</v>
      </c>
      <c r="G2366" t="s">
        <v>2101</v>
      </c>
      <c r="H2366" t="s">
        <v>101</v>
      </c>
      <c r="I2366" t="s">
        <v>26</v>
      </c>
      <c r="J2366" t="s">
        <v>126</v>
      </c>
      <c r="K2366" t="s">
        <v>42</v>
      </c>
      <c r="L2366">
        <v>94109</v>
      </c>
      <c r="M2366" t="s">
        <v>43</v>
      </c>
      <c r="N2366" t="s">
        <v>2269</v>
      </c>
      <c r="O2366" t="s">
        <v>45</v>
      </c>
      <c r="P2366" t="s">
        <v>74</v>
      </c>
      <c r="Q2366" t="s">
        <v>2270</v>
      </c>
      <c r="R2366">
        <v>11.952</v>
      </c>
      <c r="S2366">
        <v>3</v>
      </c>
      <c r="T2366">
        <v>0.2</v>
      </c>
      <c r="U2366">
        <v>4.1832000000000003</v>
      </c>
      <c r="V2366" t="str">
        <f t="shared" si="36"/>
        <v>Chuck Clark</v>
      </c>
      <c r="W2366">
        <f>Table2[Profit]/Table2[Sales]</f>
        <v>0.35000000000000003</v>
      </c>
    </row>
    <row r="2367" spans="1:23" x14ac:dyDescent="0.25">
      <c r="A2367">
        <v>2366</v>
      </c>
      <c r="B2367" t="s">
        <v>7577</v>
      </c>
      <c r="C2367" s="1">
        <v>41943</v>
      </c>
      <c r="D2367" s="1">
        <v>41946</v>
      </c>
      <c r="E2367" t="s">
        <v>22</v>
      </c>
      <c r="F2367" t="s">
        <v>4618</v>
      </c>
      <c r="G2367" t="s">
        <v>4619</v>
      </c>
      <c r="H2367" t="s">
        <v>25</v>
      </c>
      <c r="I2367" t="s">
        <v>26</v>
      </c>
      <c r="J2367" t="s">
        <v>7578</v>
      </c>
      <c r="K2367" t="s">
        <v>303</v>
      </c>
      <c r="L2367">
        <v>85323</v>
      </c>
      <c r="M2367" t="s">
        <v>43</v>
      </c>
      <c r="N2367" t="s">
        <v>202</v>
      </c>
      <c r="O2367" t="s">
        <v>70</v>
      </c>
      <c r="P2367" t="s">
        <v>71</v>
      </c>
      <c r="Q2367" t="s">
        <v>203</v>
      </c>
      <c r="R2367">
        <v>742.33600000000001</v>
      </c>
      <c r="S2367">
        <v>8</v>
      </c>
      <c r="T2367">
        <v>0.2</v>
      </c>
      <c r="U2367">
        <v>83.512799999999999</v>
      </c>
      <c r="V2367" t="str">
        <f t="shared" si="36"/>
        <v>Amy Cox</v>
      </c>
      <c r="W2367">
        <f>Table2[Profit]/Table2[Sales]</f>
        <v>0.1125</v>
      </c>
    </row>
    <row r="2368" spans="1:23" x14ac:dyDescent="0.25">
      <c r="A2368">
        <v>2367</v>
      </c>
      <c r="B2368" t="s">
        <v>7579</v>
      </c>
      <c r="C2368" s="1">
        <v>43062</v>
      </c>
      <c r="D2368" s="1">
        <v>43066</v>
      </c>
      <c r="E2368" t="s">
        <v>49</v>
      </c>
      <c r="F2368" t="s">
        <v>1710</v>
      </c>
      <c r="G2368" t="s">
        <v>1711</v>
      </c>
      <c r="H2368" t="s">
        <v>25</v>
      </c>
      <c r="I2368" t="s">
        <v>26</v>
      </c>
      <c r="J2368" t="s">
        <v>296</v>
      </c>
      <c r="K2368" t="s">
        <v>208</v>
      </c>
      <c r="L2368">
        <v>60610</v>
      </c>
      <c r="M2368" t="s">
        <v>104</v>
      </c>
      <c r="N2368" t="s">
        <v>5538</v>
      </c>
      <c r="O2368" t="s">
        <v>31</v>
      </c>
      <c r="P2368" t="s">
        <v>64</v>
      </c>
      <c r="Q2368" t="s">
        <v>5539</v>
      </c>
      <c r="R2368">
        <v>6.4640000000000004</v>
      </c>
      <c r="S2368">
        <v>1</v>
      </c>
      <c r="T2368">
        <v>0.6</v>
      </c>
      <c r="U2368">
        <v>-4.04</v>
      </c>
      <c r="V2368" t="str">
        <f t="shared" si="36"/>
        <v>Christopher Martinez</v>
      </c>
      <c r="W2368">
        <f>Table2[Profit]/Table2[Sales]</f>
        <v>-0.625</v>
      </c>
    </row>
    <row r="2369" spans="1:23" x14ac:dyDescent="0.25">
      <c r="A2369">
        <v>2368</v>
      </c>
      <c r="B2369" t="s">
        <v>7580</v>
      </c>
      <c r="C2369" s="1">
        <v>43055</v>
      </c>
      <c r="D2369" s="1">
        <v>43060</v>
      </c>
      <c r="E2369" t="s">
        <v>49</v>
      </c>
      <c r="F2369" t="s">
        <v>7101</v>
      </c>
      <c r="G2369" t="s">
        <v>7102</v>
      </c>
      <c r="H2369" t="s">
        <v>101</v>
      </c>
      <c r="I2369" t="s">
        <v>26</v>
      </c>
      <c r="J2369" t="s">
        <v>3274</v>
      </c>
      <c r="K2369" t="s">
        <v>42</v>
      </c>
      <c r="L2369">
        <v>92025</v>
      </c>
      <c r="M2369" t="s">
        <v>43</v>
      </c>
      <c r="N2369" t="s">
        <v>3123</v>
      </c>
      <c r="O2369" t="s">
        <v>45</v>
      </c>
      <c r="P2369" t="s">
        <v>67</v>
      </c>
      <c r="Q2369" t="s">
        <v>3124</v>
      </c>
      <c r="R2369">
        <v>23.36</v>
      </c>
      <c r="S2369">
        <v>4</v>
      </c>
      <c r="T2369">
        <v>0</v>
      </c>
      <c r="U2369">
        <v>6.0735999999999999</v>
      </c>
      <c r="V2369" t="str">
        <f t="shared" si="36"/>
        <v>Eileen Kiefer</v>
      </c>
      <c r="W2369">
        <f>Table2[Profit]/Table2[Sales]</f>
        <v>0.26</v>
      </c>
    </row>
    <row r="2370" spans="1:23" x14ac:dyDescent="0.25">
      <c r="A2370">
        <v>2369</v>
      </c>
      <c r="B2370" t="s">
        <v>7581</v>
      </c>
      <c r="C2370" s="1">
        <v>42419</v>
      </c>
      <c r="D2370" s="1">
        <v>42423</v>
      </c>
      <c r="E2370" t="s">
        <v>22</v>
      </c>
      <c r="F2370" t="s">
        <v>2595</v>
      </c>
      <c r="G2370" t="s">
        <v>2596</v>
      </c>
      <c r="H2370" t="s">
        <v>40</v>
      </c>
      <c r="I2370" t="s">
        <v>26</v>
      </c>
      <c r="J2370" t="s">
        <v>1161</v>
      </c>
      <c r="K2370" t="s">
        <v>264</v>
      </c>
      <c r="L2370">
        <v>11561</v>
      </c>
      <c r="M2370" t="s">
        <v>145</v>
      </c>
      <c r="N2370" t="s">
        <v>3308</v>
      </c>
      <c r="O2370" t="s">
        <v>45</v>
      </c>
      <c r="P2370" t="s">
        <v>46</v>
      </c>
      <c r="Q2370" t="s">
        <v>3309</v>
      </c>
      <c r="R2370">
        <v>8.67</v>
      </c>
      <c r="S2370">
        <v>3</v>
      </c>
      <c r="T2370">
        <v>0</v>
      </c>
      <c r="U2370">
        <v>4.0749000000000004</v>
      </c>
      <c r="V2370" t="str">
        <f t="shared" si="36"/>
        <v>Cyma Kinney</v>
      </c>
      <c r="W2370">
        <f>Table2[Profit]/Table2[Sales]</f>
        <v>0.47000000000000003</v>
      </c>
    </row>
    <row r="2371" spans="1:23" x14ac:dyDescent="0.25">
      <c r="A2371">
        <v>2370</v>
      </c>
      <c r="B2371" t="s">
        <v>7582</v>
      </c>
      <c r="C2371" s="1">
        <v>43046</v>
      </c>
      <c r="D2371" s="1">
        <v>43050</v>
      </c>
      <c r="E2371" t="s">
        <v>49</v>
      </c>
      <c r="F2371" t="s">
        <v>110</v>
      </c>
      <c r="G2371" t="s">
        <v>111</v>
      </c>
      <c r="H2371" t="s">
        <v>25</v>
      </c>
      <c r="I2371" t="s">
        <v>26</v>
      </c>
      <c r="J2371" t="s">
        <v>600</v>
      </c>
      <c r="K2371" t="s">
        <v>242</v>
      </c>
      <c r="L2371">
        <v>19711</v>
      </c>
      <c r="M2371" t="s">
        <v>145</v>
      </c>
      <c r="N2371" t="s">
        <v>1320</v>
      </c>
      <c r="O2371" t="s">
        <v>45</v>
      </c>
      <c r="P2371" t="s">
        <v>77</v>
      </c>
      <c r="Q2371" t="s">
        <v>1321</v>
      </c>
      <c r="R2371">
        <v>100.94</v>
      </c>
      <c r="S2371">
        <v>7</v>
      </c>
      <c r="T2371">
        <v>0</v>
      </c>
      <c r="U2371">
        <v>33.310200000000002</v>
      </c>
      <c r="V2371" t="str">
        <f t="shared" ref="V2371:V2434" si="37">TRIM(G2371)</f>
        <v>Pete Kriz</v>
      </c>
      <c r="W2371">
        <f>Table2[Profit]/Table2[Sales]</f>
        <v>0.33</v>
      </c>
    </row>
    <row r="2372" spans="1:23" x14ac:dyDescent="0.25">
      <c r="A2372">
        <v>2371</v>
      </c>
      <c r="B2372" t="s">
        <v>7583</v>
      </c>
      <c r="C2372" s="1">
        <v>41828</v>
      </c>
      <c r="D2372" s="1">
        <v>41830</v>
      </c>
      <c r="E2372" t="s">
        <v>185</v>
      </c>
      <c r="F2372" t="s">
        <v>5857</v>
      </c>
      <c r="G2372" t="s">
        <v>5858</v>
      </c>
      <c r="H2372" t="s">
        <v>25</v>
      </c>
      <c r="I2372" t="s">
        <v>26</v>
      </c>
      <c r="J2372" t="s">
        <v>3383</v>
      </c>
      <c r="K2372" t="s">
        <v>264</v>
      </c>
      <c r="L2372">
        <v>14215</v>
      </c>
      <c r="M2372" t="s">
        <v>145</v>
      </c>
      <c r="N2372" t="s">
        <v>1815</v>
      </c>
      <c r="O2372" t="s">
        <v>31</v>
      </c>
      <c r="P2372" t="s">
        <v>35</v>
      </c>
      <c r="Q2372" t="s">
        <v>1816</v>
      </c>
      <c r="R2372">
        <v>63.881999999999998</v>
      </c>
      <c r="S2372">
        <v>1</v>
      </c>
      <c r="T2372">
        <v>0.1</v>
      </c>
      <c r="U2372">
        <v>10.647</v>
      </c>
      <c r="V2372" t="str">
        <f t="shared" si="37"/>
        <v>Michelle Huthwaite</v>
      </c>
      <c r="W2372">
        <f>Table2[Profit]/Table2[Sales]</f>
        <v>0.16666666666666669</v>
      </c>
    </row>
    <row r="2373" spans="1:23" x14ac:dyDescent="0.25">
      <c r="A2373">
        <v>2372</v>
      </c>
      <c r="B2373" t="s">
        <v>7584</v>
      </c>
      <c r="C2373" s="1">
        <v>41950</v>
      </c>
      <c r="D2373" s="1">
        <v>41955</v>
      </c>
      <c r="E2373" t="s">
        <v>49</v>
      </c>
      <c r="F2373" t="s">
        <v>512</v>
      </c>
      <c r="G2373" t="s">
        <v>513</v>
      </c>
      <c r="H2373" t="s">
        <v>25</v>
      </c>
      <c r="I2373" t="s">
        <v>26</v>
      </c>
      <c r="J2373" t="s">
        <v>181</v>
      </c>
      <c r="K2373" t="s">
        <v>103</v>
      </c>
      <c r="L2373">
        <v>77070</v>
      </c>
      <c r="M2373" t="s">
        <v>104</v>
      </c>
      <c r="N2373" t="s">
        <v>5785</v>
      </c>
      <c r="O2373" t="s">
        <v>31</v>
      </c>
      <c r="P2373" t="s">
        <v>35</v>
      </c>
      <c r="Q2373" t="s">
        <v>5786</v>
      </c>
      <c r="R2373">
        <v>683.14400000000001</v>
      </c>
      <c r="S2373">
        <v>4</v>
      </c>
      <c r="T2373">
        <v>0.3</v>
      </c>
      <c r="U2373">
        <v>0</v>
      </c>
      <c r="V2373" t="str">
        <f t="shared" si="37"/>
        <v>Steven Cartwright</v>
      </c>
      <c r="W2373">
        <f>Table2[Profit]/Table2[Sales]</f>
        <v>0</v>
      </c>
    </row>
    <row r="2374" spans="1:23" x14ac:dyDescent="0.25">
      <c r="A2374">
        <v>2373</v>
      </c>
      <c r="B2374" t="s">
        <v>7587</v>
      </c>
      <c r="C2374" s="1">
        <v>42763</v>
      </c>
      <c r="D2374" s="1">
        <v>42767</v>
      </c>
      <c r="E2374" t="s">
        <v>49</v>
      </c>
      <c r="F2374" t="s">
        <v>6036</v>
      </c>
      <c r="G2374" t="s">
        <v>6037</v>
      </c>
      <c r="H2374" t="s">
        <v>25</v>
      </c>
      <c r="I2374" t="s">
        <v>26</v>
      </c>
      <c r="J2374" t="s">
        <v>7078</v>
      </c>
      <c r="K2374" t="s">
        <v>4436</v>
      </c>
      <c r="L2374">
        <v>67212</v>
      </c>
      <c r="M2374" t="s">
        <v>104</v>
      </c>
      <c r="N2374" t="s">
        <v>3705</v>
      </c>
      <c r="O2374" t="s">
        <v>45</v>
      </c>
      <c r="P2374" t="s">
        <v>89</v>
      </c>
      <c r="Q2374" t="s">
        <v>3706</v>
      </c>
      <c r="R2374">
        <v>279.89999999999998</v>
      </c>
      <c r="S2374">
        <v>5</v>
      </c>
      <c r="T2374">
        <v>0</v>
      </c>
      <c r="U2374">
        <v>137.15100000000001</v>
      </c>
      <c r="V2374" t="str">
        <f t="shared" si="37"/>
        <v>Giulietta Baptist</v>
      </c>
      <c r="W2374">
        <f>Table2[Profit]/Table2[Sales]</f>
        <v>0.4900000000000001</v>
      </c>
    </row>
    <row r="2375" spans="1:23" x14ac:dyDescent="0.25">
      <c r="A2375">
        <v>2374</v>
      </c>
      <c r="B2375" t="s">
        <v>7588</v>
      </c>
      <c r="C2375" s="1">
        <v>42349</v>
      </c>
      <c r="D2375" s="1">
        <v>42354</v>
      </c>
      <c r="E2375" t="s">
        <v>49</v>
      </c>
      <c r="F2375" t="s">
        <v>92</v>
      </c>
      <c r="G2375" t="s">
        <v>93</v>
      </c>
      <c r="H2375" t="s">
        <v>25</v>
      </c>
      <c r="I2375" t="s">
        <v>26</v>
      </c>
      <c r="J2375" t="s">
        <v>1073</v>
      </c>
      <c r="K2375" t="s">
        <v>450</v>
      </c>
      <c r="L2375">
        <v>80906</v>
      </c>
      <c r="M2375" t="s">
        <v>43</v>
      </c>
      <c r="N2375" t="s">
        <v>5443</v>
      </c>
      <c r="O2375" t="s">
        <v>45</v>
      </c>
      <c r="P2375" t="s">
        <v>67</v>
      </c>
      <c r="Q2375" t="s">
        <v>5444</v>
      </c>
      <c r="R2375">
        <v>13.12</v>
      </c>
      <c r="S2375">
        <v>5</v>
      </c>
      <c r="T2375">
        <v>0.2</v>
      </c>
      <c r="U2375">
        <v>1.1479999999999999</v>
      </c>
      <c r="V2375" t="str">
        <f t="shared" si="37"/>
        <v>Irene Maddox</v>
      </c>
      <c r="W2375">
        <f>Table2[Profit]/Table2[Sales]</f>
        <v>8.7499999999999994E-2</v>
      </c>
    </row>
    <row r="2376" spans="1:23" x14ac:dyDescent="0.25">
      <c r="A2376">
        <v>2375</v>
      </c>
      <c r="B2376" t="s">
        <v>7589</v>
      </c>
      <c r="C2376" s="1">
        <v>42184</v>
      </c>
      <c r="D2376" s="1">
        <v>42189</v>
      </c>
      <c r="E2376" t="s">
        <v>49</v>
      </c>
      <c r="F2376" t="s">
        <v>4238</v>
      </c>
      <c r="G2376" t="s">
        <v>4239</v>
      </c>
      <c r="H2376" t="s">
        <v>25</v>
      </c>
      <c r="I2376" t="s">
        <v>26</v>
      </c>
      <c r="J2376" t="s">
        <v>263</v>
      </c>
      <c r="K2376" t="s">
        <v>264</v>
      </c>
      <c r="L2376">
        <v>10011</v>
      </c>
      <c r="M2376" t="s">
        <v>145</v>
      </c>
      <c r="N2376" t="s">
        <v>3468</v>
      </c>
      <c r="O2376" t="s">
        <v>45</v>
      </c>
      <c r="P2376" t="s">
        <v>89</v>
      </c>
      <c r="Q2376" t="s">
        <v>3469</v>
      </c>
      <c r="R2376">
        <v>24.96</v>
      </c>
      <c r="S2376">
        <v>4</v>
      </c>
      <c r="T2376">
        <v>0</v>
      </c>
      <c r="U2376">
        <v>11.231999999999999</v>
      </c>
      <c r="V2376" t="str">
        <f t="shared" si="37"/>
        <v>Michelle Moray</v>
      </c>
      <c r="W2376">
        <f>Table2[Profit]/Table2[Sales]</f>
        <v>0.44999999999999996</v>
      </c>
    </row>
    <row r="2377" spans="1:23" x14ac:dyDescent="0.25">
      <c r="A2377">
        <v>2376</v>
      </c>
      <c r="B2377" t="s">
        <v>7590</v>
      </c>
      <c r="C2377" s="1">
        <v>42079</v>
      </c>
      <c r="D2377" s="1">
        <v>42086</v>
      </c>
      <c r="E2377" t="s">
        <v>49</v>
      </c>
      <c r="F2377" t="s">
        <v>7591</v>
      </c>
      <c r="G2377" t="s">
        <v>7592</v>
      </c>
      <c r="H2377" t="s">
        <v>40</v>
      </c>
      <c r="I2377" t="s">
        <v>26</v>
      </c>
      <c r="J2377" t="s">
        <v>41</v>
      </c>
      <c r="K2377" t="s">
        <v>42</v>
      </c>
      <c r="L2377">
        <v>90036</v>
      </c>
      <c r="M2377" t="s">
        <v>43</v>
      </c>
      <c r="N2377" t="s">
        <v>6985</v>
      </c>
      <c r="O2377" t="s">
        <v>31</v>
      </c>
      <c r="P2377" t="s">
        <v>64</v>
      </c>
      <c r="Q2377" t="s">
        <v>6986</v>
      </c>
      <c r="R2377">
        <v>43.13</v>
      </c>
      <c r="S2377">
        <v>1</v>
      </c>
      <c r="T2377">
        <v>0</v>
      </c>
      <c r="U2377">
        <v>18.114599999999999</v>
      </c>
      <c r="V2377" t="str">
        <f t="shared" si="37"/>
        <v>Monica Federle</v>
      </c>
      <c r="W2377">
        <f>Table2[Profit]/Table2[Sales]</f>
        <v>0.42</v>
      </c>
    </row>
    <row r="2378" spans="1:23" x14ac:dyDescent="0.25">
      <c r="A2378">
        <v>2377</v>
      </c>
      <c r="B2378" t="s">
        <v>7593</v>
      </c>
      <c r="C2378" s="1">
        <v>42229</v>
      </c>
      <c r="D2378" s="1">
        <v>42233</v>
      </c>
      <c r="E2378" t="s">
        <v>49</v>
      </c>
      <c r="F2378" t="s">
        <v>2005</v>
      </c>
      <c r="G2378" t="s">
        <v>2006</v>
      </c>
      <c r="H2378" t="s">
        <v>25</v>
      </c>
      <c r="I2378" t="s">
        <v>26</v>
      </c>
      <c r="J2378" t="s">
        <v>7594</v>
      </c>
      <c r="K2378" t="s">
        <v>1260</v>
      </c>
      <c r="L2378">
        <v>30062</v>
      </c>
      <c r="M2378" t="s">
        <v>29</v>
      </c>
      <c r="N2378" t="s">
        <v>2395</v>
      </c>
      <c r="O2378" t="s">
        <v>45</v>
      </c>
      <c r="P2378" t="s">
        <v>74</v>
      </c>
      <c r="Q2378" t="s">
        <v>2396</v>
      </c>
      <c r="R2378">
        <v>5.64</v>
      </c>
      <c r="S2378">
        <v>3</v>
      </c>
      <c r="T2378">
        <v>0</v>
      </c>
      <c r="U2378">
        <v>2.7071999999999998</v>
      </c>
      <c r="V2378" t="str">
        <f t="shared" si="37"/>
        <v>Clytie Kelty</v>
      </c>
      <c r="W2378">
        <f>Table2[Profit]/Table2[Sales]</f>
        <v>0.48</v>
      </c>
    </row>
    <row r="2379" spans="1:23" x14ac:dyDescent="0.25">
      <c r="A2379">
        <v>2378</v>
      </c>
      <c r="B2379" t="s">
        <v>7595</v>
      </c>
      <c r="C2379" s="1">
        <v>42504</v>
      </c>
      <c r="D2379" s="1">
        <v>42509</v>
      </c>
      <c r="E2379" t="s">
        <v>49</v>
      </c>
      <c r="F2379" t="s">
        <v>1279</v>
      </c>
      <c r="G2379" t="s">
        <v>1280</v>
      </c>
      <c r="H2379" t="s">
        <v>40</v>
      </c>
      <c r="I2379" t="s">
        <v>26</v>
      </c>
      <c r="J2379" t="s">
        <v>1507</v>
      </c>
      <c r="K2379" t="s">
        <v>53</v>
      </c>
      <c r="L2379">
        <v>32216</v>
      </c>
      <c r="M2379" t="s">
        <v>29</v>
      </c>
      <c r="N2379" t="s">
        <v>4891</v>
      </c>
      <c r="O2379" t="s">
        <v>45</v>
      </c>
      <c r="P2379" t="s">
        <v>74</v>
      </c>
      <c r="Q2379" t="s">
        <v>4892</v>
      </c>
      <c r="R2379">
        <v>57.582000000000001</v>
      </c>
      <c r="S2379">
        <v>3</v>
      </c>
      <c r="T2379">
        <v>0.7</v>
      </c>
      <c r="U2379">
        <v>-44.1462</v>
      </c>
      <c r="V2379" t="str">
        <f t="shared" si="37"/>
        <v>Michael Kennedy</v>
      </c>
      <c r="W2379">
        <f>Table2[Profit]/Table2[Sales]</f>
        <v>-0.76666666666666661</v>
      </c>
    </row>
    <row r="2380" spans="1:23" x14ac:dyDescent="0.25">
      <c r="A2380">
        <v>2379</v>
      </c>
      <c r="B2380" t="s">
        <v>7598</v>
      </c>
      <c r="C2380" s="1">
        <v>42929</v>
      </c>
      <c r="D2380" s="1">
        <v>42933</v>
      </c>
      <c r="E2380" t="s">
        <v>22</v>
      </c>
      <c r="F2380" t="s">
        <v>6508</v>
      </c>
      <c r="G2380" t="s">
        <v>6509</v>
      </c>
      <c r="H2380" t="s">
        <v>25</v>
      </c>
      <c r="I2380" t="s">
        <v>26</v>
      </c>
      <c r="J2380" t="s">
        <v>143</v>
      </c>
      <c r="K2380" t="s">
        <v>144</v>
      </c>
      <c r="L2380">
        <v>19140</v>
      </c>
      <c r="M2380" t="s">
        <v>145</v>
      </c>
      <c r="N2380" t="s">
        <v>3009</v>
      </c>
      <c r="O2380" t="s">
        <v>70</v>
      </c>
      <c r="P2380" t="s">
        <v>71</v>
      </c>
      <c r="Q2380" t="s">
        <v>3010</v>
      </c>
      <c r="R2380">
        <v>39.594000000000001</v>
      </c>
      <c r="S2380">
        <v>1</v>
      </c>
      <c r="T2380">
        <v>0.4</v>
      </c>
      <c r="U2380">
        <v>-7.2588999999999997</v>
      </c>
      <c r="V2380" t="str">
        <f t="shared" si="37"/>
        <v>Mark Hamilton</v>
      </c>
      <c r="W2380">
        <f>Table2[Profit]/Table2[Sales]</f>
        <v>-0.18333333333333332</v>
      </c>
    </row>
    <row r="2381" spans="1:23" x14ac:dyDescent="0.25">
      <c r="A2381">
        <v>2380</v>
      </c>
      <c r="B2381" t="s">
        <v>7599</v>
      </c>
      <c r="C2381" s="1">
        <v>42330</v>
      </c>
      <c r="D2381" s="1">
        <v>42333</v>
      </c>
      <c r="E2381" t="s">
        <v>22</v>
      </c>
      <c r="F2381" t="s">
        <v>1354</v>
      </c>
      <c r="G2381" t="s">
        <v>1355</v>
      </c>
      <c r="H2381" t="s">
        <v>25</v>
      </c>
      <c r="I2381" t="s">
        <v>26</v>
      </c>
      <c r="J2381" t="s">
        <v>41</v>
      </c>
      <c r="K2381" t="s">
        <v>42</v>
      </c>
      <c r="L2381">
        <v>90008</v>
      </c>
      <c r="M2381" t="s">
        <v>43</v>
      </c>
      <c r="N2381" t="s">
        <v>2467</v>
      </c>
      <c r="O2381" t="s">
        <v>45</v>
      </c>
      <c r="P2381" t="s">
        <v>89</v>
      </c>
      <c r="Q2381" t="s">
        <v>2468</v>
      </c>
      <c r="R2381">
        <v>37.94</v>
      </c>
      <c r="S2381">
        <v>2</v>
      </c>
      <c r="T2381">
        <v>0</v>
      </c>
      <c r="U2381">
        <v>18.211200000000002</v>
      </c>
      <c r="V2381" t="str">
        <f t="shared" si="37"/>
        <v>Nathan Gelder</v>
      </c>
      <c r="W2381">
        <f>Table2[Profit]/Table2[Sales]</f>
        <v>0.48000000000000009</v>
      </c>
    </row>
    <row r="2382" spans="1:23" x14ac:dyDescent="0.25">
      <c r="A2382">
        <v>2381</v>
      </c>
      <c r="B2382" t="s">
        <v>7600</v>
      </c>
      <c r="C2382" s="1">
        <v>41966</v>
      </c>
      <c r="D2382" s="1">
        <v>41971</v>
      </c>
      <c r="E2382" t="s">
        <v>49</v>
      </c>
      <c r="F2382" t="s">
        <v>4452</v>
      </c>
      <c r="G2382" t="s">
        <v>4453</v>
      </c>
      <c r="H2382" t="s">
        <v>40</v>
      </c>
      <c r="I2382" t="s">
        <v>26</v>
      </c>
      <c r="J2382" t="s">
        <v>143</v>
      </c>
      <c r="K2382" t="s">
        <v>144</v>
      </c>
      <c r="L2382">
        <v>19134</v>
      </c>
      <c r="M2382" t="s">
        <v>145</v>
      </c>
      <c r="N2382" t="s">
        <v>4930</v>
      </c>
      <c r="O2382" t="s">
        <v>45</v>
      </c>
      <c r="P2382" t="s">
        <v>170</v>
      </c>
      <c r="Q2382" t="s">
        <v>4931</v>
      </c>
      <c r="R2382">
        <v>62.808</v>
      </c>
      <c r="S2382">
        <v>3</v>
      </c>
      <c r="T2382">
        <v>0.2</v>
      </c>
      <c r="U2382">
        <v>21.197700000000001</v>
      </c>
      <c r="V2382" t="str">
        <f t="shared" si="37"/>
        <v>Phillip Breyer</v>
      </c>
      <c r="W2382">
        <f>Table2[Profit]/Table2[Sales]</f>
        <v>0.33750000000000002</v>
      </c>
    </row>
    <row r="2383" spans="1:23" x14ac:dyDescent="0.25">
      <c r="A2383">
        <v>2382</v>
      </c>
      <c r="B2383" t="s">
        <v>7601</v>
      </c>
      <c r="C2383" s="1">
        <v>42365</v>
      </c>
      <c r="D2383" s="1">
        <v>42368</v>
      </c>
      <c r="E2383" t="s">
        <v>185</v>
      </c>
      <c r="F2383" t="s">
        <v>6129</v>
      </c>
      <c r="G2383" t="s">
        <v>6130</v>
      </c>
      <c r="H2383" t="s">
        <v>25</v>
      </c>
      <c r="I2383" t="s">
        <v>26</v>
      </c>
      <c r="J2383" t="s">
        <v>6067</v>
      </c>
      <c r="K2383" t="s">
        <v>113</v>
      </c>
      <c r="L2383">
        <v>54703</v>
      </c>
      <c r="M2383" t="s">
        <v>104</v>
      </c>
      <c r="N2383" t="s">
        <v>7491</v>
      </c>
      <c r="O2383" t="s">
        <v>45</v>
      </c>
      <c r="P2383" t="s">
        <v>89</v>
      </c>
      <c r="Q2383" t="s">
        <v>7492</v>
      </c>
      <c r="R2383">
        <v>195.64</v>
      </c>
      <c r="S2383">
        <v>4</v>
      </c>
      <c r="T2383">
        <v>0</v>
      </c>
      <c r="U2383">
        <v>91.950800000000001</v>
      </c>
      <c r="V2383" t="str">
        <f t="shared" si="37"/>
        <v>Richard Eichhorn</v>
      </c>
      <c r="W2383">
        <f>Table2[Profit]/Table2[Sales]</f>
        <v>0.47000000000000003</v>
      </c>
    </row>
    <row r="2384" spans="1:23" x14ac:dyDescent="0.25">
      <c r="A2384">
        <v>2383</v>
      </c>
      <c r="B2384" t="s">
        <v>7602</v>
      </c>
      <c r="C2384" s="1">
        <v>42688</v>
      </c>
      <c r="D2384" s="1">
        <v>42693</v>
      </c>
      <c r="E2384" t="s">
        <v>22</v>
      </c>
      <c r="F2384" t="s">
        <v>6186</v>
      </c>
      <c r="G2384" t="s">
        <v>6187</v>
      </c>
      <c r="H2384" t="s">
        <v>25</v>
      </c>
      <c r="I2384" t="s">
        <v>26</v>
      </c>
      <c r="J2384" t="s">
        <v>143</v>
      </c>
      <c r="K2384" t="s">
        <v>144</v>
      </c>
      <c r="L2384">
        <v>19134</v>
      </c>
      <c r="M2384" t="s">
        <v>145</v>
      </c>
      <c r="N2384" t="s">
        <v>1268</v>
      </c>
      <c r="O2384" t="s">
        <v>31</v>
      </c>
      <c r="P2384" t="s">
        <v>35</v>
      </c>
      <c r="Q2384" t="s">
        <v>1269</v>
      </c>
      <c r="R2384">
        <v>380.05799999999999</v>
      </c>
      <c r="S2384">
        <v>3</v>
      </c>
      <c r="T2384">
        <v>0.3</v>
      </c>
      <c r="U2384">
        <v>-21.717600000000001</v>
      </c>
      <c r="V2384" t="str">
        <f t="shared" si="37"/>
        <v>Eugene Barchas</v>
      </c>
      <c r="W2384">
        <f>Table2[Profit]/Table2[Sales]</f>
        <v>-5.7142857142857148E-2</v>
      </c>
    </row>
    <row r="2385" spans="1:23" x14ac:dyDescent="0.25">
      <c r="A2385">
        <v>2384</v>
      </c>
      <c r="B2385" t="s">
        <v>7605</v>
      </c>
      <c r="C2385" s="1">
        <v>42498</v>
      </c>
      <c r="D2385" s="1">
        <v>42500</v>
      </c>
      <c r="E2385" t="s">
        <v>185</v>
      </c>
      <c r="F2385" t="s">
        <v>4956</v>
      </c>
      <c r="G2385" t="s">
        <v>4957</v>
      </c>
      <c r="H2385" t="s">
        <v>25</v>
      </c>
      <c r="I2385" t="s">
        <v>26</v>
      </c>
      <c r="J2385" t="s">
        <v>41</v>
      </c>
      <c r="K2385" t="s">
        <v>42</v>
      </c>
      <c r="L2385">
        <v>90004</v>
      </c>
      <c r="M2385" t="s">
        <v>43</v>
      </c>
      <c r="N2385" t="s">
        <v>649</v>
      </c>
      <c r="O2385" t="s">
        <v>45</v>
      </c>
      <c r="P2385" t="s">
        <v>89</v>
      </c>
      <c r="Q2385" t="s">
        <v>650</v>
      </c>
      <c r="R2385">
        <v>17.940000000000001</v>
      </c>
      <c r="S2385">
        <v>3</v>
      </c>
      <c r="T2385">
        <v>0</v>
      </c>
      <c r="U2385">
        <v>8.0730000000000004</v>
      </c>
      <c r="V2385" t="str">
        <f t="shared" si="37"/>
        <v>Trudy Brown</v>
      </c>
      <c r="W2385">
        <f>Table2[Profit]/Table2[Sales]</f>
        <v>0.45</v>
      </c>
    </row>
    <row r="2386" spans="1:23" x14ac:dyDescent="0.25">
      <c r="A2386">
        <v>2385</v>
      </c>
      <c r="B2386" t="s">
        <v>7606</v>
      </c>
      <c r="C2386" s="1">
        <v>41999</v>
      </c>
      <c r="D2386" s="1">
        <v>42004</v>
      </c>
      <c r="E2386" t="s">
        <v>49</v>
      </c>
      <c r="F2386" t="s">
        <v>6919</v>
      </c>
      <c r="G2386" t="s">
        <v>6920</v>
      </c>
      <c r="H2386" t="s">
        <v>25</v>
      </c>
      <c r="I2386" t="s">
        <v>26</v>
      </c>
      <c r="J2386" t="s">
        <v>143</v>
      </c>
      <c r="K2386" t="s">
        <v>144</v>
      </c>
      <c r="L2386">
        <v>19134</v>
      </c>
      <c r="M2386" t="s">
        <v>145</v>
      </c>
      <c r="N2386" t="s">
        <v>942</v>
      </c>
      <c r="O2386" t="s">
        <v>45</v>
      </c>
      <c r="P2386" t="s">
        <v>89</v>
      </c>
      <c r="Q2386" t="s">
        <v>943</v>
      </c>
      <c r="R2386">
        <v>18.263999999999999</v>
      </c>
      <c r="S2386">
        <v>3</v>
      </c>
      <c r="T2386">
        <v>0.2</v>
      </c>
      <c r="U2386">
        <v>6.1641000000000004</v>
      </c>
      <c r="V2386" t="str">
        <f t="shared" si="37"/>
        <v>Maureen Gnade</v>
      </c>
      <c r="W2386">
        <f>Table2[Profit]/Table2[Sales]</f>
        <v>0.33750000000000002</v>
      </c>
    </row>
    <row r="2387" spans="1:23" x14ac:dyDescent="0.25">
      <c r="A2387">
        <v>2386</v>
      </c>
      <c r="B2387" t="s">
        <v>7607</v>
      </c>
      <c r="C2387" s="1">
        <v>42894</v>
      </c>
      <c r="D2387" s="1">
        <v>42900</v>
      </c>
      <c r="E2387" t="s">
        <v>49</v>
      </c>
      <c r="F2387" t="s">
        <v>7608</v>
      </c>
      <c r="G2387" t="s">
        <v>7609</v>
      </c>
      <c r="H2387" t="s">
        <v>25</v>
      </c>
      <c r="I2387" t="s">
        <v>26</v>
      </c>
      <c r="J2387" t="s">
        <v>2762</v>
      </c>
      <c r="K2387" t="s">
        <v>740</v>
      </c>
      <c r="L2387">
        <v>6360</v>
      </c>
      <c r="M2387" t="s">
        <v>145</v>
      </c>
      <c r="N2387" t="s">
        <v>6226</v>
      </c>
      <c r="O2387" t="s">
        <v>45</v>
      </c>
      <c r="P2387" t="s">
        <v>74</v>
      </c>
      <c r="Q2387" t="s">
        <v>6227</v>
      </c>
      <c r="R2387">
        <v>10.36</v>
      </c>
      <c r="S2387">
        <v>2</v>
      </c>
      <c r="T2387">
        <v>0</v>
      </c>
      <c r="U2387">
        <v>5.0763999999999996</v>
      </c>
      <c r="V2387" t="str">
        <f t="shared" si="37"/>
        <v>Liz Willingham</v>
      </c>
      <c r="W2387">
        <f>Table2[Profit]/Table2[Sales]</f>
        <v>0.49</v>
      </c>
    </row>
    <row r="2388" spans="1:23" x14ac:dyDescent="0.25">
      <c r="A2388">
        <v>2387</v>
      </c>
      <c r="B2388" t="s">
        <v>7610</v>
      </c>
      <c r="C2388" s="1">
        <v>42101</v>
      </c>
      <c r="D2388" s="1">
        <v>42105</v>
      </c>
      <c r="E2388" t="s">
        <v>49</v>
      </c>
      <c r="F2388" t="s">
        <v>6866</v>
      </c>
      <c r="G2388" t="s">
        <v>6867</v>
      </c>
      <c r="H2388" t="s">
        <v>25</v>
      </c>
      <c r="I2388" t="s">
        <v>26</v>
      </c>
      <c r="J2388" t="s">
        <v>671</v>
      </c>
      <c r="K2388" t="s">
        <v>103</v>
      </c>
      <c r="L2388">
        <v>78207</v>
      </c>
      <c r="M2388" t="s">
        <v>104</v>
      </c>
      <c r="N2388" t="s">
        <v>5496</v>
      </c>
      <c r="O2388" t="s">
        <v>45</v>
      </c>
      <c r="P2388" t="s">
        <v>77</v>
      </c>
      <c r="Q2388" t="s">
        <v>5497</v>
      </c>
      <c r="R2388">
        <v>463.24799999999999</v>
      </c>
      <c r="S2388">
        <v>8</v>
      </c>
      <c r="T2388">
        <v>0.8</v>
      </c>
      <c r="U2388">
        <v>-1181.2824000000001</v>
      </c>
      <c r="V2388" t="str">
        <f t="shared" si="37"/>
        <v>Peter Fuller</v>
      </c>
      <c r="W2388">
        <f>Table2[Profit]/Table2[Sales]</f>
        <v>-2.5500000000000003</v>
      </c>
    </row>
    <row r="2389" spans="1:23" x14ac:dyDescent="0.25">
      <c r="A2389">
        <v>2388</v>
      </c>
      <c r="B2389" t="s">
        <v>7611</v>
      </c>
      <c r="C2389" s="1">
        <v>42561</v>
      </c>
      <c r="D2389" s="1">
        <v>42562</v>
      </c>
      <c r="E2389" t="s">
        <v>1278</v>
      </c>
      <c r="F2389" t="s">
        <v>1060</v>
      </c>
      <c r="G2389" t="s">
        <v>1061</v>
      </c>
      <c r="H2389" t="s">
        <v>101</v>
      </c>
      <c r="I2389" t="s">
        <v>26</v>
      </c>
      <c r="J2389" t="s">
        <v>7612</v>
      </c>
      <c r="K2389" t="s">
        <v>303</v>
      </c>
      <c r="L2389">
        <v>85364</v>
      </c>
      <c r="M2389" t="s">
        <v>43</v>
      </c>
      <c r="N2389" t="s">
        <v>1700</v>
      </c>
      <c r="O2389" t="s">
        <v>45</v>
      </c>
      <c r="P2389" t="s">
        <v>74</v>
      </c>
      <c r="Q2389" t="s">
        <v>1701</v>
      </c>
      <c r="R2389">
        <v>44.856000000000002</v>
      </c>
      <c r="S2389">
        <v>6</v>
      </c>
      <c r="T2389">
        <v>0.7</v>
      </c>
      <c r="U2389">
        <v>-35.884799999999998</v>
      </c>
      <c r="V2389" t="str">
        <f t="shared" si="37"/>
        <v>Nick Zandusky</v>
      </c>
      <c r="W2389">
        <f>Table2[Profit]/Table2[Sales]</f>
        <v>-0.79999999999999993</v>
      </c>
    </row>
    <row r="2390" spans="1:23" x14ac:dyDescent="0.25">
      <c r="A2390">
        <v>2389</v>
      </c>
      <c r="B2390" t="s">
        <v>7613</v>
      </c>
      <c r="C2390" s="1">
        <v>42695</v>
      </c>
      <c r="D2390" s="1">
        <v>42700</v>
      </c>
      <c r="E2390" t="s">
        <v>49</v>
      </c>
      <c r="F2390" t="s">
        <v>1974</v>
      </c>
      <c r="G2390" t="s">
        <v>1975</v>
      </c>
      <c r="H2390" t="s">
        <v>25</v>
      </c>
      <c r="I2390" t="s">
        <v>26</v>
      </c>
      <c r="J2390" t="s">
        <v>490</v>
      </c>
      <c r="K2390" t="s">
        <v>491</v>
      </c>
      <c r="L2390">
        <v>43229</v>
      </c>
      <c r="M2390" t="s">
        <v>145</v>
      </c>
      <c r="N2390" t="s">
        <v>7614</v>
      </c>
      <c r="O2390" t="s">
        <v>70</v>
      </c>
      <c r="P2390" t="s">
        <v>675</v>
      </c>
      <c r="Q2390" t="s">
        <v>7615</v>
      </c>
      <c r="R2390">
        <v>30.344999999999999</v>
      </c>
      <c r="S2390">
        <v>7</v>
      </c>
      <c r="T2390">
        <v>0.7</v>
      </c>
      <c r="U2390">
        <v>-24.276</v>
      </c>
      <c r="V2390" t="str">
        <f t="shared" si="37"/>
        <v>Chloris Kastensmidt</v>
      </c>
      <c r="W2390">
        <f>Table2[Profit]/Table2[Sales]</f>
        <v>-0.8</v>
      </c>
    </row>
    <row r="2391" spans="1:23" x14ac:dyDescent="0.25">
      <c r="A2391">
        <v>2390</v>
      </c>
      <c r="B2391" t="s">
        <v>7616</v>
      </c>
      <c r="C2391" s="1">
        <v>43051</v>
      </c>
      <c r="D2391" s="1">
        <v>43054</v>
      </c>
      <c r="E2391" t="s">
        <v>185</v>
      </c>
      <c r="F2391" t="s">
        <v>4415</v>
      </c>
      <c r="G2391" t="s">
        <v>4416</v>
      </c>
      <c r="H2391" t="s">
        <v>40</v>
      </c>
      <c r="I2391" t="s">
        <v>26</v>
      </c>
      <c r="J2391" t="s">
        <v>41</v>
      </c>
      <c r="K2391" t="s">
        <v>42</v>
      </c>
      <c r="L2391">
        <v>90036</v>
      </c>
      <c r="M2391" t="s">
        <v>43</v>
      </c>
      <c r="N2391" t="s">
        <v>965</v>
      </c>
      <c r="O2391" t="s">
        <v>45</v>
      </c>
      <c r="P2391" t="s">
        <v>74</v>
      </c>
      <c r="Q2391" t="s">
        <v>966</v>
      </c>
      <c r="R2391">
        <v>14.016</v>
      </c>
      <c r="S2391">
        <v>4</v>
      </c>
      <c r="T2391">
        <v>0.2</v>
      </c>
      <c r="U2391">
        <v>4.9055999999999997</v>
      </c>
      <c r="V2391" t="str">
        <f t="shared" si="37"/>
        <v>Jim Epp</v>
      </c>
      <c r="W2391">
        <f>Table2[Profit]/Table2[Sales]</f>
        <v>0.35</v>
      </c>
    </row>
    <row r="2392" spans="1:23" x14ac:dyDescent="0.25">
      <c r="A2392">
        <v>2391</v>
      </c>
      <c r="B2392" t="s">
        <v>7617</v>
      </c>
      <c r="C2392" s="1">
        <v>41944</v>
      </c>
      <c r="D2392" s="1">
        <v>41951</v>
      </c>
      <c r="E2392" t="s">
        <v>49</v>
      </c>
      <c r="F2392" t="s">
        <v>6479</v>
      </c>
      <c r="G2392" t="s">
        <v>6480</v>
      </c>
      <c r="H2392" t="s">
        <v>40</v>
      </c>
      <c r="I2392" t="s">
        <v>26</v>
      </c>
      <c r="J2392" t="s">
        <v>1450</v>
      </c>
      <c r="K2392" t="s">
        <v>28</v>
      </c>
      <c r="L2392">
        <v>40475</v>
      </c>
      <c r="M2392" t="s">
        <v>29</v>
      </c>
      <c r="N2392" t="s">
        <v>4539</v>
      </c>
      <c r="O2392" t="s">
        <v>45</v>
      </c>
      <c r="P2392" t="s">
        <v>58</v>
      </c>
      <c r="Q2392" t="s">
        <v>4540</v>
      </c>
      <c r="R2392">
        <v>69.52</v>
      </c>
      <c r="S2392">
        <v>2</v>
      </c>
      <c r="T2392">
        <v>0</v>
      </c>
      <c r="U2392">
        <v>19.465599999999998</v>
      </c>
      <c r="V2392" t="str">
        <f t="shared" si="37"/>
        <v>Jack O'Briant</v>
      </c>
      <c r="W2392">
        <f>Table2[Profit]/Table2[Sales]</f>
        <v>0.27999999999999997</v>
      </c>
    </row>
    <row r="2393" spans="1:23" x14ac:dyDescent="0.25">
      <c r="A2393">
        <v>2392</v>
      </c>
      <c r="B2393" t="s">
        <v>7618</v>
      </c>
      <c r="C2393" s="1">
        <v>42505</v>
      </c>
      <c r="D2393" s="1">
        <v>42511</v>
      </c>
      <c r="E2393" t="s">
        <v>49</v>
      </c>
      <c r="F2393" t="s">
        <v>5499</v>
      </c>
      <c r="G2393" t="s">
        <v>5500</v>
      </c>
      <c r="H2393" t="s">
        <v>25</v>
      </c>
      <c r="I2393" t="s">
        <v>26</v>
      </c>
      <c r="J2393" t="s">
        <v>263</v>
      </c>
      <c r="K2393" t="s">
        <v>264</v>
      </c>
      <c r="L2393">
        <v>10035</v>
      </c>
      <c r="M2393" t="s">
        <v>145</v>
      </c>
      <c r="N2393" t="s">
        <v>4753</v>
      </c>
      <c r="O2393" t="s">
        <v>45</v>
      </c>
      <c r="P2393" t="s">
        <v>74</v>
      </c>
      <c r="Q2393" t="s">
        <v>4754</v>
      </c>
      <c r="R2393">
        <v>13.776</v>
      </c>
      <c r="S2393">
        <v>3</v>
      </c>
      <c r="T2393">
        <v>0.2</v>
      </c>
      <c r="U2393">
        <v>4.4771999999999998</v>
      </c>
      <c r="V2393" t="str">
        <f t="shared" si="37"/>
        <v>Thomas Thornton</v>
      </c>
      <c r="W2393">
        <f>Table2[Profit]/Table2[Sales]</f>
        <v>0.32500000000000001</v>
      </c>
    </row>
    <row r="2394" spans="1:23" x14ac:dyDescent="0.25">
      <c r="A2394">
        <v>2393</v>
      </c>
      <c r="B2394" t="s">
        <v>7619</v>
      </c>
      <c r="C2394" s="1">
        <v>41950</v>
      </c>
      <c r="D2394" s="1">
        <v>41955</v>
      </c>
      <c r="E2394" t="s">
        <v>49</v>
      </c>
      <c r="F2394" t="s">
        <v>2721</v>
      </c>
      <c r="G2394" t="s">
        <v>2722</v>
      </c>
      <c r="H2394" t="s">
        <v>25</v>
      </c>
      <c r="I2394" t="s">
        <v>26</v>
      </c>
      <c r="J2394" t="s">
        <v>7620</v>
      </c>
      <c r="K2394" t="s">
        <v>113</v>
      </c>
      <c r="L2394">
        <v>54401</v>
      </c>
      <c r="M2394" t="s">
        <v>104</v>
      </c>
      <c r="N2394" t="s">
        <v>5477</v>
      </c>
      <c r="O2394" t="s">
        <v>45</v>
      </c>
      <c r="P2394" t="s">
        <v>77</v>
      </c>
      <c r="Q2394" t="s">
        <v>5478</v>
      </c>
      <c r="R2394">
        <v>245.88</v>
      </c>
      <c r="S2394">
        <v>6</v>
      </c>
      <c r="T2394">
        <v>0</v>
      </c>
      <c r="U2394">
        <v>68.846400000000003</v>
      </c>
      <c r="V2394" t="str">
        <f t="shared" si="37"/>
        <v>Maribeth Schnelling</v>
      </c>
      <c r="W2394">
        <f>Table2[Profit]/Table2[Sales]</f>
        <v>0.28000000000000003</v>
      </c>
    </row>
    <row r="2395" spans="1:23" x14ac:dyDescent="0.25">
      <c r="A2395">
        <v>2394</v>
      </c>
      <c r="B2395" t="s">
        <v>7621</v>
      </c>
      <c r="C2395" s="1">
        <v>43013</v>
      </c>
      <c r="D2395" s="1">
        <v>43018</v>
      </c>
      <c r="E2395" t="s">
        <v>49</v>
      </c>
      <c r="F2395" t="s">
        <v>3996</v>
      </c>
      <c r="G2395" t="s">
        <v>3997</v>
      </c>
      <c r="H2395" t="s">
        <v>101</v>
      </c>
      <c r="I2395" t="s">
        <v>26</v>
      </c>
      <c r="J2395" t="s">
        <v>126</v>
      </c>
      <c r="K2395" t="s">
        <v>42</v>
      </c>
      <c r="L2395">
        <v>94110</v>
      </c>
      <c r="M2395" t="s">
        <v>43</v>
      </c>
      <c r="N2395" t="s">
        <v>4837</v>
      </c>
      <c r="O2395" t="s">
        <v>45</v>
      </c>
      <c r="P2395" t="s">
        <v>74</v>
      </c>
      <c r="Q2395" t="s">
        <v>4838</v>
      </c>
      <c r="R2395">
        <v>39.92</v>
      </c>
      <c r="S2395">
        <v>5</v>
      </c>
      <c r="T2395">
        <v>0.2</v>
      </c>
      <c r="U2395">
        <v>13.473000000000001</v>
      </c>
      <c r="V2395" t="str">
        <f t="shared" si="37"/>
        <v>Mike Pelletier</v>
      </c>
      <c r="W2395">
        <f>Table2[Profit]/Table2[Sales]</f>
        <v>0.33750000000000002</v>
      </c>
    </row>
    <row r="2396" spans="1:23" x14ac:dyDescent="0.25">
      <c r="A2396">
        <v>2395</v>
      </c>
      <c r="B2396" t="s">
        <v>7622</v>
      </c>
      <c r="C2396" s="1">
        <v>42887</v>
      </c>
      <c r="D2396" s="1">
        <v>42889</v>
      </c>
      <c r="E2396" t="s">
        <v>185</v>
      </c>
      <c r="F2396" t="s">
        <v>5756</v>
      </c>
      <c r="G2396" t="s">
        <v>5757</v>
      </c>
      <c r="H2396" t="s">
        <v>25</v>
      </c>
      <c r="I2396" t="s">
        <v>26</v>
      </c>
      <c r="J2396" t="s">
        <v>859</v>
      </c>
      <c r="K2396" t="s">
        <v>491</v>
      </c>
      <c r="L2396">
        <v>43017</v>
      </c>
      <c r="M2396" t="s">
        <v>145</v>
      </c>
      <c r="N2396" t="s">
        <v>3280</v>
      </c>
      <c r="O2396" t="s">
        <v>45</v>
      </c>
      <c r="P2396" t="s">
        <v>74</v>
      </c>
      <c r="Q2396" t="s">
        <v>3281</v>
      </c>
      <c r="R2396">
        <v>3.798</v>
      </c>
      <c r="S2396">
        <v>2</v>
      </c>
      <c r="T2396">
        <v>0.7</v>
      </c>
      <c r="U2396">
        <v>-2.6585999999999999</v>
      </c>
      <c r="V2396" t="str">
        <f t="shared" si="37"/>
        <v>Fred Harton</v>
      </c>
      <c r="W2396">
        <f>Table2[Profit]/Table2[Sales]</f>
        <v>-0.7</v>
      </c>
    </row>
    <row r="2397" spans="1:23" x14ac:dyDescent="0.25">
      <c r="A2397">
        <v>2396</v>
      </c>
      <c r="B2397" t="s">
        <v>7623</v>
      </c>
      <c r="C2397" s="1">
        <v>43059</v>
      </c>
      <c r="D2397" s="1">
        <v>43064</v>
      </c>
      <c r="E2397" t="s">
        <v>49</v>
      </c>
      <c r="F2397" t="s">
        <v>2760</v>
      </c>
      <c r="G2397" t="s">
        <v>2761</v>
      </c>
      <c r="H2397" t="s">
        <v>101</v>
      </c>
      <c r="I2397" t="s">
        <v>26</v>
      </c>
      <c r="J2397" t="s">
        <v>27</v>
      </c>
      <c r="K2397" t="s">
        <v>28</v>
      </c>
      <c r="L2397">
        <v>42420</v>
      </c>
      <c r="M2397" t="s">
        <v>29</v>
      </c>
      <c r="N2397" t="s">
        <v>419</v>
      </c>
      <c r="O2397" t="s">
        <v>31</v>
      </c>
      <c r="P2397" t="s">
        <v>64</v>
      </c>
      <c r="Q2397" t="s">
        <v>420</v>
      </c>
      <c r="R2397">
        <v>27.58</v>
      </c>
      <c r="S2397">
        <v>2</v>
      </c>
      <c r="T2397">
        <v>0</v>
      </c>
      <c r="U2397">
        <v>11.583600000000001</v>
      </c>
      <c r="V2397" t="str">
        <f t="shared" si="37"/>
        <v>Sample Company A</v>
      </c>
      <c r="W2397">
        <f>Table2[Profit]/Table2[Sales]</f>
        <v>0.42000000000000004</v>
      </c>
    </row>
    <row r="2398" spans="1:23" x14ac:dyDescent="0.25">
      <c r="A2398">
        <v>2397</v>
      </c>
      <c r="B2398" t="s">
        <v>7624</v>
      </c>
      <c r="C2398" s="1">
        <v>42727</v>
      </c>
      <c r="D2398" s="1">
        <v>42732</v>
      </c>
      <c r="E2398" t="s">
        <v>49</v>
      </c>
      <c r="F2398" t="s">
        <v>3183</v>
      </c>
      <c r="G2398" t="s">
        <v>3184</v>
      </c>
      <c r="H2398" t="s">
        <v>25</v>
      </c>
      <c r="I2398" t="s">
        <v>26</v>
      </c>
      <c r="J2398" t="s">
        <v>4524</v>
      </c>
      <c r="K2398" t="s">
        <v>491</v>
      </c>
      <c r="L2398">
        <v>43402</v>
      </c>
      <c r="M2398" t="s">
        <v>145</v>
      </c>
      <c r="N2398" t="s">
        <v>6167</v>
      </c>
      <c r="O2398" t="s">
        <v>45</v>
      </c>
      <c r="P2398" t="s">
        <v>74</v>
      </c>
      <c r="Q2398" t="s">
        <v>6168</v>
      </c>
      <c r="R2398">
        <v>5.5529999999999999</v>
      </c>
      <c r="S2398">
        <v>3</v>
      </c>
      <c r="T2398">
        <v>0.7</v>
      </c>
      <c r="U2398">
        <v>-4.0721999999999996</v>
      </c>
      <c r="V2398" t="str">
        <f t="shared" si="37"/>
        <v>Neoma Murray</v>
      </c>
      <c r="W2398">
        <f>Table2[Profit]/Table2[Sales]</f>
        <v>-0.73333333333333328</v>
      </c>
    </row>
    <row r="2399" spans="1:23" x14ac:dyDescent="0.25">
      <c r="A2399">
        <v>2398</v>
      </c>
      <c r="B2399" t="s">
        <v>7625</v>
      </c>
      <c r="C2399" s="1">
        <v>43007</v>
      </c>
      <c r="D2399" s="1">
        <v>43012</v>
      </c>
      <c r="E2399" t="s">
        <v>49</v>
      </c>
      <c r="F2399" t="s">
        <v>1041</v>
      </c>
      <c r="G2399" t="s">
        <v>1042</v>
      </c>
      <c r="H2399" t="s">
        <v>25</v>
      </c>
      <c r="I2399" t="s">
        <v>26</v>
      </c>
      <c r="J2399" t="s">
        <v>327</v>
      </c>
      <c r="K2399" t="s">
        <v>328</v>
      </c>
      <c r="L2399">
        <v>38109</v>
      </c>
      <c r="M2399" t="s">
        <v>29</v>
      </c>
      <c r="N2399" t="s">
        <v>3375</v>
      </c>
      <c r="O2399" t="s">
        <v>45</v>
      </c>
      <c r="P2399" t="s">
        <v>58</v>
      </c>
      <c r="Q2399" t="s">
        <v>3376</v>
      </c>
      <c r="R2399">
        <v>243.92</v>
      </c>
      <c r="S2399">
        <v>5</v>
      </c>
      <c r="T2399">
        <v>0.2</v>
      </c>
      <c r="U2399">
        <v>-54.881999999999998</v>
      </c>
      <c r="V2399" t="str">
        <f t="shared" si="37"/>
        <v>Jas O'Carroll</v>
      </c>
      <c r="W2399">
        <f>Table2[Profit]/Table2[Sales]</f>
        <v>-0.22500000000000001</v>
      </c>
    </row>
    <row r="2400" spans="1:23" x14ac:dyDescent="0.25">
      <c r="A2400">
        <v>2399</v>
      </c>
      <c r="B2400" t="s">
        <v>7626</v>
      </c>
      <c r="C2400" s="1">
        <v>42681</v>
      </c>
      <c r="D2400" s="1">
        <v>42683</v>
      </c>
      <c r="E2400" t="s">
        <v>185</v>
      </c>
      <c r="F2400" t="s">
        <v>6298</v>
      </c>
      <c r="G2400" t="s">
        <v>6299</v>
      </c>
      <c r="H2400" t="s">
        <v>25</v>
      </c>
      <c r="I2400" t="s">
        <v>26</v>
      </c>
      <c r="J2400" t="s">
        <v>1111</v>
      </c>
      <c r="K2400" t="s">
        <v>781</v>
      </c>
      <c r="L2400">
        <v>8701</v>
      </c>
      <c r="M2400" t="s">
        <v>145</v>
      </c>
      <c r="N2400" t="s">
        <v>3983</v>
      </c>
      <c r="O2400" t="s">
        <v>45</v>
      </c>
      <c r="P2400" t="s">
        <v>266</v>
      </c>
      <c r="Q2400" t="s">
        <v>3984</v>
      </c>
      <c r="R2400">
        <v>14.96</v>
      </c>
      <c r="S2400">
        <v>4</v>
      </c>
      <c r="T2400">
        <v>0</v>
      </c>
      <c r="U2400">
        <v>0.29920000000000002</v>
      </c>
      <c r="V2400" t="str">
        <f t="shared" si="37"/>
        <v>Cindy Chapman</v>
      </c>
      <c r="W2400">
        <f>Table2[Profit]/Table2[Sales]</f>
        <v>0.02</v>
      </c>
    </row>
    <row r="2401" spans="1:23" x14ac:dyDescent="0.25">
      <c r="A2401">
        <v>2400</v>
      </c>
      <c r="B2401" t="s">
        <v>7627</v>
      </c>
      <c r="C2401" s="1">
        <v>41733</v>
      </c>
      <c r="D2401" s="1">
        <v>41734</v>
      </c>
      <c r="E2401" t="s">
        <v>185</v>
      </c>
      <c r="F2401" t="s">
        <v>766</v>
      </c>
      <c r="G2401" t="s">
        <v>767</v>
      </c>
      <c r="H2401" t="s">
        <v>40</v>
      </c>
      <c r="I2401" t="s">
        <v>26</v>
      </c>
      <c r="J2401" t="s">
        <v>41</v>
      </c>
      <c r="K2401" t="s">
        <v>42</v>
      </c>
      <c r="L2401">
        <v>90008</v>
      </c>
      <c r="M2401" t="s">
        <v>43</v>
      </c>
      <c r="N2401" t="s">
        <v>1206</v>
      </c>
      <c r="O2401" t="s">
        <v>45</v>
      </c>
      <c r="P2401" t="s">
        <v>74</v>
      </c>
      <c r="Q2401" t="s">
        <v>1207</v>
      </c>
      <c r="R2401">
        <v>7.1840000000000002</v>
      </c>
      <c r="S2401">
        <v>2</v>
      </c>
      <c r="T2401">
        <v>0.2</v>
      </c>
      <c r="U2401">
        <v>2.2450000000000001</v>
      </c>
      <c r="V2401" t="str">
        <f t="shared" si="37"/>
        <v>Mary Zewe</v>
      </c>
      <c r="W2401">
        <f>Table2[Profit]/Table2[Sales]</f>
        <v>0.3125</v>
      </c>
    </row>
    <row r="2402" spans="1:23" x14ac:dyDescent="0.25">
      <c r="A2402">
        <v>2401</v>
      </c>
      <c r="B2402" t="s">
        <v>7628</v>
      </c>
      <c r="C2402" s="1">
        <v>42208</v>
      </c>
      <c r="D2402" s="1">
        <v>42211</v>
      </c>
      <c r="E2402" t="s">
        <v>22</v>
      </c>
      <c r="F2402" t="s">
        <v>1956</v>
      </c>
      <c r="G2402" t="s">
        <v>1957</v>
      </c>
      <c r="H2402" t="s">
        <v>25</v>
      </c>
      <c r="I2402" t="s">
        <v>26</v>
      </c>
      <c r="J2402" t="s">
        <v>382</v>
      </c>
      <c r="K2402" t="s">
        <v>264</v>
      </c>
      <c r="L2402">
        <v>14609</v>
      </c>
      <c r="M2402" t="s">
        <v>145</v>
      </c>
      <c r="N2402" t="s">
        <v>965</v>
      </c>
      <c r="O2402" t="s">
        <v>45</v>
      </c>
      <c r="P2402" t="s">
        <v>74</v>
      </c>
      <c r="Q2402" t="s">
        <v>966</v>
      </c>
      <c r="R2402">
        <v>10.512</v>
      </c>
      <c r="S2402">
        <v>3</v>
      </c>
      <c r="T2402">
        <v>0.2</v>
      </c>
      <c r="U2402">
        <v>3.6791999999999998</v>
      </c>
      <c r="V2402" t="str">
        <f t="shared" si="37"/>
        <v>Melanie Seite</v>
      </c>
      <c r="W2402">
        <f>Table2[Profit]/Table2[Sales]</f>
        <v>0.35</v>
      </c>
    </row>
    <row r="2403" spans="1:23" x14ac:dyDescent="0.25">
      <c r="A2403">
        <v>2402</v>
      </c>
      <c r="B2403" t="s">
        <v>7629</v>
      </c>
      <c r="C2403" s="1">
        <v>41815</v>
      </c>
      <c r="D2403" s="1">
        <v>41817</v>
      </c>
      <c r="E2403" t="s">
        <v>22</v>
      </c>
      <c r="F2403" t="s">
        <v>1165</v>
      </c>
      <c r="G2403" t="s">
        <v>1166</v>
      </c>
      <c r="H2403" t="s">
        <v>40</v>
      </c>
      <c r="I2403" t="s">
        <v>26</v>
      </c>
      <c r="J2403" t="s">
        <v>1948</v>
      </c>
      <c r="K2403" t="s">
        <v>413</v>
      </c>
      <c r="L2403">
        <v>97301</v>
      </c>
      <c r="M2403" t="s">
        <v>43</v>
      </c>
      <c r="N2403" t="s">
        <v>3088</v>
      </c>
      <c r="O2403" t="s">
        <v>70</v>
      </c>
      <c r="P2403" t="s">
        <v>71</v>
      </c>
      <c r="Q2403" t="s">
        <v>3089</v>
      </c>
      <c r="R2403">
        <v>263.95999999999998</v>
      </c>
      <c r="S2403">
        <v>5</v>
      </c>
      <c r="T2403">
        <v>0.2</v>
      </c>
      <c r="U2403">
        <v>19.797000000000001</v>
      </c>
      <c r="V2403" t="str">
        <f t="shared" si="37"/>
        <v>Grace Kelly</v>
      </c>
      <c r="W2403">
        <f>Table2[Profit]/Table2[Sales]</f>
        <v>7.5000000000000011E-2</v>
      </c>
    </row>
    <row r="2404" spans="1:23" x14ac:dyDescent="0.25">
      <c r="A2404">
        <v>2403</v>
      </c>
      <c r="B2404" t="s">
        <v>7630</v>
      </c>
      <c r="C2404" s="1">
        <v>41890</v>
      </c>
      <c r="D2404" s="1">
        <v>41896</v>
      </c>
      <c r="E2404" t="s">
        <v>49</v>
      </c>
      <c r="F2404" t="s">
        <v>4180</v>
      </c>
      <c r="G2404" t="s">
        <v>4181</v>
      </c>
      <c r="H2404" t="s">
        <v>25</v>
      </c>
      <c r="I2404" t="s">
        <v>26</v>
      </c>
      <c r="J2404" t="s">
        <v>7631</v>
      </c>
      <c r="K2404" t="s">
        <v>95</v>
      </c>
      <c r="L2404">
        <v>99301</v>
      </c>
      <c r="M2404" t="s">
        <v>43</v>
      </c>
      <c r="N2404" t="s">
        <v>1626</v>
      </c>
      <c r="O2404" t="s">
        <v>45</v>
      </c>
      <c r="P2404" t="s">
        <v>67</v>
      </c>
      <c r="Q2404" t="s">
        <v>1627</v>
      </c>
      <c r="R2404">
        <v>5.88</v>
      </c>
      <c r="S2404">
        <v>2</v>
      </c>
      <c r="T2404">
        <v>0</v>
      </c>
      <c r="U2404">
        <v>2.6459999999999999</v>
      </c>
      <c r="V2404" t="str">
        <f t="shared" si="37"/>
        <v>Marc Crier</v>
      </c>
      <c r="W2404">
        <f>Table2[Profit]/Table2[Sales]</f>
        <v>0.45</v>
      </c>
    </row>
    <row r="2405" spans="1:23" x14ac:dyDescent="0.25">
      <c r="A2405">
        <v>2404</v>
      </c>
      <c r="B2405" t="s">
        <v>7632</v>
      </c>
      <c r="C2405" s="1">
        <v>41985</v>
      </c>
      <c r="D2405" s="1">
        <v>41988</v>
      </c>
      <c r="E2405" t="s">
        <v>22</v>
      </c>
      <c r="F2405" t="s">
        <v>934</v>
      </c>
      <c r="G2405" t="s">
        <v>935</v>
      </c>
      <c r="H2405" t="s">
        <v>25</v>
      </c>
      <c r="I2405" t="s">
        <v>26</v>
      </c>
      <c r="J2405" t="s">
        <v>3145</v>
      </c>
      <c r="K2405" t="s">
        <v>42</v>
      </c>
      <c r="L2405">
        <v>94601</v>
      </c>
      <c r="M2405" t="s">
        <v>43</v>
      </c>
      <c r="N2405" t="s">
        <v>3872</v>
      </c>
      <c r="O2405" t="s">
        <v>31</v>
      </c>
      <c r="P2405" t="s">
        <v>64</v>
      </c>
      <c r="Q2405" t="s">
        <v>3873</v>
      </c>
      <c r="R2405">
        <v>12.54</v>
      </c>
      <c r="S2405">
        <v>3</v>
      </c>
      <c r="T2405">
        <v>0</v>
      </c>
      <c r="U2405">
        <v>4.5144000000000002</v>
      </c>
      <c r="V2405" t="str">
        <f t="shared" si="37"/>
        <v>Logan Haushalter</v>
      </c>
      <c r="W2405">
        <f>Table2[Profit]/Table2[Sales]</f>
        <v>0.36000000000000004</v>
      </c>
    </row>
    <row r="2406" spans="1:23" x14ac:dyDescent="0.25">
      <c r="A2406">
        <v>2405</v>
      </c>
      <c r="B2406" t="s">
        <v>7633</v>
      </c>
      <c r="C2406" s="1">
        <v>42017</v>
      </c>
      <c r="D2406" s="1">
        <v>42021</v>
      </c>
      <c r="E2406" t="s">
        <v>49</v>
      </c>
      <c r="F2406" t="s">
        <v>1445</v>
      </c>
      <c r="G2406" t="s">
        <v>1446</v>
      </c>
      <c r="H2406" t="s">
        <v>25</v>
      </c>
      <c r="I2406" t="s">
        <v>26</v>
      </c>
      <c r="J2406" t="s">
        <v>41</v>
      </c>
      <c r="K2406" t="s">
        <v>42</v>
      </c>
      <c r="L2406">
        <v>90004</v>
      </c>
      <c r="M2406" t="s">
        <v>43</v>
      </c>
      <c r="N2406" t="s">
        <v>2714</v>
      </c>
      <c r="O2406" t="s">
        <v>45</v>
      </c>
      <c r="P2406" t="s">
        <v>74</v>
      </c>
      <c r="Q2406" t="s">
        <v>2715</v>
      </c>
      <c r="R2406">
        <v>70.007999999999996</v>
      </c>
      <c r="S2406">
        <v>3</v>
      </c>
      <c r="T2406">
        <v>0.2</v>
      </c>
      <c r="U2406">
        <v>24.502800000000001</v>
      </c>
      <c r="V2406" t="str">
        <f t="shared" si="37"/>
        <v>Philip Brown</v>
      </c>
      <c r="W2406">
        <f>Table2[Profit]/Table2[Sales]</f>
        <v>0.35000000000000003</v>
      </c>
    </row>
    <row r="2407" spans="1:23" x14ac:dyDescent="0.25">
      <c r="A2407">
        <v>2406</v>
      </c>
      <c r="B2407" t="s">
        <v>7634</v>
      </c>
      <c r="C2407" s="1">
        <v>43084</v>
      </c>
      <c r="D2407" s="1">
        <v>43088</v>
      </c>
      <c r="E2407" t="s">
        <v>49</v>
      </c>
      <c r="F2407" t="s">
        <v>1385</v>
      </c>
      <c r="G2407" t="s">
        <v>1386</v>
      </c>
      <c r="H2407" t="s">
        <v>40</v>
      </c>
      <c r="I2407" t="s">
        <v>26</v>
      </c>
      <c r="J2407" t="s">
        <v>7635</v>
      </c>
      <c r="K2407" t="s">
        <v>208</v>
      </c>
      <c r="L2407">
        <v>60302</v>
      </c>
      <c r="M2407" t="s">
        <v>104</v>
      </c>
      <c r="N2407" t="s">
        <v>4143</v>
      </c>
      <c r="O2407" t="s">
        <v>45</v>
      </c>
      <c r="P2407" t="s">
        <v>67</v>
      </c>
      <c r="Q2407" t="s">
        <v>4144</v>
      </c>
      <c r="R2407">
        <v>10.192</v>
      </c>
      <c r="S2407">
        <v>7</v>
      </c>
      <c r="T2407">
        <v>0.2</v>
      </c>
      <c r="U2407">
        <v>1.0192000000000001</v>
      </c>
      <c r="V2407" t="str">
        <f t="shared" si="37"/>
        <v>Saphhira Shifley</v>
      </c>
      <c r="W2407">
        <f>Table2[Profit]/Table2[Sales]</f>
        <v>0.1</v>
      </c>
    </row>
    <row r="2408" spans="1:23" x14ac:dyDescent="0.25">
      <c r="A2408">
        <v>2407</v>
      </c>
      <c r="B2408" t="s">
        <v>7636</v>
      </c>
      <c r="C2408" s="1">
        <v>42722</v>
      </c>
      <c r="D2408" s="1">
        <v>42728</v>
      </c>
      <c r="E2408" t="s">
        <v>49</v>
      </c>
      <c r="F2408" t="s">
        <v>1165</v>
      </c>
      <c r="G2408" t="s">
        <v>1166</v>
      </c>
      <c r="H2408" t="s">
        <v>40</v>
      </c>
      <c r="I2408" t="s">
        <v>26</v>
      </c>
      <c r="J2408" t="s">
        <v>993</v>
      </c>
      <c r="K2408" t="s">
        <v>781</v>
      </c>
      <c r="L2408">
        <v>7960</v>
      </c>
      <c r="M2408" t="s">
        <v>145</v>
      </c>
      <c r="N2408" t="s">
        <v>4620</v>
      </c>
      <c r="O2408" t="s">
        <v>45</v>
      </c>
      <c r="P2408" t="s">
        <v>74</v>
      </c>
      <c r="Q2408" t="s">
        <v>4621</v>
      </c>
      <c r="R2408">
        <v>1793.98</v>
      </c>
      <c r="S2408">
        <v>2</v>
      </c>
      <c r="T2408">
        <v>0</v>
      </c>
      <c r="U2408">
        <v>843.17060000000004</v>
      </c>
      <c r="V2408" t="str">
        <f t="shared" si="37"/>
        <v>Grace Kelly</v>
      </c>
      <c r="W2408">
        <f>Table2[Profit]/Table2[Sales]</f>
        <v>0.47000000000000003</v>
      </c>
    </row>
    <row r="2409" spans="1:23" x14ac:dyDescent="0.25">
      <c r="A2409">
        <v>2408</v>
      </c>
      <c r="B2409" t="s">
        <v>7637</v>
      </c>
      <c r="C2409" s="1">
        <v>41740</v>
      </c>
      <c r="D2409" s="1">
        <v>41745</v>
      </c>
      <c r="E2409" t="s">
        <v>22</v>
      </c>
      <c r="F2409" t="s">
        <v>388</v>
      </c>
      <c r="G2409" t="s">
        <v>389</v>
      </c>
      <c r="H2409" t="s">
        <v>101</v>
      </c>
      <c r="I2409" t="s">
        <v>26</v>
      </c>
      <c r="J2409" t="s">
        <v>1225</v>
      </c>
      <c r="K2409" t="s">
        <v>103</v>
      </c>
      <c r="L2409">
        <v>78745</v>
      </c>
      <c r="M2409" t="s">
        <v>104</v>
      </c>
      <c r="N2409" t="s">
        <v>5448</v>
      </c>
      <c r="O2409" t="s">
        <v>70</v>
      </c>
      <c r="P2409" t="s">
        <v>71</v>
      </c>
      <c r="Q2409" t="s">
        <v>5449</v>
      </c>
      <c r="R2409">
        <v>758.35199999999998</v>
      </c>
      <c r="S2409">
        <v>6</v>
      </c>
      <c r="T2409">
        <v>0.2</v>
      </c>
      <c r="U2409">
        <v>265.42320000000001</v>
      </c>
      <c r="V2409" t="str">
        <f t="shared" si="37"/>
        <v>Gary Mitchum</v>
      </c>
      <c r="W2409">
        <f>Table2[Profit]/Table2[Sales]</f>
        <v>0.35000000000000003</v>
      </c>
    </row>
    <row r="2410" spans="1:23" x14ac:dyDescent="0.25">
      <c r="A2410">
        <v>2409</v>
      </c>
      <c r="B2410" t="s">
        <v>7638</v>
      </c>
      <c r="C2410" s="1">
        <v>42684</v>
      </c>
      <c r="D2410" s="1">
        <v>42688</v>
      </c>
      <c r="E2410" t="s">
        <v>49</v>
      </c>
      <c r="F2410" t="s">
        <v>578</v>
      </c>
      <c r="G2410" t="s">
        <v>579</v>
      </c>
      <c r="H2410" t="s">
        <v>40</v>
      </c>
      <c r="I2410" t="s">
        <v>26</v>
      </c>
      <c r="J2410" t="s">
        <v>263</v>
      </c>
      <c r="K2410" t="s">
        <v>264</v>
      </c>
      <c r="L2410">
        <v>10011</v>
      </c>
      <c r="M2410" t="s">
        <v>145</v>
      </c>
      <c r="N2410" t="s">
        <v>3784</v>
      </c>
      <c r="O2410" t="s">
        <v>45</v>
      </c>
      <c r="P2410" t="s">
        <v>74</v>
      </c>
      <c r="Q2410" t="s">
        <v>3785</v>
      </c>
      <c r="R2410">
        <v>20.367999999999999</v>
      </c>
      <c r="S2410">
        <v>1</v>
      </c>
      <c r="T2410">
        <v>0.2</v>
      </c>
      <c r="U2410">
        <v>7.3834</v>
      </c>
      <c r="V2410" t="str">
        <f t="shared" si="37"/>
        <v>Sally Hughsby</v>
      </c>
      <c r="W2410">
        <f>Table2[Profit]/Table2[Sales]</f>
        <v>0.36250000000000004</v>
      </c>
    </row>
    <row r="2411" spans="1:23" x14ac:dyDescent="0.25">
      <c r="A2411">
        <v>2410</v>
      </c>
      <c r="B2411" t="s">
        <v>7639</v>
      </c>
      <c r="C2411" s="1">
        <v>42912</v>
      </c>
      <c r="D2411" s="1">
        <v>42916</v>
      </c>
      <c r="E2411" t="s">
        <v>49</v>
      </c>
      <c r="F2411" t="s">
        <v>512</v>
      </c>
      <c r="G2411" t="s">
        <v>513</v>
      </c>
      <c r="H2411" t="s">
        <v>25</v>
      </c>
      <c r="I2411" t="s">
        <v>26</v>
      </c>
      <c r="J2411" t="s">
        <v>263</v>
      </c>
      <c r="K2411" t="s">
        <v>264</v>
      </c>
      <c r="L2411">
        <v>10024</v>
      </c>
      <c r="M2411" t="s">
        <v>145</v>
      </c>
      <c r="N2411" t="s">
        <v>1976</v>
      </c>
      <c r="O2411" t="s">
        <v>70</v>
      </c>
      <c r="P2411" t="s">
        <v>71</v>
      </c>
      <c r="Q2411" t="s">
        <v>1977</v>
      </c>
      <c r="R2411">
        <v>239.97</v>
      </c>
      <c r="S2411">
        <v>3</v>
      </c>
      <c r="T2411">
        <v>0</v>
      </c>
      <c r="U2411">
        <v>67.191599999999994</v>
      </c>
      <c r="V2411" t="str">
        <f t="shared" si="37"/>
        <v>Steven Cartwright</v>
      </c>
      <c r="W2411">
        <f>Table2[Profit]/Table2[Sales]</f>
        <v>0.27999999999999997</v>
      </c>
    </row>
    <row r="2412" spans="1:23" x14ac:dyDescent="0.25">
      <c r="A2412">
        <v>2411</v>
      </c>
      <c r="B2412" t="s">
        <v>7640</v>
      </c>
      <c r="C2412" s="1">
        <v>43052</v>
      </c>
      <c r="D2412" s="1">
        <v>43057</v>
      </c>
      <c r="E2412" t="s">
        <v>49</v>
      </c>
      <c r="F2412" t="s">
        <v>647</v>
      </c>
      <c r="G2412" t="s">
        <v>648</v>
      </c>
      <c r="H2412" t="s">
        <v>25</v>
      </c>
      <c r="I2412" t="s">
        <v>26</v>
      </c>
      <c r="J2412" t="s">
        <v>94</v>
      </c>
      <c r="K2412" t="s">
        <v>95</v>
      </c>
      <c r="L2412">
        <v>98103</v>
      </c>
      <c r="M2412" t="s">
        <v>43</v>
      </c>
      <c r="N2412" t="s">
        <v>1702</v>
      </c>
      <c r="O2412" t="s">
        <v>31</v>
      </c>
      <c r="P2412" t="s">
        <v>35</v>
      </c>
      <c r="Q2412" t="s">
        <v>1703</v>
      </c>
      <c r="R2412">
        <v>2404.7040000000002</v>
      </c>
      <c r="S2412">
        <v>6</v>
      </c>
      <c r="T2412">
        <v>0.2</v>
      </c>
      <c r="U2412">
        <v>150.29400000000001</v>
      </c>
      <c r="V2412" t="str">
        <f t="shared" si="37"/>
        <v>Ted Trevino</v>
      </c>
      <c r="W2412">
        <f>Table2[Profit]/Table2[Sales]</f>
        <v>6.25E-2</v>
      </c>
    </row>
    <row r="2413" spans="1:23" x14ac:dyDescent="0.25">
      <c r="A2413">
        <v>2412</v>
      </c>
      <c r="B2413" t="s">
        <v>7641</v>
      </c>
      <c r="C2413" s="1">
        <v>43063</v>
      </c>
      <c r="D2413" s="1">
        <v>43068</v>
      </c>
      <c r="E2413" t="s">
        <v>49</v>
      </c>
      <c r="F2413" t="s">
        <v>3807</v>
      </c>
      <c r="G2413" t="s">
        <v>3808</v>
      </c>
      <c r="H2413" t="s">
        <v>40</v>
      </c>
      <c r="I2413" t="s">
        <v>26</v>
      </c>
      <c r="J2413" t="s">
        <v>2439</v>
      </c>
      <c r="K2413" t="s">
        <v>144</v>
      </c>
      <c r="L2413">
        <v>17602</v>
      </c>
      <c r="M2413" t="s">
        <v>145</v>
      </c>
      <c r="N2413" t="s">
        <v>3545</v>
      </c>
      <c r="O2413" t="s">
        <v>70</v>
      </c>
      <c r="P2413" t="s">
        <v>71</v>
      </c>
      <c r="Q2413" t="s">
        <v>3546</v>
      </c>
      <c r="R2413">
        <v>89.988</v>
      </c>
      <c r="S2413">
        <v>2</v>
      </c>
      <c r="T2413">
        <v>0.4</v>
      </c>
      <c r="U2413">
        <v>-14.997999999999999</v>
      </c>
      <c r="V2413" t="str">
        <f t="shared" si="37"/>
        <v>Shaun Chance</v>
      </c>
      <c r="W2413">
        <f>Table2[Profit]/Table2[Sales]</f>
        <v>-0.16666666666666666</v>
      </c>
    </row>
    <row r="2414" spans="1:23" x14ac:dyDescent="0.25">
      <c r="A2414">
        <v>2413</v>
      </c>
      <c r="B2414" t="s">
        <v>7642</v>
      </c>
      <c r="C2414" s="1">
        <v>42878</v>
      </c>
      <c r="D2414" s="1">
        <v>42882</v>
      </c>
      <c r="E2414" t="s">
        <v>49</v>
      </c>
      <c r="F2414" t="s">
        <v>909</v>
      </c>
      <c r="G2414" t="s">
        <v>910</v>
      </c>
      <c r="H2414" t="s">
        <v>25</v>
      </c>
      <c r="I2414" t="s">
        <v>26</v>
      </c>
      <c r="J2414" t="s">
        <v>181</v>
      </c>
      <c r="K2414" t="s">
        <v>103</v>
      </c>
      <c r="L2414">
        <v>77095</v>
      </c>
      <c r="M2414" t="s">
        <v>104</v>
      </c>
      <c r="N2414" t="s">
        <v>7643</v>
      </c>
      <c r="O2414" t="s">
        <v>45</v>
      </c>
      <c r="P2414" t="s">
        <v>266</v>
      </c>
      <c r="Q2414" t="s">
        <v>7644</v>
      </c>
      <c r="R2414">
        <v>1.8240000000000001</v>
      </c>
      <c r="S2414">
        <v>2</v>
      </c>
      <c r="T2414">
        <v>0.2</v>
      </c>
      <c r="U2414">
        <v>0.61560000000000004</v>
      </c>
      <c r="V2414" t="str">
        <f t="shared" si="37"/>
        <v>Ken Lonsdale</v>
      </c>
      <c r="W2414">
        <f>Table2[Profit]/Table2[Sales]</f>
        <v>0.33750000000000002</v>
      </c>
    </row>
    <row r="2415" spans="1:23" x14ac:dyDescent="0.25">
      <c r="A2415">
        <v>2414</v>
      </c>
      <c r="B2415" t="s">
        <v>7645</v>
      </c>
      <c r="C2415" s="1">
        <v>41975</v>
      </c>
      <c r="D2415" s="1">
        <v>41980</v>
      </c>
      <c r="E2415" t="s">
        <v>49</v>
      </c>
      <c r="F2415" t="s">
        <v>3869</v>
      </c>
      <c r="G2415" t="s">
        <v>3870</v>
      </c>
      <c r="H2415" t="s">
        <v>40</v>
      </c>
      <c r="I2415" t="s">
        <v>26</v>
      </c>
      <c r="J2415" t="s">
        <v>490</v>
      </c>
      <c r="K2415" t="s">
        <v>491</v>
      </c>
      <c r="L2415">
        <v>43229</v>
      </c>
      <c r="M2415" t="s">
        <v>145</v>
      </c>
      <c r="N2415" t="s">
        <v>2054</v>
      </c>
      <c r="O2415" t="s">
        <v>70</v>
      </c>
      <c r="P2415" t="s">
        <v>158</v>
      </c>
      <c r="Q2415" t="s">
        <v>2055</v>
      </c>
      <c r="R2415">
        <v>119.8</v>
      </c>
      <c r="S2415">
        <v>5</v>
      </c>
      <c r="T2415">
        <v>0.2</v>
      </c>
      <c r="U2415">
        <v>29.95</v>
      </c>
      <c r="V2415" t="str">
        <f t="shared" si="37"/>
        <v>Katherine Nockton</v>
      </c>
      <c r="W2415">
        <f>Table2[Profit]/Table2[Sales]</f>
        <v>0.25</v>
      </c>
    </row>
    <row r="2416" spans="1:23" x14ac:dyDescent="0.25">
      <c r="A2416">
        <v>2415</v>
      </c>
      <c r="B2416" t="s">
        <v>7646</v>
      </c>
      <c r="C2416" s="1">
        <v>41915</v>
      </c>
      <c r="D2416" s="1">
        <v>41921</v>
      </c>
      <c r="E2416" t="s">
        <v>49</v>
      </c>
      <c r="F2416" t="s">
        <v>2923</v>
      </c>
      <c r="G2416" t="s">
        <v>2924</v>
      </c>
      <c r="H2416" t="s">
        <v>101</v>
      </c>
      <c r="I2416" t="s">
        <v>26</v>
      </c>
      <c r="J2416" t="s">
        <v>366</v>
      </c>
      <c r="K2416" t="s">
        <v>87</v>
      </c>
      <c r="L2416">
        <v>27707</v>
      </c>
      <c r="M2416" t="s">
        <v>29</v>
      </c>
      <c r="N2416" t="s">
        <v>5789</v>
      </c>
      <c r="O2416" t="s">
        <v>45</v>
      </c>
      <c r="P2416" t="s">
        <v>58</v>
      </c>
      <c r="Q2416" t="s">
        <v>5790</v>
      </c>
      <c r="R2416">
        <v>61.567999999999998</v>
      </c>
      <c r="S2416">
        <v>2</v>
      </c>
      <c r="T2416">
        <v>0.2</v>
      </c>
      <c r="U2416">
        <v>4.6176000000000004</v>
      </c>
      <c r="V2416" t="str">
        <f t="shared" si="37"/>
        <v>Sara Luxemburg</v>
      </c>
      <c r="W2416">
        <f>Table2[Profit]/Table2[Sales]</f>
        <v>7.5000000000000011E-2</v>
      </c>
    </row>
    <row r="2417" spans="1:23" x14ac:dyDescent="0.25">
      <c r="A2417">
        <v>2416</v>
      </c>
      <c r="B2417" t="s">
        <v>7647</v>
      </c>
      <c r="C2417" s="1">
        <v>42580</v>
      </c>
      <c r="D2417" s="1">
        <v>42582</v>
      </c>
      <c r="E2417" t="s">
        <v>185</v>
      </c>
      <c r="F2417" t="s">
        <v>5386</v>
      </c>
      <c r="G2417" t="s">
        <v>5387</v>
      </c>
      <c r="H2417" t="s">
        <v>25</v>
      </c>
      <c r="I2417" t="s">
        <v>26</v>
      </c>
      <c r="J2417" t="s">
        <v>7648</v>
      </c>
      <c r="K2417" t="s">
        <v>53</v>
      </c>
      <c r="L2417">
        <v>32503</v>
      </c>
      <c r="M2417" t="s">
        <v>29</v>
      </c>
      <c r="N2417" t="s">
        <v>7585</v>
      </c>
      <c r="O2417" t="s">
        <v>45</v>
      </c>
      <c r="P2417" t="s">
        <v>74</v>
      </c>
      <c r="Q2417" t="s">
        <v>7586</v>
      </c>
      <c r="R2417">
        <v>2.214</v>
      </c>
      <c r="S2417">
        <v>3</v>
      </c>
      <c r="T2417">
        <v>0.7</v>
      </c>
      <c r="U2417">
        <v>-1.476</v>
      </c>
      <c r="V2417" t="str">
        <f t="shared" si="37"/>
        <v>Pierre Wener</v>
      </c>
      <c r="W2417">
        <f>Table2[Profit]/Table2[Sales]</f>
        <v>-0.66666666666666663</v>
      </c>
    </row>
    <row r="2418" spans="1:23" x14ac:dyDescent="0.25">
      <c r="A2418">
        <v>2417</v>
      </c>
      <c r="B2418" t="s">
        <v>7649</v>
      </c>
      <c r="C2418" s="1">
        <v>43041</v>
      </c>
      <c r="D2418" s="1">
        <v>43044</v>
      </c>
      <c r="E2418" t="s">
        <v>22</v>
      </c>
      <c r="F2418" t="s">
        <v>4430</v>
      </c>
      <c r="G2418" t="s">
        <v>4431</v>
      </c>
      <c r="H2418" t="s">
        <v>40</v>
      </c>
      <c r="I2418" t="s">
        <v>26</v>
      </c>
      <c r="J2418" t="s">
        <v>27</v>
      </c>
      <c r="K2418" t="s">
        <v>28</v>
      </c>
      <c r="L2418">
        <v>42420</v>
      </c>
      <c r="M2418" t="s">
        <v>29</v>
      </c>
      <c r="N2418" t="s">
        <v>6286</v>
      </c>
      <c r="O2418" t="s">
        <v>45</v>
      </c>
      <c r="P2418" t="s">
        <v>170</v>
      </c>
      <c r="Q2418" t="s">
        <v>6287</v>
      </c>
      <c r="R2418">
        <v>5.32</v>
      </c>
      <c r="S2418">
        <v>2</v>
      </c>
      <c r="T2418">
        <v>0</v>
      </c>
      <c r="U2418">
        <v>2.6067999999999998</v>
      </c>
      <c r="V2418" t="str">
        <f t="shared" si="37"/>
        <v>Thomas Boland</v>
      </c>
      <c r="W2418">
        <f>Table2[Profit]/Table2[Sales]</f>
        <v>0.48999999999999994</v>
      </c>
    </row>
    <row r="2419" spans="1:23" x14ac:dyDescent="0.25">
      <c r="A2419">
        <v>2418</v>
      </c>
      <c r="B2419" t="s">
        <v>7650</v>
      </c>
      <c r="C2419" s="1">
        <v>42802</v>
      </c>
      <c r="D2419" s="1">
        <v>42809</v>
      </c>
      <c r="E2419" t="s">
        <v>49</v>
      </c>
      <c r="F2419" t="s">
        <v>981</v>
      </c>
      <c r="G2419" t="s">
        <v>982</v>
      </c>
      <c r="H2419" t="s">
        <v>25</v>
      </c>
      <c r="I2419" t="s">
        <v>26</v>
      </c>
      <c r="J2419" t="s">
        <v>1857</v>
      </c>
      <c r="K2419" t="s">
        <v>42</v>
      </c>
      <c r="L2419">
        <v>92804</v>
      </c>
      <c r="M2419" t="s">
        <v>43</v>
      </c>
      <c r="N2419" t="s">
        <v>7142</v>
      </c>
      <c r="O2419" t="s">
        <v>45</v>
      </c>
      <c r="P2419" t="s">
        <v>74</v>
      </c>
      <c r="Q2419" t="s">
        <v>7143</v>
      </c>
      <c r="R2419">
        <v>171.2</v>
      </c>
      <c r="S2419">
        <v>5</v>
      </c>
      <c r="T2419">
        <v>0.2</v>
      </c>
      <c r="U2419">
        <v>64.2</v>
      </c>
      <c r="V2419" t="str">
        <f t="shared" si="37"/>
        <v>Alan Hwang</v>
      </c>
      <c r="W2419">
        <f>Table2[Profit]/Table2[Sales]</f>
        <v>0.37500000000000006</v>
      </c>
    </row>
    <row r="2420" spans="1:23" x14ac:dyDescent="0.25">
      <c r="A2420">
        <v>2419</v>
      </c>
      <c r="B2420" t="s">
        <v>7651</v>
      </c>
      <c r="C2420" s="1">
        <v>41989</v>
      </c>
      <c r="D2420" s="1">
        <v>41993</v>
      </c>
      <c r="E2420" t="s">
        <v>49</v>
      </c>
      <c r="F2420" t="s">
        <v>2296</v>
      </c>
      <c r="G2420" t="s">
        <v>2297</v>
      </c>
      <c r="H2420" t="s">
        <v>40</v>
      </c>
      <c r="I2420" t="s">
        <v>26</v>
      </c>
      <c r="J2420" t="s">
        <v>873</v>
      </c>
      <c r="K2420" t="s">
        <v>235</v>
      </c>
      <c r="L2420">
        <v>48227</v>
      </c>
      <c r="M2420" t="s">
        <v>104</v>
      </c>
      <c r="N2420" t="s">
        <v>4460</v>
      </c>
      <c r="O2420" t="s">
        <v>45</v>
      </c>
      <c r="P2420" t="s">
        <v>89</v>
      </c>
      <c r="Q2420" t="s">
        <v>4461</v>
      </c>
      <c r="R2420">
        <v>114.2</v>
      </c>
      <c r="S2420">
        <v>5</v>
      </c>
      <c r="T2420">
        <v>0</v>
      </c>
      <c r="U2420">
        <v>52.531999999999996</v>
      </c>
      <c r="V2420" t="str">
        <f t="shared" si="37"/>
        <v>Steve Chapman</v>
      </c>
      <c r="W2420">
        <f>Table2[Profit]/Table2[Sales]</f>
        <v>0.45999999999999996</v>
      </c>
    </row>
    <row r="2421" spans="1:23" x14ac:dyDescent="0.25">
      <c r="A2421">
        <v>2420</v>
      </c>
      <c r="B2421" t="s">
        <v>7652</v>
      </c>
      <c r="C2421" s="1">
        <v>42702</v>
      </c>
      <c r="D2421" s="1">
        <v>42705</v>
      </c>
      <c r="E2421" t="s">
        <v>22</v>
      </c>
      <c r="F2421" t="s">
        <v>4941</v>
      </c>
      <c r="G2421" t="s">
        <v>4942</v>
      </c>
      <c r="H2421" t="s">
        <v>40</v>
      </c>
      <c r="I2421" t="s">
        <v>26</v>
      </c>
      <c r="J2421" t="s">
        <v>7594</v>
      </c>
      <c r="K2421" t="s">
        <v>1260</v>
      </c>
      <c r="L2421">
        <v>30062</v>
      </c>
      <c r="M2421" t="s">
        <v>29</v>
      </c>
      <c r="N2421" t="s">
        <v>885</v>
      </c>
      <c r="O2421" t="s">
        <v>31</v>
      </c>
      <c r="P2421" t="s">
        <v>35</v>
      </c>
      <c r="Q2421" t="s">
        <v>886</v>
      </c>
      <c r="R2421">
        <v>182.67</v>
      </c>
      <c r="S2421">
        <v>3</v>
      </c>
      <c r="T2421">
        <v>0</v>
      </c>
      <c r="U2421">
        <v>52.974299999999999</v>
      </c>
      <c r="V2421" t="str">
        <f t="shared" si="37"/>
        <v>Randy Ferguson</v>
      </c>
      <c r="W2421">
        <f>Table2[Profit]/Table2[Sales]</f>
        <v>0.29000000000000004</v>
      </c>
    </row>
    <row r="2422" spans="1:23" x14ac:dyDescent="0.25">
      <c r="A2422">
        <v>2421</v>
      </c>
      <c r="B2422" t="s">
        <v>7653</v>
      </c>
      <c r="C2422" s="1">
        <v>42727</v>
      </c>
      <c r="D2422" s="1">
        <v>42734</v>
      </c>
      <c r="E2422" t="s">
        <v>49</v>
      </c>
      <c r="F2422" t="s">
        <v>4664</v>
      </c>
      <c r="G2422" t="s">
        <v>4665</v>
      </c>
      <c r="H2422" t="s">
        <v>40</v>
      </c>
      <c r="I2422" t="s">
        <v>26</v>
      </c>
      <c r="J2422" t="s">
        <v>94</v>
      </c>
      <c r="K2422" t="s">
        <v>95</v>
      </c>
      <c r="L2422">
        <v>98103</v>
      </c>
      <c r="M2422" t="s">
        <v>43</v>
      </c>
      <c r="N2422" t="s">
        <v>1734</v>
      </c>
      <c r="O2422" t="s">
        <v>45</v>
      </c>
      <c r="P2422" t="s">
        <v>67</v>
      </c>
      <c r="Q2422" t="s">
        <v>1735</v>
      </c>
      <c r="R2422">
        <v>8.82</v>
      </c>
      <c r="S2422">
        <v>3</v>
      </c>
      <c r="T2422">
        <v>0</v>
      </c>
      <c r="U2422">
        <v>2.5577999999999999</v>
      </c>
      <c r="V2422" t="str">
        <f t="shared" si="37"/>
        <v>Edward Hooks</v>
      </c>
      <c r="W2422">
        <f>Table2[Profit]/Table2[Sales]</f>
        <v>0.28999999999999998</v>
      </c>
    </row>
    <row r="2423" spans="1:23" x14ac:dyDescent="0.25">
      <c r="A2423">
        <v>2422</v>
      </c>
      <c r="B2423" t="s">
        <v>7656</v>
      </c>
      <c r="C2423" s="1">
        <v>41927</v>
      </c>
      <c r="D2423" s="1">
        <v>41929</v>
      </c>
      <c r="E2423" t="s">
        <v>185</v>
      </c>
      <c r="F2423" t="s">
        <v>5892</v>
      </c>
      <c r="G2423" t="s">
        <v>5893</v>
      </c>
      <c r="H2423" t="s">
        <v>25</v>
      </c>
      <c r="I2423" t="s">
        <v>26</v>
      </c>
      <c r="J2423" t="s">
        <v>3792</v>
      </c>
      <c r="K2423" t="s">
        <v>491</v>
      </c>
      <c r="L2423">
        <v>44134</v>
      </c>
      <c r="M2423" t="s">
        <v>145</v>
      </c>
      <c r="N2423" t="s">
        <v>5677</v>
      </c>
      <c r="O2423" t="s">
        <v>31</v>
      </c>
      <c r="P2423" t="s">
        <v>35</v>
      </c>
      <c r="Q2423" t="s">
        <v>5678</v>
      </c>
      <c r="R2423">
        <v>183.37200000000001</v>
      </c>
      <c r="S2423">
        <v>2</v>
      </c>
      <c r="T2423">
        <v>0.3</v>
      </c>
      <c r="U2423">
        <v>-7.8587999999999996</v>
      </c>
      <c r="V2423" t="str">
        <f t="shared" si="37"/>
        <v>Anna Chung</v>
      </c>
      <c r="W2423">
        <f>Table2[Profit]/Table2[Sales]</f>
        <v>-4.2857142857142851E-2</v>
      </c>
    </row>
    <row r="2424" spans="1:23" x14ac:dyDescent="0.25">
      <c r="A2424">
        <v>2423</v>
      </c>
      <c r="B2424" t="s">
        <v>7657</v>
      </c>
      <c r="C2424" s="1">
        <v>42604</v>
      </c>
      <c r="D2424" s="1">
        <v>42609</v>
      </c>
      <c r="E2424" t="s">
        <v>49</v>
      </c>
      <c r="F2424" t="s">
        <v>4057</v>
      </c>
      <c r="G2424" t="s">
        <v>4058</v>
      </c>
      <c r="H2424" t="s">
        <v>25</v>
      </c>
      <c r="I2424" t="s">
        <v>26</v>
      </c>
      <c r="J2424" t="s">
        <v>6092</v>
      </c>
      <c r="K2424" t="s">
        <v>413</v>
      </c>
      <c r="L2424">
        <v>97030</v>
      </c>
      <c r="M2424" t="s">
        <v>43</v>
      </c>
      <c r="N2424" t="s">
        <v>4072</v>
      </c>
      <c r="O2424" t="s">
        <v>45</v>
      </c>
      <c r="P2424" t="s">
        <v>74</v>
      </c>
      <c r="Q2424" t="s">
        <v>4073</v>
      </c>
      <c r="R2424">
        <v>26.352</v>
      </c>
      <c r="S2424">
        <v>8</v>
      </c>
      <c r="T2424">
        <v>0.7</v>
      </c>
      <c r="U2424">
        <v>-18.446400000000001</v>
      </c>
      <c r="V2424" t="str">
        <f t="shared" si="37"/>
        <v>Sheri Gordon</v>
      </c>
      <c r="W2424">
        <f>Table2[Profit]/Table2[Sales]</f>
        <v>-0.70000000000000007</v>
      </c>
    </row>
    <row r="2425" spans="1:23" x14ac:dyDescent="0.25">
      <c r="A2425">
        <v>2424</v>
      </c>
      <c r="B2425" t="s">
        <v>7658</v>
      </c>
      <c r="C2425" s="1">
        <v>43086</v>
      </c>
      <c r="D2425" s="1">
        <v>43090</v>
      </c>
      <c r="E2425" t="s">
        <v>49</v>
      </c>
      <c r="F2425" t="s">
        <v>997</v>
      </c>
      <c r="G2425" t="s">
        <v>998</v>
      </c>
      <c r="H2425" t="s">
        <v>40</v>
      </c>
      <c r="I2425" t="s">
        <v>26</v>
      </c>
      <c r="J2425" t="s">
        <v>1857</v>
      </c>
      <c r="K2425" t="s">
        <v>42</v>
      </c>
      <c r="L2425">
        <v>92804</v>
      </c>
      <c r="M2425" t="s">
        <v>43</v>
      </c>
      <c r="N2425" t="s">
        <v>2983</v>
      </c>
      <c r="O2425" t="s">
        <v>45</v>
      </c>
      <c r="P2425" t="s">
        <v>58</v>
      </c>
      <c r="Q2425" t="s">
        <v>2984</v>
      </c>
      <c r="R2425">
        <v>481.32</v>
      </c>
      <c r="S2425">
        <v>4</v>
      </c>
      <c r="T2425">
        <v>0</v>
      </c>
      <c r="U2425">
        <v>125.14319999999999</v>
      </c>
      <c r="V2425" t="str">
        <f t="shared" si="37"/>
        <v>Christine Abelman</v>
      </c>
      <c r="W2425">
        <f>Table2[Profit]/Table2[Sales]</f>
        <v>0.26</v>
      </c>
    </row>
    <row r="2426" spans="1:23" x14ac:dyDescent="0.25">
      <c r="A2426">
        <v>2425</v>
      </c>
      <c r="B2426" t="s">
        <v>7659</v>
      </c>
      <c r="C2426" s="1">
        <v>42801</v>
      </c>
      <c r="D2426" s="1">
        <v>42806</v>
      </c>
      <c r="E2426" t="s">
        <v>49</v>
      </c>
      <c r="F2426" t="s">
        <v>1117</v>
      </c>
      <c r="G2426" t="s">
        <v>1118</v>
      </c>
      <c r="H2426" t="s">
        <v>25</v>
      </c>
      <c r="I2426" t="s">
        <v>26</v>
      </c>
      <c r="J2426" t="s">
        <v>263</v>
      </c>
      <c r="K2426" t="s">
        <v>264</v>
      </c>
      <c r="L2426">
        <v>10035</v>
      </c>
      <c r="M2426" t="s">
        <v>145</v>
      </c>
      <c r="N2426" t="s">
        <v>3111</v>
      </c>
      <c r="O2426" t="s">
        <v>45</v>
      </c>
      <c r="P2426" t="s">
        <v>74</v>
      </c>
      <c r="Q2426" t="s">
        <v>3112</v>
      </c>
      <c r="R2426">
        <v>25.92</v>
      </c>
      <c r="S2426">
        <v>6</v>
      </c>
      <c r="T2426">
        <v>0.2</v>
      </c>
      <c r="U2426">
        <v>9.0719999999999992</v>
      </c>
      <c r="V2426" t="str">
        <f t="shared" si="37"/>
        <v>Shahid Hopkins</v>
      </c>
      <c r="W2426">
        <f>Table2[Profit]/Table2[Sales]</f>
        <v>0.34999999999999992</v>
      </c>
    </row>
    <row r="2427" spans="1:23" x14ac:dyDescent="0.25">
      <c r="A2427">
        <v>2426</v>
      </c>
      <c r="B2427" t="s">
        <v>7660</v>
      </c>
      <c r="C2427" s="1">
        <v>41974</v>
      </c>
      <c r="D2427" s="1">
        <v>41976</v>
      </c>
      <c r="E2427" t="s">
        <v>22</v>
      </c>
      <c r="F2427" t="s">
        <v>1755</v>
      </c>
      <c r="G2427" t="s">
        <v>1756</v>
      </c>
      <c r="H2427" t="s">
        <v>40</v>
      </c>
      <c r="I2427" t="s">
        <v>26</v>
      </c>
      <c r="J2427" t="s">
        <v>181</v>
      </c>
      <c r="K2427" t="s">
        <v>103</v>
      </c>
      <c r="L2427">
        <v>77070</v>
      </c>
      <c r="M2427" t="s">
        <v>104</v>
      </c>
      <c r="N2427" t="s">
        <v>2405</v>
      </c>
      <c r="O2427" t="s">
        <v>31</v>
      </c>
      <c r="P2427" t="s">
        <v>35</v>
      </c>
      <c r="Q2427" t="s">
        <v>2406</v>
      </c>
      <c r="R2427">
        <v>674.05799999999999</v>
      </c>
      <c r="S2427">
        <v>3</v>
      </c>
      <c r="T2427">
        <v>0.3</v>
      </c>
      <c r="U2427">
        <v>-19.258800000000001</v>
      </c>
      <c r="V2427" t="str">
        <f t="shared" si="37"/>
        <v>Matt Connell</v>
      </c>
      <c r="W2427">
        <f>Table2[Profit]/Table2[Sales]</f>
        <v>-2.8571428571428574E-2</v>
      </c>
    </row>
    <row r="2428" spans="1:23" x14ac:dyDescent="0.25">
      <c r="A2428">
        <v>2427</v>
      </c>
      <c r="B2428" t="s">
        <v>7661</v>
      </c>
      <c r="C2428" s="1">
        <v>41926</v>
      </c>
      <c r="D2428" s="1">
        <v>41928</v>
      </c>
      <c r="E2428" t="s">
        <v>22</v>
      </c>
      <c r="F2428" t="s">
        <v>4415</v>
      </c>
      <c r="G2428" t="s">
        <v>4416</v>
      </c>
      <c r="H2428" t="s">
        <v>40</v>
      </c>
      <c r="I2428" t="s">
        <v>26</v>
      </c>
      <c r="J2428" t="s">
        <v>86</v>
      </c>
      <c r="K2428" t="s">
        <v>2658</v>
      </c>
      <c r="L2428">
        <v>3301</v>
      </c>
      <c r="M2428" t="s">
        <v>145</v>
      </c>
      <c r="N2428" t="s">
        <v>6560</v>
      </c>
      <c r="O2428" t="s">
        <v>45</v>
      </c>
      <c r="P2428" t="s">
        <v>74</v>
      </c>
      <c r="Q2428" t="s">
        <v>6561</v>
      </c>
      <c r="R2428">
        <v>22.92</v>
      </c>
      <c r="S2428">
        <v>4</v>
      </c>
      <c r="T2428">
        <v>0</v>
      </c>
      <c r="U2428">
        <v>11.0016</v>
      </c>
      <c r="V2428" t="str">
        <f t="shared" si="37"/>
        <v>Jim Epp</v>
      </c>
      <c r="W2428">
        <f>Table2[Profit]/Table2[Sales]</f>
        <v>0.48</v>
      </c>
    </row>
    <row r="2429" spans="1:23" x14ac:dyDescent="0.25">
      <c r="A2429">
        <v>2428</v>
      </c>
      <c r="B2429" t="s">
        <v>7662</v>
      </c>
      <c r="C2429" s="1">
        <v>41961</v>
      </c>
      <c r="D2429" s="1">
        <v>41966</v>
      </c>
      <c r="E2429" t="s">
        <v>22</v>
      </c>
      <c r="F2429" t="s">
        <v>5772</v>
      </c>
      <c r="G2429" t="s">
        <v>5773</v>
      </c>
      <c r="H2429" t="s">
        <v>25</v>
      </c>
      <c r="I2429" t="s">
        <v>26</v>
      </c>
      <c r="J2429" t="s">
        <v>739</v>
      </c>
      <c r="K2429" t="s">
        <v>491</v>
      </c>
      <c r="L2429">
        <v>45014</v>
      </c>
      <c r="M2429" t="s">
        <v>145</v>
      </c>
      <c r="N2429" t="s">
        <v>4639</v>
      </c>
      <c r="O2429" t="s">
        <v>45</v>
      </c>
      <c r="P2429" t="s">
        <v>74</v>
      </c>
      <c r="Q2429" t="s">
        <v>4640</v>
      </c>
      <c r="R2429">
        <v>11.808</v>
      </c>
      <c r="S2429">
        <v>8</v>
      </c>
      <c r="T2429">
        <v>0.7</v>
      </c>
      <c r="U2429">
        <v>-8.6592000000000002</v>
      </c>
      <c r="V2429" t="str">
        <f t="shared" si="37"/>
        <v>MaryBeth Skach</v>
      </c>
      <c r="W2429">
        <f>Table2[Profit]/Table2[Sales]</f>
        <v>-0.73333333333333339</v>
      </c>
    </row>
    <row r="2430" spans="1:23" x14ac:dyDescent="0.25">
      <c r="A2430">
        <v>2429</v>
      </c>
      <c r="B2430" t="s">
        <v>7663</v>
      </c>
      <c r="C2430" s="1">
        <v>42749</v>
      </c>
      <c r="D2430" s="1">
        <v>42753</v>
      </c>
      <c r="E2430" t="s">
        <v>49</v>
      </c>
      <c r="F2430" t="s">
        <v>61</v>
      </c>
      <c r="G2430" t="s">
        <v>62</v>
      </c>
      <c r="H2430" t="s">
        <v>25</v>
      </c>
      <c r="I2430" t="s">
        <v>26</v>
      </c>
      <c r="J2430" t="s">
        <v>4783</v>
      </c>
      <c r="K2430" t="s">
        <v>328</v>
      </c>
      <c r="L2430">
        <v>37604</v>
      </c>
      <c r="M2430" t="s">
        <v>29</v>
      </c>
      <c r="N2430" t="s">
        <v>2258</v>
      </c>
      <c r="O2430" t="s">
        <v>45</v>
      </c>
      <c r="P2430" t="s">
        <v>170</v>
      </c>
      <c r="Q2430" t="s">
        <v>2259</v>
      </c>
      <c r="R2430">
        <v>18.335999999999999</v>
      </c>
      <c r="S2430">
        <v>3</v>
      </c>
      <c r="T2430">
        <v>0.2</v>
      </c>
      <c r="U2430">
        <v>6.6467999999999998</v>
      </c>
      <c r="V2430" t="str">
        <f t="shared" si="37"/>
        <v>Brosina Hoffman</v>
      </c>
      <c r="W2430">
        <f>Table2[Profit]/Table2[Sales]</f>
        <v>0.36250000000000004</v>
      </c>
    </row>
    <row r="2431" spans="1:23" x14ac:dyDescent="0.25">
      <c r="A2431">
        <v>2430</v>
      </c>
      <c r="B2431" t="s">
        <v>7664</v>
      </c>
      <c r="C2431" s="1">
        <v>42271</v>
      </c>
      <c r="D2431" s="1">
        <v>42273</v>
      </c>
      <c r="E2431" t="s">
        <v>22</v>
      </c>
      <c r="F2431" t="s">
        <v>2068</v>
      </c>
      <c r="G2431" t="s">
        <v>2069</v>
      </c>
      <c r="H2431" t="s">
        <v>25</v>
      </c>
      <c r="I2431" t="s">
        <v>26</v>
      </c>
      <c r="J2431" t="s">
        <v>94</v>
      </c>
      <c r="K2431" t="s">
        <v>95</v>
      </c>
      <c r="L2431">
        <v>98105</v>
      </c>
      <c r="M2431" t="s">
        <v>43</v>
      </c>
      <c r="N2431" t="s">
        <v>172</v>
      </c>
      <c r="O2431" t="s">
        <v>45</v>
      </c>
      <c r="P2431" t="s">
        <v>67</v>
      </c>
      <c r="Q2431" t="s">
        <v>173</v>
      </c>
      <c r="R2431">
        <v>35.96</v>
      </c>
      <c r="S2431">
        <v>2</v>
      </c>
      <c r="T2431">
        <v>0</v>
      </c>
      <c r="U2431">
        <v>10.4284</v>
      </c>
      <c r="V2431" t="str">
        <f t="shared" si="37"/>
        <v>Max Engle</v>
      </c>
      <c r="W2431">
        <f>Table2[Profit]/Table2[Sales]</f>
        <v>0.28999999999999998</v>
      </c>
    </row>
    <row r="2432" spans="1:23" x14ac:dyDescent="0.25">
      <c r="A2432">
        <v>2431</v>
      </c>
      <c r="B2432" t="s">
        <v>7665</v>
      </c>
      <c r="C2432" s="1">
        <v>43017</v>
      </c>
      <c r="D2432" s="1">
        <v>43019</v>
      </c>
      <c r="E2432" t="s">
        <v>22</v>
      </c>
      <c r="F2432" t="s">
        <v>792</v>
      </c>
      <c r="G2432" t="s">
        <v>793</v>
      </c>
      <c r="H2432" t="s">
        <v>25</v>
      </c>
      <c r="I2432" t="s">
        <v>26</v>
      </c>
      <c r="J2432" t="s">
        <v>7666</v>
      </c>
      <c r="K2432" t="s">
        <v>103</v>
      </c>
      <c r="L2432">
        <v>77573</v>
      </c>
      <c r="M2432" t="s">
        <v>104</v>
      </c>
      <c r="N2432" t="s">
        <v>1442</v>
      </c>
      <c r="O2432" t="s">
        <v>45</v>
      </c>
      <c r="P2432" t="s">
        <v>67</v>
      </c>
      <c r="Q2432" t="s">
        <v>1443</v>
      </c>
      <c r="R2432">
        <v>67.144000000000005</v>
      </c>
      <c r="S2432">
        <v>7</v>
      </c>
      <c r="T2432">
        <v>0.2</v>
      </c>
      <c r="U2432">
        <v>5.8750999999999998</v>
      </c>
      <c r="V2432" t="str">
        <f t="shared" si="37"/>
        <v>Maria Bertelson</v>
      </c>
      <c r="W2432">
        <f>Table2[Profit]/Table2[Sales]</f>
        <v>8.7499999999999994E-2</v>
      </c>
    </row>
    <row r="2433" spans="1:23" x14ac:dyDescent="0.25">
      <c r="A2433">
        <v>2432</v>
      </c>
      <c r="B2433" t="s">
        <v>7669</v>
      </c>
      <c r="C2433" s="1">
        <v>42371</v>
      </c>
      <c r="D2433" s="1">
        <v>42376</v>
      </c>
      <c r="E2433" t="s">
        <v>49</v>
      </c>
      <c r="F2433" t="s">
        <v>5225</v>
      </c>
      <c r="G2433" t="s">
        <v>5226</v>
      </c>
      <c r="H2433" t="s">
        <v>40</v>
      </c>
      <c r="I2433" t="s">
        <v>26</v>
      </c>
      <c r="J2433" t="s">
        <v>7670</v>
      </c>
      <c r="K2433" t="s">
        <v>2699</v>
      </c>
      <c r="L2433">
        <v>20877</v>
      </c>
      <c r="M2433" t="s">
        <v>145</v>
      </c>
      <c r="N2433" t="s">
        <v>1068</v>
      </c>
      <c r="O2433" t="s">
        <v>31</v>
      </c>
      <c r="P2433" t="s">
        <v>32</v>
      </c>
      <c r="Q2433" t="s">
        <v>1069</v>
      </c>
      <c r="R2433">
        <v>173.94</v>
      </c>
      <c r="S2433">
        <v>3</v>
      </c>
      <c r="T2433">
        <v>0</v>
      </c>
      <c r="U2433">
        <v>38.266800000000003</v>
      </c>
      <c r="V2433" t="str">
        <f t="shared" si="37"/>
        <v>Brendan Murry</v>
      </c>
      <c r="W2433">
        <f>Table2[Profit]/Table2[Sales]</f>
        <v>0.22000000000000003</v>
      </c>
    </row>
    <row r="2434" spans="1:23" x14ac:dyDescent="0.25">
      <c r="A2434">
        <v>2433</v>
      </c>
      <c r="B2434" t="s">
        <v>7671</v>
      </c>
      <c r="C2434" s="1">
        <v>42966</v>
      </c>
      <c r="D2434" s="1">
        <v>42970</v>
      </c>
      <c r="E2434" t="s">
        <v>49</v>
      </c>
      <c r="F2434" t="s">
        <v>5459</v>
      </c>
      <c r="G2434" t="s">
        <v>5460</v>
      </c>
      <c r="H2434" t="s">
        <v>25</v>
      </c>
      <c r="I2434" t="s">
        <v>26</v>
      </c>
      <c r="J2434" t="s">
        <v>296</v>
      </c>
      <c r="K2434" t="s">
        <v>208</v>
      </c>
      <c r="L2434">
        <v>60653</v>
      </c>
      <c r="M2434" t="s">
        <v>104</v>
      </c>
      <c r="N2434" t="s">
        <v>4753</v>
      </c>
      <c r="O2434" t="s">
        <v>45</v>
      </c>
      <c r="P2434" t="s">
        <v>74</v>
      </c>
      <c r="Q2434" t="s">
        <v>4754</v>
      </c>
      <c r="R2434">
        <v>2.2959999999999998</v>
      </c>
      <c r="S2434">
        <v>2</v>
      </c>
      <c r="T2434">
        <v>0.8</v>
      </c>
      <c r="U2434">
        <v>-3.9032</v>
      </c>
      <c r="V2434" t="str">
        <f t="shared" si="37"/>
        <v>Sonia Cooley</v>
      </c>
      <c r="W2434">
        <f>Table2[Profit]/Table2[Sales]</f>
        <v>-1.7000000000000002</v>
      </c>
    </row>
    <row r="2435" spans="1:23" x14ac:dyDescent="0.25">
      <c r="A2435">
        <v>2434</v>
      </c>
      <c r="B2435" t="s">
        <v>7672</v>
      </c>
      <c r="C2435" s="1">
        <v>43094</v>
      </c>
      <c r="D2435" s="1">
        <v>43098</v>
      </c>
      <c r="E2435" t="s">
        <v>22</v>
      </c>
      <c r="F2435" t="s">
        <v>3434</v>
      </c>
      <c r="G2435" t="s">
        <v>3435</v>
      </c>
      <c r="H2435" t="s">
        <v>101</v>
      </c>
      <c r="I2435" t="s">
        <v>26</v>
      </c>
      <c r="J2435" t="s">
        <v>1657</v>
      </c>
      <c r="K2435" t="s">
        <v>351</v>
      </c>
      <c r="L2435">
        <v>35810</v>
      </c>
      <c r="M2435" t="s">
        <v>29</v>
      </c>
      <c r="N2435" t="s">
        <v>7559</v>
      </c>
      <c r="O2435" t="s">
        <v>45</v>
      </c>
      <c r="P2435" t="s">
        <v>89</v>
      </c>
      <c r="Q2435" t="s">
        <v>7560</v>
      </c>
      <c r="R2435">
        <v>96.08</v>
      </c>
      <c r="S2435">
        <v>2</v>
      </c>
      <c r="T2435">
        <v>0</v>
      </c>
      <c r="U2435">
        <v>46.118400000000001</v>
      </c>
      <c r="V2435" t="str">
        <f t="shared" ref="V2435:V2498" si="38">TRIM(G2435)</f>
        <v>Mick Hernandez</v>
      </c>
      <c r="W2435">
        <f>Table2[Profit]/Table2[Sales]</f>
        <v>0.48000000000000004</v>
      </c>
    </row>
    <row r="2436" spans="1:23" x14ac:dyDescent="0.25">
      <c r="A2436">
        <v>2435</v>
      </c>
      <c r="B2436" t="s">
        <v>7673</v>
      </c>
      <c r="C2436" s="1">
        <v>42988</v>
      </c>
      <c r="D2436" s="1">
        <v>42991</v>
      </c>
      <c r="E2436" t="s">
        <v>185</v>
      </c>
      <c r="F2436" t="s">
        <v>7674</v>
      </c>
      <c r="G2436" t="s">
        <v>7675</v>
      </c>
      <c r="H2436" t="s">
        <v>40</v>
      </c>
      <c r="I2436" t="s">
        <v>26</v>
      </c>
      <c r="J2436" t="s">
        <v>1465</v>
      </c>
      <c r="K2436" t="s">
        <v>1233</v>
      </c>
      <c r="L2436">
        <v>1841</v>
      </c>
      <c r="M2436" t="s">
        <v>145</v>
      </c>
      <c r="N2436" t="s">
        <v>5976</v>
      </c>
      <c r="O2436" t="s">
        <v>45</v>
      </c>
      <c r="P2436" t="s">
        <v>67</v>
      </c>
      <c r="Q2436" t="s">
        <v>5977</v>
      </c>
      <c r="R2436">
        <v>14.88</v>
      </c>
      <c r="S2436">
        <v>2</v>
      </c>
      <c r="T2436">
        <v>0</v>
      </c>
      <c r="U2436">
        <v>3.72</v>
      </c>
      <c r="V2436" t="str">
        <f t="shared" si="38"/>
        <v>Alex Russell</v>
      </c>
      <c r="W2436">
        <f>Table2[Profit]/Table2[Sales]</f>
        <v>0.25</v>
      </c>
    </row>
    <row r="2437" spans="1:23" x14ac:dyDescent="0.25">
      <c r="A2437">
        <v>2436</v>
      </c>
      <c r="B2437" t="s">
        <v>7676</v>
      </c>
      <c r="C2437" s="1">
        <v>43027</v>
      </c>
      <c r="D2437" s="1">
        <v>43031</v>
      </c>
      <c r="E2437" t="s">
        <v>49</v>
      </c>
      <c r="F2437" t="s">
        <v>3037</v>
      </c>
      <c r="G2437" t="s">
        <v>3038</v>
      </c>
      <c r="H2437" t="s">
        <v>25</v>
      </c>
      <c r="I2437" t="s">
        <v>26</v>
      </c>
      <c r="J2437" t="s">
        <v>296</v>
      </c>
      <c r="K2437" t="s">
        <v>208</v>
      </c>
      <c r="L2437">
        <v>60623</v>
      </c>
      <c r="M2437" t="s">
        <v>104</v>
      </c>
      <c r="N2437" t="s">
        <v>3699</v>
      </c>
      <c r="O2437" t="s">
        <v>31</v>
      </c>
      <c r="P2437" t="s">
        <v>55</v>
      </c>
      <c r="Q2437" t="s">
        <v>3700</v>
      </c>
      <c r="R2437">
        <v>91.275000000000006</v>
      </c>
      <c r="S2437">
        <v>1</v>
      </c>
      <c r="T2437">
        <v>0.5</v>
      </c>
      <c r="U2437">
        <v>-67.543499999999995</v>
      </c>
      <c r="V2437" t="str">
        <f t="shared" si="38"/>
        <v>Mary O'Rourke</v>
      </c>
      <c r="W2437">
        <f>Table2[Profit]/Table2[Sales]</f>
        <v>-0.73999999999999988</v>
      </c>
    </row>
    <row r="2438" spans="1:23" x14ac:dyDescent="0.25">
      <c r="A2438">
        <v>2437</v>
      </c>
      <c r="B2438" t="s">
        <v>7677</v>
      </c>
      <c r="C2438" s="1">
        <v>43070</v>
      </c>
      <c r="D2438" s="1">
        <v>43075</v>
      </c>
      <c r="E2438" t="s">
        <v>49</v>
      </c>
      <c r="F2438" t="s">
        <v>524</v>
      </c>
      <c r="G2438" t="s">
        <v>525</v>
      </c>
      <c r="H2438" t="s">
        <v>101</v>
      </c>
      <c r="I2438" t="s">
        <v>26</v>
      </c>
      <c r="J2438" t="s">
        <v>739</v>
      </c>
      <c r="K2438" t="s">
        <v>740</v>
      </c>
      <c r="L2438">
        <v>6824</v>
      </c>
      <c r="M2438" t="s">
        <v>145</v>
      </c>
      <c r="N2438" t="s">
        <v>4685</v>
      </c>
      <c r="O2438" t="s">
        <v>45</v>
      </c>
      <c r="P2438" t="s">
        <v>89</v>
      </c>
      <c r="Q2438" t="s">
        <v>4686</v>
      </c>
      <c r="R2438">
        <v>19.440000000000001</v>
      </c>
      <c r="S2438">
        <v>3</v>
      </c>
      <c r="T2438">
        <v>0</v>
      </c>
      <c r="U2438">
        <v>9.3312000000000008</v>
      </c>
      <c r="V2438" t="str">
        <f t="shared" si="38"/>
        <v>Alan Dominguez</v>
      </c>
      <c r="W2438">
        <f>Table2[Profit]/Table2[Sales]</f>
        <v>0.48000000000000004</v>
      </c>
    </row>
    <row r="2439" spans="1:23" x14ac:dyDescent="0.25">
      <c r="A2439">
        <v>2438</v>
      </c>
      <c r="B2439" t="s">
        <v>7678</v>
      </c>
      <c r="C2439" s="1">
        <v>41884</v>
      </c>
      <c r="D2439" s="1">
        <v>41885</v>
      </c>
      <c r="E2439" t="s">
        <v>185</v>
      </c>
      <c r="F2439" t="s">
        <v>422</v>
      </c>
      <c r="G2439" t="s">
        <v>423</v>
      </c>
      <c r="H2439" t="s">
        <v>25</v>
      </c>
      <c r="I2439" t="s">
        <v>26</v>
      </c>
      <c r="J2439" t="s">
        <v>263</v>
      </c>
      <c r="K2439" t="s">
        <v>264</v>
      </c>
      <c r="L2439">
        <v>10009</v>
      </c>
      <c r="M2439" t="s">
        <v>145</v>
      </c>
      <c r="N2439" t="s">
        <v>1302</v>
      </c>
      <c r="O2439" t="s">
        <v>45</v>
      </c>
      <c r="P2439" t="s">
        <v>67</v>
      </c>
      <c r="Q2439" t="s">
        <v>1303</v>
      </c>
      <c r="R2439">
        <v>57.75</v>
      </c>
      <c r="S2439">
        <v>5</v>
      </c>
      <c r="T2439">
        <v>0</v>
      </c>
      <c r="U2439">
        <v>16.170000000000002</v>
      </c>
      <c r="V2439" t="str">
        <f t="shared" si="38"/>
        <v>Katherine Ducich</v>
      </c>
      <c r="W2439">
        <f>Table2[Profit]/Table2[Sales]</f>
        <v>0.28000000000000003</v>
      </c>
    </row>
    <row r="2440" spans="1:23" x14ac:dyDescent="0.25">
      <c r="A2440">
        <v>2439</v>
      </c>
      <c r="B2440" t="s">
        <v>7679</v>
      </c>
      <c r="C2440" s="1">
        <v>42819</v>
      </c>
      <c r="D2440" s="1">
        <v>42824</v>
      </c>
      <c r="E2440" t="s">
        <v>49</v>
      </c>
      <c r="F2440" t="s">
        <v>4337</v>
      </c>
      <c r="G2440" t="s">
        <v>4338</v>
      </c>
      <c r="H2440" t="s">
        <v>40</v>
      </c>
      <c r="I2440" t="s">
        <v>26</v>
      </c>
      <c r="J2440" t="s">
        <v>94</v>
      </c>
      <c r="K2440" t="s">
        <v>95</v>
      </c>
      <c r="L2440">
        <v>98103</v>
      </c>
      <c r="M2440" t="s">
        <v>43</v>
      </c>
      <c r="N2440" t="s">
        <v>4613</v>
      </c>
      <c r="O2440" t="s">
        <v>45</v>
      </c>
      <c r="P2440" t="s">
        <v>67</v>
      </c>
      <c r="Q2440" t="s">
        <v>4614</v>
      </c>
      <c r="R2440">
        <v>23.1</v>
      </c>
      <c r="S2440">
        <v>2</v>
      </c>
      <c r="T2440">
        <v>0</v>
      </c>
      <c r="U2440">
        <v>6.93</v>
      </c>
      <c r="V2440" t="str">
        <f t="shared" si="38"/>
        <v>Filia McAdams</v>
      </c>
      <c r="W2440">
        <f>Table2[Profit]/Table2[Sales]</f>
        <v>0.3</v>
      </c>
    </row>
    <row r="2441" spans="1:23" x14ac:dyDescent="0.25">
      <c r="A2441">
        <v>2440</v>
      </c>
      <c r="B2441" t="s">
        <v>7680</v>
      </c>
      <c r="C2441" s="1">
        <v>42275</v>
      </c>
      <c r="D2441" s="1">
        <v>42281</v>
      </c>
      <c r="E2441" t="s">
        <v>49</v>
      </c>
      <c r="F2441" t="s">
        <v>1946</v>
      </c>
      <c r="G2441" t="s">
        <v>1947</v>
      </c>
      <c r="H2441" t="s">
        <v>25</v>
      </c>
      <c r="I2441" t="s">
        <v>26</v>
      </c>
      <c r="J2441" t="s">
        <v>449</v>
      </c>
      <c r="K2441" t="s">
        <v>450</v>
      </c>
      <c r="L2441">
        <v>80013</v>
      </c>
      <c r="M2441" t="s">
        <v>43</v>
      </c>
      <c r="N2441" t="s">
        <v>5465</v>
      </c>
      <c r="O2441" t="s">
        <v>45</v>
      </c>
      <c r="P2441" t="s">
        <v>170</v>
      </c>
      <c r="Q2441" t="s">
        <v>5466</v>
      </c>
      <c r="R2441">
        <v>12.536</v>
      </c>
      <c r="S2441">
        <v>1</v>
      </c>
      <c r="T2441">
        <v>0.2</v>
      </c>
      <c r="U2441">
        <v>4.2309000000000001</v>
      </c>
      <c r="V2441" t="str">
        <f t="shared" si="38"/>
        <v>Zuschuss Carroll</v>
      </c>
      <c r="W2441">
        <f>Table2[Profit]/Table2[Sales]</f>
        <v>0.33750000000000002</v>
      </c>
    </row>
    <row r="2442" spans="1:23" x14ac:dyDescent="0.25">
      <c r="A2442">
        <v>2441</v>
      </c>
      <c r="B2442" t="s">
        <v>7681</v>
      </c>
      <c r="C2442" s="1">
        <v>42078</v>
      </c>
      <c r="D2442" s="1">
        <v>42084</v>
      </c>
      <c r="E2442" t="s">
        <v>49</v>
      </c>
      <c r="F2442" t="s">
        <v>7682</v>
      </c>
      <c r="G2442" t="s">
        <v>7683</v>
      </c>
      <c r="H2442" t="s">
        <v>40</v>
      </c>
      <c r="I2442" t="s">
        <v>26</v>
      </c>
      <c r="J2442" t="s">
        <v>7684</v>
      </c>
      <c r="K2442" t="s">
        <v>120</v>
      </c>
      <c r="L2442">
        <v>84043</v>
      </c>
      <c r="M2442" t="s">
        <v>43</v>
      </c>
      <c r="N2442" t="s">
        <v>7685</v>
      </c>
      <c r="O2442" t="s">
        <v>70</v>
      </c>
      <c r="P2442" t="s">
        <v>71</v>
      </c>
      <c r="Q2442" t="s">
        <v>7686</v>
      </c>
      <c r="R2442">
        <v>16.776</v>
      </c>
      <c r="S2442">
        <v>3</v>
      </c>
      <c r="T2442">
        <v>0.2</v>
      </c>
      <c r="U2442">
        <v>1.6776</v>
      </c>
      <c r="V2442" t="str">
        <f t="shared" si="38"/>
        <v>Karen Seio</v>
      </c>
      <c r="W2442">
        <f>Table2[Profit]/Table2[Sales]</f>
        <v>0.1</v>
      </c>
    </row>
    <row r="2443" spans="1:23" x14ac:dyDescent="0.25">
      <c r="A2443">
        <v>2442</v>
      </c>
      <c r="B2443" t="s">
        <v>7687</v>
      </c>
      <c r="C2443" s="1">
        <v>42741</v>
      </c>
      <c r="D2443" s="1">
        <v>42748</v>
      </c>
      <c r="E2443" t="s">
        <v>49</v>
      </c>
      <c r="F2443" t="s">
        <v>4121</v>
      </c>
      <c r="G2443" t="s">
        <v>4122</v>
      </c>
      <c r="H2443" t="s">
        <v>101</v>
      </c>
      <c r="I2443" t="s">
        <v>26</v>
      </c>
      <c r="J2443" t="s">
        <v>7688</v>
      </c>
      <c r="K2443" t="s">
        <v>351</v>
      </c>
      <c r="L2443">
        <v>35401</v>
      </c>
      <c r="M2443" t="s">
        <v>29</v>
      </c>
      <c r="N2443" t="s">
        <v>2076</v>
      </c>
      <c r="O2443" t="s">
        <v>45</v>
      </c>
      <c r="P2443" t="s">
        <v>74</v>
      </c>
      <c r="Q2443" t="s">
        <v>2077</v>
      </c>
      <c r="R2443">
        <v>33.74</v>
      </c>
      <c r="S2443">
        <v>7</v>
      </c>
      <c r="T2443">
        <v>0</v>
      </c>
      <c r="U2443">
        <v>15.5204</v>
      </c>
      <c r="V2443" t="str">
        <f t="shared" si="38"/>
        <v>Dennis Pardue</v>
      </c>
      <c r="W2443">
        <f>Table2[Profit]/Table2[Sales]</f>
        <v>0.45999999999999996</v>
      </c>
    </row>
    <row r="2444" spans="1:23" x14ac:dyDescent="0.25">
      <c r="A2444">
        <v>2443</v>
      </c>
      <c r="B2444" t="s">
        <v>7689</v>
      </c>
      <c r="C2444" s="1">
        <v>41652</v>
      </c>
      <c r="D2444" s="1">
        <v>41657</v>
      </c>
      <c r="E2444" t="s">
        <v>49</v>
      </c>
      <c r="F2444" t="s">
        <v>1762</v>
      </c>
      <c r="G2444" t="s">
        <v>1763</v>
      </c>
      <c r="H2444" t="s">
        <v>25</v>
      </c>
      <c r="I2444" t="s">
        <v>26</v>
      </c>
      <c r="J2444" t="s">
        <v>126</v>
      </c>
      <c r="K2444" t="s">
        <v>42</v>
      </c>
      <c r="L2444">
        <v>94109</v>
      </c>
      <c r="M2444" t="s">
        <v>43</v>
      </c>
      <c r="N2444" t="s">
        <v>4897</v>
      </c>
      <c r="O2444" t="s">
        <v>45</v>
      </c>
      <c r="P2444" t="s">
        <v>58</v>
      </c>
      <c r="Q2444" t="s">
        <v>4898</v>
      </c>
      <c r="R2444">
        <v>1325.85</v>
      </c>
      <c r="S2444">
        <v>5</v>
      </c>
      <c r="T2444">
        <v>0</v>
      </c>
      <c r="U2444">
        <v>238.65299999999999</v>
      </c>
      <c r="V2444" t="str">
        <f t="shared" si="38"/>
        <v>Brian Dahlen</v>
      </c>
      <c r="W2444">
        <f>Table2[Profit]/Table2[Sales]</f>
        <v>0.18</v>
      </c>
    </row>
    <row r="2445" spans="1:23" x14ac:dyDescent="0.25">
      <c r="A2445">
        <v>2444</v>
      </c>
      <c r="B2445" t="s">
        <v>7690</v>
      </c>
      <c r="C2445" s="1">
        <v>42041</v>
      </c>
      <c r="D2445" s="1">
        <v>42048</v>
      </c>
      <c r="E2445" t="s">
        <v>49</v>
      </c>
      <c r="F2445" t="s">
        <v>5007</v>
      </c>
      <c r="G2445" t="s">
        <v>5008</v>
      </c>
      <c r="H2445" t="s">
        <v>25</v>
      </c>
      <c r="I2445" t="s">
        <v>26</v>
      </c>
      <c r="J2445" t="s">
        <v>514</v>
      </c>
      <c r="K2445" t="s">
        <v>242</v>
      </c>
      <c r="L2445">
        <v>19805</v>
      </c>
      <c r="M2445" t="s">
        <v>145</v>
      </c>
      <c r="N2445" t="s">
        <v>3426</v>
      </c>
      <c r="O2445" t="s">
        <v>31</v>
      </c>
      <c r="P2445" t="s">
        <v>35</v>
      </c>
      <c r="Q2445" t="s">
        <v>3427</v>
      </c>
      <c r="R2445">
        <v>1268.82</v>
      </c>
      <c r="S2445">
        <v>9</v>
      </c>
      <c r="T2445">
        <v>0</v>
      </c>
      <c r="U2445">
        <v>266.4522</v>
      </c>
      <c r="V2445" t="str">
        <f t="shared" si="38"/>
        <v>Ivan Liston</v>
      </c>
      <c r="W2445">
        <f>Table2[Profit]/Table2[Sales]</f>
        <v>0.21000000000000002</v>
      </c>
    </row>
    <row r="2446" spans="1:23" x14ac:dyDescent="0.25">
      <c r="A2446">
        <v>2445</v>
      </c>
      <c r="B2446" t="s">
        <v>7691</v>
      </c>
      <c r="C2446" s="1">
        <v>43090</v>
      </c>
      <c r="D2446" s="1">
        <v>43096</v>
      </c>
      <c r="E2446" t="s">
        <v>49</v>
      </c>
      <c r="F2446" t="s">
        <v>3576</v>
      </c>
      <c r="G2446" t="s">
        <v>3577</v>
      </c>
      <c r="H2446" t="s">
        <v>25</v>
      </c>
      <c r="I2446" t="s">
        <v>26</v>
      </c>
      <c r="J2446" t="s">
        <v>4182</v>
      </c>
      <c r="K2446" t="s">
        <v>251</v>
      </c>
      <c r="L2446">
        <v>47905</v>
      </c>
      <c r="M2446" t="s">
        <v>104</v>
      </c>
      <c r="N2446" t="s">
        <v>1745</v>
      </c>
      <c r="O2446" t="s">
        <v>45</v>
      </c>
      <c r="P2446" t="s">
        <v>58</v>
      </c>
      <c r="Q2446" t="s">
        <v>1746</v>
      </c>
      <c r="R2446">
        <v>375.34</v>
      </c>
      <c r="S2446">
        <v>1</v>
      </c>
      <c r="T2446">
        <v>0</v>
      </c>
      <c r="U2446">
        <v>18.766999999999999</v>
      </c>
      <c r="V2446" t="str">
        <f t="shared" si="38"/>
        <v>Liz Preis</v>
      </c>
      <c r="W2446">
        <f>Table2[Profit]/Table2[Sales]</f>
        <v>0.05</v>
      </c>
    </row>
    <row r="2447" spans="1:23" x14ac:dyDescent="0.25">
      <c r="A2447">
        <v>2446</v>
      </c>
      <c r="B2447" t="s">
        <v>7692</v>
      </c>
      <c r="C2447" s="1">
        <v>42618</v>
      </c>
      <c r="D2447" s="1">
        <v>42619</v>
      </c>
      <c r="E2447" t="s">
        <v>185</v>
      </c>
      <c r="F2447" t="s">
        <v>823</v>
      </c>
      <c r="G2447" t="s">
        <v>824</v>
      </c>
      <c r="H2447" t="s">
        <v>25</v>
      </c>
      <c r="I2447" t="s">
        <v>26</v>
      </c>
      <c r="J2447" t="s">
        <v>5845</v>
      </c>
      <c r="K2447" t="s">
        <v>42</v>
      </c>
      <c r="L2447">
        <v>90278</v>
      </c>
      <c r="M2447" t="s">
        <v>43</v>
      </c>
      <c r="N2447" t="s">
        <v>7559</v>
      </c>
      <c r="O2447" t="s">
        <v>45</v>
      </c>
      <c r="P2447" t="s">
        <v>89</v>
      </c>
      <c r="Q2447" t="s">
        <v>7560</v>
      </c>
      <c r="R2447">
        <v>96.08</v>
      </c>
      <c r="S2447">
        <v>2</v>
      </c>
      <c r="T2447">
        <v>0</v>
      </c>
      <c r="U2447">
        <v>46.118400000000001</v>
      </c>
      <c r="V2447" t="str">
        <f t="shared" si="38"/>
        <v>Joseph Holt</v>
      </c>
      <c r="W2447">
        <f>Table2[Profit]/Table2[Sales]</f>
        <v>0.48000000000000004</v>
      </c>
    </row>
    <row r="2448" spans="1:23" x14ac:dyDescent="0.25">
      <c r="A2448">
        <v>2447</v>
      </c>
      <c r="B2448" t="s">
        <v>7693</v>
      </c>
      <c r="C2448" s="1">
        <v>41916</v>
      </c>
      <c r="D2448" s="1">
        <v>41921</v>
      </c>
      <c r="E2448" t="s">
        <v>49</v>
      </c>
      <c r="F2448" t="s">
        <v>4730</v>
      </c>
      <c r="G2448" t="s">
        <v>4731</v>
      </c>
      <c r="H2448" t="s">
        <v>25</v>
      </c>
      <c r="I2448" t="s">
        <v>26</v>
      </c>
      <c r="J2448" t="s">
        <v>94</v>
      </c>
      <c r="K2448" t="s">
        <v>95</v>
      </c>
      <c r="L2448">
        <v>98115</v>
      </c>
      <c r="M2448" t="s">
        <v>43</v>
      </c>
      <c r="N2448" t="s">
        <v>642</v>
      </c>
      <c r="O2448" t="s">
        <v>45</v>
      </c>
      <c r="P2448" t="s">
        <v>46</v>
      </c>
      <c r="Q2448" t="s">
        <v>643</v>
      </c>
      <c r="R2448">
        <v>29.24</v>
      </c>
      <c r="S2448">
        <v>4</v>
      </c>
      <c r="T2448">
        <v>0</v>
      </c>
      <c r="U2448">
        <v>13.742800000000001</v>
      </c>
      <c r="V2448" t="str">
        <f t="shared" si="38"/>
        <v>Joy Daniels</v>
      </c>
      <c r="W2448">
        <f>Table2[Profit]/Table2[Sales]</f>
        <v>0.47000000000000003</v>
      </c>
    </row>
    <row r="2449" spans="1:23" x14ac:dyDescent="0.25">
      <c r="A2449">
        <v>2448</v>
      </c>
      <c r="B2449" t="s">
        <v>7694</v>
      </c>
      <c r="C2449" s="1">
        <v>43066</v>
      </c>
      <c r="D2449" s="1">
        <v>43071</v>
      </c>
      <c r="E2449" t="s">
        <v>49</v>
      </c>
      <c r="F2449" t="s">
        <v>1844</v>
      </c>
      <c r="G2449" t="s">
        <v>1845</v>
      </c>
      <c r="H2449" t="s">
        <v>25</v>
      </c>
      <c r="I2449" t="s">
        <v>26</v>
      </c>
      <c r="J2449" t="s">
        <v>41</v>
      </c>
      <c r="K2449" t="s">
        <v>42</v>
      </c>
      <c r="L2449">
        <v>90045</v>
      </c>
      <c r="M2449" t="s">
        <v>43</v>
      </c>
      <c r="N2449" t="s">
        <v>2070</v>
      </c>
      <c r="O2449" t="s">
        <v>45</v>
      </c>
      <c r="P2449" t="s">
        <v>74</v>
      </c>
      <c r="Q2449" t="s">
        <v>2071</v>
      </c>
      <c r="R2449">
        <v>117.488</v>
      </c>
      <c r="S2449">
        <v>7</v>
      </c>
      <c r="T2449">
        <v>0.2</v>
      </c>
      <c r="U2449">
        <v>41.120800000000003</v>
      </c>
      <c r="V2449" t="str">
        <f t="shared" si="38"/>
        <v>Bill Donatelli</v>
      </c>
      <c r="W2449">
        <f>Table2[Profit]/Table2[Sales]</f>
        <v>0.35000000000000003</v>
      </c>
    </row>
    <row r="2450" spans="1:23" x14ac:dyDescent="0.25">
      <c r="A2450">
        <v>2449</v>
      </c>
      <c r="B2450" t="s">
        <v>7695</v>
      </c>
      <c r="C2450" s="1">
        <v>42671</v>
      </c>
      <c r="D2450" s="1">
        <v>42675</v>
      </c>
      <c r="E2450" t="s">
        <v>22</v>
      </c>
      <c r="F2450" t="s">
        <v>5850</v>
      </c>
      <c r="G2450" t="s">
        <v>5851</v>
      </c>
      <c r="H2450" t="s">
        <v>25</v>
      </c>
      <c r="I2450" t="s">
        <v>26</v>
      </c>
      <c r="J2450" t="s">
        <v>263</v>
      </c>
      <c r="K2450" t="s">
        <v>264</v>
      </c>
      <c r="L2450">
        <v>10009</v>
      </c>
      <c r="M2450" t="s">
        <v>145</v>
      </c>
      <c r="N2450" t="s">
        <v>672</v>
      </c>
      <c r="O2450" t="s">
        <v>45</v>
      </c>
      <c r="P2450" t="s">
        <v>67</v>
      </c>
      <c r="Q2450" t="s">
        <v>673</v>
      </c>
      <c r="R2450">
        <v>12.42</v>
      </c>
      <c r="S2450">
        <v>3</v>
      </c>
      <c r="T2450">
        <v>0</v>
      </c>
      <c r="U2450">
        <v>5.2164000000000001</v>
      </c>
      <c r="V2450" t="str">
        <f t="shared" si="38"/>
        <v>Denise Leinenbach</v>
      </c>
      <c r="W2450">
        <f>Table2[Profit]/Table2[Sales]</f>
        <v>0.42000000000000004</v>
      </c>
    </row>
    <row r="2451" spans="1:23" x14ac:dyDescent="0.25">
      <c r="A2451">
        <v>2450</v>
      </c>
      <c r="B2451" t="s">
        <v>7696</v>
      </c>
      <c r="C2451" s="1">
        <v>42164</v>
      </c>
      <c r="D2451" s="1">
        <v>42168</v>
      </c>
      <c r="E2451" t="s">
        <v>49</v>
      </c>
      <c r="F2451" t="s">
        <v>6795</v>
      </c>
      <c r="G2451" t="s">
        <v>6796</v>
      </c>
      <c r="H2451" t="s">
        <v>25</v>
      </c>
      <c r="I2451" t="s">
        <v>26</v>
      </c>
      <c r="J2451" t="s">
        <v>3294</v>
      </c>
      <c r="K2451" t="s">
        <v>235</v>
      </c>
      <c r="L2451">
        <v>48073</v>
      </c>
      <c r="M2451" t="s">
        <v>104</v>
      </c>
      <c r="N2451" t="s">
        <v>397</v>
      </c>
      <c r="O2451" t="s">
        <v>45</v>
      </c>
      <c r="P2451" t="s">
        <v>89</v>
      </c>
      <c r="Q2451" t="s">
        <v>398</v>
      </c>
      <c r="R2451">
        <v>12.96</v>
      </c>
      <c r="S2451">
        <v>2</v>
      </c>
      <c r="T2451">
        <v>0</v>
      </c>
      <c r="U2451">
        <v>6.2207999999999997</v>
      </c>
      <c r="V2451" t="str">
        <f t="shared" si="38"/>
        <v>Nathan Cano</v>
      </c>
      <c r="W2451">
        <f>Table2[Profit]/Table2[Sales]</f>
        <v>0.47999999999999993</v>
      </c>
    </row>
    <row r="2452" spans="1:23" x14ac:dyDescent="0.25">
      <c r="A2452">
        <v>2451</v>
      </c>
      <c r="B2452" t="s">
        <v>7697</v>
      </c>
      <c r="C2452" s="1">
        <v>43077</v>
      </c>
      <c r="D2452" s="1">
        <v>43081</v>
      </c>
      <c r="E2452" t="s">
        <v>22</v>
      </c>
      <c r="F2452" t="s">
        <v>1100</v>
      </c>
      <c r="G2452" t="s">
        <v>1101</v>
      </c>
      <c r="H2452" t="s">
        <v>40</v>
      </c>
      <c r="I2452" t="s">
        <v>26</v>
      </c>
      <c r="J2452" t="s">
        <v>126</v>
      </c>
      <c r="K2452" t="s">
        <v>42</v>
      </c>
      <c r="L2452">
        <v>94109</v>
      </c>
      <c r="M2452" t="s">
        <v>43</v>
      </c>
      <c r="N2452" t="s">
        <v>7698</v>
      </c>
      <c r="O2452" t="s">
        <v>45</v>
      </c>
      <c r="P2452" t="s">
        <v>77</v>
      </c>
      <c r="Q2452" t="s">
        <v>7699</v>
      </c>
      <c r="R2452">
        <v>69.48</v>
      </c>
      <c r="S2452">
        <v>1</v>
      </c>
      <c r="T2452">
        <v>0</v>
      </c>
      <c r="U2452">
        <v>20.844000000000001</v>
      </c>
      <c r="V2452" t="str">
        <f t="shared" si="38"/>
        <v>Alan Schoenberger</v>
      </c>
      <c r="W2452">
        <f>Table2[Profit]/Table2[Sales]</f>
        <v>0.3</v>
      </c>
    </row>
    <row r="2453" spans="1:23" x14ac:dyDescent="0.25">
      <c r="A2453">
        <v>2452</v>
      </c>
      <c r="B2453" t="s">
        <v>7700</v>
      </c>
      <c r="C2453" s="1">
        <v>42079</v>
      </c>
      <c r="D2453" s="1">
        <v>42083</v>
      </c>
      <c r="E2453" t="s">
        <v>49</v>
      </c>
      <c r="F2453" t="s">
        <v>835</v>
      </c>
      <c r="G2453" t="s">
        <v>836</v>
      </c>
      <c r="H2453" t="s">
        <v>40</v>
      </c>
      <c r="I2453" t="s">
        <v>26</v>
      </c>
      <c r="J2453" t="s">
        <v>263</v>
      </c>
      <c r="K2453" t="s">
        <v>264</v>
      </c>
      <c r="L2453">
        <v>10009</v>
      </c>
      <c r="M2453" t="s">
        <v>145</v>
      </c>
      <c r="N2453" t="s">
        <v>5198</v>
      </c>
      <c r="O2453" t="s">
        <v>70</v>
      </c>
      <c r="P2453" t="s">
        <v>71</v>
      </c>
      <c r="Q2453" t="s">
        <v>5199</v>
      </c>
      <c r="R2453">
        <v>85.9</v>
      </c>
      <c r="S2453">
        <v>2</v>
      </c>
      <c r="T2453">
        <v>0</v>
      </c>
      <c r="U2453">
        <v>2.577</v>
      </c>
      <c r="V2453" t="str">
        <f t="shared" si="38"/>
        <v>Michael Stewart</v>
      </c>
      <c r="W2453">
        <f>Table2[Profit]/Table2[Sales]</f>
        <v>0.03</v>
      </c>
    </row>
    <row r="2454" spans="1:23" x14ac:dyDescent="0.25">
      <c r="A2454">
        <v>2453</v>
      </c>
      <c r="B2454" t="s">
        <v>7701</v>
      </c>
      <c r="C2454" s="1">
        <v>41799</v>
      </c>
      <c r="D2454" s="1">
        <v>41803</v>
      </c>
      <c r="E2454" t="s">
        <v>22</v>
      </c>
      <c r="F2454" t="s">
        <v>1133</v>
      </c>
      <c r="G2454" t="s">
        <v>1134</v>
      </c>
      <c r="H2454" t="s">
        <v>40</v>
      </c>
      <c r="I2454" t="s">
        <v>26</v>
      </c>
      <c r="J2454" t="s">
        <v>3961</v>
      </c>
      <c r="K2454" t="s">
        <v>1381</v>
      </c>
      <c r="L2454">
        <v>89031</v>
      </c>
      <c r="M2454" t="s">
        <v>43</v>
      </c>
      <c r="N2454" t="s">
        <v>2604</v>
      </c>
      <c r="O2454" t="s">
        <v>45</v>
      </c>
      <c r="P2454" t="s">
        <v>67</v>
      </c>
      <c r="Q2454" t="s">
        <v>2605</v>
      </c>
      <c r="R2454">
        <v>18.059999999999999</v>
      </c>
      <c r="S2454">
        <v>7</v>
      </c>
      <c r="T2454">
        <v>0</v>
      </c>
      <c r="U2454">
        <v>4.6955999999999998</v>
      </c>
      <c r="V2454" t="str">
        <f t="shared" si="38"/>
        <v>Thomas Seio</v>
      </c>
      <c r="W2454">
        <f>Table2[Profit]/Table2[Sales]</f>
        <v>0.26</v>
      </c>
    </row>
    <row r="2455" spans="1:23" x14ac:dyDescent="0.25">
      <c r="A2455">
        <v>2454</v>
      </c>
      <c r="B2455" t="s">
        <v>7702</v>
      </c>
      <c r="C2455" s="1">
        <v>42083</v>
      </c>
      <c r="D2455" s="1">
        <v>42089</v>
      </c>
      <c r="E2455" t="s">
        <v>49</v>
      </c>
      <c r="F2455" t="s">
        <v>2453</v>
      </c>
      <c r="G2455" t="s">
        <v>2454</v>
      </c>
      <c r="H2455" t="s">
        <v>25</v>
      </c>
      <c r="I2455" t="s">
        <v>26</v>
      </c>
      <c r="J2455" t="s">
        <v>4128</v>
      </c>
      <c r="K2455" t="s">
        <v>103</v>
      </c>
      <c r="L2455">
        <v>75007</v>
      </c>
      <c r="M2455" t="s">
        <v>104</v>
      </c>
      <c r="N2455" t="s">
        <v>5554</v>
      </c>
      <c r="O2455" t="s">
        <v>45</v>
      </c>
      <c r="P2455" t="s">
        <v>74</v>
      </c>
      <c r="Q2455" t="s">
        <v>5555</v>
      </c>
      <c r="R2455">
        <v>2.512</v>
      </c>
      <c r="S2455">
        <v>2</v>
      </c>
      <c r="T2455">
        <v>0.8</v>
      </c>
      <c r="U2455">
        <v>-4.3959999999999999</v>
      </c>
      <c r="V2455" t="str">
        <f t="shared" si="38"/>
        <v>Joe Kamberova</v>
      </c>
      <c r="W2455">
        <f>Table2[Profit]/Table2[Sales]</f>
        <v>-1.75</v>
      </c>
    </row>
    <row r="2456" spans="1:23" x14ac:dyDescent="0.25">
      <c r="A2456">
        <v>2455</v>
      </c>
      <c r="B2456" t="s">
        <v>7703</v>
      </c>
      <c r="C2456" s="1">
        <v>42692</v>
      </c>
      <c r="D2456" s="1">
        <v>42696</v>
      </c>
      <c r="E2456" t="s">
        <v>49</v>
      </c>
      <c r="F2456" t="s">
        <v>3535</v>
      </c>
      <c r="G2456" t="s">
        <v>3536</v>
      </c>
      <c r="H2456" t="s">
        <v>101</v>
      </c>
      <c r="I2456" t="s">
        <v>26</v>
      </c>
      <c r="J2456" t="s">
        <v>41</v>
      </c>
      <c r="K2456" t="s">
        <v>42</v>
      </c>
      <c r="L2456">
        <v>90008</v>
      </c>
      <c r="M2456" t="s">
        <v>43</v>
      </c>
      <c r="N2456" t="s">
        <v>4215</v>
      </c>
      <c r="O2456" t="s">
        <v>70</v>
      </c>
      <c r="P2456" t="s">
        <v>71</v>
      </c>
      <c r="Q2456" t="s">
        <v>4216</v>
      </c>
      <c r="R2456">
        <v>61.192</v>
      </c>
      <c r="S2456">
        <v>1</v>
      </c>
      <c r="T2456">
        <v>0.2</v>
      </c>
      <c r="U2456">
        <v>6.1192000000000002</v>
      </c>
      <c r="V2456" t="str">
        <f t="shared" si="38"/>
        <v>Tracy Collins</v>
      </c>
      <c r="W2456">
        <f>Table2[Profit]/Table2[Sales]</f>
        <v>0.1</v>
      </c>
    </row>
    <row r="2457" spans="1:23" x14ac:dyDescent="0.25">
      <c r="A2457">
        <v>2456</v>
      </c>
      <c r="B2457" t="s">
        <v>7704</v>
      </c>
      <c r="C2457" s="1">
        <v>41705</v>
      </c>
      <c r="D2457" s="1">
        <v>41706</v>
      </c>
      <c r="E2457" t="s">
        <v>185</v>
      </c>
      <c r="F2457" t="s">
        <v>7705</v>
      </c>
      <c r="G2457" t="s">
        <v>7706</v>
      </c>
      <c r="H2457" t="s">
        <v>25</v>
      </c>
      <c r="I2457" t="s">
        <v>26</v>
      </c>
      <c r="J2457" t="s">
        <v>94</v>
      </c>
      <c r="K2457" t="s">
        <v>95</v>
      </c>
      <c r="L2457">
        <v>98103</v>
      </c>
      <c r="M2457" t="s">
        <v>43</v>
      </c>
      <c r="N2457" t="s">
        <v>885</v>
      </c>
      <c r="O2457" t="s">
        <v>31</v>
      </c>
      <c r="P2457" t="s">
        <v>35</v>
      </c>
      <c r="Q2457" t="s">
        <v>886</v>
      </c>
      <c r="R2457">
        <v>48.712000000000003</v>
      </c>
      <c r="S2457">
        <v>1</v>
      </c>
      <c r="T2457">
        <v>0.2</v>
      </c>
      <c r="U2457">
        <v>5.4801000000000002</v>
      </c>
      <c r="V2457" t="str">
        <f t="shared" si="38"/>
        <v>Aaron Bergman</v>
      </c>
      <c r="W2457">
        <f>Table2[Profit]/Table2[Sales]</f>
        <v>0.1125</v>
      </c>
    </row>
    <row r="2458" spans="1:23" x14ac:dyDescent="0.25">
      <c r="A2458">
        <v>2457</v>
      </c>
      <c r="B2458" t="s">
        <v>7707</v>
      </c>
      <c r="C2458" s="1">
        <v>42505</v>
      </c>
      <c r="D2458" s="1">
        <v>42509</v>
      </c>
      <c r="E2458" t="s">
        <v>22</v>
      </c>
      <c r="F2458" t="s">
        <v>248</v>
      </c>
      <c r="G2458" t="s">
        <v>249</v>
      </c>
      <c r="H2458" t="s">
        <v>25</v>
      </c>
      <c r="I2458" t="s">
        <v>26</v>
      </c>
      <c r="J2458" t="s">
        <v>52</v>
      </c>
      <c r="K2458" t="s">
        <v>53</v>
      </c>
      <c r="L2458">
        <v>33311</v>
      </c>
      <c r="M2458" t="s">
        <v>29</v>
      </c>
      <c r="N2458" t="s">
        <v>2412</v>
      </c>
      <c r="O2458" t="s">
        <v>45</v>
      </c>
      <c r="P2458" t="s">
        <v>74</v>
      </c>
      <c r="Q2458" t="s">
        <v>2413</v>
      </c>
      <c r="R2458">
        <v>7.7640000000000002</v>
      </c>
      <c r="S2458">
        <v>4</v>
      </c>
      <c r="T2458">
        <v>0.7</v>
      </c>
      <c r="U2458">
        <v>-5.1760000000000002</v>
      </c>
      <c r="V2458" t="str">
        <f t="shared" si="38"/>
        <v>Darren Powers</v>
      </c>
      <c r="W2458">
        <f>Table2[Profit]/Table2[Sales]</f>
        <v>-0.66666666666666663</v>
      </c>
    </row>
    <row r="2459" spans="1:23" x14ac:dyDescent="0.25">
      <c r="A2459">
        <v>2458</v>
      </c>
      <c r="B2459" t="s">
        <v>7708</v>
      </c>
      <c r="C2459" s="1">
        <v>42149</v>
      </c>
      <c r="D2459" s="1">
        <v>42152</v>
      </c>
      <c r="E2459" t="s">
        <v>22</v>
      </c>
      <c r="F2459" t="s">
        <v>3143</v>
      </c>
      <c r="G2459" t="s">
        <v>3144</v>
      </c>
      <c r="H2459" t="s">
        <v>40</v>
      </c>
      <c r="I2459" t="s">
        <v>26</v>
      </c>
      <c r="J2459" t="s">
        <v>375</v>
      </c>
      <c r="K2459" t="s">
        <v>328</v>
      </c>
      <c r="L2459">
        <v>38401</v>
      </c>
      <c r="M2459" t="s">
        <v>29</v>
      </c>
      <c r="N2459" t="s">
        <v>5128</v>
      </c>
      <c r="O2459" t="s">
        <v>70</v>
      </c>
      <c r="P2459" t="s">
        <v>71</v>
      </c>
      <c r="Q2459" t="s">
        <v>5129</v>
      </c>
      <c r="R2459">
        <v>467.04</v>
      </c>
      <c r="S2459">
        <v>4</v>
      </c>
      <c r="T2459">
        <v>0.2</v>
      </c>
      <c r="U2459">
        <v>58.38</v>
      </c>
      <c r="V2459" t="str">
        <f t="shared" si="38"/>
        <v>Craig Yedwab</v>
      </c>
      <c r="W2459">
        <f>Table2[Profit]/Table2[Sales]</f>
        <v>0.125</v>
      </c>
    </row>
    <row r="2460" spans="1:23" x14ac:dyDescent="0.25">
      <c r="A2460">
        <v>2459</v>
      </c>
      <c r="B2460" t="s">
        <v>7709</v>
      </c>
      <c r="C2460" s="1">
        <v>42218</v>
      </c>
      <c r="D2460" s="1">
        <v>42221</v>
      </c>
      <c r="E2460" t="s">
        <v>22</v>
      </c>
      <c r="F2460" t="s">
        <v>4433</v>
      </c>
      <c r="G2460" t="s">
        <v>4434</v>
      </c>
      <c r="H2460" t="s">
        <v>101</v>
      </c>
      <c r="I2460" t="s">
        <v>26</v>
      </c>
      <c r="J2460" t="s">
        <v>3508</v>
      </c>
      <c r="K2460" t="s">
        <v>1388</v>
      </c>
      <c r="L2460">
        <v>2908</v>
      </c>
      <c r="M2460" t="s">
        <v>145</v>
      </c>
      <c r="N2460" t="s">
        <v>5198</v>
      </c>
      <c r="O2460" t="s">
        <v>70</v>
      </c>
      <c r="P2460" t="s">
        <v>71</v>
      </c>
      <c r="Q2460" t="s">
        <v>5199</v>
      </c>
      <c r="R2460">
        <v>128.85</v>
      </c>
      <c r="S2460">
        <v>3</v>
      </c>
      <c r="T2460">
        <v>0</v>
      </c>
      <c r="U2460">
        <v>3.8654999999999999</v>
      </c>
      <c r="V2460" t="str">
        <f t="shared" si="38"/>
        <v>Brad Eason</v>
      </c>
      <c r="W2460">
        <f>Table2[Profit]/Table2[Sales]</f>
        <v>3.0000000000000002E-2</v>
      </c>
    </row>
    <row r="2461" spans="1:23" x14ac:dyDescent="0.25">
      <c r="A2461">
        <v>2460</v>
      </c>
      <c r="B2461" t="s">
        <v>7710</v>
      </c>
      <c r="C2461" s="1">
        <v>42680</v>
      </c>
      <c r="D2461" s="1">
        <v>42683</v>
      </c>
      <c r="E2461" t="s">
        <v>185</v>
      </c>
      <c r="F2461" t="s">
        <v>1071</v>
      </c>
      <c r="G2461" t="s">
        <v>1072</v>
      </c>
      <c r="H2461" t="s">
        <v>40</v>
      </c>
      <c r="I2461" t="s">
        <v>26</v>
      </c>
      <c r="J2461" t="s">
        <v>1507</v>
      </c>
      <c r="K2461" t="s">
        <v>53</v>
      </c>
      <c r="L2461">
        <v>32216</v>
      </c>
      <c r="M2461" t="s">
        <v>29</v>
      </c>
      <c r="N2461" t="s">
        <v>329</v>
      </c>
      <c r="O2461" t="s">
        <v>31</v>
      </c>
      <c r="P2461" t="s">
        <v>35</v>
      </c>
      <c r="Q2461" t="s">
        <v>330</v>
      </c>
      <c r="R2461">
        <v>207.98400000000001</v>
      </c>
      <c r="S2461">
        <v>2</v>
      </c>
      <c r="T2461">
        <v>0.2</v>
      </c>
      <c r="U2461">
        <v>-28.597799999999999</v>
      </c>
      <c r="V2461" t="str">
        <f t="shared" si="38"/>
        <v>Kelly Lampkin</v>
      </c>
      <c r="W2461">
        <f>Table2[Profit]/Table2[Sales]</f>
        <v>-0.13749999999999998</v>
      </c>
    </row>
    <row r="2462" spans="1:23" x14ac:dyDescent="0.25">
      <c r="A2462">
        <v>2461</v>
      </c>
      <c r="B2462" t="s">
        <v>7711</v>
      </c>
      <c r="C2462" s="1">
        <v>42681</v>
      </c>
      <c r="D2462" s="1">
        <v>42686</v>
      </c>
      <c r="E2462" t="s">
        <v>49</v>
      </c>
      <c r="F2462" t="s">
        <v>3163</v>
      </c>
      <c r="G2462" t="s">
        <v>3164</v>
      </c>
      <c r="H2462" t="s">
        <v>101</v>
      </c>
      <c r="I2462" t="s">
        <v>26</v>
      </c>
      <c r="J2462" t="s">
        <v>2311</v>
      </c>
      <c r="K2462" t="s">
        <v>42</v>
      </c>
      <c r="L2462">
        <v>92054</v>
      </c>
      <c r="M2462" t="s">
        <v>43</v>
      </c>
      <c r="N2462" t="s">
        <v>5705</v>
      </c>
      <c r="O2462" t="s">
        <v>45</v>
      </c>
      <c r="P2462" t="s">
        <v>89</v>
      </c>
      <c r="Q2462" t="s">
        <v>5706</v>
      </c>
      <c r="R2462">
        <v>12.9</v>
      </c>
      <c r="S2462">
        <v>2</v>
      </c>
      <c r="T2462">
        <v>0</v>
      </c>
      <c r="U2462">
        <v>6.3209999999999997</v>
      </c>
      <c r="V2462" t="str">
        <f t="shared" si="38"/>
        <v>Penelope Sewall</v>
      </c>
      <c r="W2462">
        <f>Table2[Profit]/Table2[Sales]</f>
        <v>0.49</v>
      </c>
    </row>
    <row r="2463" spans="1:23" x14ac:dyDescent="0.25">
      <c r="A2463">
        <v>2462</v>
      </c>
      <c r="B2463" t="s">
        <v>7712</v>
      </c>
      <c r="C2463" s="1">
        <v>42265</v>
      </c>
      <c r="D2463" s="1">
        <v>42270</v>
      </c>
      <c r="E2463" t="s">
        <v>22</v>
      </c>
      <c r="F2463" t="s">
        <v>2729</v>
      </c>
      <c r="G2463" t="s">
        <v>2730</v>
      </c>
      <c r="H2463" t="s">
        <v>40</v>
      </c>
      <c r="I2463" t="s">
        <v>26</v>
      </c>
      <c r="J2463" t="s">
        <v>1507</v>
      </c>
      <c r="K2463" t="s">
        <v>53</v>
      </c>
      <c r="L2463">
        <v>32216</v>
      </c>
      <c r="M2463" t="s">
        <v>29</v>
      </c>
      <c r="N2463" t="s">
        <v>2973</v>
      </c>
      <c r="O2463" t="s">
        <v>70</v>
      </c>
      <c r="P2463" t="s">
        <v>158</v>
      </c>
      <c r="Q2463" t="s">
        <v>2974</v>
      </c>
      <c r="R2463">
        <v>717.12</v>
      </c>
      <c r="S2463">
        <v>9</v>
      </c>
      <c r="T2463">
        <v>0.2</v>
      </c>
      <c r="U2463">
        <v>152.38800000000001</v>
      </c>
      <c r="V2463" t="str">
        <f t="shared" si="38"/>
        <v>Justin Ritter</v>
      </c>
      <c r="W2463">
        <f>Table2[Profit]/Table2[Sales]</f>
        <v>0.21249999999999999</v>
      </c>
    </row>
    <row r="2464" spans="1:23" x14ac:dyDescent="0.25">
      <c r="A2464">
        <v>2463</v>
      </c>
      <c r="B2464" t="s">
        <v>7713</v>
      </c>
      <c r="C2464" s="1">
        <v>42345</v>
      </c>
      <c r="D2464" s="1">
        <v>42347</v>
      </c>
      <c r="E2464" t="s">
        <v>185</v>
      </c>
      <c r="F2464" t="s">
        <v>981</v>
      </c>
      <c r="G2464" t="s">
        <v>982</v>
      </c>
      <c r="H2464" t="s">
        <v>25</v>
      </c>
      <c r="I2464" t="s">
        <v>26</v>
      </c>
      <c r="J2464" t="s">
        <v>263</v>
      </c>
      <c r="K2464" t="s">
        <v>264</v>
      </c>
      <c r="L2464">
        <v>10024</v>
      </c>
      <c r="M2464" t="s">
        <v>145</v>
      </c>
      <c r="N2464" t="s">
        <v>3357</v>
      </c>
      <c r="O2464" t="s">
        <v>45</v>
      </c>
      <c r="P2464" t="s">
        <v>74</v>
      </c>
      <c r="Q2464" t="s">
        <v>3358</v>
      </c>
      <c r="R2464">
        <v>21.36</v>
      </c>
      <c r="S2464">
        <v>5</v>
      </c>
      <c r="T2464">
        <v>0.2</v>
      </c>
      <c r="U2464">
        <v>7.2089999999999996</v>
      </c>
      <c r="V2464" t="str">
        <f t="shared" si="38"/>
        <v>Alan Hwang</v>
      </c>
      <c r="W2464">
        <f>Table2[Profit]/Table2[Sales]</f>
        <v>0.33749999999999997</v>
      </c>
    </row>
    <row r="2465" spans="1:23" x14ac:dyDescent="0.25">
      <c r="A2465">
        <v>2464</v>
      </c>
      <c r="B2465" t="s">
        <v>7714</v>
      </c>
      <c r="C2465" s="1">
        <v>42713</v>
      </c>
      <c r="D2465" s="1">
        <v>42717</v>
      </c>
      <c r="E2465" t="s">
        <v>22</v>
      </c>
      <c r="F2465" t="s">
        <v>2768</v>
      </c>
      <c r="G2465" t="s">
        <v>2769</v>
      </c>
      <c r="H2465" t="s">
        <v>40</v>
      </c>
      <c r="I2465" t="s">
        <v>26</v>
      </c>
      <c r="J2465" t="s">
        <v>296</v>
      </c>
      <c r="K2465" t="s">
        <v>208</v>
      </c>
      <c r="L2465">
        <v>60610</v>
      </c>
      <c r="M2465" t="s">
        <v>104</v>
      </c>
      <c r="N2465" t="s">
        <v>4962</v>
      </c>
      <c r="O2465" t="s">
        <v>45</v>
      </c>
      <c r="P2465" t="s">
        <v>572</v>
      </c>
      <c r="Q2465" t="s">
        <v>4963</v>
      </c>
      <c r="R2465">
        <v>20.568000000000001</v>
      </c>
      <c r="S2465">
        <v>3</v>
      </c>
      <c r="T2465">
        <v>0.2</v>
      </c>
      <c r="U2465">
        <v>1.5426</v>
      </c>
      <c r="V2465" t="str">
        <f t="shared" si="38"/>
        <v>Rob Williams</v>
      </c>
      <c r="W2465">
        <f>Table2[Profit]/Table2[Sales]</f>
        <v>7.4999999999999997E-2</v>
      </c>
    </row>
    <row r="2466" spans="1:23" x14ac:dyDescent="0.25">
      <c r="A2466">
        <v>2465</v>
      </c>
      <c r="B2466" t="s">
        <v>7715</v>
      </c>
      <c r="C2466" s="1">
        <v>41959</v>
      </c>
      <c r="D2466" s="1">
        <v>41965</v>
      </c>
      <c r="E2466" t="s">
        <v>49</v>
      </c>
      <c r="F2466" t="s">
        <v>2784</v>
      </c>
      <c r="G2466" t="s">
        <v>2785</v>
      </c>
      <c r="H2466" t="s">
        <v>40</v>
      </c>
      <c r="I2466" t="s">
        <v>26</v>
      </c>
      <c r="J2466" t="s">
        <v>1441</v>
      </c>
      <c r="K2466" t="s">
        <v>42</v>
      </c>
      <c r="L2466">
        <v>92646</v>
      </c>
      <c r="M2466" t="s">
        <v>43</v>
      </c>
      <c r="N2466" t="s">
        <v>2735</v>
      </c>
      <c r="O2466" t="s">
        <v>45</v>
      </c>
      <c r="P2466" t="s">
        <v>46</v>
      </c>
      <c r="Q2466" t="s">
        <v>2736</v>
      </c>
      <c r="R2466">
        <v>5.22</v>
      </c>
      <c r="S2466">
        <v>2</v>
      </c>
      <c r="T2466">
        <v>0</v>
      </c>
      <c r="U2466">
        <v>2.4011999999999998</v>
      </c>
      <c r="V2466" t="str">
        <f t="shared" si="38"/>
        <v>Adam Hart</v>
      </c>
      <c r="W2466">
        <f>Table2[Profit]/Table2[Sales]</f>
        <v>0.45999999999999996</v>
      </c>
    </row>
    <row r="2467" spans="1:23" x14ac:dyDescent="0.25">
      <c r="A2467">
        <v>2466</v>
      </c>
      <c r="B2467" t="s">
        <v>7716</v>
      </c>
      <c r="C2467" s="1">
        <v>42680</v>
      </c>
      <c r="D2467" s="1">
        <v>42684</v>
      </c>
      <c r="E2467" t="s">
        <v>22</v>
      </c>
      <c r="F2467" t="s">
        <v>92</v>
      </c>
      <c r="G2467" t="s">
        <v>93</v>
      </c>
      <c r="H2467" t="s">
        <v>25</v>
      </c>
      <c r="I2467" t="s">
        <v>26</v>
      </c>
      <c r="J2467" t="s">
        <v>941</v>
      </c>
      <c r="K2467" t="s">
        <v>42</v>
      </c>
      <c r="L2467">
        <v>92105</v>
      </c>
      <c r="M2467" t="s">
        <v>43</v>
      </c>
      <c r="N2467" t="s">
        <v>390</v>
      </c>
      <c r="O2467" t="s">
        <v>45</v>
      </c>
      <c r="P2467" t="s">
        <v>58</v>
      </c>
      <c r="Q2467" t="s">
        <v>391</v>
      </c>
      <c r="R2467">
        <v>84.84</v>
      </c>
      <c r="S2467">
        <v>3</v>
      </c>
      <c r="T2467">
        <v>0</v>
      </c>
      <c r="U2467">
        <v>22.9068</v>
      </c>
      <c r="V2467" t="str">
        <f t="shared" si="38"/>
        <v>Irene Maddox</v>
      </c>
      <c r="W2467">
        <f>Table2[Profit]/Table2[Sales]</f>
        <v>0.27</v>
      </c>
    </row>
    <row r="2468" spans="1:23" x14ac:dyDescent="0.25">
      <c r="A2468">
        <v>2467</v>
      </c>
      <c r="B2468" t="s">
        <v>7717</v>
      </c>
      <c r="C2468" s="1">
        <v>42253</v>
      </c>
      <c r="D2468" s="1">
        <v>42257</v>
      </c>
      <c r="E2468" t="s">
        <v>49</v>
      </c>
      <c r="F2468" t="s">
        <v>2595</v>
      </c>
      <c r="G2468" t="s">
        <v>2596</v>
      </c>
      <c r="H2468" t="s">
        <v>40</v>
      </c>
      <c r="I2468" t="s">
        <v>26</v>
      </c>
      <c r="J2468" t="s">
        <v>5545</v>
      </c>
      <c r="K2468" t="s">
        <v>328</v>
      </c>
      <c r="L2468">
        <v>37211</v>
      </c>
      <c r="M2468" t="s">
        <v>29</v>
      </c>
      <c r="N2468" t="s">
        <v>3090</v>
      </c>
      <c r="O2468" t="s">
        <v>45</v>
      </c>
      <c r="P2468" t="s">
        <v>266</v>
      </c>
      <c r="Q2468" t="s">
        <v>3091</v>
      </c>
      <c r="R2468">
        <v>7.24</v>
      </c>
      <c r="S2468">
        <v>5</v>
      </c>
      <c r="T2468">
        <v>0.2</v>
      </c>
      <c r="U2468">
        <v>1.1765000000000001</v>
      </c>
      <c r="V2468" t="str">
        <f t="shared" si="38"/>
        <v>Cyma Kinney</v>
      </c>
      <c r="W2468">
        <f>Table2[Profit]/Table2[Sales]</f>
        <v>0.16250000000000001</v>
      </c>
    </row>
    <row r="2469" spans="1:23" x14ac:dyDescent="0.25">
      <c r="A2469">
        <v>2468</v>
      </c>
      <c r="B2469" t="s">
        <v>7718</v>
      </c>
      <c r="C2469" s="1">
        <v>41885</v>
      </c>
      <c r="D2469" s="1">
        <v>41885</v>
      </c>
      <c r="E2469" t="s">
        <v>1278</v>
      </c>
      <c r="F2469" t="s">
        <v>3014</v>
      </c>
      <c r="G2469" t="s">
        <v>3015</v>
      </c>
      <c r="H2469" t="s">
        <v>25</v>
      </c>
      <c r="I2469" t="s">
        <v>26</v>
      </c>
      <c r="J2469" t="s">
        <v>263</v>
      </c>
      <c r="K2469" t="s">
        <v>264</v>
      </c>
      <c r="L2469">
        <v>10009</v>
      </c>
      <c r="M2469" t="s">
        <v>145</v>
      </c>
      <c r="N2469" t="s">
        <v>3011</v>
      </c>
      <c r="O2469" t="s">
        <v>45</v>
      </c>
      <c r="P2469" t="s">
        <v>46</v>
      </c>
      <c r="Q2469" t="s">
        <v>3012</v>
      </c>
      <c r="R2469">
        <v>14.4</v>
      </c>
      <c r="S2469">
        <v>5</v>
      </c>
      <c r="T2469">
        <v>0</v>
      </c>
      <c r="U2469">
        <v>7.056</v>
      </c>
      <c r="V2469" t="str">
        <f t="shared" si="38"/>
        <v>Allen Goldenen</v>
      </c>
      <c r="W2469">
        <f>Table2[Profit]/Table2[Sales]</f>
        <v>0.49</v>
      </c>
    </row>
    <row r="2470" spans="1:23" x14ac:dyDescent="0.25">
      <c r="A2470">
        <v>2469</v>
      </c>
      <c r="B2470" t="s">
        <v>7719</v>
      </c>
      <c r="C2470" s="1">
        <v>42484</v>
      </c>
      <c r="D2470" s="1">
        <v>42488</v>
      </c>
      <c r="E2470" t="s">
        <v>49</v>
      </c>
      <c r="F2470" t="s">
        <v>5665</v>
      </c>
      <c r="G2470" t="s">
        <v>5666</v>
      </c>
      <c r="H2470" t="s">
        <v>101</v>
      </c>
      <c r="I2470" t="s">
        <v>26</v>
      </c>
      <c r="J2470" t="s">
        <v>1073</v>
      </c>
      <c r="K2470" t="s">
        <v>450</v>
      </c>
      <c r="L2470">
        <v>80906</v>
      </c>
      <c r="M2470" t="s">
        <v>43</v>
      </c>
      <c r="N2470" t="s">
        <v>1872</v>
      </c>
      <c r="O2470" t="s">
        <v>45</v>
      </c>
      <c r="P2470" t="s">
        <v>89</v>
      </c>
      <c r="Q2470" t="s">
        <v>1873</v>
      </c>
      <c r="R2470">
        <v>15.552</v>
      </c>
      <c r="S2470">
        <v>3</v>
      </c>
      <c r="T2470">
        <v>0.2</v>
      </c>
      <c r="U2470">
        <v>5.4432</v>
      </c>
      <c r="V2470" t="str">
        <f t="shared" si="38"/>
        <v>Craig Leslie</v>
      </c>
      <c r="W2470">
        <f>Table2[Profit]/Table2[Sales]</f>
        <v>0.35000000000000003</v>
      </c>
    </row>
    <row r="2471" spans="1:23" x14ac:dyDescent="0.25">
      <c r="A2471">
        <v>2470</v>
      </c>
      <c r="B2471" t="s">
        <v>7720</v>
      </c>
      <c r="C2471" s="1">
        <v>42978</v>
      </c>
      <c r="D2471" s="1">
        <v>42982</v>
      </c>
      <c r="E2471" t="s">
        <v>49</v>
      </c>
      <c r="F2471" t="s">
        <v>5046</v>
      </c>
      <c r="G2471" t="s">
        <v>5047</v>
      </c>
      <c r="H2471" t="s">
        <v>101</v>
      </c>
      <c r="I2471" t="s">
        <v>26</v>
      </c>
      <c r="J2471" t="s">
        <v>126</v>
      </c>
      <c r="K2471" t="s">
        <v>42</v>
      </c>
      <c r="L2471">
        <v>94110</v>
      </c>
      <c r="M2471" t="s">
        <v>43</v>
      </c>
      <c r="N2471" t="s">
        <v>2919</v>
      </c>
      <c r="O2471" t="s">
        <v>45</v>
      </c>
      <c r="P2471" t="s">
        <v>74</v>
      </c>
      <c r="Q2471" t="s">
        <v>2920</v>
      </c>
      <c r="R2471">
        <v>6.6719999999999997</v>
      </c>
      <c r="S2471">
        <v>3</v>
      </c>
      <c r="T2471">
        <v>0.2</v>
      </c>
      <c r="U2471">
        <v>2.1684000000000001</v>
      </c>
      <c r="V2471" t="str">
        <f t="shared" si="38"/>
        <v>Arthur Wiediger</v>
      </c>
      <c r="W2471">
        <f>Table2[Profit]/Table2[Sales]</f>
        <v>0.32500000000000001</v>
      </c>
    </row>
    <row r="2472" spans="1:23" x14ac:dyDescent="0.25">
      <c r="A2472">
        <v>2471</v>
      </c>
      <c r="B2472" t="s">
        <v>7721</v>
      </c>
      <c r="C2472" s="1">
        <v>43076</v>
      </c>
      <c r="D2472" s="1">
        <v>43082</v>
      </c>
      <c r="E2472" t="s">
        <v>49</v>
      </c>
      <c r="F2472" t="s">
        <v>3559</v>
      </c>
      <c r="G2472" t="s">
        <v>3560</v>
      </c>
      <c r="H2472" t="s">
        <v>40</v>
      </c>
      <c r="I2472" t="s">
        <v>26</v>
      </c>
      <c r="J2472" t="s">
        <v>296</v>
      </c>
      <c r="K2472" t="s">
        <v>208</v>
      </c>
      <c r="L2472">
        <v>60653</v>
      </c>
      <c r="M2472" t="s">
        <v>104</v>
      </c>
      <c r="N2472" t="s">
        <v>7042</v>
      </c>
      <c r="O2472" t="s">
        <v>45</v>
      </c>
      <c r="P2472" t="s">
        <v>74</v>
      </c>
      <c r="Q2472" t="s">
        <v>7043</v>
      </c>
      <c r="R2472">
        <v>1889.99</v>
      </c>
      <c r="S2472">
        <v>5</v>
      </c>
      <c r="T2472">
        <v>0.8</v>
      </c>
      <c r="U2472">
        <v>-2929.4845</v>
      </c>
      <c r="V2472" t="str">
        <f t="shared" si="38"/>
        <v>Henry Goldwyn</v>
      </c>
      <c r="W2472">
        <f>Table2[Profit]/Table2[Sales]</f>
        <v>-1.55</v>
      </c>
    </row>
    <row r="2473" spans="1:23" x14ac:dyDescent="0.25">
      <c r="A2473">
        <v>2472</v>
      </c>
      <c r="B2473" t="s">
        <v>7722</v>
      </c>
      <c r="C2473" s="1">
        <v>42356</v>
      </c>
      <c r="D2473" s="1">
        <v>42363</v>
      </c>
      <c r="E2473" t="s">
        <v>49</v>
      </c>
      <c r="F2473" t="s">
        <v>4257</v>
      </c>
      <c r="G2473" t="s">
        <v>4258</v>
      </c>
      <c r="H2473" t="s">
        <v>40</v>
      </c>
      <c r="I2473" t="s">
        <v>26</v>
      </c>
      <c r="J2473" t="s">
        <v>327</v>
      </c>
      <c r="K2473" t="s">
        <v>328</v>
      </c>
      <c r="L2473">
        <v>38109</v>
      </c>
      <c r="M2473" t="s">
        <v>29</v>
      </c>
      <c r="N2473" t="s">
        <v>2914</v>
      </c>
      <c r="O2473" t="s">
        <v>45</v>
      </c>
      <c r="P2473" t="s">
        <v>170</v>
      </c>
      <c r="Q2473" t="s">
        <v>2915</v>
      </c>
      <c r="R2473">
        <v>55.936</v>
      </c>
      <c r="S2473">
        <v>8</v>
      </c>
      <c r="T2473">
        <v>0.2</v>
      </c>
      <c r="U2473">
        <v>18.878399999999999</v>
      </c>
      <c r="V2473" t="str">
        <f t="shared" si="38"/>
        <v>Robert Barroso</v>
      </c>
      <c r="W2473">
        <f>Table2[Profit]/Table2[Sales]</f>
        <v>0.33749999999999997</v>
      </c>
    </row>
    <row r="2474" spans="1:23" x14ac:dyDescent="0.25">
      <c r="A2474">
        <v>2473</v>
      </c>
      <c r="B2474" t="s">
        <v>7723</v>
      </c>
      <c r="C2474" s="1">
        <v>41947</v>
      </c>
      <c r="D2474" s="1">
        <v>41953</v>
      </c>
      <c r="E2474" t="s">
        <v>49</v>
      </c>
      <c r="F2474" t="s">
        <v>3687</v>
      </c>
      <c r="G2474" t="s">
        <v>3688</v>
      </c>
      <c r="H2474" t="s">
        <v>101</v>
      </c>
      <c r="I2474" t="s">
        <v>26</v>
      </c>
      <c r="J2474" t="s">
        <v>263</v>
      </c>
      <c r="K2474" t="s">
        <v>264</v>
      </c>
      <c r="L2474">
        <v>10011</v>
      </c>
      <c r="M2474" t="s">
        <v>145</v>
      </c>
      <c r="N2474" t="s">
        <v>6395</v>
      </c>
      <c r="O2474" t="s">
        <v>45</v>
      </c>
      <c r="P2474" t="s">
        <v>74</v>
      </c>
      <c r="Q2474" t="s">
        <v>6396</v>
      </c>
      <c r="R2474">
        <v>52.064</v>
      </c>
      <c r="S2474">
        <v>4</v>
      </c>
      <c r="T2474">
        <v>0.2</v>
      </c>
      <c r="U2474">
        <v>18.873200000000001</v>
      </c>
      <c r="V2474" t="str">
        <f t="shared" si="38"/>
        <v>Sam Zeldin</v>
      </c>
      <c r="W2474">
        <f>Table2[Profit]/Table2[Sales]</f>
        <v>0.36249999999999999</v>
      </c>
    </row>
    <row r="2475" spans="1:23" x14ac:dyDescent="0.25">
      <c r="A2475">
        <v>2474</v>
      </c>
      <c r="B2475" t="s">
        <v>7724</v>
      </c>
      <c r="C2475" s="1">
        <v>42804</v>
      </c>
      <c r="D2475" s="1">
        <v>42809</v>
      </c>
      <c r="E2475" t="s">
        <v>49</v>
      </c>
      <c r="F2475" t="s">
        <v>7682</v>
      </c>
      <c r="G2475" t="s">
        <v>7683</v>
      </c>
      <c r="H2475" t="s">
        <v>40</v>
      </c>
      <c r="I2475" t="s">
        <v>26</v>
      </c>
      <c r="J2475" t="s">
        <v>4494</v>
      </c>
      <c r="K2475" t="s">
        <v>87</v>
      </c>
      <c r="L2475">
        <v>27604</v>
      </c>
      <c r="M2475" t="s">
        <v>29</v>
      </c>
      <c r="N2475" t="s">
        <v>7725</v>
      </c>
      <c r="O2475" t="s">
        <v>45</v>
      </c>
      <c r="P2475" t="s">
        <v>77</v>
      </c>
      <c r="Q2475" t="s">
        <v>7726</v>
      </c>
      <c r="R2475">
        <v>48.783999999999999</v>
      </c>
      <c r="S2475">
        <v>1</v>
      </c>
      <c r="T2475">
        <v>0.2</v>
      </c>
      <c r="U2475">
        <v>3.6587999999999998</v>
      </c>
      <c r="V2475" t="str">
        <f t="shared" si="38"/>
        <v>Karen Seio</v>
      </c>
      <c r="W2475">
        <f>Table2[Profit]/Table2[Sales]</f>
        <v>7.4999999999999997E-2</v>
      </c>
    </row>
    <row r="2476" spans="1:23" x14ac:dyDescent="0.25">
      <c r="A2476">
        <v>2475</v>
      </c>
      <c r="B2476" t="s">
        <v>7727</v>
      </c>
      <c r="C2476" s="1">
        <v>42400</v>
      </c>
      <c r="D2476" s="1">
        <v>42404</v>
      </c>
      <c r="E2476" t="s">
        <v>49</v>
      </c>
      <c r="F2476" t="s">
        <v>2760</v>
      </c>
      <c r="G2476" t="s">
        <v>2761</v>
      </c>
      <c r="H2476" t="s">
        <v>101</v>
      </c>
      <c r="I2476" t="s">
        <v>26</v>
      </c>
      <c r="J2476" t="s">
        <v>41</v>
      </c>
      <c r="K2476" t="s">
        <v>42</v>
      </c>
      <c r="L2476">
        <v>90045</v>
      </c>
      <c r="M2476" t="s">
        <v>43</v>
      </c>
      <c r="N2476" t="s">
        <v>6555</v>
      </c>
      <c r="O2476" t="s">
        <v>70</v>
      </c>
      <c r="P2476" t="s">
        <v>71</v>
      </c>
      <c r="Q2476" t="s">
        <v>6556</v>
      </c>
      <c r="R2476">
        <v>109.592</v>
      </c>
      <c r="S2476">
        <v>1</v>
      </c>
      <c r="T2476">
        <v>0.2</v>
      </c>
      <c r="U2476">
        <v>8.2194000000000003</v>
      </c>
      <c r="V2476" t="str">
        <f t="shared" si="38"/>
        <v>Sample Company A</v>
      </c>
      <c r="W2476">
        <f>Table2[Profit]/Table2[Sales]</f>
        <v>7.4999999999999997E-2</v>
      </c>
    </row>
    <row r="2477" spans="1:23" x14ac:dyDescent="0.25">
      <c r="A2477">
        <v>2476</v>
      </c>
      <c r="B2477" t="s">
        <v>7728</v>
      </c>
      <c r="C2477" s="1">
        <v>42862</v>
      </c>
      <c r="D2477" s="1">
        <v>42867</v>
      </c>
      <c r="E2477" t="s">
        <v>49</v>
      </c>
      <c r="F2477" t="s">
        <v>1237</v>
      </c>
      <c r="G2477" t="s">
        <v>1238</v>
      </c>
      <c r="H2477" t="s">
        <v>101</v>
      </c>
      <c r="I2477" t="s">
        <v>26</v>
      </c>
      <c r="J2477" t="s">
        <v>41</v>
      </c>
      <c r="K2477" t="s">
        <v>42</v>
      </c>
      <c r="L2477">
        <v>90004</v>
      </c>
      <c r="M2477" t="s">
        <v>43</v>
      </c>
      <c r="N2477" t="s">
        <v>4327</v>
      </c>
      <c r="O2477" t="s">
        <v>70</v>
      </c>
      <c r="P2477" t="s">
        <v>158</v>
      </c>
      <c r="Q2477" t="s">
        <v>4328</v>
      </c>
      <c r="R2477">
        <v>79.989999999999995</v>
      </c>
      <c r="S2477">
        <v>1</v>
      </c>
      <c r="T2477">
        <v>0</v>
      </c>
      <c r="U2477">
        <v>28.796399999999998</v>
      </c>
      <c r="V2477" t="str">
        <f t="shared" si="38"/>
        <v>Adam Bellavance</v>
      </c>
      <c r="W2477">
        <f>Table2[Profit]/Table2[Sales]</f>
        <v>0.36</v>
      </c>
    </row>
    <row r="2478" spans="1:23" x14ac:dyDescent="0.25">
      <c r="A2478">
        <v>2477</v>
      </c>
      <c r="B2478" t="s">
        <v>7729</v>
      </c>
      <c r="C2478" s="1">
        <v>42514</v>
      </c>
      <c r="D2478" s="1">
        <v>42514</v>
      </c>
      <c r="E2478" t="s">
        <v>1278</v>
      </c>
      <c r="F2478" t="s">
        <v>2129</v>
      </c>
      <c r="G2478" t="s">
        <v>2130</v>
      </c>
      <c r="H2478" t="s">
        <v>101</v>
      </c>
      <c r="I2478" t="s">
        <v>26</v>
      </c>
      <c r="J2478" t="s">
        <v>5411</v>
      </c>
      <c r="K2478" t="s">
        <v>312</v>
      </c>
      <c r="L2478">
        <v>23602</v>
      </c>
      <c r="M2478" t="s">
        <v>29</v>
      </c>
      <c r="N2478" t="s">
        <v>4725</v>
      </c>
      <c r="O2478" t="s">
        <v>45</v>
      </c>
      <c r="P2478" t="s">
        <v>572</v>
      </c>
      <c r="Q2478" t="s">
        <v>4726</v>
      </c>
      <c r="R2478">
        <v>69.5</v>
      </c>
      <c r="S2478">
        <v>5</v>
      </c>
      <c r="T2478">
        <v>0</v>
      </c>
      <c r="U2478">
        <v>20.155000000000001</v>
      </c>
      <c r="V2478" t="str">
        <f t="shared" si="38"/>
        <v>Eugene Hildebrand</v>
      </c>
      <c r="W2478">
        <f>Table2[Profit]/Table2[Sales]</f>
        <v>0.29000000000000004</v>
      </c>
    </row>
    <row r="2479" spans="1:23" x14ac:dyDescent="0.25">
      <c r="A2479">
        <v>2478</v>
      </c>
      <c r="B2479" t="s">
        <v>7730</v>
      </c>
      <c r="C2479" s="1">
        <v>42650</v>
      </c>
      <c r="D2479" s="1">
        <v>42655</v>
      </c>
      <c r="E2479" t="s">
        <v>49</v>
      </c>
      <c r="F2479" t="s">
        <v>6298</v>
      </c>
      <c r="G2479" t="s">
        <v>6299</v>
      </c>
      <c r="H2479" t="s">
        <v>25</v>
      </c>
      <c r="I2479" t="s">
        <v>26</v>
      </c>
      <c r="J2479" t="s">
        <v>41</v>
      </c>
      <c r="K2479" t="s">
        <v>42</v>
      </c>
      <c r="L2479">
        <v>90032</v>
      </c>
      <c r="M2479" t="s">
        <v>43</v>
      </c>
      <c r="N2479" t="s">
        <v>7731</v>
      </c>
      <c r="O2479" t="s">
        <v>45</v>
      </c>
      <c r="P2479" t="s">
        <v>89</v>
      </c>
      <c r="Q2479" t="s">
        <v>7732</v>
      </c>
      <c r="R2479">
        <v>10.56</v>
      </c>
      <c r="S2479">
        <v>2</v>
      </c>
      <c r="T2479">
        <v>0</v>
      </c>
      <c r="U2479">
        <v>5.0688000000000004</v>
      </c>
      <c r="V2479" t="str">
        <f t="shared" si="38"/>
        <v>Cindy Chapman</v>
      </c>
      <c r="W2479">
        <f>Table2[Profit]/Table2[Sales]</f>
        <v>0.48000000000000004</v>
      </c>
    </row>
    <row r="2480" spans="1:23" x14ac:dyDescent="0.25">
      <c r="A2480">
        <v>2479</v>
      </c>
      <c r="B2480" t="s">
        <v>7733</v>
      </c>
      <c r="C2480" s="1">
        <v>41759</v>
      </c>
      <c r="D2480" s="1">
        <v>41761</v>
      </c>
      <c r="E2480" t="s">
        <v>22</v>
      </c>
      <c r="F2480" t="s">
        <v>5338</v>
      </c>
      <c r="G2480" t="s">
        <v>5339</v>
      </c>
      <c r="H2480" t="s">
        <v>25</v>
      </c>
      <c r="I2480" t="s">
        <v>26</v>
      </c>
      <c r="J2480" t="s">
        <v>321</v>
      </c>
      <c r="K2480" t="s">
        <v>1473</v>
      </c>
      <c r="L2480">
        <v>39212</v>
      </c>
      <c r="M2480" t="s">
        <v>29</v>
      </c>
      <c r="N2480" t="s">
        <v>5501</v>
      </c>
      <c r="O2480" t="s">
        <v>70</v>
      </c>
      <c r="P2480" t="s">
        <v>158</v>
      </c>
      <c r="Q2480" t="s">
        <v>5502</v>
      </c>
      <c r="R2480">
        <v>47.79</v>
      </c>
      <c r="S2480">
        <v>3</v>
      </c>
      <c r="T2480">
        <v>0</v>
      </c>
      <c r="U2480">
        <v>16.2486</v>
      </c>
      <c r="V2480" t="str">
        <f t="shared" si="38"/>
        <v>Tamara Manning</v>
      </c>
      <c r="W2480">
        <f>Table2[Profit]/Table2[Sales]</f>
        <v>0.34</v>
      </c>
    </row>
    <row r="2481" spans="1:23" x14ac:dyDescent="0.25">
      <c r="A2481">
        <v>2480</v>
      </c>
      <c r="B2481" t="s">
        <v>7734</v>
      </c>
      <c r="C2481" s="1">
        <v>42318</v>
      </c>
      <c r="D2481" s="1">
        <v>42322</v>
      </c>
      <c r="E2481" t="s">
        <v>22</v>
      </c>
      <c r="F2481" t="s">
        <v>2296</v>
      </c>
      <c r="G2481" t="s">
        <v>2297</v>
      </c>
      <c r="H2481" t="s">
        <v>40</v>
      </c>
      <c r="I2481" t="s">
        <v>26</v>
      </c>
      <c r="J2481" t="s">
        <v>1450</v>
      </c>
      <c r="K2481" t="s">
        <v>251</v>
      </c>
      <c r="L2481">
        <v>47374</v>
      </c>
      <c r="M2481" t="s">
        <v>104</v>
      </c>
      <c r="N2481" t="s">
        <v>1502</v>
      </c>
      <c r="O2481" t="s">
        <v>45</v>
      </c>
      <c r="P2481" t="s">
        <v>58</v>
      </c>
      <c r="Q2481" t="s">
        <v>1503</v>
      </c>
      <c r="R2481">
        <v>714.3</v>
      </c>
      <c r="S2481">
        <v>5</v>
      </c>
      <c r="T2481">
        <v>0</v>
      </c>
      <c r="U2481">
        <v>207.14699999999999</v>
      </c>
      <c r="V2481" t="str">
        <f t="shared" si="38"/>
        <v>Steve Chapman</v>
      </c>
      <c r="W2481">
        <f>Table2[Profit]/Table2[Sales]</f>
        <v>0.28999999999999998</v>
      </c>
    </row>
    <row r="2482" spans="1:23" x14ac:dyDescent="0.25">
      <c r="A2482">
        <v>2481</v>
      </c>
      <c r="B2482" t="s">
        <v>7735</v>
      </c>
      <c r="C2482" s="1">
        <v>42317</v>
      </c>
      <c r="D2482" s="1">
        <v>42322</v>
      </c>
      <c r="E2482" t="s">
        <v>49</v>
      </c>
      <c r="F2482" t="s">
        <v>5800</v>
      </c>
      <c r="G2482" t="s">
        <v>5801</v>
      </c>
      <c r="H2482" t="s">
        <v>101</v>
      </c>
      <c r="I2482" t="s">
        <v>26</v>
      </c>
      <c r="J2482" t="s">
        <v>263</v>
      </c>
      <c r="K2482" t="s">
        <v>264</v>
      </c>
      <c r="L2482">
        <v>10035</v>
      </c>
      <c r="M2482" t="s">
        <v>145</v>
      </c>
      <c r="N2482" t="s">
        <v>7736</v>
      </c>
      <c r="O2482" t="s">
        <v>70</v>
      </c>
      <c r="P2482" t="s">
        <v>675</v>
      </c>
      <c r="Q2482" t="s">
        <v>7737</v>
      </c>
      <c r="R2482">
        <v>2321.9</v>
      </c>
      <c r="S2482">
        <v>2</v>
      </c>
      <c r="T2482">
        <v>0</v>
      </c>
      <c r="U2482">
        <v>1114.5119999999999</v>
      </c>
      <c r="V2482" t="str">
        <f t="shared" si="38"/>
        <v>Dean percer</v>
      </c>
      <c r="W2482">
        <f>Table2[Profit]/Table2[Sales]</f>
        <v>0.48</v>
      </c>
    </row>
    <row r="2483" spans="1:23" x14ac:dyDescent="0.25">
      <c r="A2483">
        <v>2482</v>
      </c>
      <c r="B2483" t="s">
        <v>7738</v>
      </c>
      <c r="C2483" s="1">
        <v>42254</v>
      </c>
      <c r="D2483" s="1">
        <v>42261</v>
      </c>
      <c r="E2483" t="s">
        <v>49</v>
      </c>
      <c r="F2483" t="s">
        <v>7739</v>
      </c>
      <c r="G2483" t="s">
        <v>7740</v>
      </c>
      <c r="H2483" t="s">
        <v>40</v>
      </c>
      <c r="I2483" t="s">
        <v>26</v>
      </c>
      <c r="J2483" t="s">
        <v>143</v>
      </c>
      <c r="K2483" t="s">
        <v>144</v>
      </c>
      <c r="L2483">
        <v>19134</v>
      </c>
      <c r="M2483" t="s">
        <v>145</v>
      </c>
      <c r="N2483" t="s">
        <v>569</v>
      </c>
      <c r="O2483" t="s">
        <v>45</v>
      </c>
      <c r="P2483" t="s">
        <v>74</v>
      </c>
      <c r="Q2483" t="s">
        <v>570</v>
      </c>
      <c r="R2483">
        <v>9.5220000000000002</v>
      </c>
      <c r="S2483">
        <v>1</v>
      </c>
      <c r="T2483">
        <v>0.7</v>
      </c>
      <c r="U2483">
        <v>-6.9828000000000001</v>
      </c>
      <c r="V2483" t="str">
        <f t="shared" si="38"/>
        <v>Lisa Ryan</v>
      </c>
      <c r="W2483">
        <f>Table2[Profit]/Table2[Sales]</f>
        <v>-0.73333333333333328</v>
      </c>
    </row>
    <row r="2484" spans="1:23" x14ac:dyDescent="0.25">
      <c r="A2484">
        <v>2483</v>
      </c>
      <c r="B2484" t="s">
        <v>7741</v>
      </c>
      <c r="C2484" s="1">
        <v>42866</v>
      </c>
      <c r="D2484" s="1">
        <v>42868</v>
      </c>
      <c r="E2484" t="s">
        <v>185</v>
      </c>
      <c r="F2484" t="s">
        <v>3918</v>
      </c>
      <c r="G2484" t="s">
        <v>3919</v>
      </c>
      <c r="H2484" t="s">
        <v>40</v>
      </c>
      <c r="I2484" t="s">
        <v>26</v>
      </c>
      <c r="J2484" t="s">
        <v>537</v>
      </c>
      <c r="K2484" t="s">
        <v>303</v>
      </c>
      <c r="L2484">
        <v>85023</v>
      </c>
      <c r="M2484" t="s">
        <v>43</v>
      </c>
      <c r="N2484" t="s">
        <v>3422</v>
      </c>
      <c r="O2484" t="s">
        <v>31</v>
      </c>
      <c r="P2484" t="s">
        <v>32</v>
      </c>
      <c r="Q2484" t="s">
        <v>3423</v>
      </c>
      <c r="R2484">
        <v>209.97900000000001</v>
      </c>
      <c r="S2484">
        <v>7</v>
      </c>
      <c r="T2484">
        <v>0.7</v>
      </c>
      <c r="U2484">
        <v>-356.96429999999998</v>
      </c>
      <c r="V2484" t="str">
        <f t="shared" si="38"/>
        <v>Todd Sumrall</v>
      </c>
      <c r="W2484">
        <f>Table2[Profit]/Table2[Sales]</f>
        <v>-1.6999999999999997</v>
      </c>
    </row>
    <row r="2485" spans="1:23" x14ac:dyDescent="0.25">
      <c r="A2485">
        <v>2484</v>
      </c>
      <c r="B2485" t="s">
        <v>7742</v>
      </c>
      <c r="C2485" s="1">
        <v>42937</v>
      </c>
      <c r="D2485" s="1">
        <v>42942</v>
      </c>
      <c r="E2485" t="s">
        <v>49</v>
      </c>
      <c r="F2485" t="s">
        <v>6123</v>
      </c>
      <c r="G2485" t="s">
        <v>6124</v>
      </c>
      <c r="H2485" t="s">
        <v>101</v>
      </c>
      <c r="I2485" t="s">
        <v>26</v>
      </c>
      <c r="J2485" t="s">
        <v>2148</v>
      </c>
      <c r="K2485" t="s">
        <v>491</v>
      </c>
      <c r="L2485">
        <v>44105</v>
      </c>
      <c r="M2485" t="s">
        <v>145</v>
      </c>
      <c r="N2485" t="s">
        <v>1698</v>
      </c>
      <c r="O2485" t="s">
        <v>45</v>
      </c>
      <c r="P2485" t="s">
        <v>74</v>
      </c>
      <c r="Q2485" t="s">
        <v>1699</v>
      </c>
      <c r="R2485">
        <v>33.93</v>
      </c>
      <c r="S2485">
        <v>3</v>
      </c>
      <c r="T2485">
        <v>0.7</v>
      </c>
      <c r="U2485">
        <v>-22.62</v>
      </c>
      <c r="V2485" t="str">
        <f t="shared" si="38"/>
        <v>Sean Wendt</v>
      </c>
      <c r="W2485">
        <f>Table2[Profit]/Table2[Sales]</f>
        <v>-0.66666666666666674</v>
      </c>
    </row>
    <row r="2486" spans="1:23" x14ac:dyDescent="0.25">
      <c r="A2486">
        <v>2485</v>
      </c>
      <c r="B2486" t="s">
        <v>7743</v>
      </c>
      <c r="C2486" s="1">
        <v>41967</v>
      </c>
      <c r="D2486" s="1">
        <v>41972</v>
      </c>
      <c r="E2486" t="s">
        <v>49</v>
      </c>
      <c r="F2486" t="s">
        <v>4233</v>
      </c>
      <c r="G2486" t="s">
        <v>4234</v>
      </c>
      <c r="H2486" t="s">
        <v>25</v>
      </c>
      <c r="I2486" t="s">
        <v>26</v>
      </c>
      <c r="J2486" t="s">
        <v>2797</v>
      </c>
      <c r="K2486" t="s">
        <v>491</v>
      </c>
      <c r="L2486">
        <v>43615</v>
      </c>
      <c r="M2486" t="s">
        <v>145</v>
      </c>
      <c r="N2486" t="s">
        <v>814</v>
      </c>
      <c r="O2486" t="s">
        <v>31</v>
      </c>
      <c r="P2486" t="s">
        <v>64</v>
      </c>
      <c r="Q2486" t="s">
        <v>815</v>
      </c>
      <c r="R2486">
        <v>35.167999999999999</v>
      </c>
      <c r="S2486">
        <v>7</v>
      </c>
      <c r="T2486">
        <v>0.2</v>
      </c>
      <c r="U2486">
        <v>9.6712000000000007</v>
      </c>
      <c r="V2486" t="str">
        <f t="shared" si="38"/>
        <v>Thea Hendricks</v>
      </c>
      <c r="W2486">
        <f>Table2[Profit]/Table2[Sales]</f>
        <v>0.27500000000000002</v>
      </c>
    </row>
    <row r="2487" spans="1:23" x14ac:dyDescent="0.25">
      <c r="A2487">
        <v>2486</v>
      </c>
      <c r="B2487" t="s">
        <v>7746</v>
      </c>
      <c r="C2487" s="1">
        <v>41958</v>
      </c>
      <c r="D2487" s="1">
        <v>41961</v>
      </c>
      <c r="E2487" t="s">
        <v>185</v>
      </c>
      <c r="F2487" t="s">
        <v>7747</v>
      </c>
      <c r="G2487" t="s">
        <v>7748</v>
      </c>
      <c r="H2487" t="s">
        <v>25</v>
      </c>
      <c r="I2487" t="s">
        <v>26</v>
      </c>
      <c r="J2487" t="s">
        <v>41</v>
      </c>
      <c r="K2487" t="s">
        <v>42</v>
      </c>
      <c r="L2487">
        <v>90008</v>
      </c>
      <c r="M2487" t="s">
        <v>43</v>
      </c>
      <c r="N2487" t="s">
        <v>921</v>
      </c>
      <c r="O2487" t="s">
        <v>31</v>
      </c>
      <c r="P2487" t="s">
        <v>64</v>
      </c>
      <c r="Q2487" t="s">
        <v>922</v>
      </c>
      <c r="R2487">
        <v>10.11</v>
      </c>
      <c r="S2487">
        <v>3</v>
      </c>
      <c r="T2487">
        <v>0</v>
      </c>
      <c r="U2487">
        <v>3.2351999999999999</v>
      </c>
      <c r="V2487" t="str">
        <f t="shared" si="38"/>
        <v>Shahid Shariari</v>
      </c>
      <c r="W2487">
        <f>Table2[Profit]/Table2[Sales]</f>
        <v>0.32</v>
      </c>
    </row>
    <row r="2488" spans="1:23" x14ac:dyDescent="0.25">
      <c r="A2488">
        <v>2487</v>
      </c>
      <c r="B2488" t="s">
        <v>7749</v>
      </c>
      <c r="C2488" s="1">
        <v>42817</v>
      </c>
      <c r="D2488" s="1">
        <v>42819</v>
      </c>
      <c r="E2488" t="s">
        <v>22</v>
      </c>
      <c r="F2488" t="s">
        <v>766</v>
      </c>
      <c r="G2488" t="s">
        <v>767</v>
      </c>
      <c r="H2488" t="s">
        <v>40</v>
      </c>
      <c r="I2488" t="s">
        <v>26</v>
      </c>
      <c r="J2488" t="s">
        <v>263</v>
      </c>
      <c r="K2488" t="s">
        <v>264</v>
      </c>
      <c r="L2488">
        <v>10011</v>
      </c>
      <c r="M2488" t="s">
        <v>145</v>
      </c>
      <c r="N2488" t="s">
        <v>1581</v>
      </c>
      <c r="O2488" t="s">
        <v>45</v>
      </c>
      <c r="P2488" t="s">
        <v>572</v>
      </c>
      <c r="Q2488" t="s">
        <v>1582</v>
      </c>
      <c r="R2488">
        <v>347.58</v>
      </c>
      <c r="S2488">
        <v>3</v>
      </c>
      <c r="T2488">
        <v>0</v>
      </c>
      <c r="U2488">
        <v>17.379000000000001</v>
      </c>
      <c r="V2488" t="str">
        <f t="shared" si="38"/>
        <v>Mary Zewe</v>
      </c>
      <c r="W2488">
        <f>Table2[Profit]/Table2[Sales]</f>
        <v>0.05</v>
      </c>
    </row>
    <row r="2489" spans="1:23" x14ac:dyDescent="0.25">
      <c r="A2489">
        <v>2488</v>
      </c>
      <c r="B2489" t="s">
        <v>7750</v>
      </c>
      <c r="C2489" s="1">
        <v>42722</v>
      </c>
      <c r="D2489" s="1">
        <v>42728</v>
      </c>
      <c r="E2489" t="s">
        <v>49</v>
      </c>
      <c r="F2489" t="s">
        <v>1621</v>
      </c>
      <c r="G2489" t="s">
        <v>1622</v>
      </c>
      <c r="H2489" t="s">
        <v>25</v>
      </c>
      <c r="I2489" t="s">
        <v>26</v>
      </c>
      <c r="J2489" t="s">
        <v>941</v>
      </c>
      <c r="K2489" t="s">
        <v>42</v>
      </c>
      <c r="L2489">
        <v>92037</v>
      </c>
      <c r="M2489" t="s">
        <v>43</v>
      </c>
      <c r="N2489" t="s">
        <v>1830</v>
      </c>
      <c r="O2489" t="s">
        <v>70</v>
      </c>
      <c r="P2489" t="s">
        <v>158</v>
      </c>
      <c r="Q2489" t="s">
        <v>1831</v>
      </c>
      <c r="R2489">
        <v>72.64</v>
      </c>
      <c r="S2489">
        <v>2</v>
      </c>
      <c r="T2489">
        <v>0</v>
      </c>
      <c r="U2489">
        <v>21.792000000000002</v>
      </c>
      <c r="V2489" t="str">
        <f t="shared" si="38"/>
        <v>Jeremy Ellison</v>
      </c>
      <c r="W2489">
        <f>Table2[Profit]/Table2[Sales]</f>
        <v>0.30000000000000004</v>
      </c>
    </row>
    <row r="2490" spans="1:23" x14ac:dyDescent="0.25">
      <c r="A2490">
        <v>2489</v>
      </c>
      <c r="B2490" t="s">
        <v>7751</v>
      </c>
      <c r="C2490" s="1">
        <v>42945</v>
      </c>
      <c r="D2490" s="1">
        <v>42950</v>
      </c>
      <c r="E2490" t="s">
        <v>49</v>
      </c>
      <c r="F2490" t="s">
        <v>2352</v>
      </c>
      <c r="G2490" t="s">
        <v>2353</v>
      </c>
      <c r="H2490" t="s">
        <v>25</v>
      </c>
      <c r="I2490" t="s">
        <v>26</v>
      </c>
      <c r="J2490" t="s">
        <v>4745</v>
      </c>
      <c r="K2490" t="s">
        <v>641</v>
      </c>
      <c r="L2490">
        <v>73120</v>
      </c>
      <c r="M2490" t="s">
        <v>104</v>
      </c>
      <c r="N2490" t="s">
        <v>6850</v>
      </c>
      <c r="O2490" t="s">
        <v>45</v>
      </c>
      <c r="P2490" t="s">
        <v>74</v>
      </c>
      <c r="Q2490" t="s">
        <v>6851</v>
      </c>
      <c r="R2490">
        <v>33.479999999999997</v>
      </c>
      <c r="S2490">
        <v>2</v>
      </c>
      <c r="T2490">
        <v>0</v>
      </c>
      <c r="U2490">
        <v>16.405200000000001</v>
      </c>
      <c r="V2490" t="str">
        <f t="shared" si="38"/>
        <v>Roland Fjeld</v>
      </c>
      <c r="W2490">
        <f>Table2[Profit]/Table2[Sales]</f>
        <v>0.49000000000000005</v>
      </c>
    </row>
    <row r="2491" spans="1:23" x14ac:dyDescent="0.25">
      <c r="A2491">
        <v>2490</v>
      </c>
      <c r="B2491" t="s">
        <v>7754</v>
      </c>
      <c r="C2491" s="1">
        <v>41884</v>
      </c>
      <c r="D2491" s="1">
        <v>41889</v>
      </c>
      <c r="E2491" t="s">
        <v>22</v>
      </c>
      <c r="F2491" t="s">
        <v>5305</v>
      </c>
      <c r="G2491" t="s">
        <v>5306</v>
      </c>
      <c r="H2491" t="s">
        <v>25</v>
      </c>
      <c r="I2491" t="s">
        <v>26</v>
      </c>
      <c r="J2491" t="s">
        <v>296</v>
      </c>
      <c r="K2491" t="s">
        <v>208</v>
      </c>
      <c r="L2491">
        <v>60653</v>
      </c>
      <c r="M2491" t="s">
        <v>104</v>
      </c>
      <c r="N2491" t="s">
        <v>2266</v>
      </c>
      <c r="O2491" t="s">
        <v>70</v>
      </c>
      <c r="P2491" t="s">
        <v>158</v>
      </c>
      <c r="Q2491" t="s">
        <v>2267</v>
      </c>
      <c r="R2491">
        <v>239.976</v>
      </c>
      <c r="S2491">
        <v>3</v>
      </c>
      <c r="T2491">
        <v>0.2</v>
      </c>
      <c r="U2491">
        <v>53.994599999999998</v>
      </c>
      <c r="V2491" t="str">
        <f t="shared" si="38"/>
        <v>Christina VanderZanden</v>
      </c>
      <c r="W2491">
        <f>Table2[Profit]/Table2[Sales]</f>
        <v>0.22500000000000001</v>
      </c>
    </row>
    <row r="2492" spans="1:23" x14ac:dyDescent="0.25">
      <c r="A2492">
        <v>2491</v>
      </c>
      <c r="B2492" t="s">
        <v>7755</v>
      </c>
      <c r="C2492" s="1">
        <v>42764</v>
      </c>
      <c r="D2492" s="1">
        <v>42768</v>
      </c>
      <c r="E2492" t="s">
        <v>49</v>
      </c>
      <c r="F2492" t="s">
        <v>2962</v>
      </c>
      <c r="G2492" t="s">
        <v>2963</v>
      </c>
      <c r="H2492" t="s">
        <v>25</v>
      </c>
      <c r="I2492" t="s">
        <v>26</v>
      </c>
      <c r="J2492" t="s">
        <v>126</v>
      </c>
      <c r="K2492" t="s">
        <v>42</v>
      </c>
      <c r="L2492">
        <v>94109</v>
      </c>
      <c r="M2492" t="s">
        <v>43</v>
      </c>
      <c r="N2492" t="s">
        <v>6111</v>
      </c>
      <c r="O2492" t="s">
        <v>45</v>
      </c>
      <c r="P2492" t="s">
        <v>67</v>
      </c>
      <c r="Q2492" t="s">
        <v>6112</v>
      </c>
      <c r="R2492">
        <v>8.34</v>
      </c>
      <c r="S2492">
        <v>3</v>
      </c>
      <c r="T2492">
        <v>0</v>
      </c>
      <c r="U2492">
        <v>2.1684000000000001</v>
      </c>
      <c r="V2492" t="str">
        <f t="shared" si="38"/>
        <v>Vivek Gonzalez</v>
      </c>
      <c r="W2492">
        <f>Table2[Profit]/Table2[Sales]</f>
        <v>0.26</v>
      </c>
    </row>
    <row r="2493" spans="1:23" x14ac:dyDescent="0.25">
      <c r="A2493">
        <v>2492</v>
      </c>
      <c r="B2493" t="s">
        <v>7756</v>
      </c>
      <c r="C2493" s="1">
        <v>42730</v>
      </c>
      <c r="D2493" s="1">
        <v>42737</v>
      </c>
      <c r="E2493" t="s">
        <v>49</v>
      </c>
      <c r="F2493" t="s">
        <v>1516</v>
      </c>
      <c r="G2493" t="s">
        <v>1517</v>
      </c>
      <c r="H2493" t="s">
        <v>40</v>
      </c>
      <c r="I2493" t="s">
        <v>26</v>
      </c>
      <c r="J2493" t="s">
        <v>3854</v>
      </c>
      <c r="K2493" t="s">
        <v>781</v>
      </c>
      <c r="L2493">
        <v>8360</v>
      </c>
      <c r="M2493" t="s">
        <v>145</v>
      </c>
      <c r="N2493" t="s">
        <v>274</v>
      </c>
      <c r="O2493" t="s">
        <v>31</v>
      </c>
      <c r="P2493" t="s">
        <v>35</v>
      </c>
      <c r="Q2493" t="s">
        <v>275</v>
      </c>
      <c r="R2493">
        <v>212.94</v>
      </c>
      <c r="S2493">
        <v>3</v>
      </c>
      <c r="T2493">
        <v>0</v>
      </c>
      <c r="U2493">
        <v>25.552800000000001</v>
      </c>
      <c r="V2493" t="str">
        <f t="shared" si="38"/>
        <v>Brenda Bowman</v>
      </c>
      <c r="W2493">
        <f>Table2[Profit]/Table2[Sales]</f>
        <v>0.12000000000000001</v>
      </c>
    </row>
    <row r="2494" spans="1:23" x14ac:dyDescent="0.25">
      <c r="A2494">
        <v>2493</v>
      </c>
      <c r="B2494" t="s">
        <v>7757</v>
      </c>
      <c r="C2494" s="1">
        <v>42225</v>
      </c>
      <c r="D2494" s="1">
        <v>42229</v>
      </c>
      <c r="E2494" t="s">
        <v>22</v>
      </c>
      <c r="F2494" t="s">
        <v>2995</v>
      </c>
      <c r="G2494" t="s">
        <v>2996</v>
      </c>
      <c r="H2494" t="s">
        <v>101</v>
      </c>
      <c r="I2494" t="s">
        <v>26</v>
      </c>
      <c r="J2494" t="s">
        <v>2517</v>
      </c>
      <c r="K2494" t="s">
        <v>113</v>
      </c>
      <c r="L2494">
        <v>53209</v>
      </c>
      <c r="M2494" t="s">
        <v>104</v>
      </c>
      <c r="N2494" t="s">
        <v>7288</v>
      </c>
      <c r="O2494" t="s">
        <v>31</v>
      </c>
      <c r="P2494" t="s">
        <v>32</v>
      </c>
      <c r="Q2494" t="s">
        <v>7289</v>
      </c>
      <c r="R2494">
        <v>687.4</v>
      </c>
      <c r="S2494">
        <v>5</v>
      </c>
      <c r="T2494">
        <v>0</v>
      </c>
      <c r="U2494">
        <v>48.118000000000002</v>
      </c>
      <c r="V2494" t="str">
        <f t="shared" si="38"/>
        <v>Hallie Redmond</v>
      </c>
      <c r="W2494">
        <f>Table2[Profit]/Table2[Sales]</f>
        <v>7.0000000000000007E-2</v>
      </c>
    </row>
    <row r="2495" spans="1:23" x14ac:dyDescent="0.25">
      <c r="A2495">
        <v>2494</v>
      </c>
      <c r="B2495" t="s">
        <v>7758</v>
      </c>
      <c r="C2495" s="1">
        <v>41735</v>
      </c>
      <c r="D2495" s="1">
        <v>41741</v>
      </c>
      <c r="E2495" t="s">
        <v>49</v>
      </c>
      <c r="F2495" t="s">
        <v>5267</v>
      </c>
      <c r="G2495" t="s">
        <v>5268</v>
      </c>
      <c r="H2495" t="s">
        <v>40</v>
      </c>
      <c r="I2495" t="s">
        <v>26</v>
      </c>
      <c r="J2495" t="s">
        <v>94</v>
      </c>
      <c r="K2495" t="s">
        <v>95</v>
      </c>
      <c r="L2495">
        <v>98115</v>
      </c>
      <c r="M2495" t="s">
        <v>43</v>
      </c>
      <c r="N2495" t="s">
        <v>2154</v>
      </c>
      <c r="O2495" t="s">
        <v>31</v>
      </c>
      <c r="P2495" t="s">
        <v>55</v>
      </c>
      <c r="Q2495" t="s">
        <v>2155</v>
      </c>
      <c r="R2495">
        <v>653.54999999999995</v>
      </c>
      <c r="S2495">
        <v>3</v>
      </c>
      <c r="T2495">
        <v>0</v>
      </c>
      <c r="U2495">
        <v>111.1035</v>
      </c>
      <c r="V2495" t="str">
        <f t="shared" si="38"/>
        <v>Scott Cohen</v>
      </c>
      <c r="W2495">
        <f>Table2[Profit]/Table2[Sales]</f>
        <v>0.17</v>
      </c>
    </row>
    <row r="2496" spans="1:23" x14ac:dyDescent="0.25">
      <c r="A2496">
        <v>2495</v>
      </c>
      <c r="B2496" t="s">
        <v>7759</v>
      </c>
      <c r="C2496" s="1">
        <v>43056</v>
      </c>
      <c r="D2496" s="1">
        <v>43060</v>
      </c>
      <c r="E2496" t="s">
        <v>22</v>
      </c>
      <c r="F2496" t="s">
        <v>2309</v>
      </c>
      <c r="G2496" t="s">
        <v>2310</v>
      </c>
      <c r="H2496" t="s">
        <v>25</v>
      </c>
      <c r="I2496" t="s">
        <v>26</v>
      </c>
      <c r="J2496" t="s">
        <v>207</v>
      </c>
      <c r="K2496" t="s">
        <v>208</v>
      </c>
      <c r="L2496">
        <v>60540</v>
      </c>
      <c r="M2496" t="s">
        <v>104</v>
      </c>
      <c r="N2496" t="s">
        <v>2321</v>
      </c>
      <c r="O2496" t="s">
        <v>70</v>
      </c>
      <c r="P2496" t="s">
        <v>158</v>
      </c>
      <c r="Q2496" t="s">
        <v>2322</v>
      </c>
      <c r="R2496">
        <v>239.96</v>
      </c>
      <c r="S2496">
        <v>5</v>
      </c>
      <c r="T2496">
        <v>0.2</v>
      </c>
      <c r="U2496">
        <v>83.986000000000004</v>
      </c>
      <c r="V2496" t="str">
        <f t="shared" si="38"/>
        <v>Emily Grady</v>
      </c>
      <c r="W2496">
        <f>Table2[Profit]/Table2[Sales]</f>
        <v>0.35000000000000003</v>
      </c>
    </row>
    <row r="2497" spans="1:23" x14ac:dyDescent="0.25">
      <c r="A2497">
        <v>2496</v>
      </c>
      <c r="B2497" t="s">
        <v>7760</v>
      </c>
      <c r="C2497" s="1">
        <v>42196</v>
      </c>
      <c r="D2497" s="1">
        <v>42197</v>
      </c>
      <c r="E2497" t="s">
        <v>185</v>
      </c>
      <c r="F2497" t="s">
        <v>3918</v>
      </c>
      <c r="G2497" t="s">
        <v>3919</v>
      </c>
      <c r="H2497" t="s">
        <v>40</v>
      </c>
      <c r="I2497" t="s">
        <v>26</v>
      </c>
      <c r="J2497" t="s">
        <v>514</v>
      </c>
      <c r="K2497" t="s">
        <v>242</v>
      </c>
      <c r="L2497">
        <v>19805</v>
      </c>
      <c r="M2497" t="s">
        <v>145</v>
      </c>
      <c r="N2497" t="s">
        <v>2765</v>
      </c>
      <c r="O2497" t="s">
        <v>31</v>
      </c>
      <c r="P2497" t="s">
        <v>55</v>
      </c>
      <c r="Q2497" t="s">
        <v>2766</v>
      </c>
      <c r="R2497">
        <v>199.83600000000001</v>
      </c>
      <c r="S2497">
        <v>4</v>
      </c>
      <c r="T2497">
        <v>0.3</v>
      </c>
      <c r="U2497">
        <v>-37.112400000000001</v>
      </c>
      <c r="V2497" t="str">
        <f t="shared" si="38"/>
        <v>Todd Sumrall</v>
      </c>
      <c r="W2497">
        <f>Table2[Profit]/Table2[Sales]</f>
        <v>-0.18571428571428572</v>
      </c>
    </row>
    <row r="2498" spans="1:23" x14ac:dyDescent="0.25">
      <c r="A2498">
        <v>2497</v>
      </c>
      <c r="B2498" t="s">
        <v>7761</v>
      </c>
      <c r="C2498" s="1">
        <v>42684</v>
      </c>
      <c r="D2498" s="1">
        <v>42687</v>
      </c>
      <c r="E2498" t="s">
        <v>22</v>
      </c>
      <c r="F2498" t="s">
        <v>3958</v>
      </c>
      <c r="G2498" t="s">
        <v>3959</v>
      </c>
      <c r="H2498" t="s">
        <v>25</v>
      </c>
      <c r="I2498" t="s">
        <v>26</v>
      </c>
      <c r="J2498" t="s">
        <v>41</v>
      </c>
      <c r="K2498" t="s">
        <v>42</v>
      </c>
      <c r="L2498">
        <v>90036</v>
      </c>
      <c r="M2498" t="s">
        <v>43</v>
      </c>
      <c r="N2498" t="s">
        <v>5876</v>
      </c>
      <c r="O2498" t="s">
        <v>45</v>
      </c>
      <c r="P2498" t="s">
        <v>89</v>
      </c>
      <c r="Q2498" t="s">
        <v>5877</v>
      </c>
      <c r="R2498">
        <v>67.709999999999994</v>
      </c>
      <c r="S2498">
        <v>3</v>
      </c>
      <c r="T2498">
        <v>0</v>
      </c>
      <c r="U2498">
        <v>32.500799999999998</v>
      </c>
      <c r="V2498" t="str">
        <f t="shared" si="38"/>
        <v>Arianne Irving</v>
      </c>
      <c r="W2498">
        <f>Table2[Profit]/Table2[Sales]</f>
        <v>0.48000000000000004</v>
      </c>
    </row>
    <row r="2499" spans="1:23" x14ac:dyDescent="0.25">
      <c r="A2499">
        <v>2498</v>
      </c>
      <c r="B2499" t="s">
        <v>7762</v>
      </c>
      <c r="C2499" s="1">
        <v>41729</v>
      </c>
      <c r="D2499" s="1">
        <v>41733</v>
      </c>
      <c r="E2499" t="s">
        <v>49</v>
      </c>
      <c r="F2499" t="s">
        <v>7050</v>
      </c>
      <c r="G2499" t="s">
        <v>7051</v>
      </c>
      <c r="H2499" t="s">
        <v>25</v>
      </c>
      <c r="I2499" t="s">
        <v>26</v>
      </c>
      <c r="J2499" t="s">
        <v>296</v>
      </c>
      <c r="K2499" t="s">
        <v>208</v>
      </c>
      <c r="L2499">
        <v>60610</v>
      </c>
      <c r="M2499" t="s">
        <v>104</v>
      </c>
      <c r="N2499" t="s">
        <v>2691</v>
      </c>
      <c r="O2499" t="s">
        <v>45</v>
      </c>
      <c r="P2499" t="s">
        <v>74</v>
      </c>
      <c r="Q2499" t="s">
        <v>2692</v>
      </c>
      <c r="R2499">
        <v>8.1340000000000003</v>
      </c>
      <c r="S2499">
        <v>7</v>
      </c>
      <c r="T2499">
        <v>0.8</v>
      </c>
      <c r="U2499">
        <v>-13.8278</v>
      </c>
      <c r="V2499" t="str">
        <f t="shared" ref="V2499:V2562" si="39">TRIM(G2499)</f>
        <v>Dorothy Dickinson</v>
      </c>
      <c r="W2499">
        <f>Table2[Profit]/Table2[Sales]</f>
        <v>-1.7</v>
      </c>
    </row>
    <row r="2500" spans="1:23" x14ac:dyDescent="0.25">
      <c r="A2500">
        <v>2499</v>
      </c>
      <c r="B2500" t="s">
        <v>7763</v>
      </c>
      <c r="C2500" s="1">
        <v>42265</v>
      </c>
      <c r="D2500" s="1">
        <v>42271</v>
      </c>
      <c r="E2500" t="s">
        <v>49</v>
      </c>
      <c r="F2500" t="s">
        <v>1237</v>
      </c>
      <c r="G2500" t="s">
        <v>1238</v>
      </c>
      <c r="H2500" t="s">
        <v>101</v>
      </c>
      <c r="I2500" t="s">
        <v>26</v>
      </c>
      <c r="J2500" t="s">
        <v>1366</v>
      </c>
      <c r="K2500" t="s">
        <v>95</v>
      </c>
      <c r="L2500">
        <v>98198</v>
      </c>
      <c r="M2500" t="s">
        <v>43</v>
      </c>
      <c r="N2500" t="s">
        <v>5131</v>
      </c>
      <c r="O2500" t="s">
        <v>45</v>
      </c>
      <c r="P2500" t="s">
        <v>89</v>
      </c>
      <c r="Q2500" t="s">
        <v>5132</v>
      </c>
      <c r="R2500">
        <v>18.54</v>
      </c>
      <c r="S2500">
        <v>2</v>
      </c>
      <c r="T2500">
        <v>0</v>
      </c>
      <c r="U2500">
        <v>8.7138000000000009</v>
      </c>
      <c r="V2500" t="str">
        <f t="shared" si="39"/>
        <v>Adam Bellavance</v>
      </c>
      <c r="W2500">
        <f>Table2[Profit]/Table2[Sales]</f>
        <v>0.47000000000000008</v>
      </c>
    </row>
    <row r="2501" spans="1:23" x14ac:dyDescent="0.25">
      <c r="A2501">
        <v>2500</v>
      </c>
      <c r="B2501" t="s">
        <v>7764</v>
      </c>
      <c r="C2501" s="1">
        <v>42315</v>
      </c>
      <c r="D2501" s="1">
        <v>42319</v>
      </c>
      <c r="E2501" t="s">
        <v>49</v>
      </c>
      <c r="F2501" t="s">
        <v>1781</v>
      </c>
      <c r="G2501" t="s">
        <v>1782</v>
      </c>
      <c r="H2501" t="s">
        <v>40</v>
      </c>
      <c r="I2501" t="s">
        <v>26</v>
      </c>
      <c r="J2501" t="s">
        <v>143</v>
      </c>
      <c r="K2501" t="s">
        <v>144</v>
      </c>
      <c r="L2501">
        <v>19140</v>
      </c>
      <c r="M2501" t="s">
        <v>145</v>
      </c>
      <c r="N2501" t="s">
        <v>1456</v>
      </c>
      <c r="O2501" t="s">
        <v>45</v>
      </c>
      <c r="P2501" t="s">
        <v>170</v>
      </c>
      <c r="Q2501" t="s">
        <v>1457</v>
      </c>
      <c r="R2501">
        <v>24.4</v>
      </c>
      <c r="S2501">
        <v>2</v>
      </c>
      <c r="T2501">
        <v>0.2</v>
      </c>
      <c r="U2501">
        <v>7.93</v>
      </c>
      <c r="V2501" t="str">
        <f t="shared" si="39"/>
        <v>Karen Bern</v>
      </c>
      <c r="W2501">
        <f>Table2[Profit]/Table2[Sales]</f>
        <v>0.32500000000000001</v>
      </c>
    </row>
    <row r="2502" spans="1:23" x14ac:dyDescent="0.25">
      <c r="A2502">
        <v>2501</v>
      </c>
      <c r="B2502" t="s">
        <v>7765</v>
      </c>
      <c r="C2502" s="1">
        <v>42874</v>
      </c>
      <c r="D2502" s="1">
        <v>42874</v>
      </c>
      <c r="E2502" t="s">
        <v>1278</v>
      </c>
      <c r="F2502" t="s">
        <v>4584</v>
      </c>
      <c r="G2502" t="s">
        <v>4585</v>
      </c>
      <c r="H2502" t="s">
        <v>25</v>
      </c>
      <c r="I2502" t="s">
        <v>26</v>
      </c>
      <c r="J2502" t="s">
        <v>1712</v>
      </c>
      <c r="K2502" t="s">
        <v>1260</v>
      </c>
      <c r="L2502">
        <v>30318</v>
      </c>
      <c r="M2502" t="s">
        <v>29</v>
      </c>
      <c r="N2502" t="s">
        <v>4543</v>
      </c>
      <c r="O2502" t="s">
        <v>45</v>
      </c>
      <c r="P2502" t="s">
        <v>89</v>
      </c>
      <c r="Q2502" t="s">
        <v>4544</v>
      </c>
      <c r="R2502">
        <v>195.64</v>
      </c>
      <c r="S2502">
        <v>4</v>
      </c>
      <c r="T2502">
        <v>0</v>
      </c>
      <c r="U2502">
        <v>91.950800000000001</v>
      </c>
      <c r="V2502" t="str">
        <f t="shared" si="39"/>
        <v>John Castell</v>
      </c>
      <c r="W2502">
        <f>Table2[Profit]/Table2[Sales]</f>
        <v>0.47000000000000003</v>
      </c>
    </row>
    <row r="2503" spans="1:23" x14ac:dyDescent="0.25">
      <c r="A2503">
        <v>2502</v>
      </c>
      <c r="B2503" t="s">
        <v>7766</v>
      </c>
      <c r="C2503" s="1">
        <v>42007</v>
      </c>
      <c r="D2503" s="1">
        <v>42012</v>
      </c>
      <c r="E2503" t="s">
        <v>22</v>
      </c>
      <c r="F2503" t="s">
        <v>7089</v>
      </c>
      <c r="G2503" t="s">
        <v>7090</v>
      </c>
      <c r="H2503" t="s">
        <v>25</v>
      </c>
      <c r="I2503" t="s">
        <v>26</v>
      </c>
      <c r="J2503" t="s">
        <v>808</v>
      </c>
      <c r="K2503" t="s">
        <v>103</v>
      </c>
      <c r="L2503">
        <v>75217</v>
      </c>
      <c r="M2503" t="s">
        <v>104</v>
      </c>
      <c r="N2503" t="s">
        <v>2973</v>
      </c>
      <c r="O2503" t="s">
        <v>70</v>
      </c>
      <c r="P2503" t="s">
        <v>158</v>
      </c>
      <c r="Q2503" t="s">
        <v>2974</v>
      </c>
      <c r="R2503">
        <v>398.4</v>
      </c>
      <c r="S2503">
        <v>5</v>
      </c>
      <c r="T2503">
        <v>0.2</v>
      </c>
      <c r="U2503">
        <v>84.66</v>
      </c>
      <c r="V2503" t="str">
        <f t="shared" si="39"/>
        <v>Amy Hunt</v>
      </c>
      <c r="W2503">
        <f>Table2[Profit]/Table2[Sales]</f>
        <v>0.21249999999999999</v>
      </c>
    </row>
    <row r="2504" spans="1:23" x14ac:dyDescent="0.25">
      <c r="A2504">
        <v>2503</v>
      </c>
      <c r="B2504" t="s">
        <v>7767</v>
      </c>
      <c r="C2504" s="1">
        <v>42255</v>
      </c>
      <c r="D2504" s="1">
        <v>42258</v>
      </c>
      <c r="E2504" t="s">
        <v>185</v>
      </c>
      <c r="F2504" t="s">
        <v>3183</v>
      </c>
      <c r="G2504" t="s">
        <v>3184</v>
      </c>
      <c r="H2504" t="s">
        <v>25</v>
      </c>
      <c r="I2504" t="s">
        <v>26</v>
      </c>
      <c r="J2504" t="s">
        <v>7768</v>
      </c>
      <c r="K2504" t="s">
        <v>42</v>
      </c>
      <c r="L2504">
        <v>92553</v>
      </c>
      <c r="M2504" t="s">
        <v>43</v>
      </c>
      <c r="N2504" t="s">
        <v>6943</v>
      </c>
      <c r="O2504" t="s">
        <v>45</v>
      </c>
      <c r="P2504" t="s">
        <v>89</v>
      </c>
      <c r="Q2504" t="s">
        <v>6944</v>
      </c>
      <c r="R2504">
        <v>26.4</v>
      </c>
      <c r="S2504">
        <v>5</v>
      </c>
      <c r="T2504">
        <v>0</v>
      </c>
      <c r="U2504">
        <v>11.88</v>
      </c>
      <c r="V2504" t="str">
        <f t="shared" si="39"/>
        <v>Neoma Murray</v>
      </c>
      <c r="W2504">
        <f>Table2[Profit]/Table2[Sales]</f>
        <v>0.45000000000000007</v>
      </c>
    </row>
    <row r="2505" spans="1:23" x14ac:dyDescent="0.25">
      <c r="A2505">
        <v>2504</v>
      </c>
      <c r="B2505" t="s">
        <v>7769</v>
      </c>
      <c r="C2505" s="1">
        <v>42463</v>
      </c>
      <c r="D2505" s="1">
        <v>42467</v>
      </c>
      <c r="E2505" t="s">
        <v>49</v>
      </c>
      <c r="F2505" t="s">
        <v>1924</v>
      </c>
      <c r="G2505" t="s">
        <v>1925</v>
      </c>
      <c r="H2505" t="s">
        <v>25</v>
      </c>
      <c r="I2505" t="s">
        <v>26</v>
      </c>
      <c r="J2505" t="s">
        <v>143</v>
      </c>
      <c r="K2505" t="s">
        <v>144</v>
      </c>
      <c r="L2505">
        <v>19140</v>
      </c>
      <c r="M2505" t="s">
        <v>145</v>
      </c>
      <c r="N2505" t="s">
        <v>3092</v>
      </c>
      <c r="O2505" t="s">
        <v>45</v>
      </c>
      <c r="P2505" t="s">
        <v>74</v>
      </c>
      <c r="Q2505" t="s">
        <v>3093</v>
      </c>
      <c r="R2505">
        <v>99.846000000000004</v>
      </c>
      <c r="S2505">
        <v>9</v>
      </c>
      <c r="T2505">
        <v>0.7</v>
      </c>
      <c r="U2505">
        <v>-83.204999999999998</v>
      </c>
      <c r="V2505" t="str">
        <f t="shared" si="39"/>
        <v>Carlos Soltero</v>
      </c>
      <c r="W2505">
        <f>Table2[Profit]/Table2[Sales]</f>
        <v>-0.83333333333333326</v>
      </c>
    </row>
    <row r="2506" spans="1:23" x14ac:dyDescent="0.25">
      <c r="A2506">
        <v>2505</v>
      </c>
      <c r="B2506" t="s">
        <v>7770</v>
      </c>
      <c r="C2506" s="1">
        <v>42709</v>
      </c>
      <c r="D2506" s="1">
        <v>42711</v>
      </c>
      <c r="E2506" t="s">
        <v>22</v>
      </c>
      <c r="F2506" t="s">
        <v>1969</v>
      </c>
      <c r="G2506" t="s">
        <v>1970</v>
      </c>
      <c r="H2506" t="s">
        <v>25</v>
      </c>
      <c r="I2506" t="s">
        <v>26</v>
      </c>
      <c r="J2506" t="s">
        <v>7771</v>
      </c>
      <c r="K2506" t="s">
        <v>28</v>
      </c>
      <c r="L2506">
        <v>40324</v>
      </c>
      <c r="M2506" t="s">
        <v>29</v>
      </c>
      <c r="N2506" t="s">
        <v>2909</v>
      </c>
      <c r="O2506" t="s">
        <v>70</v>
      </c>
      <c r="P2506" t="s">
        <v>71</v>
      </c>
      <c r="Q2506" t="s">
        <v>2910</v>
      </c>
      <c r="R2506">
        <v>699.98</v>
      </c>
      <c r="S2506">
        <v>2</v>
      </c>
      <c r="T2506">
        <v>0</v>
      </c>
      <c r="U2506">
        <v>195.99440000000001</v>
      </c>
      <c r="V2506" t="str">
        <f t="shared" si="39"/>
        <v>Theone Pippenger</v>
      </c>
      <c r="W2506">
        <f>Table2[Profit]/Table2[Sales]</f>
        <v>0.28000000000000003</v>
      </c>
    </row>
    <row r="2507" spans="1:23" x14ac:dyDescent="0.25">
      <c r="A2507">
        <v>2506</v>
      </c>
      <c r="B2507" t="s">
        <v>7772</v>
      </c>
      <c r="C2507" s="1">
        <v>42132</v>
      </c>
      <c r="D2507" s="1">
        <v>42136</v>
      </c>
      <c r="E2507" t="s">
        <v>49</v>
      </c>
      <c r="F2507" t="s">
        <v>2863</v>
      </c>
      <c r="G2507" t="s">
        <v>2864</v>
      </c>
      <c r="H2507" t="s">
        <v>25</v>
      </c>
      <c r="I2507" t="s">
        <v>26</v>
      </c>
      <c r="J2507" t="s">
        <v>402</v>
      </c>
      <c r="K2507" t="s">
        <v>226</v>
      </c>
      <c r="L2507">
        <v>55407</v>
      </c>
      <c r="M2507" t="s">
        <v>104</v>
      </c>
      <c r="N2507" t="s">
        <v>2750</v>
      </c>
      <c r="O2507" t="s">
        <v>45</v>
      </c>
      <c r="P2507" t="s">
        <v>74</v>
      </c>
      <c r="Q2507" t="s">
        <v>2751</v>
      </c>
      <c r="R2507">
        <v>43.98</v>
      </c>
      <c r="S2507">
        <v>2</v>
      </c>
      <c r="T2507">
        <v>0</v>
      </c>
      <c r="U2507">
        <v>21.99</v>
      </c>
      <c r="V2507" t="str">
        <f t="shared" si="39"/>
        <v>Daniel Lacy</v>
      </c>
      <c r="W2507">
        <f>Table2[Profit]/Table2[Sales]</f>
        <v>0.5</v>
      </c>
    </row>
    <row r="2508" spans="1:23" x14ac:dyDescent="0.25">
      <c r="A2508">
        <v>2507</v>
      </c>
      <c r="B2508" t="s">
        <v>7773</v>
      </c>
      <c r="C2508" s="1">
        <v>43000</v>
      </c>
      <c r="D2508" s="1">
        <v>43002</v>
      </c>
      <c r="E2508" t="s">
        <v>185</v>
      </c>
      <c r="F2508" t="s">
        <v>2022</v>
      </c>
      <c r="G2508" t="s">
        <v>2023</v>
      </c>
      <c r="H2508" t="s">
        <v>25</v>
      </c>
      <c r="I2508" t="s">
        <v>26</v>
      </c>
      <c r="J2508" t="s">
        <v>514</v>
      </c>
      <c r="K2508" t="s">
        <v>242</v>
      </c>
      <c r="L2508">
        <v>19805</v>
      </c>
      <c r="M2508" t="s">
        <v>145</v>
      </c>
      <c r="N2508" t="s">
        <v>189</v>
      </c>
      <c r="O2508" t="s">
        <v>70</v>
      </c>
      <c r="P2508" t="s">
        <v>71</v>
      </c>
      <c r="Q2508" t="s">
        <v>190</v>
      </c>
      <c r="R2508">
        <v>391.98</v>
      </c>
      <c r="S2508">
        <v>2</v>
      </c>
      <c r="T2508">
        <v>0</v>
      </c>
      <c r="U2508">
        <v>113.6742</v>
      </c>
      <c r="V2508" t="str">
        <f t="shared" si="39"/>
        <v>Christina Anderson</v>
      </c>
      <c r="W2508">
        <f>Table2[Profit]/Table2[Sales]</f>
        <v>0.28999999999999998</v>
      </c>
    </row>
    <row r="2509" spans="1:23" x14ac:dyDescent="0.25">
      <c r="A2509">
        <v>2508</v>
      </c>
      <c r="B2509" t="s">
        <v>7774</v>
      </c>
      <c r="C2509" s="1">
        <v>43069</v>
      </c>
      <c r="D2509" s="1">
        <v>43076</v>
      </c>
      <c r="E2509" t="s">
        <v>49</v>
      </c>
      <c r="F2509" t="s">
        <v>5407</v>
      </c>
      <c r="G2509" t="s">
        <v>5408</v>
      </c>
      <c r="H2509" t="s">
        <v>25</v>
      </c>
      <c r="I2509" t="s">
        <v>26</v>
      </c>
      <c r="J2509" t="s">
        <v>2189</v>
      </c>
      <c r="K2509" t="s">
        <v>87</v>
      </c>
      <c r="L2509">
        <v>27217</v>
      </c>
      <c r="M2509" t="s">
        <v>29</v>
      </c>
      <c r="N2509" t="s">
        <v>1066</v>
      </c>
      <c r="O2509" t="s">
        <v>70</v>
      </c>
      <c r="P2509" t="s">
        <v>158</v>
      </c>
      <c r="Q2509" t="s">
        <v>1067</v>
      </c>
      <c r="R2509">
        <v>383.976</v>
      </c>
      <c r="S2509">
        <v>3</v>
      </c>
      <c r="T2509">
        <v>0.2</v>
      </c>
      <c r="U2509">
        <v>81.594899999999996</v>
      </c>
      <c r="V2509" t="str">
        <f t="shared" si="39"/>
        <v>Shahid Collister</v>
      </c>
      <c r="W2509">
        <f>Table2[Profit]/Table2[Sales]</f>
        <v>0.21249999999999999</v>
      </c>
    </row>
    <row r="2510" spans="1:23" x14ac:dyDescent="0.25">
      <c r="A2510">
        <v>2509</v>
      </c>
      <c r="B2510" t="s">
        <v>7775</v>
      </c>
      <c r="C2510" s="1">
        <v>42750</v>
      </c>
      <c r="D2510" s="1">
        <v>42754</v>
      </c>
      <c r="E2510" t="s">
        <v>49</v>
      </c>
      <c r="F2510" t="s">
        <v>4090</v>
      </c>
      <c r="G2510" t="s">
        <v>4091</v>
      </c>
      <c r="H2510" t="s">
        <v>101</v>
      </c>
      <c r="I2510" t="s">
        <v>26</v>
      </c>
      <c r="J2510" t="s">
        <v>41</v>
      </c>
      <c r="K2510" t="s">
        <v>42</v>
      </c>
      <c r="L2510">
        <v>90008</v>
      </c>
      <c r="M2510" t="s">
        <v>43</v>
      </c>
      <c r="N2510" t="s">
        <v>4076</v>
      </c>
      <c r="O2510" t="s">
        <v>45</v>
      </c>
      <c r="P2510" t="s">
        <v>67</v>
      </c>
      <c r="Q2510" t="s">
        <v>4077</v>
      </c>
      <c r="R2510">
        <v>21.4</v>
      </c>
      <c r="S2510">
        <v>5</v>
      </c>
      <c r="T2510">
        <v>0</v>
      </c>
      <c r="U2510">
        <v>6.2060000000000004</v>
      </c>
      <c r="V2510" t="str">
        <f t="shared" si="39"/>
        <v>Tonja Turnell</v>
      </c>
      <c r="W2510">
        <f>Table2[Profit]/Table2[Sales]</f>
        <v>0.29000000000000004</v>
      </c>
    </row>
    <row r="2511" spans="1:23" x14ac:dyDescent="0.25">
      <c r="A2511">
        <v>2510</v>
      </c>
      <c r="B2511" t="s">
        <v>7776</v>
      </c>
      <c r="C2511" s="1">
        <v>41859</v>
      </c>
      <c r="D2511" s="1">
        <v>41863</v>
      </c>
      <c r="E2511" t="s">
        <v>49</v>
      </c>
      <c r="F2511" t="s">
        <v>179</v>
      </c>
      <c r="G2511" t="s">
        <v>180</v>
      </c>
      <c r="H2511" t="s">
        <v>101</v>
      </c>
      <c r="I2511" t="s">
        <v>26</v>
      </c>
      <c r="J2511" t="s">
        <v>2354</v>
      </c>
      <c r="K2511" t="s">
        <v>235</v>
      </c>
      <c r="L2511">
        <v>48183</v>
      </c>
      <c r="M2511" t="s">
        <v>104</v>
      </c>
      <c r="N2511" t="s">
        <v>6697</v>
      </c>
      <c r="O2511" t="s">
        <v>70</v>
      </c>
      <c r="P2511" t="s">
        <v>1204</v>
      </c>
      <c r="Q2511" t="s">
        <v>6698</v>
      </c>
      <c r="R2511">
        <v>549.99</v>
      </c>
      <c r="S2511">
        <v>1</v>
      </c>
      <c r="T2511">
        <v>0</v>
      </c>
      <c r="U2511">
        <v>274.995</v>
      </c>
      <c r="V2511" t="str">
        <f t="shared" si="39"/>
        <v>Matt Abelman</v>
      </c>
      <c r="W2511">
        <f>Table2[Profit]/Table2[Sales]</f>
        <v>0.5</v>
      </c>
    </row>
    <row r="2512" spans="1:23" x14ac:dyDescent="0.25">
      <c r="A2512">
        <v>2511</v>
      </c>
      <c r="B2512" t="s">
        <v>7777</v>
      </c>
      <c r="C2512" s="1">
        <v>42313</v>
      </c>
      <c r="D2512" s="1">
        <v>42313</v>
      </c>
      <c r="E2512" t="s">
        <v>1278</v>
      </c>
      <c r="F2512" t="s">
        <v>5118</v>
      </c>
      <c r="G2512" t="s">
        <v>5119</v>
      </c>
      <c r="H2512" t="s">
        <v>25</v>
      </c>
      <c r="I2512" t="s">
        <v>26</v>
      </c>
      <c r="J2512" t="s">
        <v>126</v>
      </c>
      <c r="K2512" t="s">
        <v>42</v>
      </c>
      <c r="L2512">
        <v>94109</v>
      </c>
      <c r="M2512" t="s">
        <v>43</v>
      </c>
      <c r="N2512" t="s">
        <v>3655</v>
      </c>
      <c r="O2512" t="s">
        <v>45</v>
      </c>
      <c r="P2512" t="s">
        <v>58</v>
      </c>
      <c r="Q2512" t="s">
        <v>3656</v>
      </c>
      <c r="R2512">
        <v>62.8</v>
      </c>
      <c r="S2512">
        <v>4</v>
      </c>
      <c r="T2512">
        <v>0</v>
      </c>
      <c r="U2512">
        <v>15.7</v>
      </c>
      <c r="V2512" t="str">
        <f t="shared" si="39"/>
        <v>Justin MacKendrick</v>
      </c>
      <c r="W2512">
        <f>Table2[Profit]/Table2[Sales]</f>
        <v>0.25</v>
      </c>
    </row>
    <row r="2513" spans="1:23" x14ac:dyDescent="0.25">
      <c r="A2513">
        <v>2512</v>
      </c>
      <c r="B2513" t="s">
        <v>7778</v>
      </c>
      <c r="C2513" s="1">
        <v>42850</v>
      </c>
      <c r="D2513" s="1">
        <v>42854</v>
      </c>
      <c r="E2513" t="s">
        <v>22</v>
      </c>
      <c r="F2513" t="s">
        <v>3852</v>
      </c>
      <c r="G2513" t="s">
        <v>3853</v>
      </c>
      <c r="H2513" t="s">
        <v>25</v>
      </c>
      <c r="I2513" t="s">
        <v>26</v>
      </c>
      <c r="J2513" t="s">
        <v>41</v>
      </c>
      <c r="K2513" t="s">
        <v>42</v>
      </c>
      <c r="L2513">
        <v>90049</v>
      </c>
      <c r="M2513" t="s">
        <v>43</v>
      </c>
      <c r="N2513" t="s">
        <v>2024</v>
      </c>
      <c r="O2513" t="s">
        <v>45</v>
      </c>
      <c r="P2513" t="s">
        <v>74</v>
      </c>
      <c r="Q2513" t="s">
        <v>2025</v>
      </c>
      <c r="R2513">
        <v>13.904</v>
      </c>
      <c r="S2513">
        <v>2</v>
      </c>
      <c r="T2513">
        <v>0.2</v>
      </c>
      <c r="U2513">
        <v>4.5187999999999997</v>
      </c>
      <c r="V2513" t="str">
        <f t="shared" si="39"/>
        <v>Mick Brown</v>
      </c>
      <c r="W2513">
        <f>Table2[Profit]/Table2[Sales]</f>
        <v>0.32499999999999996</v>
      </c>
    </row>
    <row r="2514" spans="1:23" x14ac:dyDescent="0.25">
      <c r="A2514">
        <v>2513</v>
      </c>
      <c r="B2514" t="s">
        <v>7779</v>
      </c>
      <c r="C2514" s="1">
        <v>41749</v>
      </c>
      <c r="D2514" s="1">
        <v>41751</v>
      </c>
      <c r="E2514" t="s">
        <v>22</v>
      </c>
      <c r="F2514" t="s">
        <v>2272</v>
      </c>
      <c r="G2514" t="s">
        <v>2273</v>
      </c>
      <c r="H2514" t="s">
        <v>25</v>
      </c>
      <c r="I2514" t="s">
        <v>26</v>
      </c>
      <c r="J2514" t="s">
        <v>181</v>
      </c>
      <c r="K2514" t="s">
        <v>103</v>
      </c>
      <c r="L2514">
        <v>77070</v>
      </c>
      <c r="M2514" t="s">
        <v>104</v>
      </c>
      <c r="N2514" t="s">
        <v>894</v>
      </c>
      <c r="O2514" t="s">
        <v>31</v>
      </c>
      <c r="P2514" t="s">
        <v>55</v>
      </c>
      <c r="Q2514" t="s">
        <v>895</v>
      </c>
      <c r="R2514">
        <v>744.1</v>
      </c>
      <c r="S2514">
        <v>5</v>
      </c>
      <c r="T2514">
        <v>0.3</v>
      </c>
      <c r="U2514">
        <v>-95.67</v>
      </c>
      <c r="V2514" t="str">
        <f t="shared" si="39"/>
        <v>Seth Vernon</v>
      </c>
      <c r="W2514">
        <f>Table2[Profit]/Table2[Sales]</f>
        <v>-0.12857142857142856</v>
      </c>
    </row>
    <row r="2515" spans="1:23" x14ac:dyDescent="0.25">
      <c r="A2515">
        <v>2514</v>
      </c>
      <c r="B2515" t="s">
        <v>7780</v>
      </c>
      <c r="C2515" s="1">
        <v>43050</v>
      </c>
      <c r="D2515" s="1">
        <v>43056</v>
      </c>
      <c r="E2515" t="s">
        <v>49</v>
      </c>
      <c r="F2515" t="s">
        <v>2806</v>
      </c>
      <c r="G2515" t="s">
        <v>2807</v>
      </c>
      <c r="H2515" t="s">
        <v>101</v>
      </c>
      <c r="I2515" t="s">
        <v>26</v>
      </c>
      <c r="J2515" t="s">
        <v>2517</v>
      </c>
      <c r="K2515" t="s">
        <v>113</v>
      </c>
      <c r="L2515">
        <v>53209</v>
      </c>
      <c r="M2515" t="s">
        <v>104</v>
      </c>
      <c r="N2515" t="s">
        <v>2008</v>
      </c>
      <c r="O2515" t="s">
        <v>45</v>
      </c>
      <c r="P2515" t="s">
        <v>74</v>
      </c>
      <c r="Q2515" t="s">
        <v>2009</v>
      </c>
      <c r="R2515">
        <v>18.239999999999998</v>
      </c>
      <c r="S2515">
        <v>3</v>
      </c>
      <c r="T2515">
        <v>0</v>
      </c>
      <c r="U2515">
        <v>8.5728000000000009</v>
      </c>
      <c r="V2515" t="str">
        <f t="shared" si="39"/>
        <v>Catherine Glotzbach</v>
      </c>
      <c r="W2515">
        <f>Table2[Profit]/Table2[Sales]</f>
        <v>0.47000000000000008</v>
      </c>
    </row>
    <row r="2516" spans="1:23" x14ac:dyDescent="0.25">
      <c r="A2516">
        <v>2515</v>
      </c>
      <c r="B2516" t="s">
        <v>7781</v>
      </c>
      <c r="C2516" s="1">
        <v>43064</v>
      </c>
      <c r="D2516" s="1">
        <v>43068</v>
      </c>
      <c r="E2516" t="s">
        <v>49</v>
      </c>
      <c r="F2516" t="s">
        <v>1818</v>
      </c>
      <c r="G2516" t="s">
        <v>1819</v>
      </c>
      <c r="H2516" t="s">
        <v>25</v>
      </c>
      <c r="I2516" t="s">
        <v>26</v>
      </c>
      <c r="J2516" t="s">
        <v>126</v>
      </c>
      <c r="K2516" t="s">
        <v>42</v>
      </c>
      <c r="L2516">
        <v>94122</v>
      </c>
      <c r="M2516" t="s">
        <v>43</v>
      </c>
      <c r="N2516" t="s">
        <v>4916</v>
      </c>
      <c r="O2516" t="s">
        <v>31</v>
      </c>
      <c r="P2516" t="s">
        <v>32</v>
      </c>
      <c r="Q2516" t="s">
        <v>5421</v>
      </c>
      <c r="R2516">
        <v>359.49900000000002</v>
      </c>
      <c r="S2516">
        <v>3</v>
      </c>
      <c r="T2516">
        <v>0.15</v>
      </c>
      <c r="U2516">
        <v>-29.605799999999999</v>
      </c>
      <c r="V2516" t="str">
        <f t="shared" si="39"/>
        <v>Bradley Drucker</v>
      </c>
      <c r="W2516">
        <f>Table2[Profit]/Table2[Sales]</f>
        <v>-8.2352941176470573E-2</v>
      </c>
    </row>
    <row r="2517" spans="1:23" x14ac:dyDescent="0.25">
      <c r="A2517">
        <v>2516</v>
      </c>
      <c r="B2517" t="s">
        <v>7782</v>
      </c>
      <c r="C2517" s="1">
        <v>42356</v>
      </c>
      <c r="D2517" s="1">
        <v>42356</v>
      </c>
      <c r="E2517" t="s">
        <v>1278</v>
      </c>
      <c r="F2517" t="s">
        <v>714</v>
      </c>
      <c r="G2517" t="s">
        <v>715</v>
      </c>
      <c r="H2517" t="s">
        <v>101</v>
      </c>
      <c r="I2517" t="s">
        <v>26</v>
      </c>
      <c r="J2517" t="s">
        <v>2148</v>
      </c>
      <c r="K2517" t="s">
        <v>491</v>
      </c>
      <c r="L2517">
        <v>44105</v>
      </c>
      <c r="M2517" t="s">
        <v>145</v>
      </c>
      <c r="N2517" t="s">
        <v>1872</v>
      </c>
      <c r="O2517" t="s">
        <v>45</v>
      </c>
      <c r="P2517" t="s">
        <v>89</v>
      </c>
      <c r="Q2517" t="s">
        <v>1873</v>
      </c>
      <c r="R2517">
        <v>20.736000000000001</v>
      </c>
      <c r="S2517">
        <v>4</v>
      </c>
      <c r="T2517">
        <v>0.2</v>
      </c>
      <c r="U2517">
        <v>7.2576000000000001</v>
      </c>
      <c r="V2517" t="str">
        <f t="shared" si="39"/>
        <v>Jim Kriz</v>
      </c>
      <c r="W2517">
        <f>Table2[Profit]/Table2[Sales]</f>
        <v>0.35</v>
      </c>
    </row>
    <row r="2518" spans="1:23" x14ac:dyDescent="0.25">
      <c r="A2518">
        <v>2517</v>
      </c>
      <c r="B2518" t="s">
        <v>7783</v>
      </c>
      <c r="C2518" s="1">
        <v>42621</v>
      </c>
      <c r="D2518" s="1">
        <v>42625</v>
      </c>
      <c r="E2518" t="s">
        <v>49</v>
      </c>
      <c r="F2518" t="s">
        <v>7784</v>
      </c>
      <c r="G2518" t="s">
        <v>7785</v>
      </c>
      <c r="H2518" t="s">
        <v>25</v>
      </c>
      <c r="I2518" t="s">
        <v>26</v>
      </c>
      <c r="J2518" t="s">
        <v>728</v>
      </c>
      <c r="K2518" t="s">
        <v>87</v>
      </c>
      <c r="L2518">
        <v>28110</v>
      </c>
      <c r="M2518" t="s">
        <v>29</v>
      </c>
      <c r="N2518" t="s">
        <v>3487</v>
      </c>
      <c r="O2518" t="s">
        <v>70</v>
      </c>
      <c r="P2518" t="s">
        <v>158</v>
      </c>
      <c r="Q2518" t="s">
        <v>3488</v>
      </c>
      <c r="R2518">
        <v>35.167999999999999</v>
      </c>
      <c r="S2518">
        <v>4</v>
      </c>
      <c r="T2518">
        <v>0.2</v>
      </c>
      <c r="U2518">
        <v>8.3523999999999994</v>
      </c>
      <c r="V2518" t="str">
        <f t="shared" si="39"/>
        <v>Jill Matthias</v>
      </c>
      <c r="W2518">
        <f>Table2[Profit]/Table2[Sales]</f>
        <v>0.23749999999999999</v>
      </c>
    </row>
    <row r="2519" spans="1:23" x14ac:dyDescent="0.25">
      <c r="A2519">
        <v>2518</v>
      </c>
      <c r="B2519" t="s">
        <v>7786</v>
      </c>
      <c r="C2519" s="1">
        <v>42527</v>
      </c>
      <c r="D2519" s="1">
        <v>42530</v>
      </c>
      <c r="E2519" t="s">
        <v>22</v>
      </c>
      <c r="F2519" t="s">
        <v>4674</v>
      </c>
      <c r="G2519" t="s">
        <v>4675</v>
      </c>
      <c r="H2519" t="s">
        <v>40</v>
      </c>
      <c r="I2519" t="s">
        <v>26</v>
      </c>
      <c r="J2519" t="s">
        <v>1232</v>
      </c>
      <c r="K2519" t="s">
        <v>1233</v>
      </c>
      <c r="L2519">
        <v>1852</v>
      </c>
      <c r="M2519" t="s">
        <v>145</v>
      </c>
      <c r="N2519" t="s">
        <v>3004</v>
      </c>
      <c r="O2519" t="s">
        <v>45</v>
      </c>
      <c r="P2519" t="s">
        <v>89</v>
      </c>
      <c r="Q2519" t="s">
        <v>3005</v>
      </c>
      <c r="R2519">
        <v>105.52</v>
      </c>
      <c r="S2519">
        <v>4</v>
      </c>
      <c r="T2519">
        <v>0</v>
      </c>
      <c r="U2519">
        <v>48.539200000000001</v>
      </c>
      <c r="V2519" t="str">
        <f t="shared" si="39"/>
        <v>Scot Coram</v>
      </c>
      <c r="W2519">
        <f>Table2[Profit]/Table2[Sales]</f>
        <v>0.46</v>
      </c>
    </row>
    <row r="2520" spans="1:23" x14ac:dyDescent="0.25">
      <c r="A2520">
        <v>2519</v>
      </c>
      <c r="B2520" t="s">
        <v>7787</v>
      </c>
      <c r="C2520" s="1">
        <v>42174</v>
      </c>
      <c r="D2520" s="1">
        <v>42178</v>
      </c>
      <c r="E2520" t="s">
        <v>49</v>
      </c>
      <c r="F2520" t="s">
        <v>3833</v>
      </c>
      <c r="G2520" t="s">
        <v>3834</v>
      </c>
      <c r="H2520" t="s">
        <v>101</v>
      </c>
      <c r="I2520" t="s">
        <v>26</v>
      </c>
      <c r="J2520" t="s">
        <v>808</v>
      </c>
      <c r="K2520" t="s">
        <v>103</v>
      </c>
      <c r="L2520">
        <v>75081</v>
      </c>
      <c r="M2520" t="s">
        <v>104</v>
      </c>
      <c r="N2520" t="s">
        <v>1901</v>
      </c>
      <c r="O2520" t="s">
        <v>45</v>
      </c>
      <c r="P2520" t="s">
        <v>74</v>
      </c>
      <c r="Q2520" t="s">
        <v>1902</v>
      </c>
      <c r="R2520">
        <v>5.7919999999999998</v>
      </c>
      <c r="S2520">
        <v>2</v>
      </c>
      <c r="T2520">
        <v>0.8</v>
      </c>
      <c r="U2520">
        <v>-9.5568000000000008</v>
      </c>
      <c r="V2520" t="str">
        <f t="shared" si="39"/>
        <v>Maria Etezadi</v>
      </c>
      <c r="W2520">
        <f>Table2[Profit]/Table2[Sales]</f>
        <v>-1.6500000000000001</v>
      </c>
    </row>
    <row r="2521" spans="1:23" x14ac:dyDescent="0.25">
      <c r="A2521">
        <v>2520</v>
      </c>
      <c r="B2521" t="s">
        <v>7788</v>
      </c>
      <c r="C2521" s="1">
        <v>42068</v>
      </c>
      <c r="D2521" s="1">
        <v>42072</v>
      </c>
      <c r="E2521" t="s">
        <v>49</v>
      </c>
      <c r="F2521" t="s">
        <v>3869</v>
      </c>
      <c r="G2521" t="s">
        <v>3870</v>
      </c>
      <c r="H2521" t="s">
        <v>40</v>
      </c>
      <c r="I2521" t="s">
        <v>26</v>
      </c>
      <c r="J2521" t="s">
        <v>143</v>
      </c>
      <c r="K2521" t="s">
        <v>144</v>
      </c>
      <c r="L2521">
        <v>19120</v>
      </c>
      <c r="M2521" t="s">
        <v>145</v>
      </c>
      <c r="N2521" t="s">
        <v>7789</v>
      </c>
      <c r="O2521" t="s">
        <v>70</v>
      </c>
      <c r="P2521" t="s">
        <v>71</v>
      </c>
      <c r="Q2521" t="s">
        <v>7790</v>
      </c>
      <c r="R2521">
        <v>466.15800000000002</v>
      </c>
      <c r="S2521">
        <v>7</v>
      </c>
      <c r="T2521">
        <v>0.4</v>
      </c>
      <c r="U2521">
        <v>-93.2316</v>
      </c>
      <c r="V2521" t="str">
        <f t="shared" si="39"/>
        <v>Katherine Nockton</v>
      </c>
      <c r="W2521">
        <f>Table2[Profit]/Table2[Sales]</f>
        <v>-0.19999999999999998</v>
      </c>
    </row>
    <row r="2522" spans="1:23" x14ac:dyDescent="0.25">
      <c r="A2522">
        <v>2521</v>
      </c>
      <c r="B2522" t="s">
        <v>7791</v>
      </c>
      <c r="C2522" s="1">
        <v>42951</v>
      </c>
      <c r="D2522" s="1">
        <v>42954</v>
      </c>
      <c r="E2522" t="s">
        <v>185</v>
      </c>
      <c r="F2522" t="s">
        <v>3673</v>
      </c>
      <c r="G2522" t="s">
        <v>3674</v>
      </c>
      <c r="H2522" t="s">
        <v>40</v>
      </c>
      <c r="I2522" t="s">
        <v>26</v>
      </c>
      <c r="J2522" t="s">
        <v>7792</v>
      </c>
      <c r="K2522" t="s">
        <v>450</v>
      </c>
      <c r="L2522">
        <v>80538</v>
      </c>
      <c r="M2522" t="s">
        <v>43</v>
      </c>
      <c r="N2522" t="s">
        <v>5588</v>
      </c>
      <c r="O2522" t="s">
        <v>45</v>
      </c>
      <c r="P2522" t="s">
        <v>89</v>
      </c>
      <c r="Q2522" t="s">
        <v>5589</v>
      </c>
      <c r="R2522">
        <v>7.968</v>
      </c>
      <c r="S2522">
        <v>2</v>
      </c>
      <c r="T2522">
        <v>0.2</v>
      </c>
      <c r="U2522">
        <v>2.8883999999999999</v>
      </c>
      <c r="V2522" t="str">
        <f t="shared" si="39"/>
        <v>Harry Marie</v>
      </c>
      <c r="W2522">
        <f>Table2[Profit]/Table2[Sales]</f>
        <v>0.36249999999999999</v>
      </c>
    </row>
    <row r="2523" spans="1:23" x14ac:dyDescent="0.25">
      <c r="A2523">
        <v>2522</v>
      </c>
      <c r="B2523" t="s">
        <v>7793</v>
      </c>
      <c r="C2523" s="1">
        <v>43099</v>
      </c>
      <c r="D2523" s="1">
        <v>43103</v>
      </c>
      <c r="E2523" t="s">
        <v>49</v>
      </c>
      <c r="F2523" t="s">
        <v>7784</v>
      </c>
      <c r="G2523" t="s">
        <v>7785</v>
      </c>
      <c r="H2523" t="s">
        <v>25</v>
      </c>
      <c r="I2523" t="s">
        <v>26</v>
      </c>
      <c r="J2523" t="s">
        <v>7792</v>
      </c>
      <c r="K2523" t="s">
        <v>450</v>
      </c>
      <c r="L2523">
        <v>80538</v>
      </c>
      <c r="M2523" t="s">
        <v>43</v>
      </c>
      <c r="N2523" t="s">
        <v>994</v>
      </c>
      <c r="O2523" t="s">
        <v>45</v>
      </c>
      <c r="P2523" t="s">
        <v>266</v>
      </c>
      <c r="Q2523" t="s">
        <v>995</v>
      </c>
      <c r="R2523">
        <v>3.024</v>
      </c>
      <c r="S2523">
        <v>3</v>
      </c>
      <c r="T2523">
        <v>0.2</v>
      </c>
      <c r="U2523">
        <v>-0.6048</v>
      </c>
      <c r="V2523" t="str">
        <f t="shared" si="39"/>
        <v>Jill Matthias</v>
      </c>
      <c r="W2523">
        <f>Table2[Profit]/Table2[Sales]</f>
        <v>-0.2</v>
      </c>
    </row>
    <row r="2524" spans="1:23" x14ac:dyDescent="0.25">
      <c r="A2524">
        <v>2523</v>
      </c>
      <c r="B2524" t="s">
        <v>7794</v>
      </c>
      <c r="C2524" s="1">
        <v>42147</v>
      </c>
      <c r="D2524" s="1">
        <v>42151</v>
      </c>
      <c r="E2524" t="s">
        <v>49</v>
      </c>
      <c r="F2524" t="s">
        <v>1005</v>
      </c>
      <c r="G2524" t="s">
        <v>1006</v>
      </c>
      <c r="H2524" t="s">
        <v>40</v>
      </c>
      <c r="I2524" t="s">
        <v>26</v>
      </c>
      <c r="J2524" t="s">
        <v>6967</v>
      </c>
      <c r="K2524" t="s">
        <v>1388</v>
      </c>
      <c r="L2524">
        <v>2895</v>
      </c>
      <c r="M2524" t="s">
        <v>145</v>
      </c>
      <c r="N2524" t="s">
        <v>1741</v>
      </c>
      <c r="O2524" t="s">
        <v>45</v>
      </c>
      <c r="P2524" t="s">
        <v>58</v>
      </c>
      <c r="Q2524" t="s">
        <v>1742</v>
      </c>
      <c r="R2524">
        <v>51.45</v>
      </c>
      <c r="S2524">
        <v>3</v>
      </c>
      <c r="T2524">
        <v>0</v>
      </c>
      <c r="U2524">
        <v>13.891500000000001</v>
      </c>
      <c r="V2524" t="str">
        <f t="shared" si="39"/>
        <v>Kristen Hastings</v>
      </c>
      <c r="W2524">
        <f>Table2[Profit]/Table2[Sales]</f>
        <v>0.27</v>
      </c>
    </row>
    <row r="2525" spans="1:23" x14ac:dyDescent="0.25">
      <c r="A2525">
        <v>2524</v>
      </c>
      <c r="B2525" t="s">
        <v>7795</v>
      </c>
      <c r="C2525" s="1">
        <v>41979</v>
      </c>
      <c r="D2525" s="1">
        <v>41983</v>
      </c>
      <c r="E2525" t="s">
        <v>49</v>
      </c>
      <c r="F2525" t="s">
        <v>2611</v>
      </c>
      <c r="G2525" t="s">
        <v>2612</v>
      </c>
      <c r="H2525" t="s">
        <v>25</v>
      </c>
      <c r="I2525" t="s">
        <v>26</v>
      </c>
      <c r="J2525" t="s">
        <v>296</v>
      </c>
      <c r="K2525" t="s">
        <v>208</v>
      </c>
      <c r="L2525">
        <v>60610</v>
      </c>
      <c r="M2525" t="s">
        <v>104</v>
      </c>
      <c r="N2525" t="s">
        <v>5183</v>
      </c>
      <c r="O2525" t="s">
        <v>45</v>
      </c>
      <c r="P2525" t="s">
        <v>77</v>
      </c>
      <c r="Q2525" t="s">
        <v>5184</v>
      </c>
      <c r="R2525">
        <v>14.016</v>
      </c>
      <c r="S2525">
        <v>4</v>
      </c>
      <c r="T2525">
        <v>0.8</v>
      </c>
      <c r="U2525">
        <v>-31.536000000000001</v>
      </c>
      <c r="V2525" t="str">
        <f t="shared" si="39"/>
        <v>Berenike Kampe</v>
      </c>
      <c r="W2525">
        <f>Table2[Profit]/Table2[Sales]</f>
        <v>-2.25</v>
      </c>
    </row>
    <row r="2526" spans="1:23" x14ac:dyDescent="0.25">
      <c r="A2526">
        <v>2525</v>
      </c>
      <c r="B2526" t="s">
        <v>7796</v>
      </c>
      <c r="C2526" s="1">
        <v>42223</v>
      </c>
      <c r="D2526" s="1">
        <v>42228</v>
      </c>
      <c r="E2526" t="s">
        <v>49</v>
      </c>
      <c r="F2526" t="s">
        <v>417</v>
      </c>
      <c r="G2526" t="s">
        <v>418</v>
      </c>
      <c r="H2526" t="s">
        <v>101</v>
      </c>
      <c r="I2526" t="s">
        <v>26</v>
      </c>
      <c r="J2526" t="s">
        <v>5826</v>
      </c>
      <c r="K2526" t="s">
        <v>42</v>
      </c>
      <c r="L2526">
        <v>93309</v>
      </c>
      <c r="M2526" t="s">
        <v>43</v>
      </c>
      <c r="N2526" t="s">
        <v>1594</v>
      </c>
      <c r="O2526" t="s">
        <v>45</v>
      </c>
      <c r="P2526" t="s">
        <v>74</v>
      </c>
      <c r="Q2526" t="s">
        <v>1595</v>
      </c>
      <c r="R2526">
        <v>19.152000000000001</v>
      </c>
      <c r="S2526">
        <v>3</v>
      </c>
      <c r="T2526">
        <v>0.2</v>
      </c>
      <c r="U2526">
        <v>6.4638</v>
      </c>
      <c r="V2526" t="str">
        <f t="shared" si="39"/>
        <v>Parhena Norris</v>
      </c>
      <c r="W2526">
        <f>Table2[Profit]/Table2[Sales]</f>
        <v>0.33749999999999997</v>
      </c>
    </row>
    <row r="2527" spans="1:23" x14ac:dyDescent="0.25">
      <c r="A2527">
        <v>2526</v>
      </c>
      <c r="B2527" t="s">
        <v>7797</v>
      </c>
      <c r="C2527" s="1">
        <v>41715</v>
      </c>
      <c r="D2527" s="1">
        <v>41715</v>
      </c>
      <c r="E2527" t="s">
        <v>1278</v>
      </c>
      <c r="F2527" t="s">
        <v>5378</v>
      </c>
      <c r="G2527" t="s">
        <v>5379</v>
      </c>
      <c r="H2527" t="s">
        <v>25</v>
      </c>
      <c r="I2527" t="s">
        <v>26</v>
      </c>
      <c r="J2527" t="s">
        <v>808</v>
      </c>
      <c r="K2527" t="s">
        <v>103</v>
      </c>
      <c r="L2527">
        <v>75217</v>
      </c>
      <c r="M2527" t="s">
        <v>104</v>
      </c>
      <c r="N2527" t="s">
        <v>1270</v>
      </c>
      <c r="O2527" t="s">
        <v>45</v>
      </c>
      <c r="P2527" t="s">
        <v>67</v>
      </c>
      <c r="Q2527" t="s">
        <v>1271</v>
      </c>
      <c r="R2527">
        <v>4.4480000000000004</v>
      </c>
      <c r="S2527">
        <v>2</v>
      </c>
      <c r="T2527">
        <v>0.2</v>
      </c>
      <c r="U2527">
        <v>0.33360000000000001</v>
      </c>
      <c r="V2527" t="str">
        <f t="shared" si="39"/>
        <v>Annie Zypern</v>
      </c>
      <c r="W2527">
        <f>Table2[Profit]/Table2[Sales]</f>
        <v>7.4999999999999997E-2</v>
      </c>
    </row>
    <row r="2528" spans="1:23" x14ac:dyDescent="0.25">
      <c r="A2528">
        <v>2527</v>
      </c>
      <c r="B2528" t="s">
        <v>7798</v>
      </c>
      <c r="C2528" s="1">
        <v>42089</v>
      </c>
      <c r="D2528" s="1">
        <v>42093</v>
      </c>
      <c r="E2528" t="s">
        <v>22</v>
      </c>
      <c r="F2528" t="s">
        <v>3506</v>
      </c>
      <c r="G2528" t="s">
        <v>3507</v>
      </c>
      <c r="H2528" t="s">
        <v>25</v>
      </c>
      <c r="I2528" t="s">
        <v>26</v>
      </c>
      <c r="J2528" t="s">
        <v>143</v>
      </c>
      <c r="K2528" t="s">
        <v>144</v>
      </c>
      <c r="L2528">
        <v>19140</v>
      </c>
      <c r="M2528" t="s">
        <v>145</v>
      </c>
      <c r="N2528" t="s">
        <v>623</v>
      </c>
      <c r="O2528" t="s">
        <v>45</v>
      </c>
      <c r="P2528" t="s">
        <v>89</v>
      </c>
      <c r="Q2528" t="s">
        <v>624</v>
      </c>
      <c r="R2528">
        <v>40.031999999999996</v>
      </c>
      <c r="S2528">
        <v>6</v>
      </c>
      <c r="T2528">
        <v>0.2</v>
      </c>
      <c r="U2528">
        <v>12.51</v>
      </c>
      <c r="V2528" t="str">
        <f t="shared" si="39"/>
        <v>Gene McClure</v>
      </c>
      <c r="W2528">
        <f>Table2[Profit]/Table2[Sales]</f>
        <v>0.3125</v>
      </c>
    </row>
    <row r="2529" spans="1:23" x14ac:dyDescent="0.25">
      <c r="A2529">
        <v>2528</v>
      </c>
      <c r="B2529" t="s">
        <v>7799</v>
      </c>
      <c r="C2529" s="1">
        <v>41987</v>
      </c>
      <c r="D2529" s="1">
        <v>41993</v>
      </c>
      <c r="E2529" t="s">
        <v>49</v>
      </c>
      <c r="F2529" t="s">
        <v>2429</v>
      </c>
      <c r="G2529" t="s">
        <v>2430</v>
      </c>
      <c r="H2529" t="s">
        <v>25</v>
      </c>
      <c r="I2529" t="s">
        <v>26</v>
      </c>
      <c r="J2529" t="s">
        <v>3571</v>
      </c>
      <c r="K2529" t="s">
        <v>53</v>
      </c>
      <c r="L2529">
        <v>32725</v>
      </c>
      <c r="M2529" t="s">
        <v>29</v>
      </c>
      <c r="N2529" t="s">
        <v>5380</v>
      </c>
      <c r="O2529" t="s">
        <v>31</v>
      </c>
      <c r="P2529" t="s">
        <v>35</v>
      </c>
      <c r="Q2529" t="s">
        <v>5381</v>
      </c>
      <c r="R2529">
        <v>186.304</v>
      </c>
      <c r="S2529">
        <v>4</v>
      </c>
      <c r="T2529">
        <v>0.2</v>
      </c>
      <c r="U2529">
        <v>13.972799999999999</v>
      </c>
      <c r="V2529" t="str">
        <f t="shared" si="39"/>
        <v>Bryan Mills</v>
      </c>
      <c r="W2529">
        <f>Table2[Profit]/Table2[Sales]</f>
        <v>7.4999999999999997E-2</v>
      </c>
    </row>
    <row r="2530" spans="1:23" x14ac:dyDescent="0.25">
      <c r="A2530">
        <v>2529</v>
      </c>
      <c r="B2530" t="s">
        <v>7800</v>
      </c>
      <c r="C2530" s="1">
        <v>42266</v>
      </c>
      <c r="D2530" s="1">
        <v>42273</v>
      </c>
      <c r="E2530" t="s">
        <v>49</v>
      </c>
      <c r="F2530" t="s">
        <v>3842</v>
      </c>
      <c r="G2530" t="s">
        <v>3843</v>
      </c>
      <c r="H2530" t="s">
        <v>40</v>
      </c>
      <c r="I2530" t="s">
        <v>26</v>
      </c>
      <c r="J2530" t="s">
        <v>490</v>
      </c>
      <c r="K2530" t="s">
        <v>1260</v>
      </c>
      <c r="L2530">
        <v>31907</v>
      </c>
      <c r="M2530" t="s">
        <v>29</v>
      </c>
      <c r="N2530" t="s">
        <v>5425</v>
      </c>
      <c r="O2530" t="s">
        <v>70</v>
      </c>
      <c r="P2530" t="s">
        <v>158</v>
      </c>
      <c r="Q2530" t="s">
        <v>5426</v>
      </c>
      <c r="R2530">
        <v>66.36</v>
      </c>
      <c r="S2530">
        <v>4</v>
      </c>
      <c r="T2530">
        <v>0</v>
      </c>
      <c r="U2530">
        <v>23.225999999999999</v>
      </c>
      <c r="V2530" t="str">
        <f t="shared" si="39"/>
        <v>Nicole Hansen</v>
      </c>
      <c r="W2530">
        <f>Table2[Profit]/Table2[Sales]</f>
        <v>0.35</v>
      </c>
    </row>
    <row r="2531" spans="1:23" x14ac:dyDescent="0.25">
      <c r="A2531">
        <v>2530</v>
      </c>
      <c r="B2531" t="s">
        <v>7801</v>
      </c>
      <c r="C2531" s="1">
        <v>42850</v>
      </c>
      <c r="D2531" s="1">
        <v>42851</v>
      </c>
      <c r="E2531" t="s">
        <v>185</v>
      </c>
      <c r="F2531" t="s">
        <v>417</v>
      </c>
      <c r="G2531" t="s">
        <v>418</v>
      </c>
      <c r="H2531" t="s">
        <v>101</v>
      </c>
      <c r="I2531" t="s">
        <v>26</v>
      </c>
      <c r="J2531" t="s">
        <v>5545</v>
      </c>
      <c r="K2531" t="s">
        <v>328</v>
      </c>
      <c r="L2531">
        <v>37211</v>
      </c>
      <c r="M2531" t="s">
        <v>29</v>
      </c>
      <c r="N2531" t="s">
        <v>1959</v>
      </c>
      <c r="O2531" t="s">
        <v>45</v>
      </c>
      <c r="P2531" t="s">
        <v>67</v>
      </c>
      <c r="Q2531" t="s">
        <v>1960</v>
      </c>
      <c r="R2531">
        <v>42.048000000000002</v>
      </c>
      <c r="S2531">
        <v>9</v>
      </c>
      <c r="T2531">
        <v>0.2</v>
      </c>
      <c r="U2531">
        <v>5.2560000000000002</v>
      </c>
      <c r="V2531" t="str">
        <f t="shared" si="39"/>
        <v>Parhena Norris</v>
      </c>
      <c r="W2531">
        <f>Table2[Profit]/Table2[Sales]</f>
        <v>0.125</v>
      </c>
    </row>
    <row r="2532" spans="1:23" x14ac:dyDescent="0.25">
      <c r="A2532">
        <v>2531</v>
      </c>
      <c r="B2532" t="s">
        <v>7802</v>
      </c>
      <c r="C2532" s="1">
        <v>41930</v>
      </c>
      <c r="D2532" s="1">
        <v>41934</v>
      </c>
      <c r="E2532" t="s">
        <v>49</v>
      </c>
      <c r="F2532" t="s">
        <v>4664</v>
      </c>
      <c r="G2532" t="s">
        <v>4665</v>
      </c>
      <c r="H2532" t="s">
        <v>40</v>
      </c>
      <c r="I2532" t="s">
        <v>26</v>
      </c>
      <c r="J2532" t="s">
        <v>143</v>
      </c>
      <c r="K2532" t="s">
        <v>144</v>
      </c>
      <c r="L2532">
        <v>19134</v>
      </c>
      <c r="M2532" t="s">
        <v>145</v>
      </c>
      <c r="N2532" t="s">
        <v>1778</v>
      </c>
      <c r="O2532" t="s">
        <v>45</v>
      </c>
      <c r="P2532" t="s">
        <v>170</v>
      </c>
      <c r="Q2532" t="s">
        <v>1779</v>
      </c>
      <c r="R2532">
        <v>52.512</v>
      </c>
      <c r="S2532">
        <v>6</v>
      </c>
      <c r="T2532">
        <v>0.2</v>
      </c>
      <c r="U2532">
        <v>19.692</v>
      </c>
      <c r="V2532" t="str">
        <f t="shared" si="39"/>
        <v>Edward Hooks</v>
      </c>
      <c r="W2532">
        <f>Table2[Profit]/Table2[Sales]</f>
        <v>0.375</v>
      </c>
    </row>
    <row r="2533" spans="1:23" x14ac:dyDescent="0.25">
      <c r="A2533">
        <v>2532</v>
      </c>
      <c r="B2533" t="s">
        <v>7803</v>
      </c>
      <c r="C2533" s="1">
        <v>42321</v>
      </c>
      <c r="D2533" s="1">
        <v>42321</v>
      </c>
      <c r="E2533" t="s">
        <v>1278</v>
      </c>
      <c r="F2533" t="s">
        <v>3756</v>
      </c>
      <c r="G2533" t="s">
        <v>3757</v>
      </c>
      <c r="H2533" t="s">
        <v>25</v>
      </c>
      <c r="I2533" t="s">
        <v>26</v>
      </c>
      <c r="J2533" t="s">
        <v>296</v>
      </c>
      <c r="K2533" t="s">
        <v>208</v>
      </c>
      <c r="L2533">
        <v>60610</v>
      </c>
      <c r="M2533" t="s">
        <v>104</v>
      </c>
      <c r="N2533" t="s">
        <v>7804</v>
      </c>
      <c r="O2533" t="s">
        <v>31</v>
      </c>
      <c r="P2533" t="s">
        <v>64</v>
      </c>
      <c r="Q2533" t="s">
        <v>7805</v>
      </c>
      <c r="R2533">
        <v>17.495999999999999</v>
      </c>
      <c r="S2533">
        <v>9</v>
      </c>
      <c r="T2533">
        <v>0.6</v>
      </c>
      <c r="U2533">
        <v>-7.4358000000000004</v>
      </c>
      <c r="V2533" t="str">
        <f t="shared" si="39"/>
        <v>Helen Abelman</v>
      </c>
      <c r="W2533">
        <f>Table2[Profit]/Table2[Sales]</f>
        <v>-0.42500000000000004</v>
      </c>
    </row>
    <row r="2534" spans="1:23" x14ac:dyDescent="0.25">
      <c r="A2534">
        <v>2533</v>
      </c>
      <c r="B2534" t="s">
        <v>7806</v>
      </c>
      <c r="C2534" s="1">
        <v>42400</v>
      </c>
      <c r="D2534" s="1">
        <v>42402</v>
      </c>
      <c r="E2534" t="s">
        <v>22</v>
      </c>
      <c r="F2534" t="s">
        <v>4040</v>
      </c>
      <c r="G2534" t="s">
        <v>4041</v>
      </c>
      <c r="H2534" t="s">
        <v>25</v>
      </c>
      <c r="I2534" t="s">
        <v>26</v>
      </c>
      <c r="J2534" t="s">
        <v>808</v>
      </c>
      <c r="K2534" t="s">
        <v>103</v>
      </c>
      <c r="L2534">
        <v>75220</v>
      </c>
      <c r="M2534" t="s">
        <v>104</v>
      </c>
      <c r="N2534" t="s">
        <v>5248</v>
      </c>
      <c r="O2534" t="s">
        <v>45</v>
      </c>
      <c r="P2534" t="s">
        <v>89</v>
      </c>
      <c r="Q2534" t="s">
        <v>5249</v>
      </c>
      <c r="R2534">
        <v>15.552</v>
      </c>
      <c r="S2534">
        <v>3</v>
      </c>
      <c r="T2534">
        <v>0.2</v>
      </c>
      <c r="U2534">
        <v>5.4432</v>
      </c>
      <c r="V2534" t="str">
        <f t="shared" si="39"/>
        <v>Aimee Bixby</v>
      </c>
      <c r="W2534">
        <f>Table2[Profit]/Table2[Sales]</f>
        <v>0.35000000000000003</v>
      </c>
    </row>
    <row r="2535" spans="1:23" x14ac:dyDescent="0.25">
      <c r="A2535">
        <v>2534</v>
      </c>
      <c r="B2535" t="s">
        <v>7807</v>
      </c>
      <c r="C2535" s="1">
        <v>42691</v>
      </c>
      <c r="D2535" s="1">
        <v>42696</v>
      </c>
      <c r="E2535" t="s">
        <v>49</v>
      </c>
      <c r="F2535" t="s">
        <v>2721</v>
      </c>
      <c r="G2535" t="s">
        <v>2722</v>
      </c>
      <c r="H2535" t="s">
        <v>25</v>
      </c>
      <c r="I2535" t="s">
        <v>26</v>
      </c>
      <c r="J2535" t="s">
        <v>659</v>
      </c>
      <c r="K2535" t="s">
        <v>660</v>
      </c>
      <c r="L2535">
        <v>88220</v>
      </c>
      <c r="M2535" t="s">
        <v>43</v>
      </c>
      <c r="N2535" t="s">
        <v>1206</v>
      </c>
      <c r="O2535" t="s">
        <v>45</v>
      </c>
      <c r="P2535" t="s">
        <v>74</v>
      </c>
      <c r="Q2535" t="s">
        <v>1207</v>
      </c>
      <c r="R2535">
        <v>10.776</v>
      </c>
      <c r="S2535">
        <v>3</v>
      </c>
      <c r="T2535">
        <v>0.2</v>
      </c>
      <c r="U2535">
        <v>3.3675000000000002</v>
      </c>
      <c r="V2535" t="str">
        <f t="shared" si="39"/>
        <v>Maribeth Schnelling</v>
      </c>
      <c r="W2535">
        <f>Table2[Profit]/Table2[Sales]</f>
        <v>0.3125</v>
      </c>
    </row>
    <row r="2536" spans="1:23" x14ac:dyDescent="0.25">
      <c r="A2536">
        <v>2535</v>
      </c>
      <c r="B2536" t="s">
        <v>7808</v>
      </c>
      <c r="C2536" s="1">
        <v>42941</v>
      </c>
      <c r="D2536" s="1">
        <v>42945</v>
      </c>
      <c r="E2536" t="s">
        <v>49</v>
      </c>
      <c r="F2536" t="s">
        <v>7050</v>
      </c>
      <c r="G2536" t="s">
        <v>7051</v>
      </c>
      <c r="H2536" t="s">
        <v>25</v>
      </c>
      <c r="I2536" t="s">
        <v>26</v>
      </c>
      <c r="J2536" t="s">
        <v>143</v>
      </c>
      <c r="K2536" t="s">
        <v>144</v>
      </c>
      <c r="L2536">
        <v>19134</v>
      </c>
      <c r="M2536" t="s">
        <v>145</v>
      </c>
      <c r="N2536" t="s">
        <v>7809</v>
      </c>
      <c r="O2536" t="s">
        <v>45</v>
      </c>
      <c r="P2536" t="s">
        <v>46</v>
      </c>
      <c r="Q2536" t="s">
        <v>7810</v>
      </c>
      <c r="R2536">
        <v>3.3039999999999998</v>
      </c>
      <c r="S2536">
        <v>1</v>
      </c>
      <c r="T2536">
        <v>0.2</v>
      </c>
      <c r="U2536">
        <v>1.0738000000000001</v>
      </c>
      <c r="V2536" t="str">
        <f t="shared" si="39"/>
        <v>Dorothy Dickinson</v>
      </c>
      <c r="W2536">
        <f>Table2[Profit]/Table2[Sales]</f>
        <v>0.32500000000000007</v>
      </c>
    </row>
    <row r="2537" spans="1:23" x14ac:dyDescent="0.25">
      <c r="A2537">
        <v>2536</v>
      </c>
      <c r="B2537" t="s">
        <v>7811</v>
      </c>
      <c r="C2537" s="1">
        <v>43050</v>
      </c>
      <c r="D2537" s="1">
        <v>43056</v>
      </c>
      <c r="E2537" t="s">
        <v>49</v>
      </c>
      <c r="F2537" t="s">
        <v>2955</v>
      </c>
      <c r="G2537" t="s">
        <v>2956</v>
      </c>
      <c r="H2537" t="s">
        <v>25</v>
      </c>
      <c r="I2537" t="s">
        <v>26</v>
      </c>
      <c r="J2537" t="s">
        <v>263</v>
      </c>
      <c r="K2537" t="s">
        <v>264</v>
      </c>
      <c r="L2537">
        <v>10009</v>
      </c>
      <c r="M2537" t="s">
        <v>145</v>
      </c>
      <c r="N2537" t="s">
        <v>3993</v>
      </c>
      <c r="O2537" t="s">
        <v>45</v>
      </c>
      <c r="P2537" t="s">
        <v>58</v>
      </c>
      <c r="Q2537" t="s">
        <v>3994</v>
      </c>
      <c r="R2537">
        <v>35.479999999999997</v>
      </c>
      <c r="S2537">
        <v>1</v>
      </c>
      <c r="T2537">
        <v>0</v>
      </c>
      <c r="U2537">
        <v>0</v>
      </c>
      <c r="V2537" t="str">
        <f t="shared" si="39"/>
        <v>Meg Tillman</v>
      </c>
      <c r="W2537">
        <f>Table2[Profit]/Table2[Sales]</f>
        <v>0</v>
      </c>
    </row>
    <row r="2538" spans="1:23" x14ac:dyDescent="0.25">
      <c r="A2538">
        <v>2537</v>
      </c>
      <c r="B2538" t="s">
        <v>7812</v>
      </c>
      <c r="C2538" s="1">
        <v>42273</v>
      </c>
      <c r="D2538" s="1">
        <v>42280</v>
      </c>
      <c r="E2538" t="s">
        <v>49</v>
      </c>
      <c r="F2538" t="s">
        <v>3506</v>
      </c>
      <c r="G2538" t="s">
        <v>3507</v>
      </c>
      <c r="H2538" t="s">
        <v>25</v>
      </c>
      <c r="I2538" t="s">
        <v>26</v>
      </c>
      <c r="J2538" t="s">
        <v>2311</v>
      </c>
      <c r="K2538" t="s">
        <v>264</v>
      </c>
      <c r="L2538">
        <v>11572</v>
      </c>
      <c r="M2538" t="s">
        <v>145</v>
      </c>
      <c r="N2538" t="s">
        <v>1082</v>
      </c>
      <c r="O2538" t="s">
        <v>45</v>
      </c>
      <c r="P2538" t="s">
        <v>266</v>
      </c>
      <c r="Q2538" t="s">
        <v>1083</v>
      </c>
      <c r="R2538">
        <v>34.44</v>
      </c>
      <c r="S2538">
        <v>3</v>
      </c>
      <c r="T2538">
        <v>0</v>
      </c>
      <c r="U2538">
        <v>16.186800000000002</v>
      </c>
      <c r="V2538" t="str">
        <f t="shared" si="39"/>
        <v>Gene McClure</v>
      </c>
      <c r="W2538">
        <f>Table2[Profit]/Table2[Sales]</f>
        <v>0.47000000000000008</v>
      </c>
    </row>
    <row r="2539" spans="1:23" x14ac:dyDescent="0.25">
      <c r="A2539">
        <v>2538</v>
      </c>
      <c r="B2539" t="s">
        <v>7813</v>
      </c>
      <c r="C2539" s="1">
        <v>41733</v>
      </c>
      <c r="D2539" s="1">
        <v>41737</v>
      </c>
      <c r="E2539" t="s">
        <v>49</v>
      </c>
      <c r="F2539" t="s">
        <v>132</v>
      </c>
      <c r="G2539" t="s">
        <v>133</v>
      </c>
      <c r="H2539" t="s">
        <v>40</v>
      </c>
      <c r="I2539" t="s">
        <v>26</v>
      </c>
      <c r="J2539" t="s">
        <v>4182</v>
      </c>
      <c r="K2539" t="s">
        <v>729</v>
      </c>
      <c r="L2539">
        <v>70506</v>
      </c>
      <c r="M2539" t="s">
        <v>29</v>
      </c>
      <c r="N2539" t="s">
        <v>1000</v>
      </c>
      <c r="O2539" t="s">
        <v>45</v>
      </c>
      <c r="P2539" t="s">
        <v>58</v>
      </c>
      <c r="Q2539" t="s">
        <v>1001</v>
      </c>
      <c r="R2539">
        <v>232.55</v>
      </c>
      <c r="S2539">
        <v>5</v>
      </c>
      <c r="T2539">
        <v>0</v>
      </c>
      <c r="U2539">
        <v>9.3019999999999996</v>
      </c>
      <c r="V2539" t="str">
        <f t="shared" si="39"/>
        <v>Ken Black</v>
      </c>
      <c r="W2539">
        <f>Table2[Profit]/Table2[Sales]</f>
        <v>3.9999999999999994E-2</v>
      </c>
    </row>
    <row r="2540" spans="1:23" x14ac:dyDescent="0.25">
      <c r="A2540">
        <v>2539</v>
      </c>
      <c r="B2540" t="s">
        <v>7816</v>
      </c>
      <c r="C2540" s="1">
        <v>41896</v>
      </c>
      <c r="D2540" s="1">
        <v>41896</v>
      </c>
      <c r="E2540" t="s">
        <v>1278</v>
      </c>
      <c r="F2540" t="s">
        <v>5868</v>
      </c>
      <c r="G2540" t="s">
        <v>5869</v>
      </c>
      <c r="H2540" t="s">
        <v>25</v>
      </c>
      <c r="I2540" t="s">
        <v>26</v>
      </c>
      <c r="J2540" t="s">
        <v>263</v>
      </c>
      <c r="K2540" t="s">
        <v>264</v>
      </c>
      <c r="L2540">
        <v>10009</v>
      </c>
      <c r="M2540" t="s">
        <v>145</v>
      </c>
      <c r="N2540" t="s">
        <v>3746</v>
      </c>
      <c r="O2540" t="s">
        <v>31</v>
      </c>
      <c r="P2540" t="s">
        <v>55</v>
      </c>
      <c r="Q2540" t="s">
        <v>3216</v>
      </c>
      <c r="R2540">
        <v>464.29199999999997</v>
      </c>
      <c r="S2540">
        <v>9</v>
      </c>
      <c r="T2540">
        <v>0.4</v>
      </c>
      <c r="U2540">
        <v>-108.3348</v>
      </c>
      <c r="V2540" t="str">
        <f t="shared" si="39"/>
        <v>Darrin Martin</v>
      </c>
      <c r="W2540">
        <f>Table2[Profit]/Table2[Sales]</f>
        <v>-0.23333333333333334</v>
      </c>
    </row>
    <row r="2541" spans="1:23" x14ac:dyDescent="0.25">
      <c r="A2541">
        <v>2540</v>
      </c>
      <c r="B2541" t="s">
        <v>7817</v>
      </c>
      <c r="C2541" s="1">
        <v>43098</v>
      </c>
      <c r="D2541" s="1">
        <v>43105</v>
      </c>
      <c r="E2541" t="s">
        <v>49</v>
      </c>
      <c r="F2541" t="s">
        <v>1123</v>
      </c>
      <c r="G2541" t="s">
        <v>1124</v>
      </c>
      <c r="H2541" t="s">
        <v>40</v>
      </c>
      <c r="I2541" t="s">
        <v>26</v>
      </c>
      <c r="J2541" t="s">
        <v>1857</v>
      </c>
      <c r="K2541" t="s">
        <v>42</v>
      </c>
      <c r="L2541">
        <v>92804</v>
      </c>
      <c r="M2541" t="s">
        <v>43</v>
      </c>
      <c r="N2541" t="s">
        <v>5253</v>
      </c>
      <c r="O2541" t="s">
        <v>31</v>
      </c>
      <c r="P2541" t="s">
        <v>64</v>
      </c>
      <c r="Q2541" t="s">
        <v>5254</v>
      </c>
      <c r="R2541">
        <v>101.12</v>
      </c>
      <c r="S2541">
        <v>8</v>
      </c>
      <c r="T2541">
        <v>0</v>
      </c>
      <c r="U2541">
        <v>37.414400000000001</v>
      </c>
      <c r="V2541" t="str">
        <f t="shared" si="39"/>
        <v>Ben Peterman</v>
      </c>
      <c r="W2541">
        <f>Table2[Profit]/Table2[Sales]</f>
        <v>0.37</v>
      </c>
    </row>
    <row r="2542" spans="1:23" x14ac:dyDescent="0.25">
      <c r="A2542">
        <v>2541</v>
      </c>
      <c r="B2542" t="s">
        <v>7818</v>
      </c>
      <c r="C2542" s="1">
        <v>42176</v>
      </c>
      <c r="D2542" s="1">
        <v>42182</v>
      </c>
      <c r="E2542" t="s">
        <v>49</v>
      </c>
      <c r="F2542" t="s">
        <v>1803</v>
      </c>
      <c r="G2542" t="s">
        <v>1804</v>
      </c>
      <c r="H2542" t="s">
        <v>25</v>
      </c>
      <c r="I2542" t="s">
        <v>26</v>
      </c>
      <c r="J2542" t="s">
        <v>3571</v>
      </c>
      <c r="K2542" t="s">
        <v>53</v>
      </c>
      <c r="L2542">
        <v>32725</v>
      </c>
      <c r="M2542" t="s">
        <v>29</v>
      </c>
      <c r="N2542" t="s">
        <v>3149</v>
      </c>
      <c r="O2542" t="s">
        <v>70</v>
      </c>
      <c r="P2542" t="s">
        <v>71</v>
      </c>
      <c r="Q2542" t="s">
        <v>3150</v>
      </c>
      <c r="R2542">
        <v>107.976</v>
      </c>
      <c r="S2542">
        <v>3</v>
      </c>
      <c r="T2542">
        <v>0.2</v>
      </c>
      <c r="U2542">
        <v>37.791600000000003</v>
      </c>
      <c r="V2542" t="str">
        <f t="shared" si="39"/>
        <v>Emily Phan</v>
      </c>
      <c r="W2542">
        <f>Table2[Profit]/Table2[Sales]</f>
        <v>0.35000000000000003</v>
      </c>
    </row>
    <row r="2543" spans="1:23" x14ac:dyDescent="0.25">
      <c r="A2543">
        <v>2542</v>
      </c>
      <c r="B2543" t="s">
        <v>7819</v>
      </c>
      <c r="C2543" s="1">
        <v>43065</v>
      </c>
      <c r="D2543" s="1">
        <v>43069</v>
      </c>
      <c r="E2543" t="s">
        <v>49</v>
      </c>
      <c r="F2543" t="s">
        <v>3597</v>
      </c>
      <c r="G2543" t="s">
        <v>3598</v>
      </c>
      <c r="H2543" t="s">
        <v>101</v>
      </c>
      <c r="I2543" t="s">
        <v>26</v>
      </c>
      <c r="J2543" t="s">
        <v>263</v>
      </c>
      <c r="K2543" t="s">
        <v>264</v>
      </c>
      <c r="L2543">
        <v>10009</v>
      </c>
      <c r="M2543" t="s">
        <v>145</v>
      </c>
      <c r="N2543" t="s">
        <v>6959</v>
      </c>
      <c r="O2543" t="s">
        <v>45</v>
      </c>
      <c r="P2543" t="s">
        <v>77</v>
      </c>
      <c r="Q2543" t="s">
        <v>6960</v>
      </c>
      <c r="R2543">
        <v>58.73</v>
      </c>
      <c r="S2543">
        <v>7</v>
      </c>
      <c r="T2543">
        <v>0</v>
      </c>
      <c r="U2543">
        <v>14.682499999999999</v>
      </c>
      <c r="V2543" t="str">
        <f t="shared" si="39"/>
        <v>Frank Gastineau</v>
      </c>
      <c r="W2543">
        <f>Table2[Profit]/Table2[Sales]</f>
        <v>0.25</v>
      </c>
    </row>
    <row r="2544" spans="1:23" x14ac:dyDescent="0.25">
      <c r="A2544">
        <v>2543</v>
      </c>
      <c r="B2544" t="s">
        <v>7820</v>
      </c>
      <c r="C2544" s="1">
        <v>42666</v>
      </c>
      <c r="D2544" s="1">
        <v>42671</v>
      </c>
      <c r="E2544" t="s">
        <v>49</v>
      </c>
      <c r="F2544" t="s">
        <v>3605</v>
      </c>
      <c r="G2544" t="s">
        <v>3606</v>
      </c>
      <c r="H2544" t="s">
        <v>101</v>
      </c>
      <c r="I2544" t="s">
        <v>26</v>
      </c>
      <c r="J2544" t="s">
        <v>94</v>
      </c>
      <c r="K2544" t="s">
        <v>95</v>
      </c>
      <c r="L2544">
        <v>98103</v>
      </c>
      <c r="M2544" t="s">
        <v>43</v>
      </c>
      <c r="N2544" t="s">
        <v>1062</v>
      </c>
      <c r="O2544" t="s">
        <v>45</v>
      </c>
      <c r="P2544" t="s">
        <v>266</v>
      </c>
      <c r="Q2544" t="s">
        <v>1063</v>
      </c>
      <c r="R2544">
        <v>17.05</v>
      </c>
      <c r="S2544">
        <v>5</v>
      </c>
      <c r="T2544">
        <v>0</v>
      </c>
      <c r="U2544">
        <v>8.1839999999999993</v>
      </c>
      <c r="V2544" t="str">
        <f t="shared" si="39"/>
        <v>Alejandro Ballentine</v>
      </c>
      <c r="W2544">
        <f>Table2[Profit]/Table2[Sales]</f>
        <v>0.47999999999999993</v>
      </c>
    </row>
    <row r="2545" spans="1:23" x14ac:dyDescent="0.25">
      <c r="A2545">
        <v>2544</v>
      </c>
      <c r="B2545" t="s">
        <v>7821</v>
      </c>
      <c r="C2545" s="1">
        <v>42352</v>
      </c>
      <c r="D2545" s="1">
        <v>42357</v>
      </c>
      <c r="E2545" t="s">
        <v>49</v>
      </c>
      <c r="F2545" t="s">
        <v>4113</v>
      </c>
      <c r="G2545" t="s">
        <v>4114</v>
      </c>
      <c r="H2545" t="s">
        <v>25</v>
      </c>
      <c r="I2545" t="s">
        <v>26</v>
      </c>
      <c r="J2545" t="s">
        <v>941</v>
      </c>
      <c r="K2545" t="s">
        <v>42</v>
      </c>
      <c r="L2545">
        <v>92105</v>
      </c>
      <c r="M2545" t="s">
        <v>43</v>
      </c>
      <c r="N2545" t="s">
        <v>3362</v>
      </c>
      <c r="O2545" t="s">
        <v>45</v>
      </c>
      <c r="P2545" t="s">
        <v>74</v>
      </c>
      <c r="Q2545" t="s">
        <v>3363</v>
      </c>
      <c r="R2545">
        <v>8.0960000000000001</v>
      </c>
      <c r="S2545">
        <v>2</v>
      </c>
      <c r="T2545">
        <v>0.2</v>
      </c>
      <c r="U2545">
        <v>2.7324000000000002</v>
      </c>
      <c r="V2545" t="str">
        <f t="shared" si="39"/>
        <v>Rick Duston</v>
      </c>
      <c r="W2545">
        <f>Table2[Profit]/Table2[Sales]</f>
        <v>0.33750000000000002</v>
      </c>
    </row>
    <row r="2546" spans="1:23" x14ac:dyDescent="0.25">
      <c r="A2546">
        <v>2545</v>
      </c>
      <c r="B2546" t="s">
        <v>7822</v>
      </c>
      <c r="C2546" s="1">
        <v>42687</v>
      </c>
      <c r="D2546" s="1">
        <v>42691</v>
      </c>
      <c r="E2546" t="s">
        <v>49</v>
      </c>
      <c r="F2546" t="s">
        <v>7445</v>
      </c>
      <c r="G2546" t="s">
        <v>7446</v>
      </c>
      <c r="H2546" t="s">
        <v>40</v>
      </c>
      <c r="I2546" t="s">
        <v>26</v>
      </c>
      <c r="J2546" t="s">
        <v>4745</v>
      </c>
      <c r="K2546" t="s">
        <v>641</v>
      </c>
      <c r="L2546">
        <v>73120</v>
      </c>
      <c r="M2546" t="s">
        <v>104</v>
      </c>
      <c r="N2546" t="s">
        <v>2149</v>
      </c>
      <c r="O2546" t="s">
        <v>31</v>
      </c>
      <c r="P2546" t="s">
        <v>64</v>
      </c>
      <c r="Q2546" t="s">
        <v>2150</v>
      </c>
      <c r="R2546">
        <v>30.36</v>
      </c>
      <c r="S2546">
        <v>4</v>
      </c>
      <c r="T2546">
        <v>0</v>
      </c>
      <c r="U2546">
        <v>13.0548</v>
      </c>
      <c r="V2546" t="str">
        <f t="shared" si="39"/>
        <v>Tom Stivers</v>
      </c>
      <c r="W2546">
        <f>Table2[Profit]/Table2[Sales]</f>
        <v>0.43</v>
      </c>
    </row>
    <row r="2547" spans="1:23" x14ac:dyDescent="0.25">
      <c r="A2547">
        <v>2546</v>
      </c>
      <c r="B2547" t="s">
        <v>7823</v>
      </c>
      <c r="C2547" s="1">
        <v>43007</v>
      </c>
      <c r="D2547" s="1">
        <v>43013</v>
      </c>
      <c r="E2547" t="s">
        <v>49</v>
      </c>
      <c r="F2547" t="s">
        <v>2858</v>
      </c>
      <c r="G2547" t="s">
        <v>2859</v>
      </c>
      <c r="H2547" t="s">
        <v>25</v>
      </c>
      <c r="I2547" t="s">
        <v>26</v>
      </c>
      <c r="J2547" t="s">
        <v>2263</v>
      </c>
      <c r="K2547" t="s">
        <v>264</v>
      </c>
      <c r="L2547">
        <v>10550</v>
      </c>
      <c r="M2547" t="s">
        <v>145</v>
      </c>
      <c r="N2547" t="s">
        <v>3212</v>
      </c>
      <c r="O2547" t="s">
        <v>45</v>
      </c>
      <c r="P2547" t="s">
        <v>170</v>
      </c>
      <c r="Q2547" t="s">
        <v>662</v>
      </c>
      <c r="R2547">
        <v>23.34</v>
      </c>
      <c r="S2547">
        <v>3</v>
      </c>
      <c r="T2547">
        <v>0</v>
      </c>
      <c r="U2547">
        <v>10.969799999999999</v>
      </c>
      <c r="V2547" t="str">
        <f t="shared" si="39"/>
        <v>Joseph Airdo</v>
      </c>
      <c r="W2547">
        <f>Table2[Profit]/Table2[Sales]</f>
        <v>0.47</v>
      </c>
    </row>
    <row r="2548" spans="1:23" x14ac:dyDescent="0.25">
      <c r="A2548">
        <v>2547</v>
      </c>
      <c r="B2548" t="s">
        <v>7824</v>
      </c>
      <c r="C2548" s="1">
        <v>42316</v>
      </c>
      <c r="D2548" s="1">
        <v>42320</v>
      </c>
      <c r="E2548" t="s">
        <v>49</v>
      </c>
      <c r="F2548" t="s">
        <v>4262</v>
      </c>
      <c r="G2548" t="s">
        <v>4263</v>
      </c>
      <c r="H2548" t="s">
        <v>25</v>
      </c>
      <c r="I2548" t="s">
        <v>26</v>
      </c>
      <c r="J2548" t="s">
        <v>126</v>
      </c>
      <c r="K2548" t="s">
        <v>42</v>
      </c>
      <c r="L2548">
        <v>94109</v>
      </c>
      <c r="M2548" t="s">
        <v>43</v>
      </c>
      <c r="N2548" t="s">
        <v>1047</v>
      </c>
      <c r="O2548" t="s">
        <v>70</v>
      </c>
      <c r="P2548" t="s">
        <v>158</v>
      </c>
      <c r="Q2548" t="s">
        <v>1048</v>
      </c>
      <c r="R2548">
        <v>119.9</v>
      </c>
      <c r="S2548">
        <v>2</v>
      </c>
      <c r="T2548">
        <v>0</v>
      </c>
      <c r="U2548">
        <v>43.164000000000001</v>
      </c>
      <c r="V2548" t="str">
        <f t="shared" si="39"/>
        <v>Shaun Weien</v>
      </c>
      <c r="W2548">
        <f>Table2[Profit]/Table2[Sales]</f>
        <v>0.36</v>
      </c>
    </row>
    <row r="2549" spans="1:23" x14ac:dyDescent="0.25">
      <c r="A2549">
        <v>2548</v>
      </c>
      <c r="B2549" t="s">
        <v>7825</v>
      </c>
      <c r="C2549" s="1">
        <v>42461</v>
      </c>
      <c r="D2549" s="1">
        <v>42465</v>
      </c>
      <c r="E2549" t="s">
        <v>49</v>
      </c>
      <c r="F2549" t="s">
        <v>1892</v>
      </c>
      <c r="G2549" t="s">
        <v>1893</v>
      </c>
      <c r="H2549" t="s">
        <v>25</v>
      </c>
      <c r="I2549" t="s">
        <v>26</v>
      </c>
      <c r="J2549" t="s">
        <v>263</v>
      </c>
      <c r="K2549" t="s">
        <v>264</v>
      </c>
      <c r="L2549">
        <v>10009</v>
      </c>
      <c r="M2549" t="s">
        <v>145</v>
      </c>
      <c r="N2549" t="s">
        <v>34</v>
      </c>
      <c r="O2549" t="s">
        <v>31</v>
      </c>
      <c r="P2549" t="s">
        <v>35</v>
      </c>
      <c r="Q2549" t="s">
        <v>36</v>
      </c>
      <c r="R2549">
        <v>1317.492</v>
      </c>
      <c r="S2549">
        <v>6</v>
      </c>
      <c r="T2549">
        <v>0.1</v>
      </c>
      <c r="U2549">
        <v>292.77600000000001</v>
      </c>
      <c r="V2549" t="str">
        <f t="shared" si="39"/>
        <v>Frank Preis</v>
      </c>
      <c r="W2549">
        <f>Table2[Profit]/Table2[Sales]</f>
        <v>0.22222222222222224</v>
      </c>
    </row>
    <row r="2550" spans="1:23" x14ac:dyDescent="0.25">
      <c r="A2550">
        <v>2549</v>
      </c>
      <c r="B2550" t="s">
        <v>7826</v>
      </c>
      <c r="C2550" s="1">
        <v>42768</v>
      </c>
      <c r="D2550" s="1">
        <v>42773</v>
      </c>
      <c r="E2550" t="s">
        <v>49</v>
      </c>
      <c r="F2550" t="s">
        <v>2084</v>
      </c>
      <c r="G2550" t="s">
        <v>2085</v>
      </c>
      <c r="H2550" t="s">
        <v>25</v>
      </c>
      <c r="I2550" t="s">
        <v>26</v>
      </c>
      <c r="J2550" t="s">
        <v>41</v>
      </c>
      <c r="K2550" t="s">
        <v>42</v>
      </c>
      <c r="L2550">
        <v>90045</v>
      </c>
      <c r="M2550" t="s">
        <v>43</v>
      </c>
      <c r="N2550" t="s">
        <v>1849</v>
      </c>
      <c r="O2550" t="s">
        <v>31</v>
      </c>
      <c r="P2550" t="s">
        <v>64</v>
      </c>
      <c r="Q2550" t="s">
        <v>1850</v>
      </c>
      <c r="R2550">
        <v>86.26</v>
      </c>
      <c r="S2550">
        <v>2</v>
      </c>
      <c r="T2550">
        <v>0</v>
      </c>
      <c r="U2550">
        <v>29.328399999999998</v>
      </c>
      <c r="V2550" t="str">
        <f t="shared" si="39"/>
        <v>John Lee</v>
      </c>
      <c r="W2550">
        <f>Table2[Profit]/Table2[Sales]</f>
        <v>0.33999999999999997</v>
      </c>
    </row>
    <row r="2551" spans="1:23" x14ac:dyDescent="0.25">
      <c r="A2551">
        <v>2550</v>
      </c>
      <c r="B2551" t="s">
        <v>7827</v>
      </c>
      <c r="C2551" s="1">
        <v>43093</v>
      </c>
      <c r="D2551" s="1">
        <v>43100</v>
      </c>
      <c r="E2551" t="s">
        <v>49</v>
      </c>
      <c r="F2551" t="s">
        <v>2564</v>
      </c>
      <c r="G2551" t="s">
        <v>2565</v>
      </c>
      <c r="H2551" t="s">
        <v>101</v>
      </c>
      <c r="I2551" t="s">
        <v>26</v>
      </c>
      <c r="J2551" t="s">
        <v>7828</v>
      </c>
      <c r="K2551" t="s">
        <v>303</v>
      </c>
      <c r="L2551">
        <v>85224</v>
      </c>
      <c r="M2551" t="s">
        <v>43</v>
      </c>
      <c r="N2551" t="s">
        <v>6670</v>
      </c>
      <c r="O2551" t="s">
        <v>31</v>
      </c>
      <c r="P2551" t="s">
        <v>64</v>
      </c>
      <c r="Q2551" t="s">
        <v>6671</v>
      </c>
      <c r="R2551">
        <v>8.5440000000000005</v>
      </c>
      <c r="S2551">
        <v>4</v>
      </c>
      <c r="T2551">
        <v>0.2</v>
      </c>
      <c r="U2551">
        <v>1.9224000000000001</v>
      </c>
      <c r="V2551" t="str">
        <f t="shared" si="39"/>
        <v>James Lanier</v>
      </c>
      <c r="W2551">
        <f>Table2[Profit]/Table2[Sales]</f>
        <v>0.22500000000000001</v>
      </c>
    </row>
    <row r="2552" spans="1:23" x14ac:dyDescent="0.25">
      <c r="A2552">
        <v>2551</v>
      </c>
      <c r="B2552" t="s">
        <v>7829</v>
      </c>
      <c r="C2552" s="1">
        <v>41811</v>
      </c>
      <c r="D2552" s="1">
        <v>41811</v>
      </c>
      <c r="E2552" t="s">
        <v>1278</v>
      </c>
      <c r="F2552" t="s">
        <v>4175</v>
      </c>
      <c r="G2552" t="s">
        <v>4176</v>
      </c>
      <c r="H2552" t="s">
        <v>25</v>
      </c>
      <c r="I2552" t="s">
        <v>26</v>
      </c>
      <c r="J2552" t="s">
        <v>1161</v>
      </c>
      <c r="K2552" t="s">
        <v>264</v>
      </c>
      <c r="L2552">
        <v>11561</v>
      </c>
      <c r="M2552" t="s">
        <v>145</v>
      </c>
      <c r="N2552" t="s">
        <v>4912</v>
      </c>
      <c r="O2552" t="s">
        <v>70</v>
      </c>
      <c r="P2552" t="s">
        <v>71</v>
      </c>
      <c r="Q2552" t="s">
        <v>4913</v>
      </c>
      <c r="R2552">
        <v>1214.8499999999999</v>
      </c>
      <c r="S2552">
        <v>3</v>
      </c>
      <c r="T2552">
        <v>0</v>
      </c>
      <c r="U2552">
        <v>352.30650000000003</v>
      </c>
      <c r="V2552" t="str">
        <f t="shared" si="39"/>
        <v>James Galang</v>
      </c>
      <c r="W2552">
        <f>Table2[Profit]/Table2[Sales]</f>
        <v>0.29000000000000004</v>
      </c>
    </row>
    <row r="2553" spans="1:23" x14ac:dyDescent="0.25">
      <c r="A2553">
        <v>2552</v>
      </c>
      <c r="B2553" t="s">
        <v>7830</v>
      </c>
      <c r="C2553" s="1">
        <v>42800</v>
      </c>
      <c r="D2553" s="1">
        <v>42804</v>
      </c>
      <c r="E2553" t="s">
        <v>22</v>
      </c>
      <c r="F2553" t="s">
        <v>578</v>
      </c>
      <c r="G2553" t="s">
        <v>579</v>
      </c>
      <c r="H2553" t="s">
        <v>40</v>
      </c>
      <c r="I2553" t="s">
        <v>26</v>
      </c>
      <c r="J2553" t="s">
        <v>126</v>
      </c>
      <c r="K2553" t="s">
        <v>42</v>
      </c>
      <c r="L2553">
        <v>94109</v>
      </c>
      <c r="M2553" t="s">
        <v>43</v>
      </c>
      <c r="N2553" t="s">
        <v>1181</v>
      </c>
      <c r="O2553" t="s">
        <v>45</v>
      </c>
      <c r="P2553" t="s">
        <v>58</v>
      </c>
      <c r="Q2553" t="s">
        <v>1182</v>
      </c>
      <c r="R2553">
        <v>67.78</v>
      </c>
      <c r="S2553">
        <v>2</v>
      </c>
      <c r="T2553">
        <v>0</v>
      </c>
      <c r="U2553">
        <v>16.945</v>
      </c>
      <c r="V2553" t="str">
        <f t="shared" si="39"/>
        <v>Sally Hughsby</v>
      </c>
      <c r="W2553">
        <f>Table2[Profit]/Table2[Sales]</f>
        <v>0.25</v>
      </c>
    </row>
    <row r="2554" spans="1:23" x14ac:dyDescent="0.25">
      <c r="A2554">
        <v>2553</v>
      </c>
      <c r="B2554" t="s">
        <v>7831</v>
      </c>
      <c r="C2554" s="1">
        <v>43003</v>
      </c>
      <c r="D2554" s="1">
        <v>43006</v>
      </c>
      <c r="E2554" t="s">
        <v>185</v>
      </c>
      <c r="F2554" t="s">
        <v>5468</v>
      </c>
      <c r="G2554" t="s">
        <v>5469</v>
      </c>
      <c r="H2554" t="s">
        <v>40</v>
      </c>
      <c r="I2554" t="s">
        <v>26</v>
      </c>
      <c r="J2554" t="s">
        <v>7832</v>
      </c>
      <c r="K2554" t="s">
        <v>1738</v>
      </c>
      <c r="L2554">
        <v>59601</v>
      </c>
      <c r="M2554" t="s">
        <v>43</v>
      </c>
      <c r="N2554" t="s">
        <v>3291</v>
      </c>
      <c r="O2554" t="s">
        <v>45</v>
      </c>
      <c r="P2554" t="s">
        <v>58</v>
      </c>
      <c r="Q2554" t="s">
        <v>3292</v>
      </c>
      <c r="R2554">
        <v>39.9</v>
      </c>
      <c r="S2554">
        <v>5</v>
      </c>
      <c r="T2554">
        <v>0</v>
      </c>
      <c r="U2554">
        <v>10.374000000000001</v>
      </c>
      <c r="V2554" t="str">
        <f t="shared" si="39"/>
        <v>Luke Schmidt</v>
      </c>
      <c r="W2554">
        <f>Table2[Profit]/Table2[Sales]</f>
        <v>0.26</v>
      </c>
    </row>
    <row r="2555" spans="1:23" x14ac:dyDescent="0.25">
      <c r="A2555">
        <v>2554</v>
      </c>
      <c r="B2555" t="s">
        <v>7833</v>
      </c>
      <c r="C2555" s="1">
        <v>41820</v>
      </c>
      <c r="D2555" s="1">
        <v>41826</v>
      </c>
      <c r="E2555" t="s">
        <v>49</v>
      </c>
      <c r="F2555" t="s">
        <v>7572</v>
      </c>
      <c r="G2555" t="s">
        <v>7573</v>
      </c>
      <c r="H2555" t="s">
        <v>25</v>
      </c>
      <c r="I2555" t="s">
        <v>26</v>
      </c>
      <c r="J2555" t="s">
        <v>263</v>
      </c>
      <c r="K2555" t="s">
        <v>264</v>
      </c>
      <c r="L2555">
        <v>10011</v>
      </c>
      <c r="M2555" t="s">
        <v>145</v>
      </c>
      <c r="N2555" t="s">
        <v>1808</v>
      </c>
      <c r="O2555" t="s">
        <v>45</v>
      </c>
      <c r="P2555" t="s">
        <v>74</v>
      </c>
      <c r="Q2555" t="s">
        <v>1809</v>
      </c>
      <c r="R2555">
        <v>2.6880000000000002</v>
      </c>
      <c r="S2555">
        <v>1</v>
      </c>
      <c r="T2555">
        <v>0.2</v>
      </c>
      <c r="U2555">
        <v>0.84</v>
      </c>
      <c r="V2555" t="str">
        <f t="shared" si="39"/>
        <v>Cari Schnelling</v>
      </c>
      <c r="W2555">
        <f>Table2[Profit]/Table2[Sales]</f>
        <v>0.31249999999999994</v>
      </c>
    </row>
    <row r="2556" spans="1:23" x14ac:dyDescent="0.25">
      <c r="A2556">
        <v>2555</v>
      </c>
      <c r="B2556" t="s">
        <v>7834</v>
      </c>
      <c r="C2556" s="1">
        <v>42223</v>
      </c>
      <c r="D2556" s="1">
        <v>42224</v>
      </c>
      <c r="E2556" t="s">
        <v>185</v>
      </c>
      <c r="F2556" t="s">
        <v>5241</v>
      </c>
      <c r="G2556" t="s">
        <v>5242</v>
      </c>
      <c r="H2556" t="s">
        <v>25</v>
      </c>
      <c r="I2556" t="s">
        <v>26</v>
      </c>
      <c r="J2556" t="s">
        <v>7835</v>
      </c>
      <c r="K2556" t="s">
        <v>590</v>
      </c>
      <c r="L2556">
        <v>63122</v>
      </c>
      <c r="M2556" t="s">
        <v>104</v>
      </c>
      <c r="N2556" t="s">
        <v>129</v>
      </c>
      <c r="O2556" t="s">
        <v>45</v>
      </c>
      <c r="P2556" t="s">
        <v>74</v>
      </c>
      <c r="Q2556" t="s">
        <v>130</v>
      </c>
      <c r="R2556">
        <v>28.4</v>
      </c>
      <c r="S2556">
        <v>4</v>
      </c>
      <c r="T2556">
        <v>0</v>
      </c>
      <c r="U2556">
        <v>13.064</v>
      </c>
      <c r="V2556" t="str">
        <f t="shared" si="39"/>
        <v>Kelly Williams</v>
      </c>
      <c r="W2556">
        <f>Table2[Profit]/Table2[Sales]</f>
        <v>0.46</v>
      </c>
    </row>
    <row r="2557" spans="1:23" x14ac:dyDescent="0.25">
      <c r="A2557">
        <v>2556</v>
      </c>
      <c r="B2557" t="s">
        <v>7836</v>
      </c>
      <c r="C2557" s="1">
        <v>42916</v>
      </c>
      <c r="D2557" s="1">
        <v>42920</v>
      </c>
      <c r="E2557" t="s">
        <v>22</v>
      </c>
      <c r="F2557" t="s">
        <v>6219</v>
      </c>
      <c r="G2557" t="s">
        <v>6220</v>
      </c>
      <c r="H2557" t="s">
        <v>101</v>
      </c>
      <c r="I2557" t="s">
        <v>26</v>
      </c>
      <c r="J2557" t="s">
        <v>296</v>
      </c>
      <c r="K2557" t="s">
        <v>208</v>
      </c>
      <c r="L2557">
        <v>60653</v>
      </c>
      <c r="M2557" t="s">
        <v>104</v>
      </c>
      <c r="N2557" t="s">
        <v>7744</v>
      </c>
      <c r="O2557" t="s">
        <v>70</v>
      </c>
      <c r="P2557" t="s">
        <v>71</v>
      </c>
      <c r="Q2557" t="s">
        <v>7745</v>
      </c>
      <c r="R2557">
        <v>1001.5839999999999</v>
      </c>
      <c r="S2557">
        <v>2</v>
      </c>
      <c r="T2557">
        <v>0.2</v>
      </c>
      <c r="U2557">
        <v>125.19799999999999</v>
      </c>
      <c r="V2557" t="str">
        <f t="shared" si="39"/>
        <v>Gary Hansen</v>
      </c>
      <c r="W2557">
        <f>Table2[Profit]/Table2[Sales]</f>
        <v>0.125</v>
      </c>
    </row>
    <row r="2558" spans="1:23" x14ac:dyDescent="0.25">
      <c r="A2558">
        <v>2557</v>
      </c>
      <c r="B2558" t="s">
        <v>7837</v>
      </c>
      <c r="C2558" s="1">
        <v>42303</v>
      </c>
      <c r="D2558" s="1">
        <v>42307</v>
      </c>
      <c r="E2558" t="s">
        <v>22</v>
      </c>
      <c r="F2558" t="s">
        <v>1025</v>
      </c>
      <c r="G2558" t="s">
        <v>1026</v>
      </c>
      <c r="H2558" t="s">
        <v>40</v>
      </c>
      <c r="I2558" t="s">
        <v>26</v>
      </c>
      <c r="J2558" t="s">
        <v>1374</v>
      </c>
      <c r="K2558" t="s">
        <v>303</v>
      </c>
      <c r="L2558">
        <v>85345</v>
      </c>
      <c r="M2558" t="s">
        <v>43</v>
      </c>
      <c r="N2558" t="s">
        <v>828</v>
      </c>
      <c r="O2558" t="s">
        <v>70</v>
      </c>
      <c r="P2558" t="s">
        <v>71</v>
      </c>
      <c r="Q2558" t="s">
        <v>829</v>
      </c>
      <c r="R2558">
        <v>105.584</v>
      </c>
      <c r="S2558">
        <v>2</v>
      </c>
      <c r="T2558">
        <v>0.2</v>
      </c>
      <c r="U2558">
        <v>9.2385999999999999</v>
      </c>
      <c r="V2558" t="str">
        <f t="shared" si="39"/>
        <v>Andrew Gjertsen</v>
      </c>
      <c r="W2558">
        <f>Table2[Profit]/Table2[Sales]</f>
        <v>8.7499999999999994E-2</v>
      </c>
    </row>
    <row r="2559" spans="1:23" x14ac:dyDescent="0.25">
      <c r="A2559">
        <v>2558</v>
      </c>
      <c r="B2559" t="s">
        <v>7838</v>
      </c>
      <c r="C2559" s="1">
        <v>41850</v>
      </c>
      <c r="D2559" s="1">
        <v>41856</v>
      </c>
      <c r="E2559" t="s">
        <v>49</v>
      </c>
      <c r="F2559" t="s">
        <v>7445</v>
      </c>
      <c r="G2559" t="s">
        <v>7446</v>
      </c>
      <c r="H2559" t="s">
        <v>40</v>
      </c>
      <c r="I2559" t="s">
        <v>26</v>
      </c>
      <c r="J2559" t="s">
        <v>94</v>
      </c>
      <c r="K2559" t="s">
        <v>95</v>
      </c>
      <c r="L2559">
        <v>98103</v>
      </c>
      <c r="M2559" t="s">
        <v>43</v>
      </c>
      <c r="N2559" t="s">
        <v>6406</v>
      </c>
      <c r="O2559" t="s">
        <v>31</v>
      </c>
      <c r="P2559" t="s">
        <v>32</v>
      </c>
      <c r="Q2559" t="s">
        <v>6407</v>
      </c>
      <c r="R2559">
        <v>1367.84</v>
      </c>
      <c r="S2559">
        <v>8</v>
      </c>
      <c r="T2559">
        <v>0</v>
      </c>
      <c r="U2559">
        <v>259.88959999999997</v>
      </c>
      <c r="V2559" t="str">
        <f t="shared" si="39"/>
        <v>Tom Stivers</v>
      </c>
      <c r="W2559">
        <f>Table2[Profit]/Table2[Sales]</f>
        <v>0.19</v>
      </c>
    </row>
    <row r="2560" spans="1:23" x14ac:dyDescent="0.25">
      <c r="A2560">
        <v>2559</v>
      </c>
      <c r="B2560" t="s">
        <v>7839</v>
      </c>
      <c r="C2560" s="1">
        <v>42692</v>
      </c>
      <c r="D2560" s="1">
        <v>42697</v>
      </c>
      <c r="E2560" t="s">
        <v>22</v>
      </c>
      <c r="F2560" t="s">
        <v>1861</v>
      </c>
      <c r="G2560" t="s">
        <v>1862</v>
      </c>
      <c r="H2560" t="s">
        <v>25</v>
      </c>
      <c r="I2560" t="s">
        <v>26</v>
      </c>
      <c r="J2560" t="s">
        <v>1105</v>
      </c>
      <c r="K2560" t="s">
        <v>235</v>
      </c>
      <c r="L2560">
        <v>48180</v>
      </c>
      <c r="M2560" t="s">
        <v>104</v>
      </c>
      <c r="N2560" t="s">
        <v>377</v>
      </c>
      <c r="O2560" t="s">
        <v>31</v>
      </c>
      <c r="P2560" t="s">
        <v>35</v>
      </c>
      <c r="Q2560" t="s">
        <v>378</v>
      </c>
      <c r="R2560">
        <v>301.95999999999998</v>
      </c>
      <c r="S2560">
        <v>2</v>
      </c>
      <c r="T2560">
        <v>0</v>
      </c>
      <c r="U2560">
        <v>33.215600000000002</v>
      </c>
      <c r="V2560" t="str">
        <f t="shared" si="39"/>
        <v>Ashley Jarboe</v>
      </c>
      <c r="W2560">
        <f>Table2[Profit]/Table2[Sales]</f>
        <v>0.11000000000000001</v>
      </c>
    </row>
    <row r="2561" spans="1:23" x14ac:dyDescent="0.25">
      <c r="A2561">
        <v>2560</v>
      </c>
      <c r="B2561" t="s">
        <v>7840</v>
      </c>
      <c r="C2561" s="1">
        <v>42191</v>
      </c>
      <c r="D2561" s="1">
        <v>42196</v>
      </c>
      <c r="E2561" t="s">
        <v>49</v>
      </c>
      <c r="F2561" t="s">
        <v>6308</v>
      </c>
      <c r="G2561" t="s">
        <v>6309</v>
      </c>
      <c r="H2561" t="s">
        <v>25</v>
      </c>
      <c r="I2561" t="s">
        <v>26</v>
      </c>
      <c r="J2561" t="s">
        <v>596</v>
      </c>
      <c r="K2561" t="s">
        <v>42</v>
      </c>
      <c r="L2561">
        <v>91104</v>
      </c>
      <c r="M2561" t="s">
        <v>43</v>
      </c>
      <c r="N2561" t="s">
        <v>274</v>
      </c>
      <c r="O2561" t="s">
        <v>31</v>
      </c>
      <c r="P2561" t="s">
        <v>35</v>
      </c>
      <c r="Q2561" t="s">
        <v>275</v>
      </c>
      <c r="R2561">
        <v>170.352</v>
      </c>
      <c r="S2561">
        <v>3</v>
      </c>
      <c r="T2561">
        <v>0.2</v>
      </c>
      <c r="U2561">
        <v>-17.0352</v>
      </c>
      <c r="V2561" t="str">
        <f t="shared" si="39"/>
        <v>Sarah Jordon</v>
      </c>
      <c r="W2561">
        <f>Table2[Profit]/Table2[Sales]</f>
        <v>-9.9999999999999992E-2</v>
      </c>
    </row>
    <row r="2562" spans="1:23" x14ac:dyDescent="0.25">
      <c r="A2562">
        <v>2561</v>
      </c>
      <c r="B2562" t="s">
        <v>7841</v>
      </c>
      <c r="C2562" s="1">
        <v>41953</v>
      </c>
      <c r="D2562" s="1">
        <v>41959</v>
      </c>
      <c r="E2562" t="s">
        <v>49</v>
      </c>
      <c r="F2562" t="s">
        <v>6541</v>
      </c>
      <c r="G2562" t="s">
        <v>6542</v>
      </c>
      <c r="H2562" t="s">
        <v>25</v>
      </c>
      <c r="I2562" t="s">
        <v>26</v>
      </c>
      <c r="J2562" t="s">
        <v>5201</v>
      </c>
      <c r="K2562" t="s">
        <v>235</v>
      </c>
      <c r="L2562">
        <v>48640</v>
      </c>
      <c r="M2562" t="s">
        <v>104</v>
      </c>
      <c r="N2562" t="s">
        <v>565</v>
      </c>
      <c r="O2562" t="s">
        <v>45</v>
      </c>
      <c r="P2562" t="s">
        <v>67</v>
      </c>
      <c r="Q2562" t="s">
        <v>6607</v>
      </c>
      <c r="R2562">
        <v>3.9</v>
      </c>
      <c r="S2562">
        <v>2</v>
      </c>
      <c r="T2562">
        <v>0</v>
      </c>
      <c r="U2562">
        <v>1.5209999999999999</v>
      </c>
      <c r="V2562" t="str">
        <f t="shared" si="39"/>
        <v>Sam Craven</v>
      </c>
      <c r="W2562">
        <f>Table2[Profit]/Table2[Sales]</f>
        <v>0.38999999999999996</v>
      </c>
    </row>
    <row r="2563" spans="1:23" x14ac:dyDescent="0.25">
      <c r="A2563">
        <v>2562</v>
      </c>
      <c r="B2563" t="s">
        <v>7842</v>
      </c>
      <c r="C2563" s="1">
        <v>42517</v>
      </c>
      <c r="D2563" s="1">
        <v>42519</v>
      </c>
      <c r="E2563" t="s">
        <v>22</v>
      </c>
      <c r="F2563" t="s">
        <v>1334</v>
      </c>
      <c r="G2563" t="s">
        <v>1335</v>
      </c>
      <c r="H2563" t="s">
        <v>40</v>
      </c>
      <c r="I2563" t="s">
        <v>26</v>
      </c>
      <c r="J2563" t="s">
        <v>873</v>
      </c>
      <c r="K2563" t="s">
        <v>235</v>
      </c>
      <c r="L2563">
        <v>48205</v>
      </c>
      <c r="M2563" t="s">
        <v>104</v>
      </c>
      <c r="N2563" t="s">
        <v>1846</v>
      </c>
      <c r="O2563" t="s">
        <v>31</v>
      </c>
      <c r="P2563" t="s">
        <v>35</v>
      </c>
      <c r="Q2563" t="s">
        <v>1847</v>
      </c>
      <c r="R2563">
        <v>3504.9</v>
      </c>
      <c r="S2563">
        <v>5</v>
      </c>
      <c r="T2563">
        <v>0</v>
      </c>
      <c r="U2563">
        <v>700.98</v>
      </c>
      <c r="V2563" t="str">
        <f t="shared" ref="V2563:V2626" si="40">TRIM(G2563)</f>
        <v>Laura Armstrong</v>
      </c>
      <c r="W2563">
        <f>Table2[Profit]/Table2[Sales]</f>
        <v>0.2</v>
      </c>
    </row>
    <row r="2564" spans="1:23" x14ac:dyDescent="0.25">
      <c r="A2564">
        <v>2563</v>
      </c>
      <c r="B2564" t="s">
        <v>7843</v>
      </c>
      <c r="C2564" s="1">
        <v>42071</v>
      </c>
      <c r="D2564" s="1">
        <v>42073</v>
      </c>
      <c r="E2564" t="s">
        <v>185</v>
      </c>
      <c r="F2564" t="s">
        <v>6595</v>
      </c>
      <c r="G2564" t="s">
        <v>6596</v>
      </c>
      <c r="H2564" t="s">
        <v>40</v>
      </c>
      <c r="I2564" t="s">
        <v>26</v>
      </c>
      <c r="J2564" t="s">
        <v>3524</v>
      </c>
      <c r="K2564" t="s">
        <v>450</v>
      </c>
      <c r="L2564">
        <v>81001</v>
      </c>
      <c r="M2564" t="s">
        <v>43</v>
      </c>
      <c r="N2564" t="s">
        <v>1252</v>
      </c>
      <c r="O2564" t="s">
        <v>45</v>
      </c>
      <c r="P2564" t="s">
        <v>67</v>
      </c>
      <c r="Q2564" t="s">
        <v>1253</v>
      </c>
      <c r="R2564">
        <v>3.4079999999999999</v>
      </c>
      <c r="S2564">
        <v>1</v>
      </c>
      <c r="T2564">
        <v>0.2</v>
      </c>
      <c r="U2564">
        <v>0.89459999999999995</v>
      </c>
      <c r="V2564" t="str">
        <f t="shared" si="40"/>
        <v>Fred Chung</v>
      </c>
      <c r="W2564">
        <f>Table2[Profit]/Table2[Sales]</f>
        <v>0.26250000000000001</v>
      </c>
    </row>
    <row r="2565" spans="1:23" x14ac:dyDescent="0.25">
      <c r="A2565">
        <v>2564</v>
      </c>
      <c r="B2565" t="s">
        <v>7844</v>
      </c>
      <c r="C2565" s="1">
        <v>43027</v>
      </c>
      <c r="D2565" s="1">
        <v>43032</v>
      </c>
      <c r="E2565" t="s">
        <v>49</v>
      </c>
      <c r="F2565" t="s">
        <v>2022</v>
      </c>
      <c r="G2565" t="s">
        <v>2023</v>
      </c>
      <c r="H2565" t="s">
        <v>25</v>
      </c>
      <c r="I2565" t="s">
        <v>26</v>
      </c>
      <c r="J2565" t="s">
        <v>7845</v>
      </c>
      <c r="K2565" t="s">
        <v>103</v>
      </c>
      <c r="L2565">
        <v>76706</v>
      </c>
      <c r="M2565" t="s">
        <v>104</v>
      </c>
      <c r="N2565" t="s">
        <v>6088</v>
      </c>
      <c r="O2565" t="s">
        <v>45</v>
      </c>
      <c r="P2565" t="s">
        <v>74</v>
      </c>
      <c r="Q2565" t="s">
        <v>6089</v>
      </c>
      <c r="R2565">
        <v>2.0720000000000001</v>
      </c>
      <c r="S2565">
        <v>2</v>
      </c>
      <c r="T2565">
        <v>0.8</v>
      </c>
      <c r="U2565">
        <v>-3.5224000000000002</v>
      </c>
      <c r="V2565" t="str">
        <f t="shared" si="40"/>
        <v>Christina Anderson</v>
      </c>
      <c r="W2565">
        <f>Table2[Profit]/Table2[Sales]</f>
        <v>-1.7</v>
      </c>
    </row>
    <row r="2566" spans="1:23" x14ac:dyDescent="0.25">
      <c r="A2566">
        <v>2565</v>
      </c>
      <c r="B2566" t="s">
        <v>7846</v>
      </c>
      <c r="C2566" s="1">
        <v>42679</v>
      </c>
      <c r="D2566" s="1">
        <v>42682</v>
      </c>
      <c r="E2566" t="s">
        <v>185</v>
      </c>
      <c r="F2566" t="s">
        <v>823</v>
      </c>
      <c r="G2566" t="s">
        <v>824</v>
      </c>
      <c r="H2566" t="s">
        <v>25</v>
      </c>
      <c r="I2566" t="s">
        <v>26</v>
      </c>
      <c r="J2566" t="s">
        <v>126</v>
      </c>
      <c r="K2566" t="s">
        <v>42</v>
      </c>
      <c r="L2566">
        <v>94109</v>
      </c>
      <c r="M2566" t="s">
        <v>43</v>
      </c>
      <c r="N2566" t="s">
        <v>4701</v>
      </c>
      <c r="O2566" t="s">
        <v>45</v>
      </c>
      <c r="P2566" t="s">
        <v>74</v>
      </c>
      <c r="Q2566" t="s">
        <v>4702</v>
      </c>
      <c r="R2566">
        <v>53.247999999999998</v>
      </c>
      <c r="S2566">
        <v>2</v>
      </c>
      <c r="T2566">
        <v>0.2</v>
      </c>
      <c r="U2566">
        <v>19.968</v>
      </c>
      <c r="V2566" t="str">
        <f t="shared" si="40"/>
        <v>Joseph Holt</v>
      </c>
      <c r="W2566">
        <f>Table2[Profit]/Table2[Sales]</f>
        <v>0.375</v>
      </c>
    </row>
    <row r="2567" spans="1:23" x14ac:dyDescent="0.25">
      <c r="A2567">
        <v>2566</v>
      </c>
      <c r="B2567" t="s">
        <v>7847</v>
      </c>
      <c r="C2567" s="1">
        <v>42730</v>
      </c>
      <c r="D2567" s="1">
        <v>42734</v>
      </c>
      <c r="E2567" t="s">
        <v>49</v>
      </c>
      <c r="F2567" t="s">
        <v>2400</v>
      </c>
      <c r="G2567" t="s">
        <v>2401</v>
      </c>
      <c r="H2567" t="s">
        <v>40</v>
      </c>
      <c r="I2567" t="s">
        <v>26</v>
      </c>
      <c r="J2567" t="s">
        <v>263</v>
      </c>
      <c r="K2567" t="s">
        <v>264</v>
      </c>
      <c r="L2567">
        <v>10024</v>
      </c>
      <c r="M2567" t="s">
        <v>145</v>
      </c>
      <c r="N2567" t="s">
        <v>1036</v>
      </c>
      <c r="O2567" t="s">
        <v>45</v>
      </c>
      <c r="P2567" t="s">
        <v>74</v>
      </c>
      <c r="Q2567" t="s">
        <v>1037</v>
      </c>
      <c r="R2567">
        <v>4.992</v>
      </c>
      <c r="S2567">
        <v>3</v>
      </c>
      <c r="T2567">
        <v>0.2</v>
      </c>
      <c r="U2567">
        <v>1.6848000000000001</v>
      </c>
      <c r="V2567" t="str">
        <f t="shared" si="40"/>
        <v>Anthony Johnson</v>
      </c>
      <c r="W2567">
        <f>Table2[Profit]/Table2[Sales]</f>
        <v>0.33750000000000002</v>
      </c>
    </row>
    <row r="2568" spans="1:23" x14ac:dyDescent="0.25">
      <c r="A2568">
        <v>2567</v>
      </c>
      <c r="B2568" t="s">
        <v>7848</v>
      </c>
      <c r="C2568" s="1">
        <v>42107</v>
      </c>
      <c r="D2568" s="1">
        <v>42113</v>
      </c>
      <c r="E2568" t="s">
        <v>49</v>
      </c>
      <c r="F2568" t="s">
        <v>3131</v>
      </c>
      <c r="G2568" t="s">
        <v>3132</v>
      </c>
      <c r="H2568" t="s">
        <v>40</v>
      </c>
      <c r="I2568" t="s">
        <v>26</v>
      </c>
      <c r="J2568" t="s">
        <v>41</v>
      </c>
      <c r="K2568" t="s">
        <v>42</v>
      </c>
      <c r="L2568">
        <v>90036</v>
      </c>
      <c r="M2568" t="s">
        <v>43</v>
      </c>
      <c r="N2568" t="s">
        <v>4534</v>
      </c>
      <c r="O2568" t="s">
        <v>31</v>
      </c>
      <c r="P2568" t="s">
        <v>64</v>
      </c>
      <c r="Q2568" t="s">
        <v>4535</v>
      </c>
      <c r="R2568">
        <v>37.68</v>
      </c>
      <c r="S2568">
        <v>2</v>
      </c>
      <c r="T2568">
        <v>0</v>
      </c>
      <c r="U2568">
        <v>15.8256</v>
      </c>
      <c r="V2568" t="str">
        <f t="shared" si="40"/>
        <v>Bill Tyler</v>
      </c>
      <c r="W2568">
        <f>Table2[Profit]/Table2[Sales]</f>
        <v>0.42</v>
      </c>
    </row>
    <row r="2569" spans="1:23" x14ac:dyDescent="0.25">
      <c r="A2569">
        <v>2568</v>
      </c>
      <c r="B2569" t="s">
        <v>7849</v>
      </c>
      <c r="C2569" s="1">
        <v>42990</v>
      </c>
      <c r="D2569" s="1">
        <v>42993</v>
      </c>
      <c r="E2569" t="s">
        <v>185</v>
      </c>
      <c r="F2569" t="s">
        <v>1171</v>
      </c>
      <c r="G2569" t="s">
        <v>1172</v>
      </c>
      <c r="H2569" t="s">
        <v>40</v>
      </c>
      <c r="I2569" t="s">
        <v>26</v>
      </c>
      <c r="J2569" t="s">
        <v>6967</v>
      </c>
      <c r="K2569" t="s">
        <v>1388</v>
      </c>
      <c r="L2569">
        <v>2895</v>
      </c>
      <c r="M2569" t="s">
        <v>145</v>
      </c>
      <c r="N2569" t="s">
        <v>7814</v>
      </c>
      <c r="O2569" t="s">
        <v>45</v>
      </c>
      <c r="P2569" t="s">
        <v>89</v>
      </c>
      <c r="Q2569" t="s">
        <v>7815</v>
      </c>
      <c r="R2569">
        <v>45.36</v>
      </c>
      <c r="S2569">
        <v>7</v>
      </c>
      <c r="T2569">
        <v>0</v>
      </c>
      <c r="U2569">
        <v>21.7728</v>
      </c>
      <c r="V2569" t="str">
        <f t="shared" si="40"/>
        <v>Don Jones</v>
      </c>
      <c r="W2569">
        <f>Table2[Profit]/Table2[Sales]</f>
        <v>0.48</v>
      </c>
    </row>
    <row r="2570" spans="1:23" x14ac:dyDescent="0.25">
      <c r="A2570">
        <v>2569</v>
      </c>
      <c r="B2570" t="s">
        <v>7850</v>
      </c>
      <c r="C2570" s="1">
        <v>43002</v>
      </c>
      <c r="D2570" s="1">
        <v>43005</v>
      </c>
      <c r="E2570" t="s">
        <v>185</v>
      </c>
      <c r="F2570" t="s">
        <v>1397</v>
      </c>
      <c r="G2570" t="s">
        <v>1398</v>
      </c>
      <c r="H2570" t="s">
        <v>25</v>
      </c>
      <c r="I2570" t="s">
        <v>26</v>
      </c>
      <c r="J2570" t="s">
        <v>490</v>
      </c>
      <c r="K2570" t="s">
        <v>1260</v>
      </c>
      <c r="L2570">
        <v>31907</v>
      </c>
      <c r="M2570" t="s">
        <v>29</v>
      </c>
      <c r="N2570" t="s">
        <v>7430</v>
      </c>
      <c r="O2570" t="s">
        <v>45</v>
      </c>
      <c r="P2570" t="s">
        <v>58</v>
      </c>
      <c r="Q2570" t="s">
        <v>7431</v>
      </c>
      <c r="R2570">
        <v>40.29</v>
      </c>
      <c r="S2570">
        <v>3</v>
      </c>
      <c r="T2570">
        <v>0</v>
      </c>
      <c r="U2570">
        <v>10.0725</v>
      </c>
      <c r="V2570" t="str">
        <f t="shared" si="40"/>
        <v>Anna Gayman</v>
      </c>
      <c r="W2570">
        <f>Table2[Profit]/Table2[Sales]</f>
        <v>0.25</v>
      </c>
    </row>
    <row r="2571" spans="1:23" x14ac:dyDescent="0.25">
      <c r="A2571">
        <v>2570</v>
      </c>
      <c r="B2571" t="s">
        <v>7851</v>
      </c>
      <c r="C2571" s="1">
        <v>42287</v>
      </c>
      <c r="D2571" s="1">
        <v>42292</v>
      </c>
      <c r="E2571" t="s">
        <v>49</v>
      </c>
      <c r="F2571" t="s">
        <v>3927</v>
      </c>
      <c r="G2571" t="s">
        <v>3928</v>
      </c>
      <c r="H2571" t="s">
        <v>25</v>
      </c>
      <c r="I2571" t="s">
        <v>26</v>
      </c>
      <c r="J2571" t="s">
        <v>1507</v>
      </c>
      <c r="K2571" t="s">
        <v>53</v>
      </c>
      <c r="L2571">
        <v>32216</v>
      </c>
      <c r="M2571" t="s">
        <v>29</v>
      </c>
      <c r="N2571" t="s">
        <v>1745</v>
      </c>
      <c r="O2571" t="s">
        <v>45</v>
      </c>
      <c r="P2571" t="s">
        <v>58</v>
      </c>
      <c r="Q2571" t="s">
        <v>1746</v>
      </c>
      <c r="R2571">
        <v>1801.6320000000001</v>
      </c>
      <c r="S2571">
        <v>6</v>
      </c>
      <c r="T2571">
        <v>0.2</v>
      </c>
      <c r="U2571">
        <v>-337.80599999999998</v>
      </c>
      <c r="V2571" t="str">
        <f t="shared" si="40"/>
        <v>John Dryer</v>
      </c>
      <c r="W2571">
        <f>Table2[Profit]/Table2[Sales]</f>
        <v>-0.18749999999999997</v>
      </c>
    </row>
    <row r="2572" spans="1:23" x14ac:dyDescent="0.25">
      <c r="A2572">
        <v>2571</v>
      </c>
      <c r="B2572" t="s">
        <v>7852</v>
      </c>
      <c r="C2572" s="1">
        <v>42335</v>
      </c>
      <c r="D2572" s="1">
        <v>42341</v>
      </c>
      <c r="E2572" t="s">
        <v>49</v>
      </c>
      <c r="F2572" t="s">
        <v>2129</v>
      </c>
      <c r="G2572" t="s">
        <v>2130</v>
      </c>
      <c r="H2572" t="s">
        <v>101</v>
      </c>
      <c r="I2572" t="s">
        <v>26</v>
      </c>
      <c r="J2572" t="s">
        <v>143</v>
      </c>
      <c r="K2572" t="s">
        <v>144</v>
      </c>
      <c r="L2572">
        <v>19140</v>
      </c>
      <c r="M2572" t="s">
        <v>145</v>
      </c>
      <c r="N2572" t="s">
        <v>6847</v>
      </c>
      <c r="O2572" t="s">
        <v>70</v>
      </c>
      <c r="P2572" t="s">
        <v>71</v>
      </c>
      <c r="Q2572" t="s">
        <v>6848</v>
      </c>
      <c r="R2572">
        <v>748.75199999999995</v>
      </c>
      <c r="S2572">
        <v>8</v>
      </c>
      <c r="T2572">
        <v>0.4</v>
      </c>
      <c r="U2572">
        <v>-162.2296</v>
      </c>
      <c r="V2572" t="str">
        <f t="shared" si="40"/>
        <v>Eugene Hildebrand</v>
      </c>
      <c r="W2572">
        <f>Table2[Profit]/Table2[Sales]</f>
        <v>-0.21666666666666667</v>
      </c>
    </row>
    <row r="2573" spans="1:23" x14ac:dyDescent="0.25">
      <c r="A2573">
        <v>2572</v>
      </c>
      <c r="B2573" t="s">
        <v>7853</v>
      </c>
      <c r="C2573" s="1">
        <v>42260</v>
      </c>
      <c r="D2573" s="1">
        <v>42265</v>
      </c>
      <c r="E2573" t="s">
        <v>49</v>
      </c>
      <c r="F2573" t="s">
        <v>1946</v>
      </c>
      <c r="G2573" t="s">
        <v>1947</v>
      </c>
      <c r="H2573" t="s">
        <v>25</v>
      </c>
      <c r="I2573" t="s">
        <v>26</v>
      </c>
      <c r="J2573" t="s">
        <v>490</v>
      </c>
      <c r="K2573" t="s">
        <v>251</v>
      </c>
      <c r="L2573">
        <v>47201</v>
      </c>
      <c r="M2573" t="s">
        <v>104</v>
      </c>
      <c r="N2573" t="s">
        <v>3684</v>
      </c>
      <c r="O2573" t="s">
        <v>70</v>
      </c>
      <c r="P2573" t="s">
        <v>158</v>
      </c>
      <c r="Q2573" t="s">
        <v>3685</v>
      </c>
      <c r="R2573">
        <v>199.96</v>
      </c>
      <c r="S2573">
        <v>4</v>
      </c>
      <c r="T2573">
        <v>0</v>
      </c>
      <c r="U2573">
        <v>15.9968</v>
      </c>
      <c r="V2573" t="str">
        <f t="shared" si="40"/>
        <v>Zuschuss Carroll</v>
      </c>
      <c r="W2573">
        <f>Table2[Profit]/Table2[Sales]</f>
        <v>0.08</v>
      </c>
    </row>
    <row r="2574" spans="1:23" x14ac:dyDescent="0.25">
      <c r="A2574">
        <v>2573</v>
      </c>
      <c r="B2574" t="s">
        <v>7854</v>
      </c>
      <c r="C2574" s="1">
        <v>43053</v>
      </c>
      <c r="D2574" s="1">
        <v>43057</v>
      </c>
      <c r="E2574" t="s">
        <v>49</v>
      </c>
      <c r="F2574" t="s">
        <v>1631</v>
      </c>
      <c r="G2574" t="s">
        <v>1632</v>
      </c>
      <c r="H2574" t="s">
        <v>25</v>
      </c>
      <c r="I2574" t="s">
        <v>26</v>
      </c>
      <c r="J2574" t="s">
        <v>596</v>
      </c>
      <c r="K2574" t="s">
        <v>103</v>
      </c>
      <c r="L2574">
        <v>77506</v>
      </c>
      <c r="M2574" t="s">
        <v>104</v>
      </c>
      <c r="N2574" t="s">
        <v>4156</v>
      </c>
      <c r="O2574" t="s">
        <v>70</v>
      </c>
      <c r="P2574" t="s">
        <v>158</v>
      </c>
      <c r="Q2574" t="s">
        <v>4157</v>
      </c>
      <c r="R2574">
        <v>167.952</v>
      </c>
      <c r="S2574">
        <v>6</v>
      </c>
      <c r="T2574">
        <v>0.2</v>
      </c>
      <c r="U2574">
        <v>-27.292200000000001</v>
      </c>
      <c r="V2574" t="str">
        <f t="shared" si="40"/>
        <v>Xylona Preis</v>
      </c>
      <c r="W2574">
        <f>Table2[Profit]/Table2[Sales]</f>
        <v>-0.16250000000000001</v>
      </c>
    </row>
    <row r="2575" spans="1:23" x14ac:dyDescent="0.25">
      <c r="A2575">
        <v>2574</v>
      </c>
      <c r="B2575" t="s">
        <v>7855</v>
      </c>
      <c r="C2575" s="1">
        <v>42860</v>
      </c>
      <c r="D2575" s="1">
        <v>42864</v>
      </c>
      <c r="E2575" t="s">
        <v>49</v>
      </c>
      <c r="F2575" t="s">
        <v>1811</v>
      </c>
      <c r="G2575" t="s">
        <v>1812</v>
      </c>
      <c r="H2575" t="s">
        <v>25</v>
      </c>
      <c r="I2575" t="s">
        <v>26</v>
      </c>
      <c r="J2575" t="s">
        <v>126</v>
      </c>
      <c r="K2575" t="s">
        <v>42</v>
      </c>
      <c r="L2575">
        <v>94122</v>
      </c>
      <c r="M2575" t="s">
        <v>43</v>
      </c>
      <c r="N2575" t="s">
        <v>7856</v>
      </c>
      <c r="O2575" t="s">
        <v>45</v>
      </c>
      <c r="P2575" t="s">
        <v>170</v>
      </c>
      <c r="Q2575" t="s">
        <v>7857</v>
      </c>
      <c r="R2575">
        <v>23.16</v>
      </c>
      <c r="S2575">
        <v>2</v>
      </c>
      <c r="T2575">
        <v>0</v>
      </c>
      <c r="U2575">
        <v>11.58</v>
      </c>
      <c r="V2575" t="str">
        <f t="shared" si="40"/>
        <v>Darren Koutras</v>
      </c>
      <c r="W2575">
        <f>Table2[Profit]/Table2[Sales]</f>
        <v>0.5</v>
      </c>
    </row>
    <row r="2576" spans="1:23" x14ac:dyDescent="0.25">
      <c r="A2576">
        <v>2575</v>
      </c>
      <c r="B2576" t="s">
        <v>7858</v>
      </c>
      <c r="C2576" s="1">
        <v>41971</v>
      </c>
      <c r="D2576" s="1">
        <v>41974</v>
      </c>
      <c r="E2576" t="s">
        <v>22</v>
      </c>
      <c r="F2576" t="s">
        <v>2388</v>
      </c>
      <c r="G2576" t="s">
        <v>2389</v>
      </c>
      <c r="H2576" t="s">
        <v>40</v>
      </c>
      <c r="I2576" t="s">
        <v>26</v>
      </c>
      <c r="J2576" t="s">
        <v>375</v>
      </c>
      <c r="K2576" t="s">
        <v>376</v>
      </c>
      <c r="L2576">
        <v>29203</v>
      </c>
      <c r="M2576" t="s">
        <v>29</v>
      </c>
      <c r="N2576" t="s">
        <v>546</v>
      </c>
      <c r="O2576" t="s">
        <v>31</v>
      </c>
      <c r="P2576" t="s">
        <v>64</v>
      </c>
      <c r="Q2576" t="s">
        <v>547</v>
      </c>
      <c r="R2576">
        <v>397.6</v>
      </c>
      <c r="S2576">
        <v>5</v>
      </c>
      <c r="T2576">
        <v>0</v>
      </c>
      <c r="U2576">
        <v>43.735999999999997</v>
      </c>
      <c r="V2576" t="str">
        <f t="shared" si="40"/>
        <v>Chris Selesnick</v>
      </c>
      <c r="W2576">
        <f>Table2[Profit]/Table2[Sales]</f>
        <v>0.10999999999999999</v>
      </c>
    </row>
    <row r="2577" spans="1:23" x14ac:dyDescent="0.25">
      <c r="A2577">
        <v>2576</v>
      </c>
      <c r="B2577" t="s">
        <v>7859</v>
      </c>
      <c r="C2577" s="1">
        <v>41769</v>
      </c>
      <c r="D2577" s="1">
        <v>41774</v>
      </c>
      <c r="E2577" t="s">
        <v>49</v>
      </c>
      <c r="F2577" t="s">
        <v>3958</v>
      </c>
      <c r="G2577" t="s">
        <v>3959</v>
      </c>
      <c r="H2577" t="s">
        <v>25</v>
      </c>
      <c r="I2577" t="s">
        <v>26</v>
      </c>
      <c r="J2577" t="s">
        <v>4169</v>
      </c>
      <c r="K2577" t="s">
        <v>95</v>
      </c>
      <c r="L2577">
        <v>98031</v>
      </c>
      <c r="M2577" t="s">
        <v>43</v>
      </c>
      <c r="N2577" t="s">
        <v>1684</v>
      </c>
      <c r="O2577" t="s">
        <v>45</v>
      </c>
      <c r="P2577" t="s">
        <v>170</v>
      </c>
      <c r="Q2577" t="s">
        <v>1685</v>
      </c>
      <c r="R2577">
        <v>158.13</v>
      </c>
      <c r="S2577">
        <v>3</v>
      </c>
      <c r="T2577">
        <v>0</v>
      </c>
      <c r="U2577">
        <v>77.483699999999999</v>
      </c>
      <c r="V2577" t="str">
        <f t="shared" si="40"/>
        <v>Arianne Irving</v>
      </c>
      <c r="W2577">
        <f>Table2[Profit]/Table2[Sales]</f>
        <v>0.49</v>
      </c>
    </row>
    <row r="2578" spans="1:23" x14ac:dyDescent="0.25">
      <c r="A2578">
        <v>2577</v>
      </c>
      <c r="B2578" t="s">
        <v>7860</v>
      </c>
      <c r="C2578" s="1">
        <v>42432</v>
      </c>
      <c r="D2578" s="1">
        <v>42437</v>
      </c>
      <c r="E2578" t="s">
        <v>49</v>
      </c>
      <c r="F2578" t="s">
        <v>3268</v>
      </c>
      <c r="G2578" t="s">
        <v>3269</v>
      </c>
      <c r="H2578" t="s">
        <v>25</v>
      </c>
      <c r="I2578" t="s">
        <v>26</v>
      </c>
      <c r="J2578" t="s">
        <v>2853</v>
      </c>
      <c r="K2578" t="s">
        <v>103</v>
      </c>
      <c r="L2578">
        <v>78664</v>
      </c>
      <c r="M2578" t="s">
        <v>104</v>
      </c>
      <c r="N2578" t="s">
        <v>5474</v>
      </c>
      <c r="O2578" t="s">
        <v>45</v>
      </c>
      <c r="P2578" t="s">
        <v>572</v>
      </c>
      <c r="Q2578" t="s">
        <v>5475</v>
      </c>
      <c r="R2578">
        <v>3930.0720000000001</v>
      </c>
      <c r="S2578">
        <v>3</v>
      </c>
      <c r="T2578">
        <v>0.2</v>
      </c>
      <c r="U2578">
        <v>-786.01440000000002</v>
      </c>
      <c r="V2578" t="str">
        <f t="shared" si="40"/>
        <v>Alex Avila</v>
      </c>
      <c r="W2578">
        <f>Table2[Profit]/Table2[Sales]</f>
        <v>-0.2</v>
      </c>
    </row>
    <row r="2579" spans="1:23" x14ac:dyDescent="0.25">
      <c r="A2579">
        <v>2578</v>
      </c>
      <c r="B2579" t="s">
        <v>7861</v>
      </c>
      <c r="C2579" s="1">
        <v>42231</v>
      </c>
      <c r="D2579" s="1">
        <v>42235</v>
      </c>
      <c r="E2579" t="s">
        <v>49</v>
      </c>
      <c r="F2579" t="s">
        <v>6129</v>
      </c>
      <c r="G2579" t="s">
        <v>6130</v>
      </c>
      <c r="H2579" t="s">
        <v>25</v>
      </c>
      <c r="I2579" t="s">
        <v>26</v>
      </c>
      <c r="J2579" t="s">
        <v>3145</v>
      </c>
      <c r="K2579" t="s">
        <v>42</v>
      </c>
      <c r="L2579">
        <v>94601</v>
      </c>
      <c r="M2579" t="s">
        <v>43</v>
      </c>
      <c r="N2579" t="s">
        <v>3625</v>
      </c>
      <c r="O2579" t="s">
        <v>31</v>
      </c>
      <c r="P2579" t="s">
        <v>64</v>
      </c>
      <c r="Q2579" t="s">
        <v>3626</v>
      </c>
      <c r="R2579">
        <v>104.23</v>
      </c>
      <c r="S2579">
        <v>7</v>
      </c>
      <c r="T2579">
        <v>0</v>
      </c>
      <c r="U2579">
        <v>28.142099999999999</v>
      </c>
      <c r="V2579" t="str">
        <f t="shared" si="40"/>
        <v>Richard Eichhorn</v>
      </c>
      <c r="W2579">
        <f>Table2[Profit]/Table2[Sales]</f>
        <v>0.26999999999999996</v>
      </c>
    </row>
    <row r="2580" spans="1:23" x14ac:dyDescent="0.25">
      <c r="A2580">
        <v>2579</v>
      </c>
      <c r="B2580" t="s">
        <v>7862</v>
      </c>
      <c r="C2580" s="1">
        <v>42259</v>
      </c>
      <c r="D2580" s="1">
        <v>42265</v>
      </c>
      <c r="E2580" t="s">
        <v>49</v>
      </c>
      <c r="F2580" t="s">
        <v>5338</v>
      </c>
      <c r="G2580" t="s">
        <v>5339</v>
      </c>
      <c r="H2580" t="s">
        <v>25</v>
      </c>
      <c r="I2580" t="s">
        <v>26</v>
      </c>
      <c r="J2580" t="s">
        <v>1540</v>
      </c>
      <c r="K2580" t="s">
        <v>264</v>
      </c>
      <c r="L2580">
        <v>13021</v>
      </c>
      <c r="M2580" t="s">
        <v>145</v>
      </c>
      <c r="N2580" t="s">
        <v>773</v>
      </c>
      <c r="O2580" t="s">
        <v>45</v>
      </c>
      <c r="P2580" t="s">
        <v>67</v>
      </c>
      <c r="Q2580" t="s">
        <v>774</v>
      </c>
      <c r="R2580">
        <v>9.26</v>
      </c>
      <c r="S2580">
        <v>2</v>
      </c>
      <c r="T2580">
        <v>0</v>
      </c>
      <c r="U2580">
        <v>3.0558000000000001</v>
      </c>
      <c r="V2580" t="str">
        <f t="shared" si="40"/>
        <v>Tamara Manning</v>
      </c>
      <c r="W2580">
        <f>Table2[Profit]/Table2[Sales]</f>
        <v>0.33</v>
      </c>
    </row>
    <row r="2581" spans="1:23" x14ac:dyDescent="0.25">
      <c r="A2581">
        <v>2580</v>
      </c>
      <c r="B2581" t="s">
        <v>7863</v>
      </c>
      <c r="C2581" s="1">
        <v>42016</v>
      </c>
      <c r="D2581" s="1">
        <v>42022</v>
      </c>
      <c r="E2581" t="s">
        <v>49</v>
      </c>
      <c r="F2581" t="s">
        <v>3725</v>
      </c>
      <c r="G2581" t="s">
        <v>3726</v>
      </c>
      <c r="H2581" t="s">
        <v>40</v>
      </c>
      <c r="I2581" t="s">
        <v>26</v>
      </c>
      <c r="J2581" t="s">
        <v>600</v>
      </c>
      <c r="K2581" t="s">
        <v>242</v>
      </c>
      <c r="L2581">
        <v>19711</v>
      </c>
      <c r="M2581" t="s">
        <v>145</v>
      </c>
      <c r="N2581" t="s">
        <v>5963</v>
      </c>
      <c r="O2581" t="s">
        <v>45</v>
      </c>
      <c r="P2581" t="s">
        <v>58</v>
      </c>
      <c r="Q2581" t="s">
        <v>5964</v>
      </c>
      <c r="R2581">
        <v>465.18</v>
      </c>
      <c r="S2581">
        <v>3</v>
      </c>
      <c r="T2581">
        <v>0</v>
      </c>
      <c r="U2581">
        <v>120.9468</v>
      </c>
      <c r="V2581" t="str">
        <f t="shared" si="40"/>
        <v>Yana Sorensen</v>
      </c>
      <c r="W2581">
        <f>Table2[Profit]/Table2[Sales]</f>
        <v>0.26</v>
      </c>
    </row>
    <row r="2582" spans="1:23" x14ac:dyDescent="0.25">
      <c r="A2582">
        <v>2581</v>
      </c>
      <c r="B2582" t="s">
        <v>7864</v>
      </c>
      <c r="C2582" s="1">
        <v>42136</v>
      </c>
      <c r="D2582" s="1">
        <v>42140</v>
      </c>
      <c r="E2582" t="s">
        <v>22</v>
      </c>
      <c r="F2582" t="s">
        <v>5378</v>
      </c>
      <c r="G2582" t="s">
        <v>5379</v>
      </c>
      <c r="H2582" t="s">
        <v>25</v>
      </c>
      <c r="I2582" t="s">
        <v>26</v>
      </c>
      <c r="J2582" t="s">
        <v>263</v>
      </c>
      <c r="K2582" t="s">
        <v>264</v>
      </c>
      <c r="L2582">
        <v>10024</v>
      </c>
      <c r="M2582" t="s">
        <v>145</v>
      </c>
      <c r="N2582" t="s">
        <v>2939</v>
      </c>
      <c r="O2582" t="s">
        <v>45</v>
      </c>
      <c r="P2582" t="s">
        <v>58</v>
      </c>
      <c r="Q2582" t="s">
        <v>2940</v>
      </c>
      <c r="R2582">
        <v>36.630000000000003</v>
      </c>
      <c r="S2582">
        <v>3</v>
      </c>
      <c r="T2582">
        <v>0</v>
      </c>
      <c r="U2582">
        <v>9.8901000000000003</v>
      </c>
      <c r="V2582" t="str">
        <f t="shared" si="40"/>
        <v>Annie Zypern</v>
      </c>
      <c r="W2582">
        <f>Table2[Profit]/Table2[Sales]</f>
        <v>0.27</v>
      </c>
    </row>
    <row r="2583" spans="1:23" x14ac:dyDescent="0.25">
      <c r="A2583">
        <v>2582</v>
      </c>
      <c r="B2583" t="s">
        <v>7865</v>
      </c>
      <c r="C2583" s="1">
        <v>42639</v>
      </c>
      <c r="D2583" s="1">
        <v>42639</v>
      </c>
      <c r="E2583" t="s">
        <v>1278</v>
      </c>
      <c r="F2583" t="s">
        <v>2624</v>
      </c>
      <c r="G2583" t="s">
        <v>2625</v>
      </c>
      <c r="H2583" t="s">
        <v>25</v>
      </c>
      <c r="I2583" t="s">
        <v>26</v>
      </c>
      <c r="J2583" t="s">
        <v>768</v>
      </c>
      <c r="K2583" t="s">
        <v>42</v>
      </c>
      <c r="L2583">
        <v>92374</v>
      </c>
      <c r="M2583" t="s">
        <v>43</v>
      </c>
      <c r="N2583" t="s">
        <v>1741</v>
      </c>
      <c r="O2583" t="s">
        <v>45</v>
      </c>
      <c r="P2583" t="s">
        <v>58</v>
      </c>
      <c r="Q2583" t="s">
        <v>1742</v>
      </c>
      <c r="R2583">
        <v>51.45</v>
      </c>
      <c r="S2583">
        <v>3</v>
      </c>
      <c r="T2583">
        <v>0</v>
      </c>
      <c r="U2583">
        <v>13.891500000000001</v>
      </c>
      <c r="V2583" t="str">
        <f t="shared" si="40"/>
        <v>Chuck Magee</v>
      </c>
      <c r="W2583">
        <f>Table2[Profit]/Table2[Sales]</f>
        <v>0.27</v>
      </c>
    </row>
    <row r="2584" spans="1:23" x14ac:dyDescent="0.25">
      <c r="A2584">
        <v>2583</v>
      </c>
      <c r="B2584" t="s">
        <v>7866</v>
      </c>
      <c r="C2584" s="1">
        <v>42987</v>
      </c>
      <c r="D2584" s="1">
        <v>42993</v>
      </c>
      <c r="E2584" t="s">
        <v>49</v>
      </c>
      <c r="F2584" t="s">
        <v>6082</v>
      </c>
      <c r="G2584" t="s">
        <v>6083</v>
      </c>
      <c r="H2584" t="s">
        <v>25</v>
      </c>
      <c r="I2584" t="s">
        <v>26</v>
      </c>
      <c r="J2584" t="s">
        <v>560</v>
      </c>
      <c r="K2584" t="s">
        <v>235</v>
      </c>
      <c r="L2584">
        <v>48066</v>
      </c>
      <c r="M2584" t="s">
        <v>104</v>
      </c>
      <c r="N2584" t="s">
        <v>2914</v>
      </c>
      <c r="O2584" t="s">
        <v>45</v>
      </c>
      <c r="P2584" t="s">
        <v>170</v>
      </c>
      <c r="Q2584" t="s">
        <v>2915</v>
      </c>
      <c r="R2584">
        <v>17.48</v>
      </c>
      <c r="S2584">
        <v>2</v>
      </c>
      <c r="T2584">
        <v>0</v>
      </c>
      <c r="U2584">
        <v>8.2156000000000002</v>
      </c>
      <c r="V2584" t="str">
        <f t="shared" si="40"/>
        <v>Joy Bell-</v>
      </c>
      <c r="W2584">
        <f>Table2[Profit]/Table2[Sales]</f>
        <v>0.47000000000000003</v>
      </c>
    </row>
    <row r="2585" spans="1:23" x14ac:dyDescent="0.25">
      <c r="A2585">
        <v>2584</v>
      </c>
      <c r="B2585" t="s">
        <v>7867</v>
      </c>
      <c r="C2585" s="1">
        <v>42840</v>
      </c>
      <c r="D2585" s="1">
        <v>42842</v>
      </c>
      <c r="E2585" t="s">
        <v>22</v>
      </c>
      <c r="F2585" t="s">
        <v>3044</v>
      </c>
      <c r="G2585" t="s">
        <v>3045</v>
      </c>
      <c r="H2585" t="s">
        <v>40</v>
      </c>
      <c r="I2585" t="s">
        <v>26</v>
      </c>
      <c r="J2585" t="s">
        <v>41</v>
      </c>
      <c r="K2585" t="s">
        <v>42</v>
      </c>
      <c r="L2585">
        <v>90049</v>
      </c>
      <c r="M2585" t="s">
        <v>43</v>
      </c>
      <c r="N2585" t="s">
        <v>625</v>
      </c>
      <c r="O2585" t="s">
        <v>45</v>
      </c>
      <c r="P2585" t="s">
        <v>89</v>
      </c>
      <c r="Q2585" t="s">
        <v>626</v>
      </c>
      <c r="R2585">
        <v>79.14</v>
      </c>
      <c r="S2585">
        <v>3</v>
      </c>
      <c r="T2585">
        <v>0</v>
      </c>
      <c r="U2585">
        <v>36.404400000000003</v>
      </c>
      <c r="V2585" t="str">
        <f t="shared" si="40"/>
        <v>Noel Staavos</v>
      </c>
      <c r="W2585">
        <f>Table2[Profit]/Table2[Sales]</f>
        <v>0.46</v>
      </c>
    </row>
    <row r="2586" spans="1:23" x14ac:dyDescent="0.25">
      <c r="A2586">
        <v>2585</v>
      </c>
      <c r="B2586" t="s">
        <v>7868</v>
      </c>
      <c r="C2586" s="1">
        <v>42896</v>
      </c>
      <c r="D2586" s="1">
        <v>42900</v>
      </c>
      <c r="E2586" t="s">
        <v>49</v>
      </c>
      <c r="F2586" t="s">
        <v>205</v>
      </c>
      <c r="G2586" t="s">
        <v>206</v>
      </c>
      <c r="H2586" t="s">
        <v>40</v>
      </c>
      <c r="I2586" t="s">
        <v>26</v>
      </c>
      <c r="J2586" t="s">
        <v>263</v>
      </c>
      <c r="K2586" t="s">
        <v>264</v>
      </c>
      <c r="L2586">
        <v>10011</v>
      </c>
      <c r="M2586" t="s">
        <v>145</v>
      </c>
      <c r="N2586" t="s">
        <v>280</v>
      </c>
      <c r="O2586" t="s">
        <v>45</v>
      </c>
      <c r="P2586" t="s">
        <v>67</v>
      </c>
      <c r="Q2586" t="s">
        <v>281</v>
      </c>
      <c r="R2586">
        <v>8.4</v>
      </c>
      <c r="S2586">
        <v>5</v>
      </c>
      <c r="T2586">
        <v>0</v>
      </c>
      <c r="U2586">
        <v>4.2</v>
      </c>
      <c r="V2586" t="str">
        <f t="shared" si="40"/>
        <v>Linda Cazamias</v>
      </c>
      <c r="W2586">
        <f>Table2[Profit]/Table2[Sales]</f>
        <v>0.5</v>
      </c>
    </row>
    <row r="2587" spans="1:23" x14ac:dyDescent="0.25">
      <c r="A2587">
        <v>2586</v>
      </c>
      <c r="B2587" t="s">
        <v>7869</v>
      </c>
      <c r="C2587" s="1">
        <v>42979</v>
      </c>
      <c r="D2587" s="1">
        <v>42979</v>
      </c>
      <c r="E2587" t="s">
        <v>1278</v>
      </c>
      <c r="F2587" t="s">
        <v>1880</v>
      </c>
      <c r="G2587" t="s">
        <v>1881</v>
      </c>
      <c r="H2587" t="s">
        <v>25</v>
      </c>
      <c r="I2587" t="s">
        <v>26</v>
      </c>
      <c r="J2587" t="s">
        <v>873</v>
      </c>
      <c r="K2587" t="s">
        <v>235</v>
      </c>
      <c r="L2587">
        <v>48205</v>
      </c>
      <c r="M2587" t="s">
        <v>104</v>
      </c>
      <c r="N2587" t="s">
        <v>6007</v>
      </c>
      <c r="O2587" t="s">
        <v>31</v>
      </c>
      <c r="P2587" t="s">
        <v>35</v>
      </c>
      <c r="Q2587" t="s">
        <v>6008</v>
      </c>
      <c r="R2587">
        <v>498.26</v>
      </c>
      <c r="S2587">
        <v>7</v>
      </c>
      <c r="T2587">
        <v>0</v>
      </c>
      <c r="U2587">
        <v>134.53020000000001</v>
      </c>
      <c r="V2587" t="str">
        <f t="shared" si="40"/>
        <v>Cynthia Arntzen</v>
      </c>
      <c r="W2587">
        <f>Table2[Profit]/Table2[Sales]</f>
        <v>0.27</v>
      </c>
    </row>
    <row r="2588" spans="1:23" x14ac:dyDescent="0.25">
      <c r="A2588">
        <v>2587</v>
      </c>
      <c r="B2588" t="s">
        <v>7870</v>
      </c>
      <c r="C2588" s="1">
        <v>41804</v>
      </c>
      <c r="D2588" s="1">
        <v>41810</v>
      </c>
      <c r="E2588" t="s">
        <v>49</v>
      </c>
      <c r="F2588" t="s">
        <v>6073</v>
      </c>
      <c r="G2588" t="s">
        <v>6074</v>
      </c>
      <c r="H2588" t="s">
        <v>101</v>
      </c>
      <c r="I2588" t="s">
        <v>26</v>
      </c>
      <c r="J2588" t="s">
        <v>873</v>
      </c>
      <c r="K2588" t="s">
        <v>235</v>
      </c>
      <c r="L2588">
        <v>48234</v>
      </c>
      <c r="M2588" t="s">
        <v>104</v>
      </c>
      <c r="N2588" t="s">
        <v>7036</v>
      </c>
      <c r="O2588" t="s">
        <v>31</v>
      </c>
      <c r="P2588" t="s">
        <v>32</v>
      </c>
      <c r="Q2588" t="s">
        <v>7037</v>
      </c>
      <c r="R2588">
        <v>212.94</v>
      </c>
      <c r="S2588">
        <v>3</v>
      </c>
      <c r="T2588">
        <v>0</v>
      </c>
      <c r="U2588">
        <v>57.4938</v>
      </c>
      <c r="V2588" t="str">
        <f t="shared" si="40"/>
        <v>Sharelle Roach</v>
      </c>
      <c r="W2588">
        <f>Table2[Profit]/Table2[Sales]</f>
        <v>0.27</v>
      </c>
    </row>
    <row r="2589" spans="1:23" x14ac:dyDescent="0.25">
      <c r="A2589">
        <v>2588</v>
      </c>
      <c r="B2589" t="s">
        <v>7871</v>
      </c>
      <c r="C2589" s="1">
        <v>42873</v>
      </c>
      <c r="D2589" s="1">
        <v>42877</v>
      </c>
      <c r="E2589" t="s">
        <v>22</v>
      </c>
      <c r="F2589" t="s">
        <v>3714</v>
      </c>
      <c r="G2589" t="s">
        <v>3715</v>
      </c>
      <c r="H2589" t="s">
        <v>101</v>
      </c>
      <c r="I2589" t="s">
        <v>26</v>
      </c>
      <c r="J2589" t="s">
        <v>311</v>
      </c>
      <c r="K2589" t="s">
        <v>590</v>
      </c>
      <c r="L2589">
        <v>65807</v>
      </c>
      <c r="M2589" t="s">
        <v>104</v>
      </c>
      <c r="N2589" t="s">
        <v>7872</v>
      </c>
      <c r="O2589" t="s">
        <v>45</v>
      </c>
      <c r="P2589" t="s">
        <v>77</v>
      </c>
      <c r="Q2589" t="s">
        <v>7873</v>
      </c>
      <c r="R2589">
        <v>706.86</v>
      </c>
      <c r="S2589">
        <v>7</v>
      </c>
      <c r="T2589">
        <v>0</v>
      </c>
      <c r="U2589">
        <v>197.92080000000001</v>
      </c>
      <c r="V2589" t="str">
        <f t="shared" si="40"/>
        <v>Paul Prost</v>
      </c>
      <c r="W2589">
        <f>Table2[Profit]/Table2[Sales]</f>
        <v>0.28000000000000003</v>
      </c>
    </row>
    <row r="2590" spans="1:23" x14ac:dyDescent="0.25">
      <c r="A2590">
        <v>2589</v>
      </c>
      <c r="B2590" t="s">
        <v>7874</v>
      </c>
      <c r="C2590" s="1">
        <v>42990</v>
      </c>
      <c r="D2590" s="1">
        <v>42995</v>
      </c>
      <c r="E2590" t="s">
        <v>22</v>
      </c>
      <c r="F2590" t="s">
        <v>5454</v>
      </c>
      <c r="G2590" t="s">
        <v>5455</v>
      </c>
      <c r="H2590" t="s">
        <v>25</v>
      </c>
      <c r="I2590" t="s">
        <v>26</v>
      </c>
      <c r="J2590" t="s">
        <v>41</v>
      </c>
      <c r="K2590" t="s">
        <v>42</v>
      </c>
      <c r="L2590">
        <v>90036</v>
      </c>
      <c r="M2590" t="s">
        <v>43</v>
      </c>
      <c r="N2590" t="s">
        <v>1600</v>
      </c>
      <c r="O2590" t="s">
        <v>45</v>
      </c>
      <c r="P2590" t="s">
        <v>89</v>
      </c>
      <c r="Q2590" t="s">
        <v>1601</v>
      </c>
      <c r="R2590">
        <v>166.44</v>
      </c>
      <c r="S2590">
        <v>3</v>
      </c>
      <c r="T2590">
        <v>0</v>
      </c>
      <c r="U2590">
        <v>79.891199999999998</v>
      </c>
      <c r="V2590" t="str">
        <f t="shared" si="40"/>
        <v>John Murray</v>
      </c>
      <c r="W2590">
        <f>Table2[Profit]/Table2[Sales]</f>
        <v>0.48</v>
      </c>
    </row>
    <row r="2591" spans="1:23" x14ac:dyDescent="0.25">
      <c r="A2591">
        <v>2590</v>
      </c>
      <c r="B2591" t="s">
        <v>7875</v>
      </c>
      <c r="C2591" s="1">
        <v>42542</v>
      </c>
      <c r="D2591" s="1">
        <v>42547</v>
      </c>
      <c r="E2591" t="s">
        <v>49</v>
      </c>
      <c r="F2591" t="s">
        <v>4610</v>
      </c>
      <c r="G2591" t="s">
        <v>4611</v>
      </c>
      <c r="H2591" t="s">
        <v>25</v>
      </c>
      <c r="I2591" t="s">
        <v>26</v>
      </c>
      <c r="J2591" t="s">
        <v>263</v>
      </c>
      <c r="K2591" t="s">
        <v>264</v>
      </c>
      <c r="L2591">
        <v>10011</v>
      </c>
      <c r="M2591" t="s">
        <v>145</v>
      </c>
      <c r="N2591" t="s">
        <v>5275</v>
      </c>
      <c r="O2591" t="s">
        <v>45</v>
      </c>
      <c r="P2591" t="s">
        <v>74</v>
      </c>
      <c r="Q2591" t="s">
        <v>5276</v>
      </c>
      <c r="R2591">
        <v>36.56</v>
      </c>
      <c r="S2591">
        <v>5</v>
      </c>
      <c r="T2591">
        <v>0.2</v>
      </c>
      <c r="U2591">
        <v>12.795999999999999</v>
      </c>
      <c r="V2591" t="str">
        <f t="shared" si="40"/>
        <v>Adam Shillingsburg</v>
      </c>
      <c r="W2591">
        <f>Table2[Profit]/Table2[Sales]</f>
        <v>0.35</v>
      </c>
    </row>
    <row r="2592" spans="1:23" x14ac:dyDescent="0.25">
      <c r="A2592">
        <v>2591</v>
      </c>
      <c r="B2592" t="s">
        <v>7876</v>
      </c>
      <c r="C2592" s="1">
        <v>41969</v>
      </c>
      <c r="D2592" s="1">
        <v>41974</v>
      </c>
      <c r="E2592" t="s">
        <v>49</v>
      </c>
      <c r="F2592" t="s">
        <v>543</v>
      </c>
      <c r="G2592" t="s">
        <v>544</v>
      </c>
      <c r="H2592" t="s">
        <v>101</v>
      </c>
      <c r="I2592" t="s">
        <v>26</v>
      </c>
      <c r="J2592" t="s">
        <v>126</v>
      </c>
      <c r="K2592" t="s">
        <v>42</v>
      </c>
      <c r="L2592">
        <v>94109</v>
      </c>
      <c r="M2592" t="s">
        <v>43</v>
      </c>
      <c r="N2592" t="s">
        <v>6383</v>
      </c>
      <c r="O2592" t="s">
        <v>45</v>
      </c>
      <c r="P2592" t="s">
        <v>89</v>
      </c>
      <c r="Q2592" t="s">
        <v>6384</v>
      </c>
      <c r="R2592">
        <v>81.98</v>
      </c>
      <c r="S2592">
        <v>2</v>
      </c>
      <c r="T2592">
        <v>0</v>
      </c>
      <c r="U2592">
        <v>40.170200000000001</v>
      </c>
      <c r="V2592" t="str">
        <f t="shared" si="40"/>
        <v>Lindsay Shagiari</v>
      </c>
      <c r="W2592">
        <f>Table2[Profit]/Table2[Sales]</f>
        <v>0.49</v>
      </c>
    </row>
    <row r="2593" spans="1:23" x14ac:dyDescent="0.25">
      <c r="A2593">
        <v>2592</v>
      </c>
      <c r="B2593" t="s">
        <v>7877</v>
      </c>
      <c r="C2593" s="1">
        <v>42813</v>
      </c>
      <c r="D2593" s="1">
        <v>42816</v>
      </c>
      <c r="E2593" t="s">
        <v>22</v>
      </c>
      <c r="F2593" t="s">
        <v>1650</v>
      </c>
      <c r="G2593" t="s">
        <v>1651</v>
      </c>
      <c r="H2593" t="s">
        <v>25</v>
      </c>
      <c r="I2593" t="s">
        <v>26</v>
      </c>
      <c r="J2593" t="s">
        <v>3419</v>
      </c>
      <c r="K2593" t="s">
        <v>42</v>
      </c>
      <c r="L2593">
        <v>93727</v>
      </c>
      <c r="M2593" t="s">
        <v>43</v>
      </c>
      <c r="N2593" t="s">
        <v>5275</v>
      </c>
      <c r="O2593" t="s">
        <v>45</v>
      </c>
      <c r="P2593" t="s">
        <v>74</v>
      </c>
      <c r="Q2593" t="s">
        <v>5276</v>
      </c>
      <c r="R2593">
        <v>14.624000000000001</v>
      </c>
      <c r="S2593">
        <v>2</v>
      </c>
      <c r="T2593">
        <v>0.2</v>
      </c>
      <c r="U2593">
        <v>5.1184000000000003</v>
      </c>
      <c r="V2593" t="str">
        <f t="shared" si="40"/>
        <v>Sue Ann Reed</v>
      </c>
      <c r="W2593">
        <f>Table2[Profit]/Table2[Sales]</f>
        <v>0.35000000000000003</v>
      </c>
    </row>
    <row r="2594" spans="1:23" x14ac:dyDescent="0.25">
      <c r="A2594">
        <v>2593</v>
      </c>
      <c r="B2594" t="s">
        <v>7878</v>
      </c>
      <c r="C2594" s="1">
        <v>41930</v>
      </c>
      <c r="D2594" s="1">
        <v>41934</v>
      </c>
      <c r="E2594" t="s">
        <v>49</v>
      </c>
      <c r="F2594" t="s">
        <v>5468</v>
      </c>
      <c r="G2594" t="s">
        <v>5469</v>
      </c>
      <c r="H2594" t="s">
        <v>40</v>
      </c>
      <c r="I2594" t="s">
        <v>26</v>
      </c>
      <c r="J2594" t="s">
        <v>6878</v>
      </c>
      <c r="K2594" t="s">
        <v>1683</v>
      </c>
      <c r="L2594">
        <v>71854</v>
      </c>
      <c r="M2594" t="s">
        <v>29</v>
      </c>
      <c r="N2594" t="s">
        <v>7752</v>
      </c>
      <c r="O2594" t="s">
        <v>31</v>
      </c>
      <c r="P2594" t="s">
        <v>35</v>
      </c>
      <c r="Q2594" t="s">
        <v>7753</v>
      </c>
      <c r="R2594">
        <v>605.34</v>
      </c>
      <c r="S2594">
        <v>6</v>
      </c>
      <c r="T2594">
        <v>0</v>
      </c>
      <c r="U2594">
        <v>145.2816</v>
      </c>
      <c r="V2594" t="str">
        <f t="shared" si="40"/>
        <v>Luke Schmidt</v>
      </c>
      <c r="W2594">
        <f>Table2[Profit]/Table2[Sales]</f>
        <v>0.24</v>
      </c>
    </row>
    <row r="2595" spans="1:23" x14ac:dyDescent="0.25">
      <c r="A2595">
        <v>2594</v>
      </c>
      <c r="B2595" t="s">
        <v>7879</v>
      </c>
      <c r="C2595" s="1">
        <v>42969</v>
      </c>
      <c r="D2595" s="1">
        <v>42970</v>
      </c>
      <c r="E2595" t="s">
        <v>185</v>
      </c>
      <c r="F2595" t="s">
        <v>7401</v>
      </c>
      <c r="G2595" t="s">
        <v>7402</v>
      </c>
      <c r="H2595" t="s">
        <v>25</v>
      </c>
      <c r="I2595" t="s">
        <v>26</v>
      </c>
      <c r="J2595" t="s">
        <v>126</v>
      </c>
      <c r="K2595" t="s">
        <v>42</v>
      </c>
      <c r="L2595">
        <v>94110</v>
      </c>
      <c r="M2595" t="s">
        <v>43</v>
      </c>
      <c r="N2595" t="s">
        <v>503</v>
      </c>
      <c r="O2595" t="s">
        <v>31</v>
      </c>
      <c r="P2595" t="s">
        <v>55</v>
      </c>
      <c r="Q2595" t="s">
        <v>504</v>
      </c>
      <c r="R2595">
        <v>210.00800000000001</v>
      </c>
      <c r="S2595">
        <v>1</v>
      </c>
      <c r="T2595">
        <v>0.2</v>
      </c>
      <c r="U2595">
        <v>2.6251000000000002</v>
      </c>
      <c r="V2595" t="str">
        <f t="shared" si="40"/>
        <v>Tony Molinari</v>
      </c>
      <c r="W2595">
        <f>Table2[Profit]/Table2[Sales]</f>
        <v>1.2500000000000001E-2</v>
      </c>
    </row>
    <row r="2596" spans="1:23" x14ac:dyDescent="0.25">
      <c r="A2596">
        <v>2595</v>
      </c>
      <c r="B2596" t="s">
        <v>7880</v>
      </c>
      <c r="C2596" s="1">
        <v>42693</v>
      </c>
      <c r="D2596" s="1">
        <v>42696</v>
      </c>
      <c r="E2596" t="s">
        <v>185</v>
      </c>
      <c r="F2596" t="s">
        <v>5636</v>
      </c>
      <c r="G2596" t="s">
        <v>5637</v>
      </c>
      <c r="H2596" t="s">
        <v>40</v>
      </c>
      <c r="I2596" t="s">
        <v>26</v>
      </c>
      <c r="J2596" t="s">
        <v>4288</v>
      </c>
      <c r="K2596" t="s">
        <v>251</v>
      </c>
      <c r="L2596">
        <v>46203</v>
      </c>
      <c r="M2596" t="s">
        <v>104</v>
      </c>
      <c r="N2596" t="s">
        <v>6573</v>
      </c>
      <c r="O2596" t="s">
        <v>45</v>
      </c>
      <c r="P2596" t="s">
        <v>77</v>
      </c>
      <c r="Q2596" t="s">
        <v>6574</v>
      </c>
      <c r="R2596">
        <v>54.96</v>
      </c>
      <c r="S2596">
        <v>3</v>
      </c>
      <c r="T2596">
        <v>0</v>
      </c>
      <c r="U2596">
        <v>15.9384</v>
      </c>
      <c r="V2596" t="str">
        <f t="shared" si="40"/>
        <v>Tim Taslimi</v>
      </c>
      <c r="W2596">
        <f>Table2[Profit]/Table2[Sales]</f>
        <v>0.28999999999999998</v>
      </c>
    </row>
    <row r="2597" spans="1:23" x14ac:dyDescent="0.25">
      <c r="A2597">
        <v>2596</v>
      </c>
      <c r="B2597" t="s">
        <v>7881</v>
      </c>
      <c r="C2597" s="1">
        <v>41902</v>
      </c>
      <c r="D2597" s="1">
        <v>41906</v>
      </c>
      <c r="E2597" t="s">
        <v>49</v>
      </c>
      <c r="F2597" t="s">
        <v>357</v>
      </c>
      <c r="G2597" t="s">
        <v>358</v>
      </c>
      <c r="H2597" t="s">
        <v>25</v>
      </c>
      <c r="I2597" t="s">
        <v>26</v>
      </c>
      <c r="J2597" t="s">
        <v>375</v>
      </c>
      <c r="K2597" t="s">
        <v>2699</v>
      </c>
      <c r="L2597">
        <v>21044</v>
      </c>
      <c r="M2597" t="s">
        <v>145</v>
      </c>
      <c r="N2597" t="s">
        <v>3287</v>
      </c>
      <c r="O2597" t="s">
        <v>31</v>
      </c>
      <c r="P2597" t="s">
        <v>64</v>
      </c>
      <c r="Q2597" t="s">
        <v>3288</v>
      </c>
      <c r="R2597">
        <v>164.22</v>
      </c>
      <c r="S2597">
        <v>3</v>
      </c>
      <c r="T2597">
        <v>0</v>
      </c>
      <c r="U2597">
        <v>50.908200000000001</v>
      </c>
      <c r="V2597" t="str">
        <f t="shared" si="40"/>
        <v>Duane Noonan</v>
      </c>
      <c r="W2597">
        <f>Table2[Profit]/Table2[Sales]</f>
        <v>0.31</v>
      </c>
    </row>
    <row r="2598" spans="1:23" x14ac:dyDescent="0.25">
      <c r="A2598">
        <v>2597</v>
      </c>
      <c r="B2598" t="s">
        <v>7882</v>
      </c>
      <c r="C2598" s="1">
        <v>42624</v>
      </c>
      <c r="D2598" s="1">
        <v>42630</v>
      </c>
      <c r="E2598" t="s">
        <v>49</v>
      </c>
      <c r="F2598" t="s">
        <v>6186</v>
      </c>
      <c r="G2598" t="s">
        <v>6187</v>
      </c>
      <c r="H2598" t="s">
        <v>25</v>
      </c>
      <c r="I2598" t="s">
        <v>26</v>
      </c>
      <c r="J2598" t="s">
        <v>622</v>
      </c>
      <c r="K2598" t="s">
        <v>42</v>
      </c>
      <c r="L2598">
        <v>95123</v>
      </c>
      <c r="M2598" t="s">
        <v>43</v>
      </c>
      <c r="N2598" t="s">
        <v>114</v>
      </c>
      <c r="O2598" t="s">
        <v>45</v>
      </c>
      <c r="P2598" t="s">
        <v>58</v>
      </c>
      <c r="Q2598" t="s">
        <v>115</v>
      </c>
      <c r="R2598">
        <v>332.94</v>
      </c>
      <c r="S2598">
        <v>3</v>
      </c>
      <c r="T2598">
        <v>0</v>
      </c>
      <c r="U2598">
        <v>6.6588000000000003</v>
      </c>
      <c r="V2598" t="str">
        <f t="shared" si="40"/>
        <v>Eugene Barchas</v>
      </c>
      <c r="W2598">
        <f>Table2[Profit]/Table2[Sales]</f>
        <v>0.02</v>
      </c>
    </row>
    <row r="2599" spans="1:23" x14ac:dyDescent="0.25">
      <c r="A2599">
        <v>2598</v>
      </c>
      <c r="B2599" t="s">
        <v>7883</v>
      </c>
      <c r="C2599" s="1">
        <v>42636</v>
      </c>
      <c r="D2599" s="1">
        <v>42639</v>
      </c>
      <c r="E2599" t="s">
        <v>22</v>
      </c>
      <c r="F2599" t="s">
        <v>6329</v>
      </c>
      <c r="G2599" t="s">
        <v>6330</v>
      </c>
      <c r="H2599" t="s">
        <v>40</v>
      </c>
      <c r="I2599" t="s">
        <v>26</v>
      </c>
      <c r="J2599" t="s">
        <v>94</v>
      </c>
      <c r="K2599" t="s">
        <v>95</v>
      </c>
      <c r="L2599">
        <v>98115</v>
      </c>
      <c r="M2599" t="s">
        <v>43</v>
      </c>
      <c r="N2599" t="s">
        <v>7884</v>
      </c>
      <c r="O2599" t="s">
        <v>45</v>
      </c>
      <c r="P2599" t="s">
        <v>572</v>
      </c>
      <c r="Q2599" t="s">
        <v>7885</v>
      </c>
      <c r="R2599">
        <v>13.68</v>
      </c>
      <c r="S2599">
        <v>2</v>
      </c>
      <c r="T2599">
        <v>0</v>
      </c>
      <c r="U2599">
        <v>3.6936</v>
      </c>
      <c r="V2599" t="str">
        <f t="shared" si="40"/>
        <v>Candace McMahon</v>
      </c>
      <c r="W2599">
        <f>Table2[Profit]/Table2[Sales]</f>
        <v>0.27</v>
      </c>
    </row>
    <row r="2600" spans="1:23" x14ac:dyDescent="0.25">
      <c r="A2600">
        <v>2599</v>
      </c>
      <c r="B2600" t="s">
        <v>7886</v>
      </c>
      <c r="C2600" s="1">
        <v>42951</v>
      </c>
      <c r="D2600" s="1">
        <v>42955</v>
      </c>
      <c r="E2600" t="s">
        <v>49</v>
      </c>
      <c r="F2600" t="s">
        <v>3673</v>
      </c>
      <c r="G2600" t="s">
        <v>3674</v>
      </c>
      <c r="H2600" t="s">
        <v>40</v>
      </c>
      <c r="I2600" t="s">
        <v>26</v>
      </c>
      <c r="J2600" t="s">
        <v>4128</v>
      </c>
      <c r="K2600" t="s">
        <v>103</v>
      </c>
      <c r="L2600">
        <v>75007</v>
      </c>
      <c r="M2600" t="s">
        <v>104</v>
      </c>
      <c r="N2600" t="s">
        <v>2124</v>
      </c>
      <c r="O2600" t="s">
        <v>45</v>
      </c>
      <c r="P2600" t="s">
        <v>74</v>
      </c>
      <c r="Q2600" t="s">
        <v>2125</v>
      </c>
      <c r="R2600">
        <v>3.3180000000000001</v>
      </c>
      <c r="S2600">
        <v>3</v>
      </c>
      <c r="T2600">
        <v>0.8</v>
      </c>
      <c r="U2600">
        <v>-5.6406000000000001</v>
      </c>
      <c r="V2600" t="str">
        <f t="shared" si="40"/>
        <v>Harry Marie</v>
      </c>
      <c r="W2600">
        <f>Table2[Profit]/Table2[Sales]</f>
        <v>-1.7</v>
      </c>
    </row>
    <row r="2601" spans="1:23" x14ac:dyDescent="0.25">
      <c r="A2601">
        <v>2600</v>
      </c>
      <c r="B2601" t="s">
        <v>7887</v>
      </c>
      <c r="C2601" s="1">
        <v>42576</v>
      </c>
      <c r="D2601" s="1">
        <v>42577</v>
      </c>
      <c r="E2601" t="s">
        <v>185</v>
      </c>
      <c r="F2601" t="s">
        <v>3738</v>
      </c>
      <c r="G2601" t="s">
        <v>3739</v>
      </c>
      <c r="H2601" t="s">
        <v>101</v>
      </c>
      <c r="I2601" t="s">
        <v>26</v>
      </c>
      <c r="J2601" t="s">
        <v>1119</v>
      </c>
      <c r="K2601" t="s">
        <v>312</v>
      </c>
      <c r="L2601">
        <v>22204</v>
      </c>
      <c r="M2601" t="s">
        <v>29</v>
      </c>
      <c r="N2601" t="s">
        <v>3302</v>
      </c>
      <c r="O2601" t="s">
        <v>45</v>
      </c>
      <c r="P2601" t="s">
        <v>74</v>
      </c>
      <c r="Q2601" t="s">
        <v>3303</v>
      </c>
      <c r="R2601">
        <v>10.44</v>
      </c>
      <c r="S2601">
        <v>1</v>
      </c>
      <c r="T2601">
        <v>0</v>
      </c>
      <c r="U2601">
        <v>4.8023999999999996</v>
      </c>
      <c r="V2601" t="str">
        <f t="shared" si="40"/>
        <v>Katherine Murray</v>
      </c>
      <c r="W2601">
        <f>Table2[Profit]/Table2[Sales]</f>
        <v>0.45999999999999996</v>
      </c>
    </row>
    <row r="2602" spans="1:23" x14ac:dyDescent="0.25">
      <c r="A2602">
        <v>2601</v>
      </c>
      <c r="B2602" t="s">
        <v>7888</v>
      </c>
      <c r="C2602" s="1">
        <v>42584</v>
      </c>
      <c r="D2602" s="1">
        <v>42586</v>
      </c>
      <c r="E2602" t="s">
        <v>22</v>
      </c>
      <c r="F2602" t="s">
        <v>2378</v>
      </c>
      <c r="G2602" t="s">
        <v>2379</v>
      </c>
      <c r="H2602" t="s">
        <v>40</v>
      </c>
      <c r="I2602" t="s">
        <v>26</v>
      </c>
      <c r="J2602" t="s">
        <v>41</v>
      </c>
      <c r="K2602" t="s">
        <v>42</v>
      </c>
      <c r="L2602">
        <v>90032</v>
      </c>
      <c r="M2602" t="s">
        <v>43</v>
      </c>
      <c r="N2602" t="s">
        <v>7889</v>
      </c>
      <c r="O2602" t="s">
        <v>31</v>
      </c>
      <c r="P2602" t="s">
        <v>55</v>
      </c>
      <c r="Q2602" t="s">
        <v>7890</v>
      </c>
      <c r="R2602">
        <v>136.464</v>
      </c>
      <c r="S2602">
        <v>2</v>
      </c>
      <c r="T2602">
        <v>0.2</v>
      </c>
      <c r="U2602">
        <v>15.3522</v>
      </c>
      <c r="V2602" t="str">
        <f t="shared" si="40"/>
        <v>Barry Französisch</v>
      </c>
      <c r="W2602">
        <f>Table2[Profit]/Table2[Sales]</f>
        <v>0.1125</v>
      </c>
    </row>
    <row r="2603" spans="1:23" x14ac:dyDescent="0.25">
      <c r="A2603">
        <v>2602</v>
      </c>
      <c r="B2603" t="s">
        <v>7891</v>
      </c>
      <c r="C2603" s="1">
        <v>42145</v>
      </c>
      <c r="D2603" s="1">
        <v>42151</v>
      </c>
      <c r="E2603" t="s">
        <v>49</v>
      </c>
      <c r="F2603" t="s">
        <v>325</v>
      </c>
      <c r="G2603" t="s">
        <v>326</v>
      </c>
      <c r="H2603" t="s">
        <v>25</v>
      </c>
      <c r="I2603" t="s">
        <v>26</v>
      </c>
      <c r="J2603" t="s">
        <v>7892</v>
      </c>
      <c r="K2603" t="s">
        <v>208</v>
      </c>
      <c r="L2603">
        <v>60423</v>
      </c>
      <c r="M2603" t="s">
        <v>104</v>
      </c>
      <c r="N2603" t="s">
        <v>430</v>
      </c>
      <c r="O2603" t="s">
        <v>45</v>
      </c>
      <c r="P2603" t="s">
        <v>77</v>
      </c>
      <c r="Q2603" t="s">
        <v>431</v>
      </c>
      <c r="R2603">
        <v>20.768000000000001</v>
      </c>
      <c r="S2603">
        <v>8</v>
      </c>
      <c r="T2603">
        <v>0.8</v>
      </c>
      <c r="U2603">
        <v>-52.958399999999997</v>
      </c>
      <c r="V2603" t="str">
        <f t="shared" si="40"/>
        <v>Joel Eaton</v>
      </c>
      <c r="W2603">
        <f>Table2[Profit]/Table2[Sales]</f>
        <v>-2.5499999999999998</v>
      </c>
    </row>
    <row r="2604" spans="1:23" x14ac:dyDescent="0.25">
      <c r="A2604">
        <v>2603</v>
      </c>
      <c r="B2604" t="s">
        <v>7893</v>
      </c>
      <c r="C2604" s="1">
        <v>43042</v>
      </c>
      <c r="D2604" s="1">
        <v>43044</v>
      </c>
      <c r="E2604" t="s">
        <v>22</v>
      </c>
      <c r="F2604" t="s">
        <v>3411</v>
      </c>
      <c r="G2604" t="s">
        <v>3412</v>
      </c>
      <c r="H2604" t="s">
        <v>25</v>
      </c>
      <c r="I2604" t="s">
        <v>26</v>
      </c>
      <c r="J2604" t="s">
        <v>94</v>
      </c>
      <c r="K2604" t="s">
        <v>95</v>
      </c>
      <c r="L2604">
        <v>98105</v>
      </c>
      <c r="M2604" t="s">
        <v>43</v>
      </c>
      <c r="N2604" t="s">
        <v>734</v>
      </c>
      <c r="O2604" t="s">
        <v>70</v>
      </c>
      <c r="P2604" t="s">
        <v>158</v>
      </c>
      <c r="Q2604" t="s">
        <v>735</v>
      </c>
      <c r="R2604">
        <v>43.5</v>
      </c>
      <c r="S2604">
        <v>3</v>
      </c>
      <c r="T2604">
        <v>0</v>
      </c>
      <c r="U2604">
        <v>10.875</v>
      </c>
      <c r="V2604" t="str">
        <f t="shared" si="40"/>
        <v>Eva Jacobs</v>
      </c>
      <c r="W2604">
        <f>Table2[Profit]/Table2[Sales]</f>
        <v>0.25</v>
      </c>
    </row>
    <row r="2605" spans="1:23" x14ac:dyDescent="0.25">
      <c r="A2605">
        <v>2604</v>
      </c>
      <c r="B2605" t="s">
        <v>7894</v>
      </c>
      <c r="C2605" s="1">
        <v>42110</v>
      </c>
      <c r="D2605" s="1">
        <v>42115</v>
      </c>
      <c r="E2605" t="s">
        <v>49</v>
      </c>
      <c r="F2605" t="s">
        <v>2239</v>
      </c>
      <c r="G2605" t="s">
        <v>2240</v>
      </c>
      <c r="H2605" t="s">
        <v>40</v>
      </c>
      <c r="I2605" t="s">
        <v>26</v>
      </c>
      <c r="J2605" t="s">
        <v>143</v>
      </c>
      <c r="K2605" t="s">
        <v>144</v>
      </c>
      <c r="L2605">
        <v>19143</v>
      </c>
      <c r="M2605" t="s">
        <v>145</v>
      </c>
      <c r="N2605" t="s">
        <v>5315</v>
      </c>
      <c r="O2605" t="s">
        <v>45</v>
      </c>
      <c r="P2605" t="s">
        <v>266</v>
      </c>
      <c r="Q2605" t="s">
        <v>556</v>
      </c>
      <c r="R2605">
        <v>12.576000000000001</v>
      </c>
      <c r="S2605">
        <v>4</v>
      </c>
      <c r="T2605">
        <v>0.2</v>
      </c>
      <c r="U2605">
        <v>4.0872000000000002</v>
      </c>
      <c r="V2605" t="str">
        <f t="shared" si="40"/>
        <v>Brad Norvell</v>
      </c>
      <c r="W2605">
        <f>Table2[Profit]/Table2[Sales]</f>
        <v>0.32500000000000001</v>
      </c>
    </row>
    <row r="2606" spans="1:23" x14ac:dyDescent="0.25">
      <c r="A2606">
        <v>2605</v>
      </c>
      <c r="B2606" t="s">
        <v>7895</v>
      </c>
      <c r="C2606" s="1">
        <v>42716</v>
      </c>
      <c r="D2606" s="1">
        <v>42722</v>
      </c>
      <c r="E2606" t="s">
        <v>49</v>
      </c>
      <c r="F2606" t="s">
        <v>6170</v>
      </c>
      <c r="G2606" t="s">
        <v>6171</v>
      </c>
      <c r="H2606" t="s">
        <v>25</v>
      </c>
      <c r="I2606" t="s">
        <v>26</v>
      </c>
      <c r="J2606" t="s">
        <v>490</v>
      </c>
      <c r="K2606" t="s">
        <v>1260</v>
      </c>
      <c r="L2606">
        <v>31907</v>
      </c>
      <c r="M2606" t="s">
        <v>29</v>
      </c>
      <c r="N2606" t="s">
        <v>3684</v>
      </c>
      <c r="O2606" t="s">
        <v>70</v>
      </c>
      <c r="P2606" t="s">
        <v>158</v>
      </c>
      <c r="Q2606" t="s">
        <v>3685</v>
      </c>
      <c r="R2606">
        <v>249.95</v>
      </c>
      <c r="S2606">
        <v>5</v>
      </c>
      <c r="T2606">
        <v>0</v>
      </c>
      <c r="U2606">
        <v>19.995999999999999</v>
      </c>
      <c r="V2606" t="str">
        <f t="shared" si="40"/>
        <v>Erin Creighton</v>
      </c>
      <c r="W2606">
        <f>Table2[Profit]/Table2[Sales]</f>
        <v>0.08</v>
      </c>
    </row>
    <row r="2607" spans="1:23" x14ac:dyDescent="0.25">
      <c r="A2607">
        <v>2606</v>
      </c>
      <c r="B2607" t="s">
        <v>7896</v>
      </c>
      <c r="C2607" s="1">
        <v>42307</v>
      </c>
      <c r="D2607" s="1">
        <v>42310</v>
      </c>
      <c r="E2607" t="s">
        <v>185</v>
      </c>
      <c r="F2607" t="s">
        <v>5499</v>
      </c>
      <c r="G2607" t="s">
        <v>5500</v>
      </c>
      <c r="H2607" t="s">
        <v>25</v>
      </c>
      <c r="I2607" t="s">
        <v>26</v>
      </c>
      <c r="J2607" t="s">
        <v>2930</v>
      </c>
      <c r="K2607" t="s">
        <v>312</v>
      </c>
      <c r="L2607">
        <v>23464</v>
      </c>
      <c r="M2607" t="s">
        <v>29</v>
      </c>
      <c r="N2607" t="s">
        <v>5245</v>
      </c>
      <c r="O2607" t="s">
        <v>45</v>
      </c>
      <c r="P2607" t="s">
        <v>77</v>
      </c>
      <c r="Q2607" t="s">
        <v>5246</v>
      </c>
      <c r="R2607">
        <v>182.91</v>
      </c>
      <c r="S2607">
        <v>3</v>
      </c>
      <c r="T2607">
        <v>0</v>
      </c>
      <c r="U2607">
        <v>53.043900000000001</v>
      </c>
      <c r="V2607" t="str">
        <f t="shared" si="40"/>
        <v>Thomas Thornton</v>
      </c>
      <c r="W2607">
        <f>Table2[Profit]/Table2[Sales]</f>
        <v>0.29000000000000004</v>
      </c>
    </row>
    <row r="2608" spans="1:23" x14ac:dyDescent="0.25">
      <c r="A2608">
        <v>2607</v>
      </c>
      <c r="B2608" t="s">
        <v>7897</v>
      </c>
      <c r="C2608" s="1">
        <v>41705</v>
      </c>
      <c r="D2608" s="1">
        <v>41709</v>
      </c>
      <c r="E2608" t="s">
        <v>22</v>
      </c>
      <c r="F2608" t="s">
        <v>3875</v>
      </c>
      <c r="G2608" t="s">
        <v>3876</v>
      </c>
      <c r="H2608" t="s">
        <v>101</v>
      </c>
      <c r="I2608" t="s">
        <v>26</v>
      </c>
      <c r="J2608" t="s">
        <v>1366</v>
      </c>
      <c r="K2608" t="s">
        <v>95</v>
      </c>
      <c r="L2608">
        <v>98198</v>
      </c>
      <c r="M2608" t="s">
        <v>43</v>
      </c>
      <c r="N2608" t="s">
        <v>4213</v>
      </c>
      <c r="O2608" t="s">
        <v>45</v>
      </c>
      <c r="P2608" t="s">
        <v>74</v>
      </c>
      <c r="Q2608" t="s">
        <v>4214</v>
      </c>
      <c r="R2608">
        <v>107.648</v>
      </c>
      <c r="S2608">
        <v>2</v>
      </c>
      <c r="T2608">
        <v>0.2</v>
      </c>
      <c r="U2608">
        <v>33.64</v>
      </c>
      <c r="V2608" t="str">
        <f t="shared" si="40"/>
        <v>Nora Pelletier</v>
      </c>
      <c r="W2608">
        <f>Table2[Profit]/Table2[Sales]</f>
        <v>0.3125</v>
      </c>
    </row>
    <row r="2609" spans="1:23" x14ac:dyDescent="0.25">
      <c r="A2609">
        <v>2608</v>
      </c>
      <c r="B2609" t="s">
        <v>7898</v>
      </c>
      <c r="C2609" s="1">
        <v>42068</v>
      </c>
      <c r="D2609" s="1">
        <v>42070</v>
      </c>
      <c r="E2609" t="s">
        <v>22</v>
      </c>
      <c r="F2609" t="s">
        <v>1052</v>
      </c>
      <c r="G2609" t="s">
        <v>1053</v>
      </c>
      <c r="H2609" t="s">
        <v>40</v>
      </c>
      <c r="I2609" t="s">
        <v>26</v>
      </c>
      <c r="J2609" t="s">
        <v>7899</v>
      </c>
      <c r="K2609" t="s">
        <v>144</v>
      </c>
      <c r="L2609">
        <v>18018</v>
      </c>
      <c r="M2609" t="s">
        <v>145</v>
      </c>
      <c r="N2609" t="s">
        <v>1815</v>
      </c>
      <c r="O2609" t="s">
        <v>31</v>
      </c>
      <c r="P2609" t="s">
        <v>35</v>
      </c>
      <c r="Q2609" t="s">
        <v>1816</v>
      </c>
      <c r="R2609">
        <v>99.372</v>
      </c>
      <c r="S2609">
        <v>2</v>
      </c>
      <c r="T2609">
        <v>0.3</v>
      </c>
      <c r="U2609">
        <v>-7.0979999999999999</v>
      </c>
      <c r="V2609" t="str">
        <f t="shared" si="40"/>
        <v>Alan Haines</v>
      </c>
      <c r="W2609">
        <f>Table2[Profit]/Table2[Sales]</f>
        <v>-7.1428571428571425E-2</v>
      </c>
    </row>
    <row r="2610" spans="1:23" x14ac:dyDescent="0.25">
      <c r="A2610">
        <v>2609</v>
      </c>
      <c r="B2610" t="s">
        <v>7900</v>
      </c>
      <c r="C2610" s="1">
        <v>42590</v>
      </c>
      <c r="D2610" s="1">
        <v>42596</v>
      </c>
      <c r="E2610" t="s">
        <v>49</v>
      </c>
      <c r="F2610" t="s">
        <v>1929</v>
      </c>
      <c r="G2610" t="s">
        <v>1930</v>
      </c>
      <c r="H2610" t="s">
        <v>25</v>
      </c>
      <c r="I2610" t="s">
        <v>26</v>
      </c>
      <c r="J2610" t="s">
        <v>4745</v>
      </c>
      <c r="K2610" t="s">
        <v>641</v>
      </c>
      <c r="L2610">
        <v>73120</v>
      </c>
      <c r="M2610" t="s">
        <v>104</v>
      </c>
      <c r="N2610" t="s">
        <v>5873</v>
      </c>
      <c r="O2610" t="s">
        <v>45</v>
      </c>
      <c r="P2610" t="s">
        <v>89</v>
      </c>
      <c r="Q2610" t="s">
        <v>5874</v>
      </c>
      <c r="R2610">
        <v>10.56</v>
      </c>
      <c r="S2610">
        <v>2</v>
      </c>
      <c r="T2610">
        <v>0</v>
      </c>
      <c r="U2610">
        <v>4.7519999999999998</v>
      </c>
      <c r="V2610" t="str">
        <f t="shared" si="40"/>
        <v>Charles Crestani</v>
      </c>
      <c r="W2610">
        <f>Table2[Profit]/Table2[Sales]</f>
        <v>0.44999999999999996</v>
      </c>
    </row>
    <row r="2611" spans="1:23" x14ac:dyDescent="0.25">
      <c r="A2611">
        <v>2610</v>
      </c>
      <c r="B2611" t="s">
        <v>7901</v>
      </c>
      <c r="C2611" s="1">
        <v>42738</v>
      </c>
      <c r="D2611" s="1">
        <v>42743</v>
      </c>
      <c r="E2611" t="s">
        <v>49</v>
      </c>
      <c r="F2611" t="s">
        <v>945</v>
      </c>
      <c r="G2611" t="s">
        <v>946</v>
      </c>
      <c r="H2611" t="s">
        <v>25</v>
      </c>
      <c r="I2611" t="s">
        <v>26</v>
      </c>
      <c r="J2611" t="s">
        <v>4878</v>
      </c>
      <c r="K2611" t="s">
        <v>42</v>
      </c>
      <c r="L2611">
        <v>91730</v>
      </c>
      <c r="M2611" t="s">
        <v>43</v>
      </c>
      <c r="N2611" t="s">
        <v>3193</v>
      </c>
      <c r="O2611" t="s">
        <v>45</v>
      </c>
      <c r="P2611" t="s">
        <v>89</v>
      </c>
      <c r="Q2611" t="s">
        <v>3194</v>
      </c>
      <c r="R2611">
        <v>38.880000000000003</v>
      </c>
      <c r="S2611">
        <v>6</v>
      </c>
      <c r="T2611">
        <v>0</v>
      </c>
      <c r="U2611">
        <v>18.662400000000002</v>
      </c>
      <c r="V2611" t="str">
        <f t="shared" si="40"/>
        <v>Delfina Latchford</v>
      </c>
      <c r="W2611">
        <f>Table2[Profit]/Table2[Sales]</f>
        <v>0.48000000000000004</v>
      </c>
    </row>
    <row r="2612" spans="1:23" x14ac:dyDescent="0.25">
      <c r="A2612">
        <v>2611</v>
      </c>
      <c r="B2612" t="s">
        <v>7902</v>
      </c>
      <c r="C2612" s="1">
        <v>43017</v>
      </c>
      <c r="D2612" s="1">
        <v>43019</v>
      </c>
      <c r="E2612" t="s">
        <v>185</v>
      </c>
      <c r="F2612" t="s">
        <v>1631</v>
      </c>
      <c r="G2612" t="s">
        <v>1632</v>
      </c>
      <c r="H2612" t="s">
        <v>25</v>
      </c>
      <c r="I2612" t="s">
        <v>26</v>
      </c>
      <c r="J2612" t="s">
        <v>41</v>
      </c>
      <c r="K2612" t="s">
        <v>42</v>
      </c>
      <c r="L2612">
        <v>90032</v>
      </c>
      <c r="M2612" t="s">
        <v>43</v>
      </c>
      <c r="N2612" t="s">
        <v>2808</v>
      </c>
      <c r="O2612" t="s">
        <v>45</v>
      </c>
      <c r="P2612" t="s">
        <v>89</v>
      </c>
      <c r="Q2612" t="s">
        <v>2809</v>
      </c>
      <c r="R2612">
        <v>35.200000000000003</v>
      </c>
      <c r="S2612">
        <v>5</v>
      </c>
      <c r="T2612">
        <v>0</v>
      </c>
      <c r="U2612">
        <v>16.544</v>
      </c>
      <c r="V2612" t="str">
        <f t="shared" si="40"/>
        <v>Xylona Preis</v>
      </c>
      <c r="W2612">
        <f>Table2[Profit]/Table2[Sales]</f>
        <v>0.47</v>
      </c>
    </row>
    <row r="2613" spans="1:23" x14ac:dyDescent="0.25">
      <c r="A2613">
        <v>2612</v>
      </c>
      <c r="B2613" t="s">
        <v>7903</v>
      </c>
      <c r="C2613" s="1">
        <v>43028</v>
      </c>
      <c r="D2613" s="1">
        <v>43034</v>
      </c>
      <c r="E2613" t="s">
        <v>49</v>
      </c>
      <c r="F2613" t="s">
        <v>179</v>
      </c>
      <c r="G2613" t="s">
        <v>180</v>
      </c>
      <c r="H2613" t="s">
        <v>101</v>
      </c>
      <c r="I2613" t="s">
        <v>26</v>
      </c>
      <c r="J2613" t="s">
        <v>143</v>
      </c>
      <c r="K2613" t="s">
        <v>144</v>
      </c>
      <c r="L2613">
        <v>19120</v>
      </c>
      <c r="M2613" t="s">
        <v>145</v>
      </c>
      <c r="N2613" t="s">
        <v>2467</v>
      </c>
      <c r="O2613" t="s">
        <v>45</v>
      </c>
      <c r="P2613" t="s">
        <v>89</v>
      </c>
      <c r="Q2613" t="s">
        <v>2468</v>
      </c>
      <c r="R2613">
        <v>45.527999999999999</v>
      </c>
      <c r="S2613">
        <v>3</v>
      </c>
      <c r="T2613">
        <v>0.2</v>
      </c>
      <c r="U2613">
        <v>15.934799999999999</v>
      </c>
      <c r="V2613" t="str">
        <f t="shared" si="40"/>
        <v>Matt Abelman</v>
      </c>
      <c r="W2613">
        <f>Table2[Profit]/Table2[Sales]</f>
        <v>0.35</v>
      </c>
    </row>
    <row r="2614" spans="1:23" x14ac:dyDescent="0.25">
      <c r="A2614">
        <v>2613</v>
      </c>
      <c r="B2614" t="s">
        <v>7904</v>
      </c>
      <c r="C2614" s="1">
        <v>41889</v>
      </c>
      <c r="D2614" s="1">
        <v>41892</v>
      </c>
      <c r="E2614" t="s">
        <v>185</v>
      </c>
      <c r="F2614" t="s">
        <v>3687</v>
      </c>
      <c r="G2614" t="s">
        <v>3688</v>
      </c>
      <c r="H2614" t="s">
        <v>101</v>
      </c>
      <c r="I2614" t="s">
        <v>26</v>
      </c>
      <c r="J2614" t="s">
        <v>181</v>
      </c>
      <c r="K2614" t="s">
        <v>103</v>
      </c>
      <c r="L2614">
        <v>77036</v>
      </c>
      <c r="M2614" t="s">
        <v>104</v>
      </c>
      <c r="N2614" t="s">
        <v>5480</v>
      </c>
      <c r="O2614" t="s">
        <v>70</v>
      </c>
      <c r="P2614" t="s">
        <v>71</v>
      </c>
      <c r="Q2614" t="s">
        <v>5481</v>
      </c>
      <c r="R2614">
        <v>196.77600000000001</v>
      </c>
      <c r="S2614">
        <v>3</v>
      </c>
      <c r="T2614">
        <v>0.2</v>
      </c>
      <c r="U2614">
        <v>14.7582</v>
      </c>
      <c r="V2614" t="str">
        <f t="shared" si="40"/>
        <v>Sam Zeldin</v>
      </c>
      <c r="W2614">
        <f>Table2[Profit]/Table2[Sales]</f>
        <v>7.4999999999999997E-2</v>
      </c>
    </row>
    <row r="2615" spans="1:23" x14ac:dyDescent="0.25">
      <c r="A2615">
        <v>2614</v>
      </c>
      <c r="B2615" t="s">
        <v>7905</v>
      </c>
      <c r="C2615" s="1">
        <v>43008</v>
      </c>
      <c r="D2615" s="1">
        <v>43011</v>
      </c>
      <c r="E2615" t="s">
        <v>185</v>
      </c>
      <c r="F2615" t="s">
        <v>6206</v>
      </c>
      <c r="G2615" t="s">
        <v>6207</v>
      </c>
      <c r="H2615" t="s">
        <v>40</v>
      </c>
      <c r="I2615" t="s">
        <v>26</v>
      </c>
      <c r="J2615" t="s">
        <v>94</v>
      </c>
      <c r="K2615" t="s">
        <v>95</v>
      </c>
      <c r="L2615">
        <v>98103</v>
      </c>
      <c r="M2615" t="s">
        <v>43</v>
      </c>
      <c r="N2615" t="s">
        <v>3920</v>
      </c>
      <c r="O2615" t="s">
        <v>45</v>
      </c>
      <c r="P2615" t="s">
        <v>89</v>
      </c>
      <c r="Q2615" t="s">
        <v>3921</v>
      </c>
      <c r="R2615">
        <v>11.76</v>
      </c>
      <c r="S2615">
        <v>2</v>
      </c>
      <c r="T2615">
        <v>0</v>
      </c>
      <c r="U2615">
        <v>5.7624000000000004</v>
      </c>
      <c r="V2615" t="str">
        <f t="shared" si="40"/>
        <v>Cari Sayre</v>
      </c>
      <c r="W2615">
        <f>Table2[Profit]/Table2[Sales]</f>
        <v>0.49000000000000005</v>
      </c>
    </row>
    <row r="2616" spans="1:23" x14ac:dyDescent="0.25">
      <c r="A2616">
        <v>2615</v>
      </c>
      <c r="B2616" t="s">
        <v>7906</v>
      </c>
      <c r="C2616" s="1">
        <v>43055</v>
      </c>
      <c r="D2616" s="1">
        <v>43060</v>
      </c>
      <c r="E2616" t="s">
        <v>49</v>
      </c>
      <c r="F2616" t="s">
        <v>3434</v>
      </c>
      <c r="G2616" t="s">
        <v>3435</v>
      </c>
      <c r="H2616" t="s">
        <v>101</v>
      </c>
      <c r="I2616" t="s">
        <v>26</v>
      </c>
      <c r="J2616" t="s">
        <v>3137</v>
      </c>
      <c r="K2616" t="s">
        <v>264</v>
      </c>
      <c r="L2616">
        <v>10701</v>
      </c>
      <c r="M2616" t="s">
        <v>145</v>
      </c>
      <c r="N2616" t="s">
        <v>7907</v>
      </c>
      <c r="O2616" t="s">
        <v>70</v>
      </c>
      <c r="P2616" t="s">
        <v>675</v>
      </c>
      <c r="Q2616" t="s">
        <v>7908</v>
      </c>
      <c r="R2616">
        <v>52.44</v>
      </c>
      <c r="S2616">
        <v>4</v>
      </c>
      <c r="T2616">
        <v>0</v>
      </c>
      <c r="U2616">
        <v>24.122399999999999</v>
      </c>
      <c r="V2616" t="str">
        <f t="shared" si="40"/>
        <v>Mick Hernandez</v>
      </c>
      <c r="W2616">
        <f>Table2[Profit]/Table2[Sales]</f>
        <v>0.46</v>
      </c>
    </row>
    <row r="2617" spans="1:23" x14ac:dyDescent="0.25">
      <c r="A2617">
        <v>2616</v>
      </c>
      <c r="B2617" t="s">
        <v>7909</v>
      </c>
      <c r="C2617" s="1">
        <v>42989</v>
      </c>
      <c r="D2617" s="1">
        <v>42989</v>
      </c>
      <c r="E2617" t="s">
        <v>1278</v>
      </c>
      <c r="F2617" t="s">
        <v>770</v>
      </c>
      <c r="G2617" t="s">
        <v>771</v>
      </c>
      <c r="H2617" t="s">
        <v>25</v>
      </c>
      <c r="I2617" t="s">
        <v>26</v>
      </c>
      <c r="J2617" t="s">
        <v>126</v>
      </c>
      <c r="K2617" t="s">
        <v>42</v>
      </c>
      <c r="L2617">
        <v>94110</v>
      </c>
      <c r="M2617" t="s">
        <v>43</v>
      </c>
      <c r="N2617" t="s">
        <v>340</v>
      </c>
      <c r="O2617" t="s">
        <v>31</v>
      </c>
      <c r="P2617" t="s">
        <v>64</v>
      </c>
      <c r="Q2617" t="s">
        <v>341</v>
      </c>
      <c r="R2617">
        <v>32.36</v>
      </c>
      <c r="S2617">
        <v>4</v>
      </c>
      <c r="T2617">
        <v>0</v>
      </c>
      <c r="U2617">
        <v>11.6496</v>
      </c>
      <c r="V2617" t="str">
        <f t="shared" si="40"/>
        <v>Cassandra Brandow</v>
      </c>
      <c r="W2617">
        <f>Table2[Profit]/Table2[Sales]</f>
        <v>0.36</v>
      </c>
    </row>
    <row r="2618" spans="1:23" x14ac:dyDescent="0.25">
      <c r="A2618">
        <v>2617</v>
      </c>
      <c r="B2618" t="s">
        <v>7910</v>
      </c>
      <c r="C2618" s="1">
        <v>42751</v>
      </c>
      <c r="D2618" s="1">
        <v>42751</v>
      </c>
      <c r="E2618" t="s">
        <v>1278</v>
      </c>
      <c r="F2618" t="s">
        <v>6479</v>
      </c>
      <c r="G2618" t="s">
        <v>6480</v>
      </c>
      <c r="H2618" t="s">
        <v>40</v>
      </c>
      <c r="I2618" t="s">
        <v>26</v>
      </c>
      <c r="J2618" t="s">
        <v>41</v>
      </c>
      <c r="K2618" t="s">
        <v>42</v>
      </c>
      <c r="L2618">
        <v>90008</v>
      </c>
      <c r="M2618" t="s">
        <v>43</v>
      </c>
      <c r="N2618" t="s">
        <v>63</v>
      </c>
      <c r="O2618" t="s">
        <v>31</v>
      </c>
      <c r="P2618" t="s">
        <v>64</v>
      </c>
      <c r="Q2618" t="s">
        <v>65</v>
      </c>
      <c r="R2618">
        <v>27.92</v>
      </c>
      <c r="S2618">
        <v>4</v>
      </c>
      <c r="T2618">
        <v>0</v>
      </c>
      <c r="U2618">
        <v>8.0968</v>
      </c>
      <c r="V2618" t="str">
        <f t="shared" si="40"/>
        <v>Jack O'Briant</v>
      </c>
      <c r="W2618">
        <f>Table2[Profit]/Table2[Sales]</f>
        <v>0.28999999999999998</v>
      </c>
    </row>
    <row r="2619" spans="1:23" x14ac:dyDescent="0.25">
      <c r="A2619">
        <v>2618</v>
      </c>
      <c r="B2619" t="s">
        <v>7911</v>
      </c>
      <c r="C2619" s="1">
        <v>42700</v>
      </c>
      <c r="D2619" s="1">
        <v>42703</v>
      </c>
      <c r="E2619" t="s">
        <v>185</v>
      </c>
      <c r="F2619" t="s">
        <v>468</v>
      </c>
      <c r="G2619" t="s">
        <v>469</v>
      </c>
      <c r="H2619" t="s">
        <v>101</v>
      </c>
      <c r="I2619" t="s">
        <v>26</v>
      </c>
      <c r="J2619" t="s">
        <v>1406</v>
      </c>
      <c r="K2619" t="s">
        <v>53</v>
      </c>
      <c r="L2619">
        <v>33142</v>
      </c>
      <c r="M2619" t="s">
        <v>29</v>
      </c>
      <c r="N2619" t="s">
        <v>2873</v>
      </c>
      <c r="O2619" t="s">
        <v>45</v>
      </c>
      <c r="P2619" t="s">
        <v>74</v>
      </c>
      <c r="Q2619" t="s">
        <v>2874</v>
      </c>
      <c r="R2619">
        <v>3.7440000000000002</v>
      </c>
      <c r="S2619">
        <v>4</v>
      </c>
      <c r="T2619">
        <v>0.7</v>
      </c>
      <c r="U2619">
        <v>-2.6208</v>
      </c>
      <c r="V2619" t="str">
        <f t="shared" si="40"/>
        <v>Pete Armstrong</v>
      </c>
      <c r="W2619">
        <f>Table2[Profit]/Table2[Sales]</f>
        <v>-0.7</v>
      </c>
    </row>
    <row r="2620" spans="1:23" x14ac:dyDescent="0.25">
      <c r="A2620">
        <v>2619</v>
      </c>
      <c r="B2620" t="s">
        <v>7912</v>
      </c>
      <c r="C2620" s="1">
        <v>42315</v>
      </c>
      <c r="D2620" s="1">
        <v>42317</v>
      </c>
      <c r="E2620" t="s">
        <v>22</v>
      </c>
      <c r="F2620" t="s">
        <v>5686</v>
      </c>
      <c r="G2620" t="s">
        <v>5687</v>
      </c>
      <c r="H2620" t="s">
        <v>25</v>
      </c>
      <c r="I2620" t="s">
        <v>26</v>
      </c>
      <c r="J2620" t="s">
        <v>2189</v>
      </c>
      <c r="K2620" t="s">
        <v>5098</v>
      </c>
      <c r="L2620">
        <v>5408</v>
      </c>
      <c r="M2620" t="s">
        <v>145</v>
      </c>
      <c r="N2620" t="s">
        <v>1783</v>
      </c>
      <c r="O2620" t="s">
        <v>31</v>
      </c>
      <c r="P2620" t="s">
        <v>35</v>
      </c>
      <c r="Q2620" t="s">
        <v>1784</v>
      </c>
      <c r="R2620">
        <v>715.2</v>
      </c>
      <c r="S2620">
        <v>3</v>
      </c>
      <c r="T2620">
        <v>0</v>
      </c>
      <c r="U2620">
        <v>178.8</v>
      </c>
      <c r="V2620" t="str">
        <f t="shared" si="40"/>
        <v>Stewart Visinsky</v>
      </c>
      <c r="W2620">
        <f>Table2[Profit]/Table2[Sales]</f>
        <v>0.25</v>
      </c>
    </row>
    <row r="2621" spans="1:23" x14ac:dyDescent="0.25">
      <c r="A2621">
        <v>2620</v>
      </c>
      <c r="B2621" t="s">
        <v>7913</v>
      </c>
      <c r="C2621" s="1">
        <v>43083</v>
      </c>
      <c r="D2621" s="1">
        <v>43089</v>
      </c>
      <c r="E2621" t="s">
        <v>49</v>
      </c>
      <c r="F2621" t="s">
        <v>1071</v>
      </c>
      <c r="G2621" t="s">
        <v>1072</v>
      </c>
      <c r="H2621" t="s">
        <v>40</v>
      </c>
      <c r="I2621" t="s">
        <v>26</v>
      </c>
      <c r="J2621" t="s">
        <v>1682</v>
      </c>
      <c r="K2621" t="s">
        <v>1683</v>
      </c>
      <c r="L2621">
        <v>72701</v>
      </c>
      <c r="M2621" t="s">
        <v>29</v>
      </c>
      <c r="N2621" t="s">
        <v>984</v>
      </c>
      <c r="O2621" t="s">
        <v>70</v>
      </c>
      <c r="P2621" t="s">
        <v>158</v>
      </c>
      <c r="Q2621" t="s">
        <v>985</v>
      </c>
      <c r="R2621">
        <v>159.80000000000001</v>
      </c>
      <c r="S2621">
        <v>4</v>
      </c>
      <c r="T2621">
        <v>0</v>
      </c>
      <c r="U2621">
        <v>70.311999999999998</v>
      </c>
      <c r="V2621" t="str">
        <f t="shared" si="40"/>
        <v>Kelly Lampkin</v>
      </c>
      <c r="W2621">
        <f>Table2[Profit]/Table2[Sales]</f>
        <v>0.43999999999999995</v>
      </c>
    </row>
    <row r="2622" spans="1:23" x14ac:dyDescent="0.25">
      <c r="A2622">
        <v>2621</v>
      </c>
      <c r="B2622" t="s">
        <v>7914</v>
      </c>
      <c r="C2622" s="1">
        <v>41895</v>
      </c>
      <c r="D2622" s="1">
        <v>41899</v>
      </c>
      <c r="E2622" t="s">
        <v>49</v>
      </c>
      <c r="F2622" t="s">
        <v>5210</v>
      </c>
      <c r="G2622" t="s">
        <v>5211</v>
      </c>
      <c r="H2622" t="s">
        <v>101</v>
      </c>
      <c r="I2622" t="s">
        <v>26</v>
      </c>
      <c r="J2622" t="s">
        <v>6746</v>
      </c>
      <c r="K2622" t="s">
        <v>103</v>
      </c>
      <c r="L2622">
        <v>79762</v>
      </c>
      <c r="M2622" t="s">
        <v>104</v>
      </c>
      <c r="N2622" t="s">
        <v>709</v>
      </c>
      <c r="O2622" t="s">
        <v>31</v>
      </c>
      <c r="P2622" t="s">
        <v>35</v>
      </c>
      <c r="Q2622" t="s">
        <v>710</v>
      </c>
      <c r="R2622">
        <v>340.11599999999999</v>
      </c>
      <c r="S2622">
        <v>6</v>
      </c>
      <c r="T2622">
        <v>0.3</v>
      </c>
      <c r="U2622">
        <v>-9.7175999999999991</v>
      </c>
      <c r="V2622" t="str">
        <f t="shared" si="40"/>
        <v>Becky Castell</v>
      </c>
      <c r="W2622">
        <f>Table2[Profit]/Table2[Sales]</f>
        <v>-2.8571428571428571E-2</v>
      </c>
    </row>
    <row r="2623" spans="1:23" x14ac:dyDescent="0.25">
      <c r="A2623">
        <v>2622</v>
      </c>
      <c r="B2623" t="s">
        <v>7915</v>
      </c>
      <c r="C2623" s="1">
        <v>41980</v>
      </c>
      <c r="D2623" s="1">
        <v>41986</v>
      </c>
      <c r="E2623" t="s">
        <v>49</v>
      </c>
      <c r="F2623" t="s">
        <v>1177</v>
      </c>
      <c r="G2623" t="s">
        <v>1178</v>
      </c>
      <c r="H2623" t="s">
        <v>25</v>
      </c>
      <c r="I2623" t="s">
        <v>26</v>
      </c>
      <c r="J2623" t="s">
        <v>2930</v>
      </c>
      <c r="K2623" t="s">
        <v>312</v>
      </c>
      <c r="L2623">
        <v>23464</v>
      </c>
      <c r="M2623" t="s">
        <v>29</v>
      </c>
      <c r="N2623" t="s">
        <v>3662</v>
      </c>
      <c r="O2623" t="s">
        <v>45</v>
      </c>
      <c r="P2623" t="s">
        <v>89</v>
      </c>
      <c r="Q2623" t="s">
        <v>3663</v>
      </c>
      <c r="R2623">
        <v>105.52</v>
      </c>
      <c r="S2623">
        <v>4</v>
      </c>
      <c r="T2623">
        <v>0</v>
      </c>
      <c r="U2623">
        <v>48.539200000000001</v>
      </c>
      <c r="V2623" t="str">
        <f t="shared" si="40"/>
        <v>Patrick O'Brill</v>
      </c>
      <c r="W2623">
        <f>Table2[Profit]/Table2[Sales]</f>
        <v>0.46</v>
      </c>
    </row>
    <row r="2624" spans="1:23" x14ac:dyDescent="0.25">
      <c r="A2624">
        <v>2623</v>
      </c>
      <c r="B2624" t="s">
        <v>7916</v>
      </c>
      <c r="C2624" s="1">
        <v>42985</v>
      </c>
      <c r="D2624" s="1">
        <v>42989</v>
      </c>
      <c r="E2624" t="s">
        <v>49</v>
      </c>
      <c r="F2624" t="s">
        <v>1397</v>
      </c>
      <c r="G2624" t="s">
        <v>1398</v>
      </c>
      <c r="H2624" t="s">
        <v>25</v>
      </c>
      <c r="I2624" t="s">
        <v>26</v>
      </c>
      <c r="J2624" t="s">
        <v>2517</v>
      </c>
      <c r="K2624" t="s">
        <v>113</v>
      </c>
      <c r="L2624">
        <v>53209</v>
      </c>
      <c r="M2624" t="s">
        <v>104</v>
      </c>
      <c r="N2624" t="s">
        <v>6617</v>
      </c>
      <c r="O2624" t="s">
        <v>70</v>
      </c>
      <c r="P2624" t="s">
        <v>158</v>
      </c>
      <c r="Q2624" t="s">
        <v>6618</v>
      </c>
      <c r="R2624">
        <v>13.48</v>
      </c>
      <c r="S2624">
        <v>1</v>
      </c>
      <c r="T2624">
        <v>0</v>
      </c>
      <c r="U2624">
        <v>1.8872</v>
      </c>
      <c r="V2624" t="str">
        <f t="shared" si="40"/>
        <v>Anna Gayman</v>
      </c>
      <c r="W2624">
        <f>Table2[Profit]/Table2[Sales]</f>
        <v>0.13999999999999999</v>
      </c>
    </row>
    <row r="2625" spans="1:23" x14ac:dyDescent="0.25">
      <c r="A2625">
        <v>2624</v>
      </c>
      <c r="B2625" t="s">
        <v>7917</v>
      </c>
      <c r="C2625" s="1">
        <v>43015</v>
      </c>
      <c r="D2625" s="1">
        <v>43020</v>
      </c>
      <c r="E2625" t="s">
        <v>49</v>
      </c>
      <c r="F2625" t="s">
        <v>1748</v>
      </c>
      <c r="G2625" t="s">
        <v>1749</v>
      </c>
      <c r="H2625" t="s">
        <v>25</v>
      </c>
      <c r="I2625" t="s">
        <v>26</v>
      </c>
      <c r="J2625" t="s">
        <v>873</v>
      </c>
      <c r="K2625" t="s">
        <v>235</v>
      </c>
      <c r="L2625">
        <v>48234</v>
      </c>
      <c r="M2625" t="s">
        <v>104</v>
      </c>
      <c r="N2625" t="s">
        <v>5441</v>
      </c>
      <c r="O2625" t="s">
        <v>45</v>
      </c>
      <c r="P2625" t="s">
        <v>58</v>
      </c>
      <c r="Q2625" t="s">
        <v>5442</v>
      </c>
      <c r="R2625">
        <v>85.52</v>
      </c>
      <c r="S2625">
        <v>2</v>
      </c>
      <c r="T2625">
        <v>0</v>
      </c>
      <c r="U2625">
        <v>22.235199999999999</v>
      </c>
      <c r="V2625" t="str">
        <f t="shared" si="40"/>
        <v>Dean Braden</v>
      </c>
      <c r="W2625">
        <f>Table2[Profit]/Table2[Sales]</f>
        <v>0.26</v>
      </c>
    </row>
    <row r="2626" spans="1:23" x14ac:dyDescent="0.25">
      <c r="A2626">
        <v>2625</v>
      </c>
      <c r="B2626" t="s">
        <v>7918</v>
      </c>
      <c r="C2626" s="1">
        <v>42252</v>
      </c>
      <c r="D2626" s="1">
        <v>42257</v>
      </c>
      <c r="E2626" t="s">
        <v>49</v>
      </c>
      <c r="F2626" t="s">
        <v>1147</v>
      </c>
      <c r="G2626" t="s">
        <v>1148</v>
      </c>
      <c r="H2626" t="s">
        <v>40</v>
      </c>
      <c r="I2626" t="s">
        <v>26</v>
      </c>
      <c r="J2626" t="s">
        <v>382</v>
      </c>
      <c r="K2626" t="s">
        <v>226</v>
      </c>
      <c r="L2626">
        <v>55901</v>
      </c>
      <c r="M2626" t="s">
        <v>104</v>
      </c>
      <c r="N2626" t="s">
        <v>256</v>
      </c>
      <c r="O2626" t="s">
        <v>31</v>
      </c>
      <c r="P2626" t="s">
        <v>64</v>
      </c>
      <c r="Q2626" t="s">
        <v>257</v>
      </c>
      <c r="R2626">
        <v>6.16</v>
      </c>
      <c r="S2626">
        <v>2</v>
      </c>
      <c r="T2626">
        <v>0</v>
      </c>
      <c r="U2626">
        <v>2.9567999999999999</v>
      </c>
      <c r="V2626" t="str">
        <f t="shared" si="40"/>
        <v>Sung Pak</v>
      </c>
      <c r="W2626">
        <f>Table2[Profit]/Table2[Sales]</f>
        <v>0.48</v>
      </c>
    </row>
    <row r="2627" spans="1:23" x14ac:dyDescent="0.25">
      <c r="A2627">
        <v>2626</v>
      </c>
      <c r="B2627" t="s">
        <v>7919</v>
      </c>
      <c r="C2627" s="1">
        <v>41728</v>
      </c>
      <c r="D2627" s="1">
        <v>41733</v>
      </c>
      <c r="E2627" t="s">
        <v>49</v>
      </c>
      <c r="F2627" t="s">
        <v>968</v>
      </c>
      <c r="G2627" t="s">
        <v>969</v>
      </c>
      <c r="H2627" t="s">
        <v>40</v>
      </c>
      <c r="I2627" t="s">
        <v>26</v>
      </c>
      <c r="J2627" t="s">
        <v>94</v>
      </c>
      <c r="K2627" t="s">
        <v>95</v>
      </c>
      <c r="L2627">
        <v>98105</v>
      </c>
      <c r="M2627" t="s">
        <v>43</v>
      </c>
      <c r="N2627" t="s">
        <v>6252</v>
      </c>
      <c r="O2627" t="s">
        <v>45</v>
      </c>
      <c r="P2627" t="s">
        <v>58</v>
      </c>
      <c r="Q2627" t="s">
        <v>6253</v>
      </c>
      <c r="R2627">
        <v>15.84</v>
      </c>
      <c r="S2627">
        <v>3</v>
      </c>
      <c r="T2627">
        <v>0</v>
      </c>
      <c r="U2627">
        <v>0</v>
      </c>
      <c r="V2627" t="str">
        <f t="shared" ref="V2627:V2690" si="41">TRIM(G2627)</f>
        <v>Dorris liebe</v>
      </c>
      <c r="W2627">
        <f>Table2[Profit]/Table2[Sales]</f>
        <v>0</v>
      </c>
    </row>
    <row r="2628" spans="1:23" x14ac:dyDescent="0.25">
      <c r="A2628">
        <v>2627</v>
      </c>
      <c r="B2628" t="s">
        <v>7920</v>
      </c>
      <c r="C2628" s="1">
        <v>42860</v>
      </c>
      <c r="D2628" s="1">
        <v>42861</v>
      </c>
      <c r="E2628" t="s">
        <v>185</v>
      </c>
      <c r="F2628" t="s">
        <v>2385</v>
      </c>
      <c r="G2628" t="s">
        <v>2386</v>
      </c>
      <c r="H2628" t="s">
        <v>25</v>
      </c>
      <c r="I2628" t="s">
        <v>26</v>
      </c>
      <c r="J2628" t="s">
        <v>1459</v>
      </c>
      <c r="K2628" t="s">
        <v>450</v>
      </c>
      <c r="L2628">
        <v>80027</v>
      </c>
      <c r="M2628" t="s">
        <v>43</v>
      </c>
      <c r="N2628" t="s">
        <v>494</v>
      </c>
      <c r="O2628" t="s">
        <v>45</v>
      </c>
      <c r="P2628" t="s">
        <v>170</v>
      </c>
      <c r="Q2628" t="s">
        <v>495</v>
      </c>
      <c r="R2628">
        <v>21.24</v>
      </c>
      <c r="S2628">
        <v>9</v>
      </c>
      <c r="T2628">
        <v>0.2</v>
      </c>
      <c r="U2628">
        <v>7.4340000000000002</v>
      </c>
      <c r="V2628" t="str">
        <f t="shared" si="41"/>
        <v>Lisa Hazard</v>
      </c>
      <c r="W2628">
        <f>Table2[Profit]/Table2[Sales]</f>
        <v>0.35000000000000003</v>
      </c>
    </row>
    <row r="2629" spans="1:23" x14ac:dyDescent="0.25">
      <c r="A2629">
        <v>2628</v>
      </c>
      <c r="B2629" t="s">
        <v>7921</v>
      </c>
      <c r="C2629" s="1">
        <v>42855</v>
      </c>
      <c r="D2629" s="1">
        <v>42860</v>
      </c>
      <c r="E2629" t="s">
        <v>49</v>
      </c>
      <c r="F2629" t="s">
        <v>524</v>
      </c>
      <c r="G2629" t="s">
        <v>525</v>
      </c>
      <c r="H2629" t="s">
        <v>101</v>
      </c>
      <c r="I2629" t="s">
        <v>26</v>
      </c>
      <c r="J2629" t="s">
        <v>126</v>
      </c>
      <c r="K2629" t="s">
        <v>42</v>
      </c>
      <c r="L2629">
        <v>94122</v>
      </c>
      <c r="M2629" t="s">
        <v>43</v>
      </c>
      <c r="N2629" t="s">
        <v>4408</v>
      </c>
      <c r="O2629" t="s">
        <v>45</v>
      </c>
      <c r="P2629" t="s">
        <v>89</v>
      </c>
      <c r="Q2629" t="s">
        <v>4409</v>
      </c>
      <c r="R2629">
        <v>163.96</v>
      </c>
      <c r="S2629">
        <v>4</v>
      </c>
      <c r="T2629">
        <v>0</v>
      </c>
      <c r="U2629">
        <v>80.340400000000002</v>
      </c>
      <c r="V2629" t="str">
        <f t="shared" si="41"/>
        <v>Alan Dominguez</v>
      </c>
      <c r="W2629">
        <f>Table2[Profit]/Table2[Sales]</f>
        <v>0.49</v>
      </c>
    </row>
    <row r="2630" spans="1:23" x14ac:dyDescent="0.25">
      <c r="A2630">
        <v>2629</v>
      </c>
      <c r="B2630" t="s">
        <v>7922</v>
      </c>
      <c r="C2630" s="1">
        <v>41890</v>
      </c>
      <c r="D2630" s="1">
        <v>41897</v>
      </c>
      <c r="E2630" t="s">
        <v>49</v>
      </c>
      <c r="F2630" t="s">
        <v>3668</v>
      </c>
      <c r="G2630" t="s">
        <v>3669</v>
      </c>
      <c r="H2630" t="s">
        <v>25</v>
      </c>
      <c r="I2630" t="s">
        <v>26</v>
      </c>
      <c r="J2630" t="s">
        <v>181</v>
      </c>
      <c r="K2630" t="s">
        <v>103</v>
      </c>
      <c r="L2630">
        <v>77036</v>
      </c>
      <c r="M2630" t="s">
        <v>104</v>
      </c>
      <c r="N2630" t="s">
        <v>3295</v>
      </c>
      <c r="O2630" t="s">
        <v>45</v>
      </c>
      <c r="P2630" t="s">
        <v>89</v>
      </c>
      <c r="Q2630" t="s">
        <v>3296</v>
      </c>
      <c r="R2630">
        <v>17.904</v>
      </c>
      <c r="S2630">
        <v>2</v>
      </c>
      <c r="T2630">
        <v>0.2</v>
      </c>
      <c r="U2630">
        <v>6.2664</v>
      </c>
      <c r="V2630" t="str">
        <f t="shared" si="41"/>
        <v>Kean Takahito</v>
      </c>
      <c r="W2630">
        <f>Table2[Profit]/Table2[Sales]</f>
        <v>0.35</v>
      </c>
    </row>
    <row r="2631" spans="1:23" x14ac:dyDescent="0.25">
      <c r="A2631">
        <v>2630</v>
      </c>
      <c r="B2631" t="s">
        <v>7923</v>
      </c>
      <c r="C2631" s="1">
        <v>42906</v>
      </c>
      <c r="D2631" s="1">
        <v>42909</v>
      </c>
      <c r="E2631" t="s">
        <v>185</v>
      </c>
      <c r="F2631" t="s">
        <v>2509</v>
      </c>
      <c r="G2631" t="s">
        <v>2510</v>
      </c>
      <c r="H2631" t="s">
        <v>25</v>
      </c>
      <c r="I2631" t="s">
        <v>26</v>
      </c>
      <c r="J2631" t="s">
        <v>1406</v>
      </c>
      <c r="K2631" t="s">
        <v>53</v>
      </c>
      <c r="L2631">
        <v>33180</v>
      </c>
      <c r="M2631" t="s">
        <v>29</v>
      </c>
      <c r="N2631" t="s">
        <v>5808</v>
      </c>
      <c r="O2631" t="s">
        <v>45</v>
      </c>
      <c r="P2631" t="s">
        <v>58</v>
      </c>
      <c r="Q2631" t="s">
        <v>5809</v>
      </c>
      <c r="R2631">
        <v>4.4640000000000004</v>
      </c>
      <c r="S2631">
        <v>1</v>
      </c>
      <c r="T2631">
        <v>0.2</v>
      </c>
      <c r="U2631">
        <v>0.33479999999999999</v>
      </c>
      <c r="V2631" t="str">
        <f t="shared" si="41"/>
        <v>Pauline Johnson</v>
      </c>
      <c r="W2631">
        <f>Table2[Profit]/Table2[Sales]</f>
        <v>7.4999999999999983E-2</v>
      </c>
    </row>
    <row r="2632" spans="1:23" x14ac:dyDescent="0.25">
      <c r="A2632">
        <v>2631</v>
      </c>
      <c r="B2632" t="s">
        <v>7924</v>
      </c>
      <c r="C2632" s="1">
        <v>42364</v>
      </c>
      <c r="D2632" s="1">
        <v>42368</v>
      </c>
      <c r="E2632" t="s">
        <v>49</v>
      </c>
      <c r="F2632" t="s">
        <v>4084</v>
      </c>
      <c r="G2632" t="s">
        <v>4085</v>
      </c>
      <c r="H2632" t="s">
        <v>25</v>
      </c>
      <c r="I2632" t="s">
        <v>26</v>
      </c>
      <c r="J2632" t="s">
        <v>842</v>
      </c>
      <c r="K2632" t="s">
        <v>491</v>
      </c>
      <c r="L2632">
        <v>44256</v>
      </c>
      <c r="M2632" t="s">
        <v>145</v>
      </c>
      <c r="N2632" t="s">
        <v>3215</v>
      </c>
      <c r="O2632" t="s">
        <v>31</v>
      </c>
      <c r="P2632" t="s">
        <v>55</v>
      </c>
      <c r="Q2632" t="s">
        <v>3216</v>
      </c>
      <c r="R2632">
        <v>51.588000000000001</v>
      </c>
      <c r="S2632">
        <v>1</v>
      </c>
      <c r="T2632">
        <v>0.4</v>
      </c>
      <c r="U2632">
        <v>-15.4764</v>
      </c>
      <c r="V2632" t="str">
        <f t="shared" si="41"/>
        <v>Mick Crebagga</v>
      </c>
      <c r="W2632">
        <f>Table2[Profit]/Table2[Sales]</f>
        <v>-0.3</v>
      </c>
    </row>
    <row r="2633" spans="1:23" x14ac:dyDescent="0.25">
      <c r="A2633">
        <v>2632</v>
      </c>
      <c r="B2633" t="s">
        <v>7925</v>
      </c>
      <c r="C2633" s="1">
        <v>42962</v>
      </c>
      <c r="D2633" s="1">
        <v>42966</v>
      </c>
      <c r="E2633" t="s">
        <v>49</v>
      </c>
      <c r="F2633" t="s">
        <v>5604</v>
      </c>
      <c r="G2633" t="s">
        <v>5605</v>
      </c>
      <c r="H2633" t="s">
        <v>40</v>
      </c>
      <c r="I2633" t="s">
        <v>26</v>
      </c>
      <c r="J2633" t="s">
        <v>560</v>
      </c>
      <c r="K2633" t="s">
        <v>226</v>
      </c>
      <c r="L2633">
        <v>55113</v>
      </c>
      <c r="M2633" t="s">
        <v>104</v>
      </c>
      <c r="N2633" t="s">
        <v>7926</v>
      </c>
      <c r="O2633" t="s">
        <v>45</v>
      </c>
      <c r="P2633" t="s">
        <v>46</v>
      </c>
      <c r="Q2633" t="s">
        <v>7927</v>
      </c>
      <c r="R2633">
        <v>50.4</v>
      </c>
      <c r="S2633">
        <v>8</v>
      </c>
      <c r="T2633">
        <v>0</v>
      </c>
      <c r="U2633">
        <v>23.184000000000001</v>
      </c>
      <c r="V2633" t="str">
        <f t="shared" si="41"/>
        <v>Bill Overfelt</v>
      </c>
      <c r="W2633">
        <f>Table2[Profit]/Table2[Sales]</f>
        <v>0.46</v>
      </c>
    </row>
    <row r="2634" spans="1:23" x14ac:dyDescent="0.25">
      <c r="A2634">
        <v>2633</v>
      </c>
      <c r="B2634" t="s">
        <v>7928</v>
      </c>
      <c r="C2634" s="1">
        <v>42798</v>
      </c>
      <c r="D2634" s="1">
        <v>42803</v>
      </c>
      <c r="E2634" t="s">
        <v>49</v>
      </c>
      <c r="F2634" t="s">
        <v>248</v>
      </c>
      <c r="G2634" t="s">
        <v>249</v>
      </c>
      <c r="H2634" t="s">
        <v>25</v>
      </c>
      <c r="I2634" t="s">
        <v>26</v>
      </c>
      <c r="J2634" t="s">
        <v>181</v>
      </c>
      <c r="K2634" t="s">
        <v>103</v>
      </c>
      <c r="L2634">
        <v>77041</v>
      </c>
      <c r="M2634" t="s">
        <v>104</v>
      </c>
      <c r="N2634" t="s">
        <v>3705</v>
      </c>
      <c r="O2634" t="s">
        <v>45</v>
      </c>
      <c r="P2634" t="s">
        <v>89</v>
      </c>
      <c r="Q2634" t="s">
        <v>3706</v>
      </c>
      <c r="R2634">
        <v>89.567999999999998</v>
      </c>
      <c r="S2634">
        <v>2</v>
      </c>
      <c r="T2634">
        <v>0.2</v>
      </c>
      <c r="U2634">
        <v>32.468400000000003</v>
      </c>
      <c r="V2634" t="str">
        <f t="shared" si="41"/>
        <v>Darren Powers</v>
      </c>
      <c r="W2634">
        <f>Table2[Profit]/Table2[Sales]</f>
        <v>0.36250000000000004</v>
      </c>
    </row>
    <row r="2635" spans="1:23" x14ac:dyDescent="0.25">
      <c r="A2635">
        <v>2634</v>
      </c>
      <c r="B2635" t="s">
        <v>7929</v>
      </c>
      <c r="C2635" s="1">
        <v>42943</v>
      </c>
      <c r="D2635" s="1">
        <v>42947</v>
      </c>
      <c r="E2635" t="s">
        <v>49</v>
      </c>
      <c r="F2635" t="s">
        <v>7401</v>
      </c>
      <c r="G2635" t="s">
        <v>7402</v>
      </c>
      <c r="H2635" t="s">
        <v>25</v>
      </c>
      <c r="I2635" t="s">
        <v>26</v>
      </c>
      <c r="J2635" t="s">
        <v>3137</v>
      </c>
      <c r="K2635" t="s">
        <v>264</v>
      </c>
      <c r="L2635">
        <v>10701</v>
      </c>
      <c r="M2635" t="s">
        <v>145</v>
      </c>
      <c r="N2635" t="s">
        <v>3625</v>
      </c>
      <c r="O2635" t="s">
        <v>31</v>
      </c>
      <c r="P2635" t="s">
        <v>64</v>
      </c>
      <c r="Q2635" t="s">
        <v>3626</v>
      </c>
      <c r="R2635">
        <v>14.89</v>
      </c>
      <c r="S2635">
        <v>1</v>
      </c>
      <c r="T2635">
        <v>0</v>
      </c>
      <c r="U2635">
        <v>4.0202999999999998</v>
      </c>
      <c r="V2635" t="str">
        <f t="shared" si="41"/>
        <v>Tony Molinari</v>
      </c>
      <c r="W2635">
        <f>Table2[Profit]/Table2[Sales]</f>
        <v>0.26999999999999996</v>
      </c>
    </row>
    <row r="2636" spans="1:23" x14ac:dyDescent="0.25">
      <c r="A2636">
        <v>2635</v>
      </c>
      <c r="B2636" t="s">
        <v>7930</v>
      </c>
      <c r="C2636" s="1">
        <v>42636</v>
      </c>
      <c r="D2636" s="1">
        <v>42639</v>
      </c>
      <c r="E2636" t="s">
        <v>185</v>
      </c>
      <c r="F2636" t="s">
        <v>38</v>
      </c>
      <c r="G2636" t="s">
        <v>39</v>
      </c>
      <c r="H2636" t="s">
        <v>40</v>
      </c>
      <c r="I2636" t="s">
        <v>26</v>
      </c>
      <c r="J2636" t="s">
        <v>941</v>
      </c>
      <c r="K2636" t="s">
        <v>42</v>
      </c>
      <c r="L2636">
        <v>92037</v>
      </c>
      <c r="M2636" t="s">
        <v>43</v>
      </c>
      <c r="N2636" t="s">
        <v>169</v>
      </c>
      <c r="O2636" t="s">
        <v>45</v>
      </c>
      <c r="P2636" t="s">
        <v>170</v>
      </c>
      <c r="Q2636" t="s">
        <v>171</v>
      </c>
      <c r="R2636">
        <v>4.08</v>
      </c>
      <c r="S2636">
        <v>2</v>
      </c>
      <c r="T2636">
        <v>0</v>
      </c>
      <c r="U2636">
        <v>1.9176</v>
      </c>
      <c r="V2636" t="str">
        <f t="shared" si="41"/>
        <v>Darrin Van Huff</v>
      </c>
      <c r="W2636">
        <f>Table2[Profit]/Table2[Sales]</f>
        <v>0.47</v>
      </c>
    </row>
    <row r="2637" spans="1:23" x14ac:dyDescent="0.25">
      <c r="A2637">
        <v>2636</v>
      </c>
      <c r="B2637" t="s">
        <v>7931</v>
      </c>
      <c r="C2637" s="1">
        <v>42520</v>
      </c>
      <c r="D2637" s="1">
        <v>42524</v>
      </c>
      <c r="E2637" t="s">
        <v>49</v>
      </c>
      <c r="F2637" t="s">
        <v>6483</v>
      </c>
      <c r="G2637" t="s">
        <v>6484</v>
      </c>
      <c r="H2637" t="s">
        <v>40</v>
      </c>
      <c r="I2637" t="s">
        <v>26</v>
      </c>
      <c r="J2637" t="s">
        <v>311</v>
      </c>
      <c r="K2637" t="s">
        <v>312</v>
      </c>
      <c r="L2637">
        <v>22153</v>
      </c>
      <c r="M2637" t="s">
        <v>29</v>
      </c>
      <c r="N2637" t="s">
        <v>5368</v>
      </c>
      <c r="O2637" t="s">
        <v>31</v>
      </c>
      <c r="P2637" t="s">
        <v>55</v>
      </c>
      <c r="Q2637" t="s">
        <v>5369</v>
      </c>
      <c r="R2637">
        <v>2275.5</v>
      </c>
      <c r="S2637">
        <v>10</v>
      </c>
      <c r="T2637">
        <v>0</v>
      </c>
      <c r="U2637">
        <v>386.83499999999998</v>
      </c>
      <c r="V2637" t="str">
        <f t="shared" si="41"/>
        <v>Anna Häberlin</v>
      </c>
      <c r="W2637">
        <f>Table2[Profit]/Table2[Sales]</f>
        <v>0.16999999999999998</v>
      </c>
    </row>
    <row r="2638" spans="1:23" x14ac:dyDescent="0.25">
      <c r="A2638">
        <v>2637</v>
      </c>
      <c r="B2638" t="s">
        <v>7932</v>
      </c>
      <c r="C2638" s="1">
        <v>41959</v>
      </c>
      <c r="D2638" s="1">
        <v>41963</v>
      </c>
      <c r="E2638" t="s">
        <v>49</v>
      </c>
      <c r="F2638" t="s">
        <v>2211</v>
      </c>
      <c r="G2638" t="s">
        <v>2212</v>
      </c>
      <c r="H2638" t="s">
        <v>25</v>
      </c>
      <c r="I2638" t="s">
        <v>26</v>
      </c>
      <c r="J2638" t="s">
        <v>350</v>
      </c>
      <c r="K2638" t="s">
        <v>208</v>
      </c>
      <c r="L2638">
        <v>62521</v>
      </c>
      <c r="M2638" t="s">
        <v>104</v>
      </c>
      <c r="N2638" t="s">
        <v>5630</v>
      </c>
      <c r="O2638" t="s">
        <v>31</v>
      </c>
      <c r="P2638" t="s">
        <v>35</v>
      </c>
      <c r="Q2638" t="s">
        <v>5631</v>
      </c>
      <c r="R2638">
        <v>37.295999999999999</v>
      </c>
      <c r="S2638">
        <v>2</v>
      </c>
      <c r="T2638">
        <v>0.3</v>
      </c>
      <c r="U2638">
        <v>-1.0656000000000001</v>
      </c>
      <c r="V2638" t="str">
        <f t="shared" si="41"/>
        <v>Alan Barnes</v>
      </c>
      <c r="W2638">
        <f>Table2[Profit]/Table2[Sales]</f>
        <v>-2.8571428571428574E-2</v>
      </c>
    </row>
    <row r="2639" spans="1:23" x14ac:dyDescent="0.25">
      <c r="A2639">
        <v>2638</v>
      </c>
      <c r="B2639" t="s">
        <v>7933</v>
      </c>
      <c r="C2639" s="1">
        <v>41903</v>
      </c>
      <c r="D2639" s="1">
        <v>41905</v>
      </c>
      <c r="E2639" t="s">
        <v>185</v>
      </c>
      <c r="F2639" t="s">
        <v>1586</v>
      </c>
      <c r="G2639" t="s">
        <v>1587</v>
      </c>
      <c r="H2639" t="s">
        <v>101</v>
      </c>
      <c r="I2639" t="s">
        <v>26</v>
      </c>
      <c r="J2639" t="s">
        <v>2734</v>
      </c>
      <c r="K2639" t="s">
        <v>103</v>
      </c>
      <c r="L2639">
        <v>75043</v>
      </c>
      <c r="M2639" t="s">
        <v>104</v>
      </c>
      <c r="N2639" t="s">
        <v>5925</v>
      </c>
      <c r="O2639" t="s">
        <v>31</v>
      </c>
      <c r="P2639" t="s">
        <v>64</v>
      </c>
      <c r="Q2639" t="s">
        <v>5926</v>
      </c>
      <c r="R2639">
        <v>8.5440000000000005</v>
      </c>
      <c r="S2639">
        <v>2</v>
      </c>
      <c r="T2639">
        <v>0.6</v>
      </c>
      <c r="U2639">
        <v>-7.476</v>
      </c>
      <c r="V2639" t="str">
        <f t="shared" si="41"/>
        <v>Joni Sundaresam</v>
      </c>
      <c r="W2639">
        <f>Table2[Profit]/Table2[Sales]</f>
        <v>-0.875</v>
      </c>
    </row>
    <row r="2640" spans="1:23" x14ac:dyDescent="0.25">
      <c r="A2640">
        <v>2639</v>
      </c>
      <c r="B2640" t="s">
        <v>7934</v>
      </c>
      <c r="C2640" s="1">
        <v>42421</v>
      </c>
      <c r="D2640" s="1">
        <v>42426</v>
      </c>
      <c r="E2640" t="s">
        <v>49</v>
      </c>
      <c r="F2640" t="s">
        <v>2408</v>
      </c>
      <c r="G2640" t="s">
        <v>2409</v>
      </c>
      <c r="H2640" t="s">
        <v>40</v>
      </c>
      <c r="I2640" t="s">
        <v>26</v>
      </c>
      <c r="J2640" t="s">
        <v>2311</v>
      </c>
      <c r="K2640" t="s">
        <v>264</v>
      </c>
      <c r="L2640">
        <v>11572</v>
      </c>
      <c r="M2640" t="s">
        <v>145</v>
      </c>
      <c r="N2640" t="s">
        <v>419</v>
      </c>
      <c r="O2640" t="s">
        <v>31</v>
      </c>
      <c r="P2640" t="s">
        <v>64</v>
      </c>
      <c r="Q2640" t="s">
        <v>420</v>
      </c>
      <c r="R2640">
        <v>68.95</v>
      </c>
      <c r="S2640">
        <v>5</v>
      </c>
      <c r="T2640">
        <v>0</v>
      </c>
      <c r="U2640">
        <v>28.959</v>
      </c>
      <c r="V2640" t="str">
        <f t="shared" si="41"/>
        <v>Benjamin Venier</v>
      </c>
      <c r="W2640">
        <f>Table2[Profit]/Table2[Sales]</f>
        <v>0.42</v>
      </c>
    </row>
    <row r="2641" spans="1:23" x14ac:dyDescent="0.25">
      <c r="A2641">
        <v>2640</v>
      </c>
      <c r="B2641" t="s">
        <v>7937</v>
      </c>
      <c r="C2641" s="1">
        <v>43058</v>
      </c>
      <c r="D2641" s="1">
        <v>43060</v>
      </c>
      <c r="E2641" t="s">
        <v>185</v>
      </c>
      <c r="F2641" t="s">
        <v>6795</v>
      </c>
      <c r="G2641" t="s">
        <v>6796</v>
      </c>
      <c r="H2641" t="s">
        <v>25</v>
      </c>
      <c r="I2641" t="s">
        <v>26</v>
      </c>
      <c r="J2641" t="s">
        <v>181</v>
      </c>
      <c r="K2641" t="s">
        <v>103</v>
      </c>
      <c r="L2641">
        <v>77095</v>
      </c>
      <c r="M2641" t="s">
        <v>104</v>
      </c>
      <c r="N2641" t="s">
        <v>4737</v>
      </c>
      <c r="O2641" t="s">
        <v>31</v>
      </c>
      <c r="P2641" t="s">
        <v>35</v>
      </c>
      <c r="Q2641" t="s">
        <v>4738</v>
      </c>
      <c r="R2641">
        <v>191.05799999999999</v>
      </c>
      <c r="S2641">
        <v>3</v>
      </c>
      <c r="T2641">
        <v>0.3</v>
      </c>
      <c r="U2641">
        <v>-46.399799999999999</v>
      </c>
      <c r="V2641" t="str">
        <f t="shared" si="41"/>
        <v>Nathan Cano</v>
      </c>
      <c r="W2641">
        <f>Table2[Profit]/Table2[Sales]</f>
        <v>-0.24285714285714285</v>
      </c>
    </row>
    <row r="2642" spans="1:23" x14ac:dyDescent="0.25">
      <c r="A2642">
        <v>2641</v>
      </c>
      <c r="B2642" t="s">
        <v>7938</v>
      </c>
      <c r="C2642" s="1">
        <v>42603</v>
      </c>
      <c r="D2642" s="1">
        <v>42609</v>
      </c>
      <c r="E2642" t="s">
        <v>49</v>
      </c>
      <c r="F2642" t="s">
        <v>6558</v>
      </c>
      <c r="G2642" t="s">
        <v>6559</v>
      </c>
      <c r="H2642" t="s">
        <v>101</v>
      </c>
      <c r="I2642" t="s">
        <v>26</v>
      </c>
      <c r="J2642" t="s">
        <v>3451</v>
      </c>
      <c r="K2642" t="s">
        <v>87</v>
      </c>
      <c r="L2642">
        <v>27834</v>
      </c>
      <c r="M2642" t="s">
        <v>29</v>
      </c>
      <c r="N2642" t="s">
        <v>5494</v>
      </c>
      <c r="O2642" t="s">
        <v>45</v>
      </c>
      <c r="P2642" t="s">
        <v>46</v>
      </c>
      <c r="Q2642" t="s">
        <v>5495</v>
      </c>
      <c r="R2642">
        <v>9.2159999999999993</v>
      </c>
      <c r="S2642">
        <v>4</v>
      </c>
      <c r="T2642">
        <v>0.2</v>
      </c>
      <c r="U2642">
        <v>3.3408000000000002</v>
      </c>
      <c r="V2642" t="str">
        <f t="shared" si="41"/>
        <v>Stephanie Ulpright</v>
      </c>
      <c r="W2642">
        <f>Table2[Profit]/Table2[Sales]</f>
        <v>0.36250000000000004</v>
      </c>
    </row>
    <row r="2643" spans="1:23" x14ac:dyDescent="0.25">
      <c r="A2643">
        <v>2642</v>
      </c>
      <c r="B2643" t="s">
        <v>7939</v>
      </c>
      <c r="C2643" s="1">
        <v>42855</v>
      </c>
      <c r="D2643" s="1">
        <v>42860</v>
      </c>
      <c r="E2643" t="s">
        <v>49</v>
      </c>
      <c r="F2643" t="s">
        <v>1171</v>
      </c>
      <c r="G2643" t="s">
        <v>1172</v>
      </c>
      <c r="H2643" t="s">
        <v>40</v>
      </c>
      <c r="I2643" t="s">
        <v>26</v>
      </c>
      <c r="J2643" t="s">
        <v>126</v>
      </c>
      <c r="K2643" t="s">
        <v>42</v>
      </c>
      <c r="L2643">
        <v>94110</v>
      </c>
      <c r="M2643" t="s">
        <v>43</v>
      </c>
      <c r="N2643" t="s">
        <v>2293</v>
      </c>
      <c r="O2643" t="s">
        <v>31</v>
      </c>
      <c r="P2643" t="s">
        <v>64</v>
      </c>
      <c r="Q2643" t="s">
        <v>2294</v>
      </c>
      <c r="R2643">
        <v>64.959999999999994</v>
      </c>
      <c r="S2643">
        <v>2</v>
      </c>
      <c r="T2643">
        <v>0</v>
      </c>
      <c r="U2643">
        <v>21.436800000000002</v>
      </c>
      <c r="V2643" t="str">
        <f t="shared" si="41"/>
        <v>Don Jones</v>
      </c>
      <c r="W2643">
        <f>Table2[Profit]/Table2[Sales]</f>
        <v>0.33000000000000007</v>
      </c>
    </row>
    <row r="2644" spans="1:23" x14ac:dyDescent="0.25">
      <c r="A2644">
        <v>2643</v>
      </c>
      <c r="B2644" t="s">
        <v>7940</v>
      </c>
      <c r="C2644" s="1">
        <v>42492</v>
      </c>
      <c r="D2644" s="1">
        <v>42498</v>
      </c>
      <c r="E2644" t="s">
        <v>49</v>
      </c>
      <c r="F2644" t="s">
        <v>2419</v>
      </c>
      <c r="G2644" t="s">
        <v>2420</v>
      </c>
      <c r="H2644" t="s">
        <v>25</v>
      </c>
      <c r="I2644" t="s">
        <v>26</v>
      </c>
      <c r="J2644" t="s">
        <v>4396</v>
      </c>
      <c r="K2644" t="s">
        <v>87</v>
      </c>
      <c r="L2644">
        <v>27405</v>
      </c>
      <c r="M2644" t="s">
        <v>29</v>
      </c>
      <c r="N2644" t="s">
        <v>3050</v>
      </c>
      <c r="O2644" t="s">
        <v>31</v>
      </c>
      <c r="P2644" t="s">
        <v>35</v>
      </c>
      <c r="Q2644" t="s">
        <v>3051</v>
      </c>
      <c r="R2644">
        <v>187.05600000000001</v>
      </c>
      <c r="S2644">
        <v>9</v>
      </c>
      <c r="T2644">
        <v>0.2</v>
      </c>
      <c r="U2644">
        <v>11.691000000000001</v>
      </c>
      <c r="V2644" t="str">
        <f t="shared" si="41"/>
        <v>Dan Lawera</v>
      </c>
      <c r="W2644">
        <f>Table2[Profit]/Table2[Sales]</f>
        <v>6.25E-2</v>
      </c>
    </row>
    <row r="2645" spans="1:23" x14ac:dyDescent="0.25">
      <c r="A2645">
        <v>2644</v>
      </c>
      <c r="B2645" t="s">
        <v>7941</v>
      </c>
      <c r="C2645" s="1">
        <v>43010</v>
      </c>
      <c r="D2645" s="1">
        <v>43013</v>
      </c>
      <c r="E2645" t="s">
        <v>185</v>
      </c>
      <c r="F2645" t="s">
        <v>5800</v>
      </c>
      <c r="G2645" t="s">
        <v>5801</v>
      </c>
      <c r="H2645" t="s">
        <v>101</v>
      </c>
      <c r="I2645" t="s">
        <v>26</v>
      </c>
      <c r="J2645" t="s">
        <v>5032</v>
      </c>
      <c r="K2645" t="s">
        <v>328</v>
      </c>
      <c r="L2645">
        <v>37918</v>
      </c>
      <c r="M2645" t="s">
        <v>29</v>
      </c>
      <c r="N2645" t="s">
        <v>4958</v>
      </c>
      <c r="O2645" t="s">
        <v>31</v>
      </c>
      <c r="P2645" t="s">
        <v>64</v>
      </c>
      <c r="Q2645" t="s">
        <v>4959</v>
      </c>
      <c r="R2645">
        <v>11.808</v>
      </c>
      <c r="S2645">
        <v>2</v>
      </c>
      <c r="T2645">
        <v>0.2</v>
      </c>
      <c r="U2645">
        <v>1.3284</v>
      </c>
      <c r="V2645" t="str">
        <f t="shared" si="41"/>
        <v>Dean percer</v>
      </c>
      <c r="W2645">
        <f>Table2[Profit]/Table2[Sales]</f>
        <v>0.1125</v>
      </c>
    </row>
    <row r="2646" spans="1:23" x14ac:dyDescent="0.25">
      <c r="A2646">
        <v>2645</v>
      </c>
      <c r="B2646" t="s">
        <v>7943</v>
      </c>
      <c r="C2646" s="1">
        <v>42996</v>
      </c>
      <c r="D2646" s="1">
        <v>43001</v>
      </c>
      <c r="E2646" t="s">
        <v>22</v>
      </c>
      <c r="F2646" t="s">
        <v>5338</v>
      </c>
      <c r="G2646" t="s">
        <v>5339</v>
      </c>
      <c r="H2646" t="s">
        <v>25</v>
      </c>
      <c r="I2646" t="s">
        <v>26</v>
      </c>
      <c r="J2646" t="s">
        <v>7944</v>
      </c>
      <c r="K2646" t="s">
        <v>135</v>
      </c>
      <c r="L2646">
        <v>68801</v>
      </c>
      <c r="M2646" t="s">
        <v>104</v>
      </c>
      <c r="N2646" t="s">
        <v>929</v>
      </c>
      <c r="O2646" t="s">
        <v>45</v>
      </c>
      <c r="P2646" t="s">
        <v>89</v>
      </c>
      <c r="Q2646" t="s">
        <v>930</v>
      </c>
      <c r="R2646">
        <v>15.96</v>
      </c>
      <c r="S2646">
        <v>2</v>
      </c>
      <c r="T2646">
        <v>0</v>
      </c>
      <c r="U2646">
        <v>7.98</v>
      </c>
      <c r="V2646" t="str">
        <f t="shared" si="41"/>
        <v>Tamara Manning</v>
      </c>
      <c r="W2646">
        <f>Table2[Profit]/Table2[Sales]</f>
        <v>0.5</v>
      </c>
    </row>
    <row r="2647" spans="1:23" x14ac:dyDescent="0.25">
      <c r="A2647">
        <v>2646</v>
      </c>
      <c r="B2647" t="s">
        <v>7945</v>
      </c>
      <c r="C2647" s="1">
        <v>42342</v>
      </c>
      <c r="D2647" s="1">
        <v>42347</v>
      </c>
      <c r="E2647" t="s">
        <v>49</v>
      </c>
      <c r="F2647" t="s">
        <v>2905</v>
      </c>
      <c r="G2647" t="s">
        <v>2906</v>
      </c>
      <c r="H2647" t="s">
        <v>25</v>
      </c>
      <c r="I2647" t="s">
        <v>26</v>
      </c>
      <c r="J2647" t="s">
        <v>1111</v>
      </c>
      <c r="K2647" t="s">
        <v>42</v>
      </c>
      <c r="L2647">
        <v>90712</v>
      </c>
      <c r="M2647" t="s">
        <v>43</v>
      </c>
      <c r="N2647" t="s">
        <v>4601</v>
      </c>
      <c r="O2647" t="s">
        <v>45</v>
      </c>
      <c r="P2647" t="s">
        <v>67</v>
      </c>
      <c r="Q2647" t="s">
        <v>4602</v>
      </c>
      <c r="R2647">
        <v>16.899999999999999</v>
      </c>
      <c r="S2647">
        <v>5</v>
      </c>
      <c r="T2647">
        <v>0</v>
      </c>
      <c r="U2647">
        <v>6.2530000000000001</v>
      </c>
      <c r="V2647" t="str">
        <f t="shared" si="41"/>
        <v>Tracy Zic</v>
      </c>
      <c r="W2647">
        <f>Table2[Profit]/Table2[Sales]</f>
        <v>0.37000000000000005</v>
      </c>
    </row>
    <row r="2648" spans="1:23" x14ac:dyDescent="0.25">
      <c r="A2648">
        <v>2647</v>
      </c>
      <c r="B2648" t="s">
        <v>7946</v>
      </c>
      <c r="C2648" s="1">
        <v>42021</v>
      </c>
      <c r="D2648" s="1">
        <v>42026</v>
      </c>
      <c r="E2648" t="s">
        <v>49</v>
      </c>
      <c r="F2648" t="s">
        <v>5267</v>
      </c>
      <c r="G2648" t="s">
        <v>5268</v>
      </c>
      <c r="H2648" t="s">
        <v>40</v>
      </c>
      <c r="I2648" t="s">
        <v>26</v>
      </c>
      <c r="J2648" t="s">
        <v>1465</v>
      </c>
      <c r="K2648" t="s">
        <v>1233</v>
      </c>
      <c r="L2648">
        <v>1841</v>
      </c>
      <c r="M2648" t="s">
        <v>145</v>
      </c>
      <c r="N2648" t="s">
        <v>5717</v>
      </c>
      <c r="O2648" t="s">
        <v>45</v>
      </c>
      <c r="P2648" t="s">
        <v>67</v>
      </c>
      <c r="Q2648" t="s">
        <v>5718</v>
      </c>
      <c r="R2648">
        <v>6.68</v>
      </c>
      <c r="S2648">
        <v>2</v>
      </c>
      <c r="T2648">
        <v>0</v>
      </c>
      <c r="U2648">
        <v>2.004</v>
      </c>
      <c r="V2648" t="str">
        <f t="shared" si="41"/>
        <v>Scott Cohen</v>
      </c>
      <c r="W2648">
        <f>Table2[Profit]/Table2[Sales]</f>
        <v>0.3</v>
      </c>
    </row>
    <row r="2649" spans="1:23" x14ac:dyDescent="0.25">
      <c r="A2649">
        <v>2648</v>
      </c>
      <c r="B2649" t="s">
        <v>7947</v>
      </c>
      <c r="C2649" s="1">
        <v>41645</v>
      </c>
      <c r="D2649" s="1">
        <v>41647</v>
      </c>
      <c r="E2649" t="s">
        <v>22</v>
      </c>
      <c r="F2649" t="s">
        <v>6815</v>
      </c>
      <c r="G2649" t="s">
        <v>6816</v>
      </c>
      <c r="H2649" t="s">
        <v>25</v>
      </c>
      <c r="I2649" t="s">
        <v>26</v>
      </c>
      <c r="J2649" t="s">
        <v>41</v>
      </c>
      <c r="K2649" t="s">
        <v>42</v>
      </c>
      <c r="L2649">
        <v>90049</v>
      </c>
      <c r="M2649" t="s">
        <v>43</v>
      </c>
      <c r="N2649" t="s">
        <v>1951</v>
      </c>
      <c r="O2649" t="s">
        <v>45</v>
      </c>
      <c r="P2649" t="s">
        <v>89</v>
      </c>
      <c r="Q2649" t="s">
        <v>1952</v>
      </c>
      <c r="R2649">
        <v>19.440000000000001</v>
      </c>
      <c r="S2649">
        <v>3</v>
      </c>
      <c r="T2649">
        <v>0</v>
      </c>
      <c r="U2649">
        <v>9.3312000000000008</v>
      </c>
      <c r="V2649" t="str">
        <f t="shared" si="41"/>
        <v>Lycoris Saunders</v>
      </c>
      <c r="W2649">
        <f>Table2[Profit]/Table2[Sales]</f>
        <v>0.48000000000000004</v>
      </c>
    </row>
    <row r="2650" spans="1:23" x14ac:dyDescent="0.25">
      <c r="A2650">
        <v>2649</v>
      </c>
      <c r="B2650" t="s">
        <v>7948</v>
      </c>
      <c r="C2650" s="1">
        <v>42068</v>
      </c>
      <c r="D2650" s="1">
        <v>42072</v>
      </c>
      <c r="E2650" t="s">
        <v>49</v>
      </c>
      <c r="F2650" t="s">
        <v>1359</v>
      </c>
      <c r="G2650" t="s">
        <v>1360</v>
      </c>
      <c r="H2650" t="s">
        <v>25</v>
      </c>
      <c r="I2650" t="s">
        <v>26</v>
      </c>
      <c r="J2650" t="s">
        <v>181</v>
      </c>
      <c r="K2650" t="s">
        <v>103</v>
      </c>
      <c r="L2650">
        <v>77036</v>
      </c>
      <c r="M2650" t="s">
        <v>104</v>
      </c>
      <c r="N2650" t="s">
        <v>1618</v>
      </c>
      <c r="O2650" t="s">
        <v>70</v>
      </c>
      <c r="P2650" t="s">
        <v>71</v>
      </c>
      <c r="Q2650" t="s">
        <v>1619</v>
      </c>
      <c r="R2650">
        <v>31.92</v>
      </c>
      <c r="S2650">
        <v>2</v>
      </c>
      <c r="T2650">
        <v>0.2</v>
      </c>
      <c r="U2650">
        <v>2.3940000000000001</v>
      </c>
      <c r="V2650" t="str">
        <f t="shared" si="41"/>
        <v>Mike Vittorini</v>
      </c>
      <c r="W2650">
        <f>Table2[Profit]/Table2[Sales]</f>
        <v>7.4999999999999997E-2</v>
      </c>
    </row>
    <row r="2651" spans="1:23" x14ac:dyDescent="0.25">
      <c r="A2651">
        <v>2650</v>
      </c>
      <c r="B2651" t="s">
        <v>7949</v>
      </c>
      <c r="C2651" s="1">
        <v>42729</v>
      </c>
      <c r="D2651" s="1">
        <v>42732</v>
      </c>
      <c r="E2651" t="s">
        <v>22</v>
      </c>
      <c r="F2651" t="s">
        <v>3095</v>
      </c>
      <c r="G2651" t="s">
        <v>3096</v>
      </c>
      <c r="H2651" t="s">
        <v>25</v>
      </c>
      <c r="I2651" t="s">
        <v>26</v>
      </c>
      <c r="J2651" t="s">
        <v>263</v>
      </c>
      <c r="K2651" t="s">
        <v>264</v>
      </c>
      <c r="L2651">
        <v>10035</v>
      </c>
      <c r="M2651" t="s">
        <v>145</v>
      </c>
      <c r="N2651" t="s">
        <v>1187</v>
      </c>
      <c r="O2651" t="s">
        <v>45</v>
      </c>
      <c r="P2651" t="s">
        <v>74</v>
      </c>
      <c r="Q2651" t="s">
        <v>1188</v>
      </c>
      <c r="R2651">
        <v>33.567999999999998</v>
      </c>
      <c r="S2651">
        <v>2</v>
      </c>
      <c r="T2651">
        <v>0.2</v>
      </c>
      <c r="U2651">
        <v>11.748799999999999</v>
      </c>
      <c r="V2651" t="str">
        <f t="shared" si="41"/>
        <v>Brian DeCherney</v>
      </c>
      <c r="W2651">
        <f>Table2[Profit]/Table2[Sales]</f>
        <v>0.35</v>
      </c>
    </row>
    <row r="2652" spans="1:23" x14ac:dyDescent="0.25">
      <c r="A2652">
        <v>2651</v>
      </c>
      <c r="B2652" t="s">
        <v>7950</v>
      </c>
      <c r="C2652" s="1">
        <v>42617</v>
      </c>
      <c r="D2652" s="1">
        <v>42621</v>
      </c>
      <c r="E2652" t="s">
        <v>49</v>
      </c>
      <c r="F2652" t="s">
        <v>5305</v>
      </c>
      <c r="G2652" t="s">
        <v>5306</v>
      </c>
      <c r="H2652" t="s">
        <v>25</v>
      </c>
      <c r="I2652" t="s">
        <v>26</v>
      </c>
      <c r="J2652" t="s">
        <v>263</v>
      </c>
      <c r="K2652" t="s">
        <v>264</v>
      </c>
      <c r="L2652">
        <v>10011</v>
      </c>
      <c r="M2652" t="s">
        <v>145</v>
      </c>
      <c r="N2652" t="s">
        <v>5038</v>
      </c>
      <c r="O2652" t="s">
        <v>31</v>
      </c>
      <c r="P2652" t="s">
        <v>64</v>
      </c>
      <c r="Q2652" t="s">
        <v>5039</v>
      </c>
      <c r="R2652">
        <v>63.94</v>
      </c>
      <c r="S2652">
        <v>1</v>
      </c>
      <c r="T2652">
        <v>0</v>
      </c>
      <c r="U2652">
        <v>24.936599999999999</v>
      </c>
      <c r="V2652" t="str">
        <f t="shared" si="41"/>
        <v>Christina VanderZanden</v>
      </c>
      <c r="W2652">
        <f>Table2[Profit]/Table2[Sales]</f>
        <v>0.39</v>
      </c>
    </row>
    <row r="2653" spans="1:23" x14ac:dyDescent="0.25">
      <c r="A2653">
        <v>2652</v>
      </c>
      <c r="B2653" t="s">
        <v>7951</v>
      </c>
      <c r="C2653" s="1">
        <v>41877</v>
      </c>
      <c r="D2653" s="1">
        <v>41883</v>
      </c>
      <c r="E2653" t="s">
        <v>49</v>
      </c>
      <c r="F2653" t="s">
        <v>400</v>
      </c>
      <c r="G2653" t="s">
        <v>401</v>
      </c>
      <c r="H2653" t="s">
        <v>25</v>
      </c>
      <c r="I2653" t="s">
        <v>26</v>
      </c>
      <c r="J2653" t="s">
        <v>600</v>
      </c>
      <c r="K2653" t="s">
        <v>242</v>
      </c>
      <c r="L2653">
        <v>19711</v>
      </c>
      <c r="M2653" t="s">
        <v>145</v>
      </c>
      <c r="N2653" t="s">
        <v>6670</v>
      </c>
      <c r="O2653" t="s">
        <v>31</v>
      </c>
      <c r="P2653" t="s">
        <v>64</v>
      </c>
      <c r="Q2653" t="s">
        <v>6671</v>
      </c>
      <c r="R2653">
        <v>10.68</v>
      </c>
      <c r="S2653">
        <v>4</v>
      </c>
      <c r="T2653">
        <v>0</v>
      </c>
      <c r="U2653">
        <v>4.0583999999999998</v>
      </c>
      <c r="V2653" t="str">
        <f t="shared" si="41"/>
        <v>Karl Braun</v>
      </c>
      <c r="W2653">
        <f>Table2[Profit]/Table2[Sales]</f>
        <v>0.38</v>
      </c>
    </row>
    <row r="2654" spans="1:23" x14ac:dyDescent="0.25">
      <c r="A2654">
        <v>2653</v>
      </c>
      <c r="B2654" t="s">
        <v>7952</v>
      </c>
      <c r="C2654" s="1">
        <v>42145</v>
      </c>
      <c r="D2654" s="1">
        <v>42149</v>
      </c>
      <c r="E2654" t="s">
        <v>49</v>
      </c>
      <c r="F2654" t="s">
        <v>4571</v>
      </c>
      <c r="G2654" t="s">
        <v>4572</v>
      </c>
      <c r="H2654" t="s">
        <v>40</v>
      </c>
      <c r="I2654" t="s">
        <v>26</v>
      </c>
      <c r="J2654" t="s">
        <v>94</v>
      </c>
      <c r="K2654" t="s">
        <v>95</v>
      </c>
      <c r="L2654">
        <v>98105</v>
      </c>
      <c r="M2654" t="s">
        <v>43</v>
      </c>
      <c r="N2654" t="s">
        <v>2581</v>
      </c>
      <c r="O2654" t="s">
        <v>45</v>
      </c>
      <c r="P2654" t="s">
        <v>74</v>
      </c>
      <c r="Q2654" t="s">
        <v>2582</v>
      </c>
      <c r="R2654">
        <v>26.975999999999999</v>
      </c>
      <c r="S2654">
        <v>4</v>
      </c>
      <c r="T2654">
        <v>0.2</v>
      </c>
      <c r="U2654">
        <v>8.7672000000000008</v>
      </c>
      <c r="V2654" t="str">
        <f t="shared" si="41"/>
        <v>Michelle Ellison</v>
      </c>
      <c r="W2654">
        <f>Table2[Profit]/Table2[Sales]</f>
        <v>0.32500000000000007</v>
      </c>
    </row>
    <row r="2655" spans="1:23" x14ac:dyDescent="0.25">
      <c r="A2655">
        <v>2654</v>
      </c>
      <c r="B2655" t="s">
        <v>7953</v>
      </c>
      <c r="C2655" s="1">
        <v>43024</v>
      </c>
      <c r="D2655" s="1">
        <v>43029</v>
      </c>
      <c r="E2655" t="s">
        <v>49</v>
      </c>
      <c r="F2655" t="s">
        <v>2636</v>
      </c>
      <c r="G2655" t="s">
        <v>2637</v>
      </c>
      <c r="H2655" t="s">
        <v>40</v>
      </c>
      <c r="I2655" t="s">
        <v>26</v>
      </c>
      <c r="J2655" t="s">
        <v>616</v>
      </c>
      <c r="K2655" t="s">
        <v>303</v>
      </c>
      <c r="L2655">
        <v>85254</v>
      </c>
      <c r="M2655" t="s">
        <v>43</v>
      </c>
      <c r="N2655" t="s">
        <v>5655</v>
      </c>
      <c r="O2655" t="s">
        <v>45</v>
      </c>
      <c r="P2655" t="s">
        <v>89</v>
      </c>
      <c r="Q2655" t="s">
        <v>5656</v>
      </c>
      <c r="R2655">
        <v>307.77600000000001</v>
      </c>
      <c r="S2655">
        <v>7</v>
      </c>
      <c r="T2655">
        <v>0.2</v>
      </c>
      <c r="U2655">
        <v>111.5688</v>
      </c>
      <c r="V2655" t="str">
        <f t="shared" si="41"/>
        <v>Anthony Jacobs</v>
      </c>
      <c r="W2655">
        <f>Table2[Profit]/Table2[Sales]</f>
        <v>0.36249999999999999</v>
      </c>
    </row>
    <row r="2656" spans="1:23" x14ac:dyDescent="0.25">
      <c r="A2656">
        <v>2655</v>
      </c>
      <c r="B2656" t="s">
        <v>7954</v>
      </c>
      <c r="C2656" s="1">
        <v>42317</v>
      </c>
      <c r="D2656" s="1">
        <v>42322</v>
      </c>
      <c r="E2656" t="s">
        <v>22</v>
      </c>
      <c r="F2656" t="s">
        <v>1934</v>
      </c>
      <c r="G2656" t="s">
        <v>1935</v>
      </c>
      <c r="H2656" t="s">
        <v>25</v>
      </c>
      <c r="I2656" t="s">
        <v>26</v>
      </c>
      <c r="J2656" t="s">
        <v>2311</v>
      </c>
      <c r="K2656" t="s">
        <v>264</v>
      </c>
      <c r="L2656">
        <v>11572</v>
      </c>
      <c r="M2656" t="s">
        <v>145</v>
      </c>
      <c r="N2656" t="s">
        <v>4567</v>
      </c>
      <c r="O2656" t="s">
        <v>45</v>
      </c>
      <c r="P2656" t="s">
        <v>58</v>
      </c>
      <c r="Q2656" t="s">
        <v>4568</v>
      </c>
      <c r="R2656">
        <v>244.55</v>
      </c>
      <c r="S2656">
        <v>5</v>
      </c>
      <c r="T2656">
        <v>0</v>
      </c>
      <c r="U2656">
        <v>4.891</v>
      </c>
      <c r="V2656" t="str">
        <f t="shared" si="41"/>
        <v>Dianna Vittorini</v>
      </c>
      <c r="W2656">
        <f>Table2[Profit]/Table2[Sales]</f>
        <v>0.02</v>
      </c>
    </row>
    <row r="2657" spans="1:23" x14ac:dyDescent="0.25">
      <c r="A2657">
        <v>2656</v>
      </c>
      <c r="B2657" t="s">
        <v>7955</v>
      </c>
      <c r="C2657" s="1">
        <v>41964</v>
      </c>
      <c r="D2657" s="1">
        <v>41970</v>
      </c>
      <c r="E2657" t="s">
        <v>49</v>
      </c>
      <c r="F2657" t="s">
        <v>7956</v>
      </c>
      <c r="G2657" t="s">
        <v>7957</v>
      </c>
      <c r="H2657" t="s">
        <v>40</v>
      </c>
      <c r="I2657" t="s">
        <v>26</v>
      </c>
      <c r="J2657" t="s">
        <v>808</v>
      </c>
      <c r="K2657" t="s">
        <v>103</v>
      </c>
      <c r="L2657">
        <v>75220</v>
      </c>
      <c r="M2657" t="s">
        <v>104</v>
      </c>
      <c r="N2657" t="s">
        <v>169</v>
      </c>
      <c r="O2657" t="s">
        <v>45</v>
      </c>
      <c r="P2657" t="s">
        <v>170</v>
      </c>
      <c r="Q2657" t="s">
        <v>171</v>
      </c>
      <c r="R2657">
        <v>1.6319999999999999</v>
      </c>
      <c r="S2657">
        <v>1</v>
      </c>
      <c r="T2657">
        <v>0.2</v>
      </c>
      <c r="U2657">
        <v>0.55079999999999996</v>
      </c>
      <c r="V2657" t="str">
        <f t="shared" si="41"/>
        <v>Jason Klamczynski</v>
      </c>
      <c r="W2657">
        <f>Table2[Profit]/Table2[Sales]</f>
        <v>0.33750000000000002</v>
      </c>
    </row>
    <row r="2658" spans="1:23" x14ac:dyDescent="0.25">
      <c r="A2658">
        <v>2657</v>
      </c>
      <c r="B2658" t="s">
        <v>7958</v>
      </c>
      <c r="C2658" s="1">
        <v>42288</v>
      </c>
      <c r="D2658" s="1">
        <v>42290</v>
      </c>
      <c r="E2658" t="s">
        <v>22</v>
      </c>
      <c r="F2658" t="s">
        <v>1117</v>
      </c>
      <c r="G2658" t="s">
        <v>1118</v>
      </c>
      <c r="H2658" t="s">
        <v>25</v>
      </c>
      <c r="I2658" t="s">
        <v>26</v>
      </c>
      <c r="J2658" t="s">
        <v>382</v>
      </c>
      <c r="K2658" t="s">
        <v>264</v>
      </c>
      <c r="L2658">
        <v>14609</v>
      </c>
      <c r="M2658" t="s">
        <v>145</v>
      </c>
      <c r="N2658" t="s">
        <v>5501</v>
      </c>
      <c r="O2658" t="s">
        <v>70</v>
      </c>
      <c r="P2658" t="s">
        <v>158</v>
      </c>
      <c r="Q2658" t="s">
        <v>6647</v>
      </c>
      <c r="R2658">
        <v>31.95</v>
      </c>
      <c r="S2658">
        <v>1</v>
      </c>
      <c r="T2658">
        <v>0</v>
      </c>
      <c r="U2658">
        <v>2.2364999999999999</v>
      </c>
      <c r="V2658" t="str">
        <f t="shared" si="41"/>
        <v>Shahid Hopkins</v>
      </c>
      <c r="W2658">
        <f>Table2[Profit]/Table2[Sales]</f>
        <v>6.9999999999999993E-2</v>
      </c>
    </row>
    <row r="2659" spans="1:23" x14ac:dyDescent="0.25">
      <c r="A2659">
        <v>2658</v>
      </c>
      <c r="B2659" t="s">
        <v>7959</v>
      </c>
      <c r="C2659" s="1">
        <v>42815</v>
      </c>
      <c r="D2659" s="1">
        <v>42817</v>
      </c>
      <c r="E2659" t="s">
        <v>22</v>
      </c>
      <c r="F2659" t="s">
        <v>512</v>
      </c>
      <c r="G2659" t="s">
        <v>513</v>
      </c>
      <c r="H2659" t="s">
        <v>25</v>
      </c>
      <c r="I2659" t="s">
        <v>26</v>
      </c>
      <c r="J2659" t="s">
        <v>41</v>
      </c>
      <c r="K2659" t="s">
        <v>42</v>
      </c>
      <c r="L2659">
        <v>90045</v>
      </c>
      <c r="M2659" t="s">
        <v>43</v>
      </c>
      <c r="N2659" t="s">
        <v>1007</v>
      </c>
      <c r="O2659" t="s">
        <v>45</v>
      </c>
      <c r="P2659" t="s">
        <v>58</v>
      </c>
      <c r="Q2659" t="s">
        <v>1008</v>
      </c>
      <c r="R2659">
        <v>725.84</v>
      </c>
      <c r="S2659">
        <v>4</v>
      </c>
      <c r="T2659">
        <v>0</v>
      </c>
      <c r="U2659">
        <v>210.49359999999999</v>
      </c>
      <c r="V2659" t="str">
        <f t="shared" si="41"/>
        <v>Steven Cartwright</v>
      </c>
      <c r="W2659">
        <f>Table2[Profit]/Table2[Sales]</f>
        <v>0.28999999999999998</v>
      </c>
    </row>
    <row r="2660" spans="1:23" x14ac:dyDescent="0.25">
      <c r="A2660">
        <v>2659</v>
      </c>
      <c r="B2660" t="s">
        <v>7960</v>
      </c>
      <c r="C2660" s="1">
        <v>42008</v>
      </c>
      <c r="D2660" s="1">
        <v>42014</v>
      </c>
      <c r="E2660" t="s">
        <v>49</v>
      </c>
      <c r="F2660" t="s">
        <v>2388</v>
      </c>
      <c r="G2660" t="s">
        <v>2389</v>
      </c>
      <c r="H2660" t="s">
        <v>40</v>
      </c>
      <c r="I2660" t="s">
        <v>26</v>
      </c>
      <c r="J2660" t="s">
        <v>7961</v>
      </c>
      <c r="K2660" t="s">
        <v>226</v>
      </c>
      <c r="L2660">
        <v>55125</v>
      </c>
      <c r="M2660" t="s">
        <v>104</v>
      </c>
      <c r="N2660" t="s">
        <v>3188</v>
      </c>
      <c r="O2660" t="s">
        <v>45</v>
      </c>
      <c r="P2660" t="s">
        <v>74</v>
      </c>
      <c r="Q2660" t="s">
        <v>3189</v>
      </c>
      <c r="R2660">
        <v>32.340000000000003</v>
      </c>
      <c r="S2660">
        <v>3</v>
      </c>
      <c r="T2660">
        <v>0</v>
      </c>
      <c r="U2660">
        <v>15.523199999999999</v>
      </c>
      <c r="V2660" t="str">
        <f t="shared" si="41"/>
        <v>Chris Selesnick</v>
      </c>
      <c r="W2660">
        <f>Table2[Profit]/Table2[Sales]</f>
        <v>0.47999999999999993</v>
      </c>
    </row>
    <row r="2661" spans="1:23" x14ac:dyDescent="0.25">
      <c r="A2661">
        <v>2660</v>
      </c>
      <c r="B2661" t="s">
        <v>7962</v>
      </c>
      <c r="C2661" s="1">
        <v>43078</v>
      </c>
      <c r="D2661" s="1">
        <v>43085</v>
      </c>
      <c r="E2661" t="s">
        <v>49</v>
      </c>
      <c r="F2661" t="s">
        <v>239</v>
      </c>
      <c r="G2661" t="s">
        <v>240</v>
      </c>
      <c r="H2661" t="s">
        <v>25</v>
      </c>
      <c r="I2661" t="s">
        <v>26</v>
      </c>
      <c r="J2661" t="s">
        <v>1588</v>
      </c>
      <c r="K2661" t="s">
        <v>208</v>
      </c>
      <c r="L2661">
        <v>60068</v>
      </c>
      <c r="M2661" t="s">
        <v>104</v>
      </c>
      <c r="N2661" t="s">
        <v>2613</v>
      </c>
      <c r="O2661" t="s">
        <v>45</v>
      </c>
      <c r="P2661" t="s">
        <v>89</v>
      </c>
      <c r="Q2661" t="s">
        <v>2614</v>
      </c>
      <c r="R2661">
        <v>143.85599999999999</v>
      </c>
      <c r="S2661">
        <v>9</v>
      </c>
      <c r="T2661">
        <v>0.2</v>
      </c>
      <c r="U2661">
        <v>48.551400000000001</v>
      </c>
      <c r="V2661" t="str">
        <f t="shared" si="41"/>
        <v>Lena Hernandez</v>
      </c>
      <c r="W2661">
        <f>Table2[Profit]/Table2[Sales]</f>
        <v>0.33750000000000002</v>
      </c>
    </row>
    <row r="2662" spans="1:23" x14ac:dyDescent="0.25">
      <c r="A2662">
        <v>2661</v>
      </c>
      <c r="B2662" t="s">
        <v>7963</v>
      </c>
      <c r="C2662" s="1">
        <v>42619</v>
      </c>
      <c r="D2662" s="1">
        <v>42625</v>
      </c>
      <c r="E2662" t="s">
        <v>49</v>
      </c>
      <c r="F2662" t="s">
        <v>2362</v>
      </c>
      <c r="G2662" t="s">
        <v>2363</v>
      </c>
      <c r="H2662" t="s">
        <v>40</v>
      </c>
      <c r="I2662" t="s">
        <v>26</v>
      </c>
      <c r="J2662" t="s">
        <v>808</v>
      </c>
      <c r="K2662" t="s">
        <v>103</v>
      </c>
      <c r="L2662">
        <v>75217</v>
      </c>
      <c r="M2662" t="s">
        <v>104</v>
      </c>
      <c r="N2662" t="s">
        <v>5679</v>
      </c>
      <c r="O2662" t="s">
        <v>45</v>
      </c>
      <c r="P2662" t="s">
        <v>89</v>
      </c>
      <c r="Q2662" t="s">
        <v>5680</v>
      </c>
      <c r="R2662">
        <v>41.92</v>
      </c>
      <c r="S2662">
        <v>4</v>
      </c>
      <c r="T2662">
        <v>0.2</v>
      </c>
      <c r="U2662">
        <v>15.196</v>
      </c>
      <c r="V2662" t="str">
        <f t="shared" si="41"/>
        <v>Yoseph Carroll</v>
      </c>
      <c r="W2662">
        <f>Table2[Profit]/Table2[Sales]</f>
        <v>0.36249999999999999</v>
      </c>
    </row>
    <row r="2663" spans="1:23" x14ac:dyDescent="0.25">
      <c r="A2663">
        <v>2662</v>
      </c>
      <c r="B2663" t="s">
        <v>7964</v>
      </c>
      <c r="C2663" s="1">
        <v>42616</v>
      </c>
      <c r="D2663" s="1">
        <v>42619</v>
      </c>
      <c r="E2663" t="s">
        <v>185</v>
      </c>
      <c r="F2663" t="s">
        <v>3143</v>
      </c>
      <c r="G2663" t="s">
        <v>3144</v>
      </c>
      <c r="H2663" t="s">
        <v>40</v>
      </c>
      <c r="I2663" t="s">
        <v>26</v>
      </c>
      <c r="J2663" t="s">
        <v>728</v>
      </c>
      <c r="K2663" t="s">
        <v>729</v>
      </c>
      <c r="L2663">
        <v>71203</v>
      </c>
      <c r="M2663" t="s">
        <v>29</v>
      </c>
      <c r="N2663" t="s">
        <v>2440</v>
      </c>
      <c r="O2663" t="s">
        <v>45</v>
      </c>
      <c r="P2663" t="s">
        <v>74</v>
      </c>
      <c r="Q2663" t="s">
        <v>2441</v>
      </c>
      <c r="R2663">
        <v>87.28</v>
      </c>
      <c r="S2663">
        <v>8</v>
      </c>
      <c r="T2663">
        <v>0</v>
      </c>
      <c r="U2663">
        <v>41.021599999999999</v>
      </c>
      <c r="V2663" t="str">
        <f t="shared" si="41"/>
        <v>Craig Yedwab</v>
      </c>
      <c r="W2663">
        <f>Table2[Profit]/Table2[Sales]</f>
        <v>0.47</v>
      </c>
    </row>
    <row r="2664" spans="1:23" x14ac:dyDescent="0.25">
      <c r="A2664">
        <v>2663</v>
      </c>
      <c r="B2664" t="s">
        <v>7965</v>
      </c>
      <c r="C2664" s="1">
        <v>41772</v>
      </c>
      <c r="D2664" s="1">
        <v>41778</v>
      </c>
      <c r="E2664" t="s">
        <v>49</v>
      </c>
      <c r="F2664" t="s">
        <v>6269</v>
      </c>
      <c r="G2664" t="s">
        <v>6270</v>
      </c>
      <c r="H2664" t="s">
        <v>40</v>
      </c>
      <c r="I2664" t="s">
        <v>26</v>
      </c>
      <c r="J2664" t="s">
        <v>41</v>
      </c>
      <c r="K2664" t="s">
        <v>42</v>
      </c>
      <c r="L2664">
        <v>90004</v>
      </c>
      <c r="M2664" t="s">
        <v>43</v>
      </c>
      <c r="N2664" t="s">
        <v>5380</v>
      </c>
      <c r="O2664" t="s">
        <v>31</v>
      </c>
      <c r="P2664" t="s">
        <v>35</v>
      </c>
      <c r="Q2664" t="s">
        <v>5381</v>
      </c>
      <c r="R2664">
        <v>279.45600000000002</v>
      </c>
      <c r="S2664">
        <v>6</v>
      </c>
      <c r="T2664">
        <v>0.2</v>
      </c>
      <c r="U2664">
        <v>20.959199999999999</v>
      </c>
      <c r="V2664" t="str">
        <f t="shared" si="41"/>
        <v>Aaron Hawkins</v>
      </c>
      <c r="W2664">
        <f>Table2[Profit]/Table2[Sales]</f>
        <v>7.4999999999999997E-2</v>
      </c>
    </row>
    <row r="2665" spans="1:23" x14ac:dyDescent="0.25">
      <c r="A2665">
        <v>2664</v>
      </c>
      <c r="B2665" t="s">
        <v>7968</v>
      </c>
      <c r="C2665" s="1">
        <v>42642</v>
      </c>
      <c r="D2665" s="1">
        <v>42646</v>
      </c>
      <c r="E2665" t="s">
        <v>49</v>
      </c>
      <c r="F2665" t="s">
        <v>3945</v>
      </c>
      <c r="G2665" t="s">
        <v>3946</v>
      </c>
      <c r="H2665" t="s">
        <v>25</v>
      </c>
      <c r="I2665" t="s">
        <v>26</v>
      </c>
      <c r="J2665" t="s">
        <v>126</v>
      </c>
      <c r="K2665" t="s">
        <v>42</v>
      </c>
      <c r="L2665">
        <v>94109</v>
      </c>
      <c r="M2665" t="s">
        <v>43</v>
      </c>
      <c r="N2665" t="s">
        <v>5111</v>
      </c>
      <c r="O2665" t="s">
        <v>45</v>
      </c>
      <c r="P2665" t="s">
        <v>74</v>
      </c>
      <c r="Q2665" t="s">
        <v>5112</v>
      </c>
      <c r="R2665">
        <v>27.24</v>
      </c>
      <c r="S2665">
        <v>5</v>
      </c>
      <c r="T2665">
        <v>0.2</v>
      </c>
      <c r="U2665">
        <v>9.5340000000000007</v>
      </c>
      <c r="V2665" t="str">
        <f t="shared" si="41"/>
        <v>Andy Reiter</v>
      </c>
      <c r="W2665">
        <f>Table2[Profit]/Table2[Sales]</f>
        <v>0.35000000000000003</v>
      </c>
    </row>
    <row r="2666" spans="1:23" x14ac:dyDescent="0.25">
      <c r="A2666">
        <v>2665</v>
      </c>
      <c r="B2666" t="s">
        <v>7969</v>
      </c>
      <c r="C2666" s="1">
        <v>41856</v>
      </c>
      <c r="D2666" s="1">
        <v>41862</v>
      </c>
      <c r="E2666" t="s">
        <v>49</v>
      </c>
      <c r="F2666" t="s">
        <v>1670</v>
      </c>
      <c r="G2666" t="s">
        <v>1671</v>
      </c>
      <c r="H2666" t="s">
        <v>25</v>
      </c>
      <c r="I2666" t="s">
        <v>26</v>
      </c>
      <c r="J2666" t="s">
        <v>126</v>
      </c>
      <c r="K2666" t="s">
        <v>42</v>
      </c>
      <c r="L2666">
        <v>94122</v>
      </c>
      <c r="M2666" t="s">
        <v>43</v>
      </c>
      <c r="N2666" t="s">
        <v>3694</v>
      </c>
      <c r="O2666" t="s">
        <v>70</v>
      </c>
      <c r="P2666" t="s">
        <v>158</v>
      </c>
      <c r="Q2666" t="s">
        <v>3695</v>
      </c>
      <c r="R2666">
        <v>16.36</v>
      </c>
      <c r="S2666">
        <v>1</v>
      </c>
      <c r="T2666">
        <v>0</v>
      </c>
      <c r="U2666">
        <v>1.6359999999999999</v>
      </c>
      <c r="V2666" t="str">
        <f t="shared" si="41"/>
        <v>Sonia Sunley</v>
      </c>
      <c r="W2666">
        <f>Table2[Profit]/Table2[Sales]</f>
        <v>9.9999999999999992E-2</v>
      </c>
    </row>
    <row r="2667" spans="1:23" x14ac:dyDescent="0.25">
      <c r="A2667">
        <v>2666</v>
      </c>
      <c r="B2667" t="s">
        <v>7970</v>
      </c>
      <c r="C2667" s="1">
        <v>42839</v>
      </c>
      <c r="D2667" s="1">
        <v>42843</v>
      </c>
      <c r="E2667" t="s">
        <v>49</v>
      </c>
      <c r="F2667" t="s">
        <v>549</v>
      </c>
      <c r="G2667" t="s">
        <v>550</v>
      </c>
      <c r="H2667" t="s">
        <v>40</v>
      </c>
      <c r="I2667" t="s">
        <v>26</v>
      </c>
      <c r="J2667" t="s">
        <v>1682</v>
      </c>
      <c r="K2667" t="s">
        <v>87</v>
      </c>
      <c r="L2667">
        <v>28314</v>
      </c>
      <c r="M2667" t="s">
        <v>29</v>
      </c>
      <c r="N2667" t="s">
        <v>3537</v>
      </c>
      <c r="O2667" t="s">
        <v>31</v>
      </c>
      <c r="P2667" t="s">
        <v>32</v>
      </c>
      <c r="Q2667" t="s">
        <v>3538</v>
      </c>
      <c r="R2667">
        <v>198.27199999999999</v>
      </c>
      <c r="S2667">
        <v>8</v>
      </c>
      <c r="T2667">
        <v>0.2</v>
      </c>
      <c r="U2667">
        <v>-32.219200000000001</v>
      </c>
      <c r="V2667" t="str">
        <f t="shared" si="41"/>
        <v>Dorothy Wardle</v>
      </c>
      <c r="W2667">
        <f>Table2[Profit]/Table2[Sales]</f>
        <v>-0.16250000000000001</v>
      </c>
    </row>
    <row r="2668" spans="1:23" x14ac:dyDescent="0.25">
      <c r="A2668">
        <v>2667</v>
      </c>
      <c r="B2668" t="s">
        <v>7971</v>
      </c>
      <c r="C2668" s="1">
        <v>42895</v>
      </c>
      <c r="D2668" s="1">
        <v>42896</v>
      </c>
      <c r="E2668" t="s">
        <v>185</v>
      </c>
      <c r="F2668" t="s">
        <v>4556</v>
      </c>
      <c r="G2668" t="s">
        <v>4557</v>
      </c>
      <c r="H2668" t="s">
        <v>40</v>
      </c>
      <c r="I2668" t="s">
        <v>26</v>
      </c>
      <c r="J2668" t="s">
        <v>808</v>
      </c>
      <c r="K2668" t="s">
        <v>103</v>
      </c>
      <c r="L2668">
        <v>75217</v>
      </c>
      <c r="M2668" t="s">
        <v>104</v>
      </c>
      <c r="N2668" t="s">
        <v>2832</v>
      </c>
      <c r="O2668" t="s">
        <v>45</v>
      </c>
      <c r="P2668" t="s">
        <v>58</v>
      </c>
      <c r="Q2668" t="s">
        <v>2833</v>
      </c>
      <c r="R2668">
        <v>720.76</v>
      </c>
      <c r="S2668">
        <v>5</v>
      </c>
      <c r="T2668">
        <v>0.2</v>
      </c>
      <c r="U2668">
        <v>54.057000000000002</v>
      </c>
      <c r="V2668" t="str">
        <f t="shared" si="41"/>
        <v>Noah Childs</v>
      </c>
      <c r="W2668">
        <f>Table2[Profit]/Table2[Sales]</f>
        <v>7.4999999999999997E-2</v>
      </c>
    </row>
    <row r="2669" spans="1:23" x14ac:dyDescent="0.25">
      <c r="A2669">
        <v>2668</v>
      </c>
      <c r="B2669" t="s">
        <v>7972</v>
      </c>
      <c r="C2669" s="1">
        <v>42733</v>
      </c>
      <c r="D2669" s="1">
        <v>42737</v>
      </c>
      <c r="E2669" t="s">
        <v>49</v>
      </c>
      <c r="F2669" t="s">
        <v>2472</v>
      </c>
      <c r="G2669" t="s">
        <v>2473</v>
      </c>
      <c r="H2669" t="s">
        <v>25</v>
      </c>
      <c r="I2669" t="s">
        <v>26</v>
      </c>
      <c r="J2669" t="s">
        <v>7078</v>
      </c>
      <c r="K2669" t="s">
        <v>4436</v>
      </c>
      <c r="L2669">
        <v>67212</v>
      </c>
      <c r="M2669" t="s">
        <v>104</v>
      </c>
      <c r="N2669" t="s">
        <v>6414</v>
      </c>
      <c r="O2669" t="s">
        <v>31</v>
      </c>
      <c r="P2669" t="s">
        <v>64</v>
      </c>
      <c r="Q2669" t="s">
        <v>6415</v>
      </c>
      <c r="R2669">
        <v>70.56</v>
      </c>
      <c r="S2669">
        <v>6</v>
      </c>
      <c r="T2669">
        <v>0</v>
      </c>
      <c r="U2669">
        <v>23.990400000000001</v>
      </c>
      <c r="V2669" t="str">
        <f t="shared" si="41"/>
        <v>Carlos Daly</v>
      </c>
      <c r="W2669">
        <f>Table2[Profit]/Table2[Sales]</f>
        <v>0.34</v>
      </c>
    </row>
    <row r="2670" spans="1:23" x14ac:dyDescent="0.25">
      <c r="A2670">
        <v>2669</v>
      </c>
      <c r="B2670" t="s">
        <v>7973</v>
      </c>
      <c r="C2670" s="1">
        <v>41657</v>
      </c>
      <c r="D2670" s="1">
        <v>41660</v>
      </c>
      <c r="E2670" t="s">
        <v>22</v>
      </c>
      <c r="F2670" t="s">
        <v>6301</v>
      </c>
      <c r="G2670" t="s">
        <v>6302</v>
      </c>
      <c r="H2670" t="s">
        <v>40</v>
      </c>
      <c r="I2670" t="s">
        <v>26</v>
      </c>
      <c r="J2670" t="s">
        <v>311</v>
      </c>
      <c r="K2670" t="s">
        <v>413</v>
      </c>
      <c r="L2670">
        <v>97477</v>
      </c>
      <c r="M2670" t="s">
        <v>43</v>
      </c>
      <c r="N2670" t="s">
        <v>5026</v>
      </c>
      <c r="O2670" t="s">
        <v>45</v>
      </c>
      <c r="P2670" t="s">
        <v>77</v>
      </c>
      <c r="Q2670" t="s">
        <v>5027</v>
      </c>
      <c r="R2670">
        <v>64.864000000000004</v>
      </c>
      <c r="S2670">
        <v>4</v>
      </c>
      <c r="T2670">
        <v>0.2</v>
      </c>
      <c r="U2670">
        <v>6.4863999999999997</v>
      </c>
      <c r="V2670" t="str">
        <f t="shared" si="41"/>
        <v>David Wiener</v>
      </c>
      <c r="W2670">
        <f>Table2[Profit]/Table2[Sales]</f>
        <v>9.9999999999999992E-2</v>
      </c>
    </row>
    <row r="2671" spans="1:23" x14ac:dyDescent="0.25">
      <c r="A2671">
        <v>2670</v>
      </c>
      <c r="B2671" t="s">
        <v>7974</v>
      </c>
      <c r="C2671" s="1">
        <v>42694</v>
      </c>
      <c r="D2671" s="1">
        <v>42698</v>
      </c>
      <c r="E2671" t="s">
        <v>49</v>
      </c>
      <c r="F2671" t="s">
        <v>4654</v>
      </c>
      <c r="G2671" t="s">
        <v>4655</v>
      </c>
      <c r="H2671" t="s">
        <v>25</v>
      </c>
      <c r="I2671" t="s">
        <v>26</v>
      </c>
      <c r="J2671" t="s">
        <v>181</v>
      </c>
      <c r="K2671" t="s">
        <v>103</v>
      </c>
      <c r="L2671">
        <v>77041</v>
      </c>
      <c r="M2671" t="s">
        <v>104</v>
      </c>
      <c r="N2671" t="s">
        <v>3318</v>
      </c>
      <c r="O2671" t="s">
        <v>70</v>
      </c>
      <c r="P2671" t="s">
        <v>71</v>
      </c>
      <c r="Q2671" t="s">
        <v>3319</v>
      </c>
      <c r="R2671">
        <v>151.19200000000001</v>
      </c>
      <c r="S2671">
        <v>1</v>
      </c>
      <c r="T2671">
        <v>0.2</v>
      </c>
      <c r="U2671">
        <v>13.2293</v>
      </c>
      <c r="V2671" t="str">
        <f t="shared" si="41"/>
        <v>Erica Hackney</v>
      </c>
      <c r="W2671">
        <f>Table2[Profit]/Table2[Sales]</f>
        <v>8.7499999999999994E-2</v>
      </c>
    </row>
    <row r="2672" spans="1:23" x14ac:dyDescent="0.25">
      <c r="A2672">
        <v>2671</v>
      </c>
      <c r="B2672" t="s">
        <v>7975</v>
      </c>
      <c r="C2672" s="1">
        <v>42896</v>
      </c>
      <c r="D2672" s="1">
        <v>42901</v>
      </c>
      <c r="E2672" t="s">
        <v>49</v>
      </c>
      <c r="F2672" t="s">
        <v>1844</v>
      </c>
      <c r="G2672" t="s">
        <v>1845</v>
      </c>
      <c r="H2672" t="s">
        <v>25</v>
      </c>
      <c r="I2672" t="s">
        <v>26</v>
      </c>
      <c r="J2672" t="s">
        <v>94</v>
      </c>
      <c r="K2672" t="s">
        <v>95</v>
      </c>
      <c r="L2672">
        <v>98103</v>
      </c>
      <c r="M2672" t="s">
        <v>43</v>
      </c>
      <c r="N2672" t="s">
        <v>2633</v>
      </c>
      <c r="O2672" t="s">
        <v>70</v>
      </c>
      <c r="P2672" t="s">
        <v>71</v>
      </c>
      <c r="Q2672" t="s">
        <v>2634</v>
      </c>
      <c r="R2672">
        <v>88.775999999999996</v>
      </c>
      <c r="S2672">
        <v>3</v>
      </c>
      <c r="T2672">
        <v>0.2</v>
      </c>
      <c r="U2672">
        <v>7.7679</v>
      </c>
      <c r="V2672" t="str">
        <f t="shared" si="41"/>
        <v>Bill Donatelli</v>
      </c>
      <c r="W2672">
        <f>Table2[Profit]/Table2[Sales]</f>
        <v>8.7500000000000008E-2</v>
      </c>
    </row>
    <row r="2673" spans="1:23" x14ac:dyDescent="0.25">
      <c r="A2673">
        <v>2672</v>
      </c>
      <c r="B2673" t="s">
        <v>7976</v>
      </c>
      <c r="C2673" s="1">
        <v>42988</v>
      </c>
      <c r="D2673" s="1">
        <v>42991</v>
      </c>
      <c r="E2673" t="s">
        <v>185</v>
      </c>
      <c r="F2673" t="s">
        <v>1489</v>
      </c>
      <c r="G2673" t="s">
        <v>1490</v>
      </c>
      <c r="H2673" t="s">
        <v>40</v>
      </c>
      <c r="I2673" t="s">
        <v>26</v>
      </c>
      <c r="J2673" t="s">
        <v>794</v>
      </c>
      <c r="K2673" t="s">
        <v>491</v>
      </c>
      <c r="L2673">
        <v>44312</v>
      </c>
      <c r="M2673" t="s">
        <v>145</v>
      </c>
      <c r="N2673" t="s">
        <v>7977</v>
      </c>
      <c r="O2673" t="s">
        <v>45</v>
      </c>
      <c r="P2673" t="s">
        <v>89</v>
      </c>
      <c r="Q2673" t="s">
        <v>7978</v>
      </c>
      <c r="R2673">
        <v>85.055999999999997</v>
      </c>
      <c r="S2673">
        <v>3</v>
      </c>
      <c r="T2673">
        <v>0.2</v>
      </c>
      <c r="U2673">
        <v>28.706399999999999</v>
      </c>
      <c r="V2673" t="str">
        <f t="shared" si="41"/>
        <v>Ken Heidel</v>
      </c>
      <c r="W2673">
        <f>Table2[Profit]/Table2[Sales]</f>
        <v>0.33749999999999997</v>
      </c>
    </row>
    <row r="2674" spans="1:23" x14ac:dyDescent="0.25">
      <c r="A2674">
        <v>2673</v>
      </c>
      <c r="B2674" t="s">
        <v>7979</v>
      </c>
      <c r="C2674" s="1">
        <v>42833</v>
      </c>
      <c r="D2674" s="1">
        <v>42837</v>
      </c>
      <c r="E2674" t="s">
        <v>49</v>
      </c>
      <c r="F2674" t="s">
        <v>3842</v>
      </c>
      <c r="G2674" t="s">
        <v>3843</v>
      </c>
      <c r="H2674" t="s">
        <v>40</v>
      </c>
      <c r="I2674" t="s">
        <v>26</v>
      </c>
      <c r="J2674" t="s">
        <v>7635</v>
      </c>
      <c r="K2674" t="s">
        <v>235</v>
      </c>
      <c r="L2674">
        <v>48237</v>
      </c>
      <c r="M2674" t="s">
        <v>104</v>
      </c>
      <c r="N2674" t="s">
        <v>5527</v>
      </c>
      <c r="O2674" t="s">
        <v>31</v>
      </c>
      <c r="P2674" t="s">
        <v>64</v>
      </c>
      <c r="Q2674" t="s">
        <v>5528</v>
      </c>
      <c r="R2674">
        <v>273.95999999999998</v>
      </c>
      <c r="S2674">
        <v>2</v>
      </c>
      <c r="T2674">
        <v>0</v>
      </c>
      <c r="U2674">
        <v>71.229600000000005</v>
      </c>
      <c r="V2674" t="str">
        <f t="shared" si="41"/>
        <v>Nicole Hansen</v>
      </c>
      <c r="W2674">
        <f>Table2[Profit]/Table2[Sales]</f>
        <v>0.26000000000000006</v>
      </c>
    </row>
    <row r="2675" spans="1:23" x14ac:dyDescent="0.25">
      <c r="A2675">
        <v>2674</v>
      </c>
      <c r="B2675" t="s">
        <v>7980</v>
      </c>
      <c r="C2675" s="1">
        <v>42301</v>
      </c>
      <c r="D2675" s="1">
        <v>42307</v>
      </c>
      <c r="E2675" t="s">
        <v>49</v>
      </c>
      <c r="F2675" t="s">
        <v>1025</v>
      </c>
      <c r="G2675" t="s">
        <v>1026</v>
      </c>
      <c r="H2675" t="s">
        <v>40</v>
      </c>
      <c r="I2675" t="s">
        <v>26</v>
      </c>
      <c r="J2675" t="s">
        <v>181</v>
      </c>
      <c r="K2675" t="s">
        <v>103</v>
      </c>
      <c r="L2675">
        <v>77041</v>
      </c>
      <c r="M2675" t="s">
        <v>104</v>
      </c>
      <c r="N2675" t="s">
        <v>403</v>
      </c>
      <c r="O2675" t="s">
        <v>45</v>
      </c>
      <c r="P2675" t="s">
        <v>89</v>
      </c>
      <c r="Q2675" t="s">
        <v>404</v>
      </c>
      <c r="R2675">
        <v>15.552</v>
      </c>
      <c r="S2675">
        <v>3</v>
      </c>
      <c r="T2675">
        <v>0.2</v>
      </c>
      <c r="U2675">
        <v>5.4432</v>
      </c>
      <c r="V2675" t="str">
        <f t="shared" si="41"/>
        <v>Andrew Gjertsen</v>
      </c>
      <c r="W2675">
        <f>Table2[Profit]/Table2[Sales]</f>
        <v>0.35000000000000003</v>
      </c>
    </row>
    <row r="2676" spans="1:23" x14ac:dyDescent="0.25">
      <c r="A2676">
        <v>2675</v>
      </c>
      <c r="B2676" t="s">
        <v>7981</v>
      </c>
      <c r="C2676" s="1">
        <v>42882</v>
      </c>
      <c r="D2676" s="1">
        <v>42886</v>
      </c>
      <c r="E2676" t="s">
        <v>49</v>
      </c>
      <c r="F2676" t="s">
        <v>4420</v>
      </c>
      <c r="G2676" t="s">
        <v>4421</v>
      </c>
      <c r="H2676" t="s">
        <v>40</v>
      </c>
      <c r="I2676" t="s">
        <v>26</v>
      </c>
      <c r="J2676" t="s">
        <v>94</v>
      </c>
      <c r="K2676" t="s">
        <v>95</v>
      </c>
      <c r="L2676">
        <v>98103</v>
      </c>
      <c r="M2676" t="s">
        <v>43</v>
      </c>
      <c r="N2676" t="s">
        <v>3694</v>
      </c>
      <c r="O2676" t="s">
        <v>70</v>
      </c>
      <c r="P2676" t="s">
        <v>158</v>
      </c>
      <c r="Q2676" t="s">
        <v>3695</v>
      </c>
      <c r="R2676">
        <v>98.16</v>
      </c>
      <c r="S2676">
        <v>6</v>
      </c>
      <c r="T2676">
        <v>0</v>
      </c>
      <c r="U2676">
        <v>9.8160000000000007</v>
      </c>
      <c r="V2676" t="str">
        <f t="shared" si="41"/>
        <v>Roy Phan</v>
      </c>
      <c r="W2676">
        <f>Table2[Profit]/Table2[Sales]</f>
        <v>0.1</v>
      </c>
    </row>
    <row r="2677" spans="1:23" x14ac:dyDescent="0.25">
      <c r="A2677">
        <v>2676</v>
      </c>
      <c r="B2677" t="s">
        <v>7982</v>
      </c>
      <c r="C2677" s="1">
        <v>41978</v>
      </c>
      <c r="D2677" s="1">
        <v>41980</v>
      </c>
      <c r="E2677" t="s">
        <v>185</v>
      </c>
      <c r="F2677" t="s">
        <v>1993</v>
      </c>
      <c r="G2677" t="s">
        <v>1994</v>
      </c>
      <c r="H2677" t="s">
        <v>40</v>
      </c>
      <c r="I2677" t="s">
        <v>26</v>
      </c>
      <c r="J2677" t="s">
        <v>143</v>
      </c>
      <c r="K2677" t="s">
        <v>144</v>
      </c>
      <c r="L2677">
        <v>19134</v>
      </c>
      <c r="M2677" t="s">
        <v>145</v>
      </c>
      <c r="N2677" t="s">
        <v>2436</v>
      </c>
      <c r="O2677" t="s">
        <v>45</v>
      </c>
      <c r="P2677" t="s">
        <v>170</v>
      </c>
      <c r="Q2677" t="s">
        <v>2437</v>
      </c>
      <c r="R2677">
        <v>348.488</v>
      </c>
      <c r="S2677">
        <v>7</v>
      </c>
      <c r="T2677">
        <v>0.2</v>
      </c>
      <c r="U2677">
        <v>117.6147</v>
      </c>
      <c r="V2677" t="str">
        <f t="shared" si="41"/>
        <v>Nona Balk</v>
      </c>
      <c r="W2677">
        <f>Table2[Profit]/Table2[Sales]</f>
        <v>0.33750000000000002</v>
      </c>
    </row>
    <row r="2678" spans="1:23" x14ac:dyDescent="0.25">
      <c r="A2678">
        <v>2677</v>
      </c>
      <c r="B2678" t="s">
        <v>7983</v>
      </c>
      <c r="C2678" s="1">
        <v>42596</v>
      </c>
      <c r="D2678" s="1">
        <v>42600</v>
      </c>
      <c r="E2678" t="s">
        <v>49</v>
      </c>
      <c r="F2678" t="s">
        <v>7784</v>
      </c>
      <c r="G2678" t="s">
        <v>7785</v>
      </c>
      <c r="H2678" t="s">
        <v>25</v>
      </c>
      <c r="I2678" t="s">
        <v>26</v>
      </c>
      <c r="J2678" t="s">
        <v>41</v>
      </c>
      <c r="K2678" t="s">
        <v>42</v>
      </c>
      <c r="L2678">
        <v>90045</v>
      </c>
      <c r="M2678" t="s">
        <v>43</v>
      </c>
      <c r="N2678" t="s">
        <v>4999</v>
      </c>
      <c r="O2678" t="s">
        <v>45</v>
      </c>
      <c r="P2678" t="s">
        <v>89</v>
      </c>
      <c r="Q2678" t="s">
        <v>5000</v>
      </c>
      <c r="R2678">
        <v>15.54</v>
      </c>
      <c r="S2678">
        <v>3</v>
      </c>
      <c r="T2678">
        <v>0</v>
      </c>
      <c r="U2678">
        <v>7.6146000000000003</v>
      </c>
      <c r="V2678" t="str">
        <f t="shared" si="41"/>
        <v>Jill Matthias</v>
      </c>
      <c r="W2678">
        <f>Table2[Profit]/Table2[Sales]</f>
        <v>0.49000000000000005</v>
      </c>
    </row>
    <row r="2679" spans="1:23" x14ac:dyDescent="0.25">
      <c r="A2679">
        <v>2678</v>
      </c>
      <c r="B2679" t="s">
        <v>7986</v>
      </c>
      <c r="C2679" s="1">
        <v>42618</v>
      </c>
      <c r="D2679" s="1">
        <v>42620</v>
      </c>
      <c r="E2679" t="s">
        <v>22</v>
      </c>
      <c r="F2679" t="s">
        <v>7987</v>
      </c>
      <c r="G2679" t="s">
        <v>7988</v>
      </c>
      <c r="H2679" t="s">
        <v>40</v>
      </c>
      <c r="I2679" t="s">
        <v>26</v>
      </c>
      <c r="J2679" t="s">
        <v>181</v>
      </c>
      <c r="K2679" t="s">
        <v>103</v>
      </c>
      <c r="L2679">
        <v>77070</v>
      </c>
      <c r="M2679" t="s">
        <v>104</v>
      </c>
      <c r="N2679" t="s">
        <v>2606</v>
      </c>
      <c r="O2679" t="s">
        <v>45</v>
      </c>
      <c r="P2679" t="s">
        <v>89</v>
      </c>
      <c r="Q2679" t="s">
        <v>2607</v>
      </c>
      <c r="R2679">
        <v>25.92</v>
      </c>
      <c r="S2679">
        <v>5</v>
      </c>
      <c r="T2679">
        <v>0.2</v>
      </c>
      <c r="U2679">
        <v>9.0719999999999992</v>
      </c>
      <c r="V2679" t="str">
        <f t="shared" si="41"/>
        <v>Don Miller</v>
      </c>
      <c r="W2679">
        <f>Table2[Profit]/Table2[Sales]</f>
        <v>0.34999999999999992</v>
      </c>
    </row>
    <row r="2680" spans="1:23" x14ac:dyDescent="0.25">
      <c r="A2680">
        <v>2679</v>
      </c>
      <c r="B2680" t="s">
        <v>7989</v>
      </c>
      <c r="C2680" s="1">
        <v>42912</v>
      </c>
      <c r="D2680" s="1">
        <v>42919</v>
      </c>
      <c r="E2680" t="s">
        <v>49</v>
      </c>
      <c r="F2680" t="s">
        <v>3456</v>
      </c>
      <c r="G2680" t="s">
        <v>3457</v>
      </c>
      <c r="H2680" t="s">
        <v>25</v>
      </c>
      <c r="I2680" t="s">
        <v>26</v>
      </c>
      <c r="J2680" t="s">
        <v>143</v>
      </c>
      <c r="K2680" t="s">
        <v>144</v>
      </c>
      <c r="L2680">
        <v>19143</v>
      </c>
      <c r="M2680" t="s">
        <v>145</v>
      </c>
      <c r="N2680" t="s">
        <v>1038</v>
      </c>
      <c r="O2680" t="s">
        <v>70</v>
      </c>
      <c r="P2680" t="s">
        <v>71</v>
      </c>
      <c r="Q2680" t="s">
        <v>1039</v>
      </c>
      <c r="R2680">
        <v>358.2</v>
      </c>
      <c r="S2680">
        <v>3</v>
      </c>
      <c r="T2680">
        <v>0.4</v>
      </c>
      <c r="U2680">
        <v>41.79</v>
      </c>
      <c r="V2680" t="str">
        <f t="shared" si="41"/>
        <v>Chris Cortes</v>
      </c>
      <c r="W2680">
        <f>Table2[Profit]/Table2[Sales]</f>
        <v>0.11666666666666667</v>
      </c>
    </row>
    <row r="2681" spans="1:23" x14ac:dyDescent="0.25">
      <c r="A2681">
        <v>2680</v>
      </c>
      <c r="B2681" t="s">
        <v>7990</v>
      </c>
      <c r="C2681" s="1">
        <v>42806</v>
      </c>
      <c r="D2681" s="1">
        <v>42811</v>
      </c>
      <c r="E2681" t="s">
        <v>49</v>
      </c>
      <c r="F2681" t="s">
        <v>2589</v>
      </c>
      <c r="G2681" t="s">
        <v>2590</v>
      </c>
      <c r="H2681" t="s">
        <v>25</v>
      </c>
      <c r="I2681" t="s">
        <v>26</v>
      </c>
      <c r="J2681" t="s">
        <v>7991</v>
      </c>
      <c r="K2681" t="s">
        <v>1683</v>
      </c>
      <c r="L2681">
        <v>72756</v>
      </c>
      <c r="M2681" t="s">
        <v>29</v>
      </c>
      <c r="N2681" t="s">
        <v>5505</v>
      </c>
      <c r="O2681" t="s">
        <v>45</v>
      </c>
      <c r="P2681" t="s">
        <v>74</v>
      </c>
      <c r="Q2681" t="s">
        <v>1207</v>
      </c>
      <c r="R2681">
        <v>40.409999999999997</v>
      </c>
      <c r="S2681">
        <v>9</v>
      </c>
      <c r="T2681">
        <v>0</v>
      </c>
      <c r="U2681">
        <v>18.5886</v>
      </c>
      <c r="V2681" t="str">
        <f t="shared" si="41"/>
        <v>Guy Armstrong</v>
      </c>
      <c r="W2681">
        <f>Table2[Profit]/Table2[Sales]</f>
        <v>0.46</v>
      </c>
    </row>
    <row r="2682" spans="1:23" x14ac:dyDescent="0.25">
      <c r="A2682">
        <v>2681</v>
      </c>
      <c r="B2682" t="s">
        <v>7992</v>
      </c>
      <c r="C2682" s="1">
        <v>42784</v>
      </c>
      <c r="D2682" s="1">
        <v>42787</v>
      </c>
      <c r="E2682" t="s">
        <v>22</v>
      </c>
      <c r="F2682" t="s">
        <v>474</v>
      </c>
      <c r="G2682" t="s">
        <v>475</v>
      </c>
      <c r="H2682" t="s">
        <v>40</v>
      </c>
      <c r="I2682" t="s">
        <v>26</v>
      </c>
      <c r="J2682" t="s">
        <v>41</v>
      </c>
      <c r="K2682" t="s">
        <v>42</v>
      </c>
      <c r="L2682">
        <v>90045</v>
      </c>
      <c r="M2682" t="s">
        <v>43</v>
      </c>
      <c r="N2682" t="s">
        <v>1647</v>
      </c>
      <c r="O2682" t="s">
        <v>70</v>
      </c>
      <c r="P2682" t="s">
        <v>71</v>
      </c>
      <c r="Q2682" t="s">
        <v>1648</v>
      </c>
      <c r="R2682">
        <v>167.976</v>
      </c>
      <c r="S2682">
        <v>3</v>
      </c>
      <c r="T2682">
        <v>0.2</v>
      </c>
      <c r="U2682">
        <v>10.4985</v>
      </c>
      <c r="V2682" t="str">
        <f t="shared" si="41"/>
        <v>Cynthia Voltz</v>
      </c>
      <c r="W2682">
        <f>Table2[Profit]/Table2[Sales]</f>
        <v>6.25E-2</v>
      </c>
    </row>
    <row r="2683" spans="1:23" x14ac:dyDescent="0.25">
      <c r="A2683">
        <v>2682</v>
      </c>
      <c r="B2683" t="s">
        <v>7993</v>
      </c>
      <c r="C2683" s="1">
        <v>43049</v>
      </c>
      <c r="D2683" s="1">
        <v>43051</v>
      </c>
      <c r="E2683" t="s">
        <v>22</v>
      </c>
      <c r="F2683" t="s">
        <v>6628</v>
      </c>
      <c r="G2683" t="s">
        <v>6629</v>
      </c>
      <c r="H2683" t="s">
        <v>40</v>
      </c>
      <c r="I2683" t="s">
        <v>26</v>
      </c>
      <c r="J2683" t="s">
        <v>94</v>
      </c>
      <c r="K2683" t="s">
        <v>95</v>
      </c>
      <c r="L2683">
        <v>98105</v>
      </c>
      <c r="M2683" t="s">
        <v>43</v>
      </c>
      <c r="N2683" t="s">
        <v>4072</v>
      </c>
      <c r="O2683" t="s">
        <v>45</v>
      </c>
      <c r="P2683" t="s">
        <v>74</v>
      </c>
      <c r="Q2683" t="s">
        <v>4073</v>
      </c>
      <c r="R2683">
        <v>26.352</v>
      </c>
      <c r="S2683">
        <v>3</v>
      </c>
      <c r="T2683">
        <v>0.2</v>
      </c>
      <c r="U2683">
        <v>9.5526</v>
      </c>
      <c r="V2683" t="str">
        <f t="shared" si="41"/>
        <v>Nick Crebassa</v>
      </c>
      <c r="W2683">
        <f>Table2[Profit]/Table2[Sales]</f>
        <v>0.36249999999999999</v>
      </c>
    </row>
    <row r="2684" spans="1:23" x14ac:dyDescent="0.25">
      <c r="A2684">
        <v>2683</v>
      </c>
      <c r="B2684" t="s">
        <v>7994</v>
      </c>
      <c r="C2684" s="1">
        <v>41962</v>
      </c>
      <c r="D2684" s="1">
        <v>41968</v>
      </c>
      <c r="E2684" t="s">
        <v>49</v>
      </c>
      <c r="F2684" t="s">
        <v>7362</v>
      </c>
      <c r="G2684" t="s">
        <v>7363</v>
      </c>
      <c r="H2684" t="s">
        <v>40</v>
      </c>
      <c r="I2684" t="s">
        <v>26</v>
      </c>
      <c r="J2684" t="s">
        <v>514</v>
      </c>
      <c r="K2684" t="s">
        <v>242</v>
      </c>
      <c r="L2684">
        <v>19805</v>
      </c>
      <c r="M2684" t="s">
        <v>145</v>
      </c>
      <c r="N2684" t="s">
        <v>2089</v>
      </c>
      <c r="O2684" t="s">
        <v>45</v>
      </c>
      <c r="P2684" t="s">
        <v>46</v>
      </c>
      <c r="Q2684" t="s">
        <v>2090</v>
      </c>
      <c r="R2684">
        <v>22.5</v>
      </c>
      <c r="S2684">
        <v>6</v>
      </c>
      <c r="T2684">
        <v>0</v>
      </c>
      <c r="U2684">
        <v>10.8</v>
      </c>
      <c r="V2684" t="str">
        <f t="shared" si="41"/>
        <v>Georgia Rosenberg</v>
      </c>
      <c r="W2684">
        <f>Table2[Profit]/Table2[Sales]</f>
        <v>0.48000000000000004</v>
      </c>
    </row>
    <row r="2685" spans="1:23" x14ac:dyDescent="0.25">
      <c r="A2685">
        <v>2684</v>
      </c>
      <c r="B2685" t="s">
        <v>7995</v>
      </c>
      <c r="C2685" s="1">
        <v>41961</v>
      </c>
      <c r="D2685" s="1">
        <v>41964</v>
      </c>
      <c r="E2685" t="s">
        <v>22</v>
      </c>
      <c r="F2685" t="s">
        <v>1624</v>
      </c>
      <c r="G2685" t="s">
        <v>1625</v>
      </c>
      <c r="H2685" t="s">
        <v>40</v>
      </c>
      <c r="I2685" t="s">
        <v>26</v>
      </c>
      <c r="J2685" t="s">
        <v>3698</v>
      </c>
      <c r="K2685" t="s">
        <v>120</v>
      </c>
      <c r="L2685">
        <v>84604</v>
      </c>
      <c r="M2685" t="s">
        <v>43</v>
      </c>
      <c r="N2685" t="s">
        <v>5699</v>
      </c>
      <c r="O2685" t="s">
        <v>45</v>
      </c>
      <c r="P2685" t="s">
        <v>89</v>
      </c>
      <c r="Q2685" t="s">
        <v>5700</v>
      </c>
      <c r="R2685">
        <v>21.98</v>
      </c>
      <c r="S2685">
        <v>7</v>
      </c>
      <c r="T2685">
        <v>0</v>
      </c>
      <c r="U2685">
        <v>9.891</v>
      </c>
      <c r="V2685" t="str">
        <f t="shared" si="41"/>
        <v>John Grady</v>
      </c>
      <c r="W2685">
        <f>Table2[Profit]/Table2[Sales]</f>
        <v>0.45</v>
      </c>
    </row>
    <row r="2686" spans="1:23" x14ac:dyDescent="0.25">
      <c r="A2686">
        <v>2685</v>
      </c>
      <c r="B2686" t="s">
        <v>7996</v>
      </c>
      <c r="C2686" s="1">
        <v>42637</v>
      </c>
      <c r="D2686" s="1">
        <v>42637</v>
      </c>
      <c r="E2686" t="s">
        <v>1278</v>
      </c>
      <c r="F2686" t="s">
        <v>4050</v>
      </c>
      <c r="G2686" t="s">
        <v>4051</v>
      </c>
      <c r="H2686" t="s">
        <v>40</v>
      </c>
      <c r="I2686" t="s">
        <v>26</v>
      </c>
      <c r="J2686" t="s">
        <v>126</v>
      </c>
      <c r="K2686" t="s">
        <v>42</v>
      </c>
      <c r="L2686">
        <v>94110</v>
      </c>
      <c r="M2686" t="s">
        <v>43</v>
      </c>
      <c r="N2686" t="s">
        <v>5253</v>
      </c>
      <c r="O2686" t="s">
        <v>31</v>
      </c>
      <c r="P2686" t="s">
        <v>64</v>
      </c>
      <c r="Q2686" t="s">
        <v>5254</v>
      </c>
      <c r="R2686">
        <v>63.2</v>
      </c>
      <c r="S2686">
        <v>5</v>
      </c>
      <c r="T2686">
        <v>0</v>
      </c>
      <c r="U2686">
        <v>23.384</v>
      </c>
      <c r="V2686" t="str">
        <f t="shared" si="41"/>
        <v>Edward Becker</v>
      </c>
      <c r="W2686">
        <f>Table2[Profit]/Table2[Sales]</f>
        <v>0.37</v>
      </c>
    </row>
    <row r="2687" spans="1:23" x14ac:dyDescent="0.25">
      <c r="A2687">
        <v>2686</v>
      </c>
      <c r="B2687" t="s">
        <v>7997</v>
      </c>
      <c r="C2687" s="1">
        <v>42694</v>
      </c>
      <c r="D2687" s="1">
        <v>42701</v>
      </c>
      <c r="E2687" t="s">
        <v>49</v>
      </c>
      <c r="F2687" t="s">
        <v>1755</v>
      </c>
      <c r="G2687" t="s">
        <v>1756</v>
      </c>
      <c r="H2687" t="s">
        <v>40</v>
      </c>
      <c r="I2687" t="s">
        <v>26</v>
      </c>
      <c r="J2687" t="s">
        <v>41</v>
      </c>
      <c r="K2687" t="s">
        <v>42</v>
      </c>
      <c r="L2687">
        <v>90004</v>
      </c>
      <c r="M2687" t="s">
        <v>43</v>
      </c>
      <c r="N2687" t="s">
        <v>803</v>
      </c>
      <c r="O2687" t="s">
        <v>45</v>
      </c>
      <c r="P2687" t="s">
        <v>77</v>
      </c>
      <c r="Q2687" t="s">
        <v>804</v>
      </c>
      <c r="R2687">
        <v>39</v>
      </c>
      <c r="S2687">
        <v>12</v>
      </c>
      <c r="T2687">
        <v>0</v>
      </c>
      <c r="U2687">
        <v>11.31</v>
      </c>
      <c r="V2687" t="str">
        <f t="shared" si="41"/>
        <v>Matt Connell</v>
      </c>
      <c r="W2687">
        <f>Table2[Profit]/Table2[Sales]</f>
        <v>0.29000000000000004</v>
      </c>
    </row>
    <row r="2688" spans="1:23" x14ac:dyDescent="0.25">
      <c r="A2688">
        <v>2687</v>
      </c>
      <c r="B2688" t="s">
        <v>7998</v>
      </c>
      <c r="C2688" s="1">
        <v>42640</v>
      </c>
      <c r="D2688" s="1">
        <v>42645</v>
      </c>
      <c r="E2688" t="s">
        <v>49</v>
      </c>
      <c r="F2688" t="s">
        <v>2570</v>
      </c>
      <c r="G2688" t="s">
        <v>2571</v>
      </c>
      <c r="H2688" t="s">
        <v>40</v>
      </c>
      <c r="I2688" t="s">
        <v>26</v>
      </c>
      <c r="J2688" t="s">
        <v>2439</v>
      </c>
      <c r="K2688" t="s">
        <v>491</v>
      </c>
      <c r="L2688">
        <v>43130</v>
      </c>
      <c r="M2688" t="s">
        <v>145</v>
      </c>
      <c r="N2688" t="s">
        <v>1938</v>
      </c>
      <c r="O2688" t="s">
        <v>45</v>
      </c>
      <c r="P2688" t="s">
        <v>74</v>
      </c>
      <c r="Q2688" t="s">
        <v>1939</v>
      </c>
      <c r="R2688">
        <v>2.907</v>
      </c>
      <c r="S2688">
        <v>3</v>
      </c>
      <c r="T2688">
        <v>0.7</v>
      </c>
      <c r="U2688">
        <v>-2.0348999999999999</v>
      </c>
      <c r="V2688" t="str">
        <f t="shared" si="41"/>
        <v>Brian Moss</v>
      </c>
      <c r="W2688">
        <f>Table2[Profit]/Table2[Sales]</f>
        <v>-0.7</v>
      </c>
    </row>
    <row r="2689" spans="1:23" x14ac:dyDescent="0.25">
      <c r="A2689">
        <v>2688</v>
      </c>
      <c r="B2689" t="s">
        <v>7999</v>
      </c>
      <c r="C2689" s="1">
        <v>42469</v>
      </c>
      <c r="D2689" s="1">
        <v>42474</v>
      </c>
      <c r="E2689" t="s">
        <v>49</v>
      </c>
      <c r="F2689" t="s">
        <v>4286</v>
      </c>
      <c r="G2689" t="s">
        <v>4287</v>
      </c>
      <c r="H2689" t="s">
        <v>25</v>
      </c>
      <c r="I2689" t="s">
        <v>26</v>
      </c>
      <c r="J2689" t="s">
        <v>41</v>
      </c>
      <c r="K2689" t="s">
        <v>42</v>
      </c>
      <c r="L2689">
        <v>90004</v>
      </c>
      <c r="M2689" t="s">
        <v>43</v>
      </c>
      <c r="N2689" t="s">
        <v>30</v>
      </c>
      <c r="O2689" t="s">
        <v>31</v>
      </c>
      <c r="P2689" t="s">
        <v>32</v>
      </c>
      <c r="Q2689" t="s">
        <v>33</v>
      </c>
      <c r="R2689">
        <v>556.66499999999996</v>
      </c>
      <c r="S2689">
        <v>5</v>
      </c>
      <c r="T2689">
        <v>0.15</v>
      </c>
      <c r="U2689">
        <v>6.5490000000000004</v>
      </c>
      <c r="V2689" t="str">
        <f t="shared" si="41"/>
        <v>Herbert Flentye</v>
      </c>
      <c r="W2689">
        <f>Table2[Profit]/Table2[Sales]</f>
        <v>1.1764705882352943E-2</v>
      </c>
    </row>
    <row r="2690" spans="1:23" x14ac:dyDescent="0.25">
      <c r="A2690">
        <v>2689</v>
      </c>
      <c r="B2690" t="s">
        <v>8000</v>
      </c>
      <c r="C2690" s="1">
        <v>42999</v>
      </c>
      <c r="D2690" s="1">
        <v>43001</v>
      </c>
      <c r="E2690" t="s">
        <v>185</v>
      </c>
      <c r="F2690" t="s">
        <v>8001</v>
      </c>
      <c r="G2690" t="s">
        <v>8002</v>
      </c>
      <c r="H2690" t="s">
        <v>25</v>
      </c>
      <c r="I2690" t="s">
        <v>26</v>
      </c>
      <c r="J2690" t="s">
        <v>94</v>
      </c>
      <c r="K2690" t="s">
        <v>95</v>
      </c>
      <c r="L2690">
        <v>98103</v>
      </c>
      <c r="M2690" t="s">
        <v>43</v>
      </c>
      <c r="N2690" t="s">
        <v>1401</v>
      </c>
      <c r="O2690" t="s">
        <v>70</v>
      </c>
      <c r="P2690" t="s">
        <v>158</v>
      </c>
      <c r="Q2690" t="s">
        <v>1402</v>
      </c>
      <c r="R2690">
        <v>71.98</v>
      </c>
      <c r="S2690">
        <v>2</v>
      </c>
      <c r="T2690">
        <v>0</v>
      </c>
      <c r="U2690">
        <v>15.1158</v>
      </c>
      <c r="V2690" t="str">
        <f t="shared" si="41"/>
        <v>Muhammed Lee</v>
      </c>
      <c r="W2690">
        <f>Table2[Profit]/Table2[Sales]</f>
        <v>0.21</v>
      </c>
    </row>
    <row r="2691" spans="1:23" x14ac:dyDescent="0.25">
      <c r="A2691">
        <v>2690</v>
      </c>
      <c r="B2691" t="s">
        <v>8003</v>
      </c>
      <c r="C2691" s="1">
        <v>42971</v>
      </c>
      <c r="D2691" s="1">
        <v>42976</v>
      </c>
      <c r="E2691" t="s">
        <v>49</v>
      </c>
      <c r="F2691" t="s">
        <v>1052</v>
      </c>
      <c r="G2691" t="s">
        <v>1053</v>
      </c>
      <c r="H2691" t="s">
        <v>40</v>
      </c>
      <c r="I2691" t="s">
        <v>26</v>
      </c>
      <c r="J2691" t="s">
        <v>263</v>
      </c>
      <c r="K2691" t="s">
        <v>264</v>
      </c>
      <c r="L2691">
        <v>10024</v>
      </c>
      <c r="M2691" t="s">
        <v>145</v>
      </c>
      <c r="N2691" t="s">
        <v>73</v>
      </c>
      <c r="O2691" t="s">
        <v>45</v>
      </c>
      <c r="P2691" t="s">
        <v>74</v>
      </c>
      <c r="Q2691" t="s">
        <v>75</v>
      </c>
      <c r="R2691">
        <v>24.672000000000001</v>
      </c>
      <c r="S2691">
        <v>4</v>
      </c>
      <c r="T2691">
        <v>0.2</v>
      </c>
      <c r="U2691">
        <v>7.71</v>
      </c>
      <c r="V2691" t="str">
        <f t="shared" ref="V2691:V2754" si="42">TRIM(G2691)</f>
        <v>Alan Haines</v>
      </c>
      <c r="W2691">
        <f>Table2[Profit]/Table2[Sales]</f>
        <v>0.3125</v>
      </c>
    </row>
    <row r="2692" spans="1:23" x14ac:dyDescent="0.25">
      <c r="A2692">
        <v>2691</v>
      </c>
      <c r="B2692" t="s">
        <v>8004</v>
      </c>
      <c r="C2692" s="1">
        <v>42422</v>
      </c>
      <c r="D2692" s="1">
        <v>42426</v>
      </c>
      <c r="E2692" t="s">
        <v>49</v>
      </c>
      <c r="F2692" t="s">
        <v>2905</v>
      </c>
      <c r="G2692" t="s">
        <v>2906</v>
      </c>
      <c r="H2692" t="s">
        <v>25</v>
      </c>
      <c r="I2692" t="s">
        <v>26</v>
      </c>
      <c r="J2692" t="s">
        <v>41</v>
      </c>
      <c r="K2692" t="s">
        <v>42</v>
      </c>
      <c r="L2692">
        <v>90045</v>
      </c>
      <c r="M2692" t="s">
        <v>43</v>
      </c>
      <c r="N2692" t="s">
        <v>1142</v>
      </c>
      <c r="O2692" t="s">
        <v>70</v>
      </c>
      <c r="P2692" t="s">
        <v>71</v>
      </c>
      <c r="Q2692" t="s">
        <v>1143</v>
      </c>
      <c r="R2692">
        <v>445.96</v>
      </c>
      <c r="S2692">
        <v>5</v>
      </c>
      <c r="T2692">
        <v>0.2</v>
      </c>
      <c r="U2692">
        <v>55.744999999999997</v>
      </c>
      <c r="V2692" t="str">
        <f t="shared" si="42"/>
        <v>Tracy Zic</v>
      </c>
      <c r="W2692">
        <f>Table2[Profit]/Table2[Sales]</f>
        <v>0.125</v>
      </c>
    </row>
    <row r="2693" spans="1:23" x14ac:dyDescent="0.25">
      <c r="A2693">
        <v>2692</v>
      </c>
      <c r="B2693" t="s">
        <v>8005</v>
      </c>
      <c r="C2693" s="1">
        <v>43077</v>
      </c>
      <c r="D2693" s="1">
        <v>43083</v>
      </c>
      <c r="E2693" t="s">
        <v>49</v>
      </c>
      <c r="F2693" t="s">
        <v>5899</v>
      </c>
      <c r="G2693" t="s">
        <v>5900</v>
      </c>
      <c r="H2693" t="s">
        <v>40</v>
      </c>
      <c r="I2693" t="s">
        <v>26</v>
      </c>
      <c r="J2693" t="s">
        <v>126</v>
      </c>
      <c r="K2693" t="s">
        <v>42</v>
      </c>
      <c r="L2693">
        <v>94109</v>
      </c>
      <c r="M2693" t="s">
        <v>43</v>
      </c>
      <c r="N2693" t="s">
        <v>7337</v>
      </c>
      <c r="O2693" t="s">
        <v>45</v>
      </c>
      <c r="P2693" t="s">
        <v>89</v>
      </c>
      <c r="Q2693" t="s">
        <v>8006</v>
      </c>
      <c r="R2693">
        <v>87.92</v>
      </c>
      <c r="S2693">
        <v>4</v>
      </c>
      <c r="T2693">
        <v>0</v>
      </c>
      <c r="U2693">
        <v>40.443199999999997</v>
      </c>
      <c r="V2693" t="str">
        <f t="shared" si="42"/>
        <v>Denise Monton</v>
      </c>
      <c r="W2693">
        <f>Table2[Profit]/Table2[Sales]</f>
        <v>0.45999999999999996</v>
      </c>
    </row>
    <row r="2694" spans="1:23" x14ac:dyDescent="0.25">
      <c r="A2694">
        <v>2693</v>
      </c>
      <c r="B2694" t="s">
        <v>8007</v>
      </c>
      <c r="C2694" s="1">
        <v>42996</v>
      </c>
      <c r="D2694" s="1">
        <v>43000</v>
      </c>
      <c r="E2694" t="s">
        <v>49</v>
      </c>
      <c r="F2694" t="s">
        <v>6379</v>
      </c>
      <c r="G2694" t="s">
        <v>6380</v>
      </c>
      <c r="H2694" t="s">
        <v>25</v>
      </c>
      <c r="I2694" t="s">
        <v>26</v>
      </c>
      <c r="J2694" t="s">
        <v>8008</v>
      </c>
      <c r="K2694" t="s">
        <v>660</v>
      </c>
      <c r="L2694">
        <v>88101</v>
      </c>
      <c r="M2694" t="s">
        <v>43</v>
      </c>
      <c r="N2694" t="s">
        <v>2894</v>
      </c>
      <c r="O2694" t="s">
        <v>45</v>
      </c>
      <c r="P2694" t="s">
        <v>74</v>
      </c>
      <c r="Q2694" t="s">
        <v>2895</v>
      </c>
      <c r="R2694">
        <v>10.08</v>
      </c>
      <c r="S2694">
        <v>7</v>
      </c>
      <c r="T2694">
        <v>0.2</v>
      </c>
      <c r="U2694">
        <v>3.528</v>
      </c>
      <c r="V2694" t="str">
        <f t="shared" si="42"/>
        <v>Tony Sayre</v>
      </c>
      <c r="W2694">
        <f>Table2[Profit]/Table2[Sales]</f>
        <v>0.35</v>
      </c>
    </row>
    <row r="2695" spans="1:23" x14ac:dyDescent="0.25">
      <c r="A2695">
        <v>2694</v>
      </c>
      <c r="B2695" t="s">
        <v>8009</v>
      </c>
      <c r="C2695" s="1">
        <v>42624</v>
      </c>
      <c r="D2695" s="1">
        <v>42627</v>
      </c>
      <c r="E2695" t="s">
        <v>185</v>
      </c>
      <c r="F2695" t="s">
        <v>4956</v>
      </c>
      <c r="G2695" t="s">
        <v>4957</v>
      </c>
      <c r="H2695" t="s">
        <v>25</v>
      </c>
      <c r="I2695" t="s">
        <v>26</v>
      </c>
      <c r="J2695" t="s">
        <v>7078</v>
      </c>
      <c r="K2695" t="s">
        <v>4436</v>
      </c>
      <c r="L2695">
        <v>67212</v>
      </c>
      <c r="M2695" t="s">
        <v>104</v>
      </c>
      <c r="N2695" t="s">
        <v>6339</v>
      </c>
      <c r="O2695" t="s">
        <v>70</v>
      </c>
      <c r="P2695" t="s">
        <v>71</v>
      </c>
      <c r="Q2695" t="s">
        <v>6340</v>
      </c>
      <c r="R2695">
        <v>224.75</v>
      </c>
      <c r="S2695">
        <v>5</v>
      </c>
      <c r="T2695">
        <v>0</v>
      </c>
      <c r="U2695">
        <v>62.93</v>
      </c>
      <c r="V2695" t="str">
        <f t="shared" si="42"/>
        <v>Trudy Brown</v>
      </c>
      <c r="W2695">
        <f>Table2[Profit]/Table2[Sales]</f>
        <v>0.27999999999999997</v>
      </c>
    </row>
    <row r="2696" spans="1:23" x14ac:dyDescent="0.25">
      <c r="A2696">
        <v>2695</v>
      </c>
      <c r="B2696" t="s">
        <v>8010</v>
      </c>
      <c r="C2696" s="1">
        <v>43001</v>
      </c>
      <c r="D2696" s="1">
        <v>43006</v>
      </c>
      <c r="E2696" t="s">
        <v>49</v>
      </c>
      <c r="F2696" t="s">
        <v>447</v>
      </c>
      <c r="G2696" t="s">
        <v>448</v>
      </c>
      <c r="H2696" t="s">
        <v>25</v>
      </c>
      <c r="I2696" t="s">
        <v>26</v>
      </c>
      <c r="J2696" t="s">
        <v>296</v>
      </c>
      <c r="K2696" t="s">
        <v>208</v>
      </c>
      <c r="L2696">
        <v>60653</v>
      </c>
      <c r="M2696" t="s">
        <v>104</v>
      </c>
      <c r="N2696" t="s">
        <v>7725</v>
      </c>
      <c r="O2696" t="s">
        <v>45</v>
      </c>
      <c r="P2696" t="s">
        <v>77</v>
      </c>
      <c r="Q2696" t="s">
        <v>7726</v>
      </c>
      <c r="R2696">
        <v>73.176000000000002</v>
      </c>
      <c r="S2696">
        <v>6</v>
      </c>
      <c r="T2696">
        <v>0.8</v>
      </c>
      <c r="U2696">
        <v>-197.5752</v>
      </c>
      <c r="V2696" t="str">
        <f t="shared" si="42"/>
        <v>Lena Cacioppo</v>
      </c>
      <c r="W2696">
        <f>Table2[Profit]/Table2[Sales]</f>
        <v>-2.6999999999999997</v>
      </c>
    </row>
    <row r="2697" spans="1:23" x14ac:dyDescent="0.25">
      <c r="A2697">
        <v>2696</v>
      </c>
      <c r="B2697" t="s">
        <v>8011</v>
      </c>
      <c r="C2697" s="1">
        <v>41918</v>
      </c>
      <c r="D2697" s="1">
        <v>41920</v>
      </c>
      <c r="E2697" t="s">
        <v>22</v>
      </c>
      <c r="F2697" t="s">
        <v>749</v>
      </c>
      <c r="G2697" t="s">
        <v>750</v>
      </c>
      <c r="H2697" t="s">
        <v>40</v>
      </c>
      <c r="I2697" t="s">
        <v>26</v>
      </c>
      <c r="J2697" t="s">
        <v>2499</v>
      </c>
      <c r="K2697" t="s">
        <v>135</v>
      </c>
      <c r="L2697">
        <v>68104</v>
      </c>
      <c r="M2697" t="s">
        <v>104</v>
      </c>
      <c r="N2697" t="s">
        <v>8012</v>
      </c>
      <c r="O2697" t="s">
        <v>45</v>
      </c>
      <c r="P2697" t="s">
        <v>74</v>
      </c>
      <c r="Q2697" t="s">
        <v>8013</v>
      </c>
      <c r="R2697">
        <v>15.36</v>
      </c>
      <c r="S2697">
        <v>2</v>
      </c>
      <c r="T2697">
        <v>0</v>
      </c>
      <c r="U2697">
        <v>7.68</v>
      </c>
      <c r="V2697" t="str">
        <f t="shared" si="42"/>
        <v>Alice McCarthy</v>
      </c>
      <c r="W2697">
        <f>Table2[Profit]/Table2[Sales]</f>
        <v>0.5</v>
      </c>
    </row>
    <row r="2698" spans="1:23" x14ac:dyDescent="0.25">
      <c r="A2698">
        <v>2697</v>
      </c>
      <c r="B2698" t="s">
        <v>8014</v>
      </c>
      <c r="C2698" s="1">
        <v>42300</v>
      </c>
      <c r="D2698" s="1">
        <v>42303</v>
      </c>
      <c r="E2698" t="s">
        <v>185</v>
      </c>
      <c r="F2698" t="s">
        <v>4698</v>
      </c>
      <c r="G2698" t="s">
        <v>4699</v>
      </c>
      <c r="H2698" t="s">
        <v>25</v>
      </c>
      <c r="I2698" t="s">
        <v>26</v>
      </c>
      <c r="J2698" t="s">
        <v>181</v>
      </c>
      <c r="K2698" t="s">
        <v>103</v>
      </c>
      <c r="L2698">
        <v>77041</v>
      </c>
      <c r="M2698" t="s">
        <v>104</v>
      </c>
      <c r="N2698" t="s">
        <v>2885</v>
      </c>
      <c r="O2698" t="s">
        <v>45</v>
      </c>
      <c r="P2698" t="s">
        <v>89</v>
      </c>
      <c r="Q2698" t="s">
        <v>2886</v>
      </c>
      <c r="R2698">
        <v>36.287999999999997</v>
      </c>
      <c r="S2698">
        <v>7</v>
      </c>
      <c r="T2698">
        <v>0.2</v>
      </c>
      <c r="U2698">
        <v>12.700799999999999</v>
      </c>
      <c r="V2698" t="str">
        <f t="shared" si="42"/>
        <v>Joe Elijah</v>
      </c>
      <c r="W2698">
        <f>Table2[Profit]/Table2[Sales]</f>
        <v>0.35000000000000003</v>
      </c>
    </row>
    <row r="2699" spans="1:23" x14ac:dyDescent="0.25">
      <c r="A2699">
        <v>2698</v>
      </c>
      <c r="B2699" t="s">
        <v>8015</v>
      </c>
      <c r="C2699" s="1">
        <v>42460</v>
      </c>
      <c r="D2699" s="1">
        <v>42462</v>
      </c>
      <c r="E2699" t="s">
        <v>22</v>
      </c>
      <c r="F2699" t="s">
        <v>1924</v>
      </c>
      <c r="G2699" t="s">
        <v>1925</v>
      </c>
      <c r="H2699" t="s">
        <v>25</v>
      </c>
      <c r="I2699" t="s">
        <v>26</v>
      </c>
      <c r="J2699" t="s">
        <v>143</v>
      </c>
      <c r="K2699" t="s">
        <v>144</v>
      </c>
      <c r="L2699">
        <v>19134</v>
      </c>
      <c r="M2699" t="s">
        <v>145</v>
      </c>
      <c r="N2699" t="s">
        <v>6847</v>
      </c>
      <c r="O2699" t="s">
        <v>70</v>
      </c>
      <c r="P2699" t="s">
        <v>71</v>
      </c>
      <c r="Q2699" t="s">
        <v>6848</v>
      </c>
      <c r="R2699">
        <v>280.78199999999998</v>
      </c>
      <c r="S2699">
        <v>3</v>
      </c>
      <c r="T2699">
        <v>0.4</v>
      </c>
      <c r="U2699">
        <v>-60.836100000000002</v>
      </c>
      <c r="V2699" t="str">
        <f t="shared" si="42"/>
        <v>Carlos Soltero</v>
      </c>
      <c r="W2699">
        <f>Table2[Profit]/Table2[Sales]</f>
        <v>-0.21666666666666667</v>
      </c>
    </row>
    <row r="2700" spans="1:23" x14ac:dyDescent="0.25">
      <c r="A2700">
        <v>2699</v>
      </c>
      <c r="B2700" t="s">
        <v>8016</v>
      </c>
      <c r="C2700" s="1">
        <v>42733</v>
      </c>
      <c r="D2700" s="1">
        <v>42737</v>
      </c>
      <c r="E2700" t="s">
        <v>49</v>
      </c>
      <c r="F2700" t="s">
        <v>3459</v>
      </c>
      <c r="G2700" t="s">
        <v>3460</v>
      </c>
      <c r="H2700" t="s">
        <v>25</v>
      </c>
      <c r="I2700" t="s">
        <v>26</v>
      </c>
      <c r="J2700" t="s">
        <v>41</v>
      </c>
      <c r="K2700" t="s">
        <v>42</v>
      </c>
      <c r="L2700">
        <v>90045</v>
      </c>
      <c r="M2700" t="s">
        <v>43</v>
      </c>
      <c r="N2700" t="s">
        <v>2325</v>
      </c>
      <c r="O2700" t="s">
        <v>45</v>
      </c>
      <c r="P2700" t="s">
        <v>74</v>
      </c>
      <c r="Q2700" t="s">
        <v>2326</v>
      </c>
      <c r="R2700">
        <v>11.231999999999999</v>
      </c>
      <c r="S2700">
        <v>3</v>
      </c>
      <c r="T2700">
        <v>0.2</v>
      </c>
      <c r="U2700">
        <v>3.9312</v>
      </c>
      <c r="V2700" t="str">
        <f t="shared" si="42"/>
        <v>Phillip Flathmann</v>
      </c>
      <c r="W2700">
        <f>Table2[Profit]/Table2[Sales]</f>
        <v>0.35000000000000003</v>
      </c>
    </row>
    <row r="2701" spans="1:23" x14ac:dyDescent="0.25">
      <c r="A2701">
        <v>2700</v>
      </c>
      <c r="B2701" t="s">
        <v>8017</v>
      </c>
      <c r="C2701" s="1">
        <v>43042</v>
      </c>
      <c r="D2701" s="1">
        <v>43044</v>
      </c>
      <c r="E2701" t="s">
        <v>22</v>
      </c>
      <c r="F2701" t="s">
        <v>5178</v>
      </c>
      <c r="G2701" t="s">
        <v>5179</v>
      </c>
      <c r="H2701" t="s">
        <v>40</v>
      </c>
      <c r="I2701" t="s">
        <v>26</v>
      </c>
      <c r="J2701" t="s">
        <v>1450</v>
      </c>
      <c r="K2701" t="s">
        <v>28</v>
      </c>
      <c r="L2701">
        <v>40475</v>
      </c>
      <c r="M2701" t="s">
        <v>29</v>
      </c>
      <c r="N2701" t="s">
        <v>8018</v>
      </c>
      <c r="O2701" t="s">
        <v>45</v>
      </c>
      <c r="P2701" t="s">
        <v>89</v>
      </c>
      <c r="Q2701" t="s">
        <v>8019</v>
      </c>
      <c r="R2701">
        <v>26.4</v>
      </c>
      <c r="S2701">
        <v>5</v>
      </c>
      <c r="T2701">
        <v>0</v>
      </c>
      <c r="U2701">
        <v>11.88</v>
      </c>
      <c r="V2701" t="str">
        <f t="shared" si="42"/>
        <v>Patrick Jones</v>
      </c>
      <c r="W2701">
        <f>Table2[Profit]/Table2[Sales]</f>
        <v>0.45000000000000007</v>
      </c>
    </row>
    <row r="2702" spans="1:23" x14ac:dyDescent="0.25">
      <c r="A2702">
        <v>2701</v>
      </c>
      <c r="B2702" t="s">
        <v>8020</v>
      </c>
      <c r="C2702" s="1">
        <v>42755</v>
      </c>
      <c r="D2702" s="1">
        <v>42761</v>
      </c>
      <c r="E2702" t="s">
        <v>49</v>
      </c>
      <c r="F2702" t="s">
        <v>1887</v>
      </c>
      <c r="G2702" t="s">
        <v>1888</v>
      </c>
      <c r="H2702" t="s">
        <v>25</v>
      </c>
      <c r="I2702" t="s">
        <v>26</v>
      </c>
      <c r="J2702" t="s">
        <v>7520</v>
      </c>
      <c r="K2702" t="s">
        <v>740</v>
      </c>
      <c r="L2702">
        <v>6708</v>
      </c>
      <c r="M2702" t="s">
        <v>145</v>
      </c>
      <c r="N2702" t="s">
        <v>3175</v>
      </c>
      <c r="O2702" t="s">
        <v>45</v>
      </c>
      <c r="P2702" t="s">
        <v>67</v>
      </c>
      <c r="Q2702" t="s">
        <v>3176</v>
      </c>
      <c r="R2702">
        <v>3.52</v>
      </c>
      <c r="S2702">
        <v>2</v>
      </c>
      <c r="T2702">
        <v>0</v>
      </c>
      <c r="U2702">
        <v>1.0207999999999999</v>
      </c>
      <c r="V2702" t="str">
        <f t="shared" si="42"/>
        <v>Jeremy Farry</v>
      </c>
      <c r="W2702">
        <f>Table2[Profit]/Table2[Sales]</f>
        <v>0.28999999999999998</v>
      </c>
    </row>
    <row r="2703" spans="1:23" x14ac:dyDescent="0.25">
      <c r="A2703">
        <v>2702</v>
      </c>
      <c r="B2703" t="s">
        <v>8021</v>
      </c>
      <c r="C2703" s="1">
        <v>42707</v>
      </c>
      <c r="D2703" s="1">
        <v>42710</v>
      </c>
      <c r="E2703" t="s">
        <v>185</v>
      </c>
      <c r="F2703" t="s">
        <v>3183</v>
      </c>
      <c r="G2703" t="s">
        <v>3184</v>
      </c>
      <c r="H2703" t="s">
        <v>25</v>
      </c>
      <c r="I2703" t="s">
        <v>26</v>
      </c>
      <c r="J2703" t="s">
        <v>41</v>
      </c>
      <c r="K2703" t="s">
        <v>42</v>
      </c>
      <c r="L2703">
        <v>90045</v>
      </c>
      <c r="M2703" t="s">
        <v>43</v>
      </c>
      <c r="N2703" t="s">
        <v>8022</v>
      </c>
      <c r="O2703" t="s">
        <v>70</v>
      </c>
      <c r="P2703" t="s">
        <v>158</v>
      </c>
      <c r="Q2703" t="s">
        <v>8023</v>
      </c>
      <c r="R2703">
        <v>1649.95</v>
      </c>
      <c r="S2703">
        <v>5</v>
      </c>
      <c r="T2703">
        <v>0</v>
      </c>
      <c r="U2703">
        <v>659.98</v>
      </c>
      <c r="V2703" t="str">
        <f t="shared" si="42"/>
        <v>Neoma Murray</v>
      </c>
      <c r="W2703">
        <f>Table2[Profit]/Table2[Sales]</f>
        <v>0.4</v>
      </c>
    </row>
    <row r="2704" spans="1:23" x14ac:dyDescent="0.25">
      <c r="A2704">
        <v>2703</v>
      </c>
      <c r="B2704" t="s">
        <v>8024</v>
      </c>
      <c r="C2704" s="1">
        <v>42535</v>
      </c>
      <c r="D2704" s="1">
        <v>42535</v>
      </c>
      <c r="E2704" t="s">
        <v>1278</v>
      </c>
      <c r="F2704" t="s">
        <v>8025</v>
      </c>
      <c r="G2704" t="s">
        <v>8026</v>
      </c>
      <c r="H2704" t="s">
        <v>101</v>
      </c>
      <c r="I2704" t="s">
        <v>26</v>
      </c>
      <c r="J2704" t="s">
        <v>41</v>
      </c>
      <c r="K2704" t="s">
        <v>42</v>
      </c>
      <c r="L2704">
        <v>90036</v>
      </c>
      <c r="M2704" t="s">
        <v>43</v>
      </c>
      <c r="N2704" t="s">
        <v>6894</v>
      </c>
      <c r="O2704" t="s">
        <v>31</v>
      </c>
      <c r="P2704" t="s">
        <v>32</v>
      </c>
      <c r="Q2704" t="s">
        <v>6895</v>
      </c>
      <c r="R2704">
        <v>599.16499999999996</v>
      </c>
      <c r="S2704">
        <v>5</v>
      </c>
      <c r="T2704">
        <v>0.15</v>
      </c>
      <c r="U2704">
        <v>35.244999999999997</v>
      </c>
      <c r="V2704" t="str">
        <f t="shared" si="42"/>
        <v>Marc Harrigan</v>
      </c>
      <c r="W2704">
        <f>Table2[Profit]/Table2[Sales]</f>
        <v>5.8823529411764705E-2</v>
      </c>
    </row>
    <row r="2705" spans="1:23" x14ac:dyDescent="0.25">
      <c r="A2705">
        <v>2704</v>
      </c>
      <c r="B2705" t="s">
        <v>8027</v>
      </c>
      <c r="C2705" s="1">
        <v>42615</v>
      </c>
      <c r="D2705" s="1">
        <v>42617</v>
      </c>
      <c r="E2705" t="s">
        <v>185</v>
      </c>
      <c r="F2705" t="s">
        <v>3687</v>
      </c>
      <c r="G2705" t="s">
        <v>3688</v>
      </c>
      <c r="H2705" t="s">
        <v>101</v>
      </c>
      <c r="I2705" t="s">
        <v>26</v>
      </c>
      <c r="J2705" t="s">
        <v>126</v>
      </c>
      <c r="K2705" t="s">
        <v>42</v>
      </c>
      <c r="L2705">
        <v>94122</v>
      </c>
      <c r="M2705" t="s">
        <v>43</v>
      </c>
      <c r="N2705" t="s">
        <v>721</v>
      </c>
      <c r="O2705" t="s">
        <v>45</v>
      </c>
      <c r="P2705" t="s">
        <v>58</v>
      </c>
      <c r="Q2705" t="s">
        <v>722</v>
      </c>
      <c r="R2705">
        <v>46.53</v>
      </c>
      <c r="S2705">
        <v>3</v>
      </c>
      <c r="T2705">
        <v>0</v>
      </c>
      <c r="U2705">
        <v>12.097799999999999</v>
      </c>
      <c r="V2705" t="str">
        <f t="shared" si="42"/>
        <v>Sam Zeldin</v>
      </c>
      <c r="W2705">
        <f>Table2[Profit]/Table2[Sales]</f>
        <v>0.26</v>
      </c>
    </row>
    <row r="2706" spans="1:23" x14ac:dyDescent="0.25">
      <c r="A2706">
        <v>2705</v>
      </c>
      <c r="B2706" t="s">
        <v>8028</v>
      </c>
      <c r="C2706" s="1">
        <v>41887</v>
      </c>
      <c r="D2706" s="1">
        <v>41889</v>
      </c>
      <c r="E2706" t="s">
        <v>185</v>
      </c>
      <c r="F2706" t="s">
        <v>6391</v>
      </c>
      <c r="G2706" t="s">
        <v>6392</v>
      </c>
      <c r="H2706" t="s">
        <v>25</v>
      </c>
      <c r="I2706" t="s">
        <v>26</v>
      </c>
      <c r="J2706" t="s">
        <v>1141</v>
      </c>
      <c r="K2706" t="s">
        <v>53</v>
      </c>
      <c r="L2706">
        <v>33710</v>
      </c>
      <c r="M2706" t="s">
        <v>29</v>
      </c>
      <c r="N2706" t="s">
        <v>1174</v>
      </c>
      <c r="O2706" t="s">
        <v>31</v>
      </c>
      <c r="P2706" t="s">
        <v>64</v>
      </c>
      <c r="Q2706" t="s">
        <v>1175</v>
      </c>
      <c r="R2706">
        <v>31.984000000000002</v>
      </c>
      <c r="S2706">
        <v>2</v>
      </c>
      <c r="T2706">
        <v>0.2</v>
      </c>
      <c r="U2706">
        <v>1.9990000000000001</v>
      </c>
      <c r="V2706" t="str">
        <f t="shared" si="42"/>
        <v>Patrick Ryan</v>
      </c>
      <c r="W2706">
        <f>Table2[Profit]/Table2[Sales]</f>
        <v>6.25E-2</v>
      </c>
    </row>
    <row r="2707" spans="1:23" x14ac:dyDescent="0.25">
      <c r="A2707">
        <v>2706</v>
      </c>
      <c r="B2707" t="s">
        <v>8029</v>
      </c>
      <c r="C2707" s="1">
        <v>43029</v>
      </c>
      <c r="D2707" s="1">
        <v>43033</v>
      </c>
      <c r="E2707" t="s">
        <v>49</v>
      </c>
      <c r="F2707" t="s">
        <v>8030</v>
      </c>
      <c r="G2707" t="s">
        <v>8031</v>
      </c>
      <c r="H2707" t="s">
        <v>101</v>
      </c>
      <c r="I2707" t="s">
        <v>26</v>
      </c>
      <c r="J2707" t="s">
        <v>1111</v>
      </c>
      <c r="K2707" t="s">
        <v>491</v>
      </c>
      <c r="L2707">
        <v>44107</v>
      </c>
      <c r="M2707" t="s">
        <v>145</v>
      </c>
      <c r="N2707" t="s">
        <v>7872</v>
      </c>
      <c r="O2707" t="s">
        <v>45</v>
      </c>
      <c r="P2707" t="s">
        <v>77</v>
      </c>
      <c r="Q2707" t="s">
        <v>7873</v>
      </c>
      <c r="R2707">
        <v>161.56800000000001</v>
      </c>
      <c r="S2707">
        <v>2</v>
      </c>
      <c r="T2707">
        <v>0.2</v>
      </c>
      <c r="U2707">
        <v>16.1568</v>
      </c>
      <c r="V2707" t="str">
        <f t="shared" si="42"/>
        <v>Frank Carlisle</v>
      </c>
      <c r="W2707">
        <f>Table2[Profit]/Table2[Sales]</f>
        <v>9.9999999999999992E-2</v>
      </c>
    </row>
    <row r="2708" spans="1:23" x14ac:dyDescent="0.25">
      <c r="A2708">
        <v>2707</v>
      </c>
      <c r="B2708" t="s">
        <v>8032</v>
      </c>
      <c r="C2708" s="1">
        <v>42850</v>
      </c>
      <c r="D2708" s="1">
        <v>42854</v>
      </c>
      <c r="E2708" t="s">
        <v>49</v>
      </c>
      <c r="F2708" t="s">
        <v>3350</v>
      </c>
      <c r="G2708" t="s">
        <v>3351</v>
      </c>
      <c r="H2708" t="s">
        <v>25</v>
      </c>
      <c r="I2708" t="s">
        <v>26</v>
      </c>
      <c r="J2708" t="s">
        <v>7828</v>
      </c>
      <c r="K2708" t="s">
        <v>303</v>
      </c>
      <c r="L2708">
        <v>85224</v>
      </c>
      <c r="M2708" t="s">
        <v>43</v>
      </c>
      <c r="N2708" t="s">
        <v>136</v>
      </c>
      <c r="O2708" t="s">
        <v>45</v>
      </c>
      <c r="P2708" t="s">
        <v>67</v>
      </c>
      <c r="Q2708" t="s">
        <v>137</v>
      </c>
      <c r="R2708">
        <v>8.8960000000000008</v>
      </c>
      <c r="S2708">
        <v>4</v>
      </c>
      <c r="T2708">
        <v>0.2</v>
      </c>
      <c r="U2708">
        <v>0.66720000000000002</v>
      </c>
      <c r="V2708" t="str">
        <f t="shared" si="42"/>
        <v>Larry Hughes</v>
      </c>
      <c r="W2708">
        <f>Table2[Profit]/Table2[Sales]</f>
        <v>7.4999999999999997E-2</v>
      </c>
    </row>
    <row r="2709" spans="1:23" x14ac:dyDescent="0.25">
      <c r="A2709">
        <v>2708</v>
      </c>
      <c r="B2709" t="s">
        <v>8033</v>
      </c>
      <c r="C2709" s="1">
        <v>42296</v>
      </c>
      <c r="D2709" s="1">
        <v>42301</v>
      </c>
      <c r="E2709" t="s">
        <v>49</v>
      </c>
      <c r="F2709" t="s">
        <v>726</v>
      </c>
      <c r="G2709" t="s">
        <v>727</v>
      </c>
      <c r="H2709" t="s">
        <v>101</v>
      </c>
      <c r="I2709" t="s">
        <v>26</v>
      </c>
      <c r="J2709" t="s">
        <v>41</v>
      </c>
      <c r="K2709" t="s">
        <v>42</v>
      </c>
      <c r="L2709">
        <v>90008</v>
      </c>
      <c r="M2709" t="s">
        <v>43</v>
      </c>
      <c r="N2709" t="s">
        <v>8034</v>
      </c>
      <c r="O2709" t="s">
        <v>45</v>
      </c>
      <c r="P2709" t="s">
        <v>77</v>
      </c>
      <c r="Q2709" t="s">
        <v>8035</v>
      </c>
      <c r="R2709">
        <v>1640.7</v>
      </c>
      <c r="S2709">
        <v>5</v>
      </c>
      <c r="T2709">
        <v>0</v>
      </c>
      <c r="U2709">
        <v>459.39600000000002</v>
      </c>
      <c r="V2709" t="str">
        <f t="shared" si="42"/>
        <v>Robert Marley</v>
      </c>
      <c r="W2709">
        <f>Table2[Profit]/Table2[Sales]</f>
        <v>0.28000000000000003</v>
      </c>
    </row>
    <row r="2710" spans="1:23" x14ac:dyDescent="0.25">
      <c r="A2710">
        <v>2709</v>
      </c>
      <c r="B2710" t="s">
        <v>8036</v>
      </c>
      <c r="C2710" s="1">
        <v>41825</v>
      </c>
      <c r="D2710" s="1">
        <v>41828</v>
      </c>
      <c r="E2710" t="s">
        <v>185</v>
      </c>
      <c r="F2710" t="s">
        <v>7987</v>
      </c>
      <c r="G2710" t="s">
        <v>7988</v>
      </c>
      <c r="H2710" t="s">
        <v>40</v>
      </c>
      <c r="I2710" t="s">
        <v>26</v>
      </c>
      <c r="J2710" t="s">
        <v>2257</v>
      </c>
      <c r="K2710" t="s">
        <v>53</v>
      </c>
      <c r="L2710">
        <v>32137</v>
      </c>
      <c r="M2710" t="s">
        <v>29</v>
      </c>
      <c r="N2710" t="s">
        <v>4389</v>
      </c>
      <c r="O2710" t="s">
        <v>31</v>
      </c>
      <c r="P2710" t="s">
        <v>64</v>
      </c>
      <c r="Q2710" t="s">
        <v>4390</v>
      </c>
      <c r="R2710">
        <v>19.52</v>
      </c>
      <c r="S2710">
        <v>2</v>
      </c>
      <c r="T2710">
        <v>0.2</v>
      </c>
      <c r="U2710">
        <v>5.3680000000000003</v>
      </c>
      <c r="V2710" t="str">
        <f t="shared" si="42"/>
        <v>Don Miller</v>
      </c>
      <c r="W2710">
        <f>Table2[Profit]/Table2[Sales]</f>
        <v>0.27500000000000002</v>
      </c>
    </row>
    <row r="2711" spans="1:23" x14ac:dyDescent="0.25">
      <c r="A2711">
        <v>2710</v>
      </c>
      <c r="B2711" t="s">
        <v>8039</v>
      </c>
      <c r="C2711" s="1">
        <v>42464</v>
      </c>
      <c r="D2711" s="1">
        <v>42469</v>
      </c>
      <c r="E2711" t="s">
        <v>49</v>
      </c>
      <c r="F2711" t="s">
        <v>6337</v>
      </c>
      <c r="G2711" t="s">
        <v>6338</v>
      </c>
      <c r="H2711" t="s">
        <v>25</v>
      </c>
      <c r="I2711" t="s">
        <v>26</v>
      </c>
      <c r="J2711" t="s">
        <v>263</v>
      </c>
      <c r="K2711" t="s">
        <v>264</v>
      </c>
      <c r="L2711">
        <v>10035</v>
      </c>
      <c r="M2711" t="s">
        <v>145</v>
      </c>
      <c r="N2711" t="s">
        <v>6216</v>
      </c>
      <c r="O2711" t="s">
        <v>45</v>
      </c>
      <c r="P2711" t="s">
        <v>74</v>
      </c>
      <c r="Q2711" t="s">
        <v>6217</v>
      </c>
      <c r="R2711">
        <v>588.78399999999999</v>
      </c>
      <c r="S2711">
        <v>2</v>
      </c>
      <c r="T2711">
        <v>0.2</v>
      </c>
      <c r="U2711">
        <v>183.995</v>
      </c>
      <c r="V2711" t="str">
        <f t="shared" si="42"/>
        <v>Evan Henry</v>
      </c>
      <c r="W2711">
        <f>Table2[Profit]/Table2[Sales]</f>
        <v>0.3125</v>
      </c>
    </row>
    <row r="2712" spans="1:23" x14ac:dyDescent="0.25">
      <c r="A2712">
        <v>2711</v>
      </c>
      <c r="B2712" t="s">
        <v>8040</v>
      </c>
      <c r="C2712" s="1">
        <v>43052</v>
      </c>
      <c r="D2712" s="1">
        <v>43057</v>
      </c>
      <c r="E2712" t="s">
        <v>22</v>
      </c>
      <c r="F2712" t="s">
        <v>5682</v>
      </c>
      <c r="G2712" t="s">
        <v>5683</v>
      </c>
      <c r="H2712" t="s">
        <v>25</v>
      </c>
      <c r="I2712" t="s">
        <v>26</v>
      </c>
      <c r="J2712" t="s">
        <v>8041</v>
      </c>
      <c r="K2712" t="s">
        <v>53</v>
      </c>
      <c r="L2712">
        <v>33458</v>
      </c>
      <c r="M2712" t="s">
        <v>29</v>
      </c>
      <c r="N2712" t="s">
        <v>2604</v>
      </c>
      <c r="O2712" t="s">
        <v>45</v>
      </c>
      <c r="P2712" t="s">
        <v>67</v>
      </c>
      <c r="Q2712" t="s">
        <v>2605</v>
      </c>
      <c r="R2712">
        <v>2.0640000000000001</v>
      </c>
      <c r="S2712">
        <v>1</v>
      </c>
      <c r="T2712">
        <v>0.2</v>
      </c>
      <c r="U2712">
        <v>0.15479999999999999</v>
      </c>
      <c r="V2712" t="str">
        <f t="shared" si="42"/>
        <v>Toby Carlisle</v>
      </c>
      <c r="W2712">
        <f>Table2[Profit]/Table2[Sales]</f>
        <v>7.4999999999999997E-2</v>
      </c>
    </row>
    <row r="2713" spans="1:23" x14ac:dyDescent="0.25">
      <c r="A2713">
        <v>2712</v>
      </c>
      <c r="B2713" t="s">
        <v>8042</v>
      </c>
      <c r="C2713" s="1">
        <v>42987</v>
      </c>
      <c r="D2713" s="1">
        <v>42991</v>
      </c>
      <c r="E2713" t="s">
        <v>49</v>
      </c>
      <c r="F2713" t="s">
        <v>3958</v>
      </c>
      <c r="G2713" t="s">
        <v>3959</v>
      </c>
      <c r="H2713" t="s">
        <v>25</v>
      </c>
      <c r="I2713" t="s">
        <v>26</v>
      </c>
      <c r="J2713" t="s">
        <v>3860</v>
      </c>
      <c r="K2713" t="s">
        <v>303</v>
      </c>
      <c r="L2713">
        <v>85301</v>
      </c>
      <c r="M2713" t="s">
        <v>43</v>
      </c>
      <c r="N2713" t="s">
        <v>8043</v>
      </c>
      <c r="O2713" t="s">
        <v>45</v>
      </c>
      <c r="P2713" t="s">
        <v>89</v>
      </c>
      <c r="Q2713" t="s">
        <v>8044</v>
      </c>
      <c r="R2713">
        <v>6.3680000000000003</v>
      </c>
      <c r="S2713">
        <v>2</v>
      </c>
      <c r="T2713">
        <v>0.2</v>
      </c>
      <c r="U2713">
        <v>2.3879999999999999</v>
      </c>
      <c r="V2713" t="str">
        <f t="shared" si="42"/>
        <v>Arianne Irving</v>
      </c>
      <c r="W2713">
        <f>Table2[Profit]/Table2[Sales]</f>
        <v>0.37499999999999994</v>
      </c>
    </row>
    <row r="2714" spans="1:23" x14ac:dyDescent="0.25">
      <c r="A2714">
        <v>2713</v>
      </c>
      <c r="B2714" t="s">
        <v>8045</v>
      </c>
      <c r="C2714" s="1">
        <v>42111</v>
      </c>
      <c r="D2714" s="1">
        <v>42117</v>
      </c>
      <c r="E2714" t="s">
        <v>49</v>
      </c>
      <c r="F2714" t="s">
        <v>2787</v>
      </c>
      <c r="G2714" t="s">
        <v>2788</v>
      </c>
      <c r="H2714" t="s">
        <v>25</v>
      </c>
      <c r="I2714" t="s">
        <v>26</v>
      </c>
      <c r="J2714" t="s">
        <v>263</v>
      </c>
      <c r="K2714" t="s">
        <v>264</v>
      </c>
      <c r="L2714">
        <v>10035</v>
      </c>
      <c r="M2714" t="s">
        <v>145</v>
      </c>
      <c r="N2714" t="s">
        <v>2973</v>
      </c>
      <c r="O2714" t="s">
        <v>70</v>
      </c>
      <c r="P2714" t="s">
        <v>158</v>
      </c>
      <c r="Q2714" t="s">
        <v>2974</v>
      </c>
      <c r="R2714">
        <v>99.6</v>
      </c>
      <c r="S2714">
        <v>1</v>
      </c>
      <c r="T2714">
        <v>0</v>
      </c>
      <c r="U2714">
        <v>36.851999999999997</v>
      </c>
      <c r="V2714" t="str">
        <f t="shared" si="42"/>
        <v>Jessica Myrick</v>
      </c>
      <c r="W2714">
        <f>Table2[Profit]/Table2[Sales]</f>
        <v>0.37</v>
      </c>
    </row>
    <row r="2715" spans="1:23" x14ac:dyDescent="0.25">
      <c r="A2715">
        <v>2714</v>
      </c>
      <c r="B2715" t="s">
        <v>8048</v>
      </c>
      <c r="C2715" s="1">
        <v>42576</v>
      </c>
      <c r="D2715" s="1">
        <v>42580</v>
      </c>
      <c r="E2715" t="s">
        <v>49</v>
      </c>
      <c r="F2715" t="s">
        <v>2753</v>
      </c>
      <c r="G2715" t="s">
        <v>2754</v>
      </c>
      <c r="H2715" t="s">
        <v>101</v>
      </c>
      <c r="I2715" t="s">
        <v>26</v>
      </c>
      <c r="J2715" t="s">
        <v>181</v>
      </c>
      <c r="K2715" t="s">
        <v>103</v>
      </c>
      <c r="L2715">
        <v>77041</v>
      </c>
      <c r="M2715" t="s">
        <v>104</v>
      </c>
      <c r="N2715" t="s">
        <v>4930</v>
      </c>
      <c r="O2715" t="s">
        <v>45</v>
      </c>
      <c r="P2715" t="s">
        <v>170</v>
      </c>
      <c r="Q2715" t="s">
        <v>4931</v>
      </c>
      <c r="R2715">
        <v>20.936</v>
      </c>
      <c r="S2715">
        <v>1</v>
      </c>
      <c r="T2715">
        <v>0.2</v>
      </c>
      <c r="U2715">
        <v>7.0659000000000001</v>
      </c>
      <c r="V2715" t="str">
        <f t="shared" si="42"/>
        <v>Bill Eplett</v>
      </c>
      <c r="W2715">
        <f>Table2[Profit]/Table2[Sales]</f>
        <v>0.33750000000000002</v>
      </c>
    </row>
    <row r="2716" spans="1:23" x14ac:dyDescent="0.25">
      <c r="A2716">
        <v>2715</v>
      </c>
      <c r="B2716" t="s">
        <v>8049</v>
      </c>
      <c r="C2716" s="1">
        <v>42608</v>
      </c>
      <c r="D2716" s="1">
        <v>42613</v>
      </c>
      <c r="E2716" t="s">
        <v>49</v>
      </c>
      <c r="F2716" t="s">
        <v>952</v>
      </c>
      <c r="G2716" t="s">
        <v>953</v>
      </c>
      <c r="H2716" t="s">
        <v>40</v>
      </c>
      <c r="I2716" t="s">
        <v>26</v>
      </c>
      <c r="J2716" t="s">
        <v>263</v>
      </c>
      <c r="K2716" t="s">
        <v>264</v>
      </c>
      <c r="L2716">
        <v>10035</v>
      </c>
      <c r="M2716" t="s">
        <v>145</v>
      </c>
      <c r="N2716" t="s">
        <v>3405</v>
      </c>
      <c r="O2716" t="s">
        <v>70</v>
      </c>
      <c r="P2716" t="s">
        <v>71</v>
      </c>
      <c r="Q2716" t="s">
        <v>3406</v>
      </c>
      <c r="R2716">
        <v>33</v>
      </c>
      <c r="S2716">
        <v>6</v>
      </c>
      <c r="T2716">
        <v>0</v>
      </c>
      <c r="U2716">
        <v>8.25</v>
      </c>
      <c r="V2716" t="str">
        <f t="shared" si="42"/>
        <v>Dan Reichenbach</v>
      </c>
      <c r="W2716">
        <f>Table2[Profit]/Table2[Sales]</f>
        <v>0.25</v>
      </c>
    </row>
    <row r="2717" spans="1:23" x14ac:dyDescent="0.25">
      <c r="A2717">
        <v>2716</v>
      </c>
      <c r="B2717" t="s">
        <v>8050</v>
      </c>
      <c r="C2717" s="1">
        <v>41894</v>
      </c>
      <c r="D2717" s="1">
        <v>41901</v>
      </c>
      <c r="E2717" t="s">
        <v>49</v>
      </c>
      <c r="F2717" t="s">
        <v>5617</v>
      </c>
      <c r="G2717" t="s">
        <v>5618</v>
      </c>
      <c r="H2717" t="s">
        <v>101</v>
      </c>
      <c r="I2717" t="s">
        <v>26</v>
      </c>
      <c r="J2717" t="s">
        <v>4435</v>
      </c>
      <c r="K2717" t="s">
        <v>4436</v>
      </c>
      <c r="L2717">
        <v>66062</v>
      </c>
      <c r="M2717" t="s">
        <v>104</v>
      </c>
      <c r="N2717" t="s">
        <v>5766</v>
      </c>
      <c r="O2717" t="s">
        <v>45</v>
      </c>
      <c r="P2717" t="s">
        <v>572</v>
      </c>
      <c r="Q2717" t="s">
        <v>5767</v>
      </c>
      <c r="R2717">
        <v>357.93</v>
      </c>
      <c r="S2717">
        <v>3</v>
      </c>
      <c r="T2717">
        <v>0</v>
      </c>
      <c r="U2717">
        <v>7.1585999999999999</v>
      </c>
      <c r="V2717" t="str">
        <f t="shared" si="42"/>
        <v>Tom Ashbrook</v>
      </c>
      <c r="W2717">
        <f>Table2[Profit]/Table2[Sales]</f>
        <v>0.02</v>
      </c>
    </row>
    <row r="2718" spans="1:23" x14ac:dyDescent="0.25">
      <c r="A2718">
        <v>2717</v>
      </c>
      <c r="B2718" t="s">
        <v>8051</v>
      </c>
      <c r="C2718" s="1">
        <v>42573</v>
      </c>
      <c r="D2718" s="1">
        <v>42580</v>
      </c>
      <c r="E2718" t="s">
        <v>49</v>
      </c>
      <c r="F2718" t="s">
        <v>5228</v>
      </c>
      <c r="G2718" t="s">
        <v>5229</v>
      </c>
      <c r="H2718" t="s">
        <v>101</v>
      </c>
      <c r="I2718" t="s">
        <v>26</v>
      </c>
      <c r="J2718" t="s">
        <v>5356</v>
      </c>
      <c r="K2718" t="s">
        <v>1381</v>
      </c>
      <c r="L2718">
        <v>89431</v>
      </c>
      <c r="M2718" t="s">
        <v>43</v>
      </c>
      <c r="N2718" t="s">
        <v>2342</v>
      </c>
      <c r="O2718" t="s">
        <v>45</v>
      </c>
      <c r="P2718" t="s">
        <v>572</v>
      </c>
      <c r="Q2718" t="s">
        <v>2343</v>
      </c>
      <c r="R2718">
        <v>86.2</v>
      </c>
      <c r="S2718">
        <v>5</v>
      </c>
      <c r="T2718">
        <v>0</v>
      </c>
      <c r="U2718">
        <v>24.998000000000001</v>
      </c>
      <c r="V2718" t="str">
        <f t="shared" si="42"/>
        <v>Kristina Nunn</v>
      </c>
      <c r="W2718">
        <f>Table2[Profit]/Table2[Sales]</f>
        <v>0.28999999999999998</v>
      </c>
    </row>
    <row r="2719" spans="1:23" x14ac:dyDescent="0.25">
      <c r="A2719">
        <v>2718</v>
      </c>
      <c r="B2719" t="s">
        <v>8052</v>
      </c>
      <c r="C2719" s="1">
        <v>42874</v>
      </c>
      <c r="D2719" s="1">
        <v>42878</v>
      </c>
      <c r="E2719" t="s">
        <v>49</v>
      </c>
      <c r="F2719" t="s">
        <v>5178</v>
      </c>
      <c r="G2719" t="s">
        <v>5179</v>
      </c>
      <c r="H2719" t="s">
        <v>40</v>
      </c>
      <c r="I2719" t="s">
        <v>26</v>
      </c>
      <c r="J2719" t="s">
        <v>3049</v>
      </c>
      <c r="K2719" t="s">
        <v>208</v>
      </c>
      <c r="L2719">
        <v>61107</v>
      </c>
      <c r="M2719" t="s">
        <v>104</v>
      </c>
      <c r="N2719" t="s">
        <v>6820</v>
      </c>
      <c r="O2719" t="s">
        <v>45</v>
      </c>
      <c r="P2719" t="s">
        <v>89</v>
      </c>
      <c r="Q2719" t="s">
        <v>6821</v>
      </c>
      <c r="R2719">
        <v>38.015999999999998</v>
      </c>
      <c r="S2719">
        <v>6</v>
      </c>
      <c r="T2719">
        <v>0.2</v>
      </c>
      <c r="U2719">
        <v>13.780799999999999</v>
      </c>
      <c r="V2719" t="str">
        <f t="shared" si="42"/>
        <v>Patrick Jones</v>
      </c>
      <c r="W2719">
        <f>Table2[Profit]/Table2[Sales]</f>
        <v>0.36249999999999999</v>
      </c>
    </row>
    <row r="2720" spans="1:23" x14ac:dyDescent="0.25">
      <c r="A2720">
        <v>2719</v>
      </c>
      <c r="B2720" t="s">
        <v>8053</v>
      </c>
      <c r="C2720" s="1">
        <v>42853</v>
      </c>
      <c r="D2720" s="1">
        <v>42857</v>
      </c>
      <c r="E2720" t="s">
        <v>49</v>
      </c>
      <c r="F2720" t="s">
        <v>1755</v>
      </c>
      <c r="G2720" t="s">
        <v>1756</v>
      </c>
      <c r="H2720" t="s">
        <v>40</v>
      </c>
      <c r="I2720" t="s">
        <v>26</v>
      </c>
      <c r="J2720" t="s">
        <v>143</v>
      </c>
      <c r="K2720" t="s">
        <v>144</v>
      </c>
      <c r="L2720">
        <v>19143</v>
      </c>
      <c r="M2720" t="s">
        <v>145</v>
      </c>
      <c r="N2720" t="s">
        <v>1800</v>
      </c>
      <c r="O2720" t="s">
        <v>45</v>
      </c>
      <c r="P2720" t="s">
        <v>58</v>
      </c>
      <c r="Q2720" t="s">
        <v>1801</v>
      </c>
      <c r="R2720">
        <v>8.3840000000000003</v>
      </c>
      <c r="S2720">
        <v>1</v>
      </c>
      <c r="T2720">
        <v>0.2</v>
      </c>
      <c r="U2720">
        <v>0.73360000000000003</v>
      </c>
      <c r="V2720" t="str">
        <f t="shared" si="42"/>
        <v>Matt Connell</v>
      </c>
      <c r="W2720">
        <f>Table2[Profit]/Table2[Sales]</f>
        <v>8.7499999999999994E-2</v>
      </c>
    </row>
    <row r="2721" spans="1:23" x14ac:dyDescent="0.25">
      <c r="A2721">
        <v>2720</v>
      </c>
      <c r="B2721" t="s">
        <v>8054</v>
      </c>
      <c r="C2721" s="1">
        <v>43098</v>
      </c>
      <c r="D2721" s="1">
        <v>43102</v>
      </c>
      <c r="E2721" t="s">
        <v>49</v>
      </c>
      <c r="F2721" t="s">
        <v>798</v>
      </c>
      <c r="G2721" t="s">
        <v>799</v>
      </c>
      <c r="H2721" t="s">
        <v>25</v>
      </c>
      <c r="I2721" t="s">
        <v>26</v>
      </c>
      <c r="J2721" t="s">
        <v>2503</v>
      </c>
      <c r="K2721" t="s">
        <v>95</v>
      </c>
      <c r="L2721">
        <v>98026</v>
      </c>
      <c r="M2721" t="s">
        <v>43</v>
      </c>
      <c r="N2721" t="s">
        <v>8055</v>
      </c>
      <c r="O2721" t="s">
        <v>45</v>
      </c>
      <c r="P2721" t="s">
        <v>266</v>
      </c>
      <c r="Q2721" t="s">
        <v>8056</v>
      </c>
      <c r="R2721">
        <v>19.600000000000001</v>
      </c>
      <c r="S2721">
        <v>5</v>
      </c>
      <c r="T2721">
        <v>0</v>
      </c>
      <c r="U2721">
        <v>9.6039999999999992</v>
      </c>
      <c r="V2721" t="str">
        <f t="shared" si="42"/>
        <v>Bruce Stewart</v>
      </c>
      <c r="W2721">
        <f>Table2[Profit]/Table2[Sales]</f>
        <v>0.48999999999999994</v>
      </c>
    </row>
    <row r="2722" spans="1:23" x14ac:dyDescent="0.25">
      <c r="A2722">
        <v>2721</v>
      </c>
      <c r="B2722" t="s">
        <v>8057</v>
      </c>
      <c r="C2722" s="1">
        <v>42982</v>
      </c>
      <c r="D2722" s="1">
        <v>42984</v>
      </c>
      <c r="E2722" t="s">
        <v>22</v>
      </c>
      <c r="F2722" t="s">
        <v>110</v>
      </c>
      <c r="G2722" t="s">
        <v>111</v>
      </c>
      <c r="H2722" t="s">
        <v>25</v>
      </c>
      <c r="I2722" t="s">
        <v>26</v>
      </c>
      <c r="J2722" t="s">
        <v>126</v>
      </c>
      <c r="K2722" t="s">
        <v>42</v>
      </c>
      <c r="L2722">
        <v>94122</v>
      </c>
      <c r="M2722" t="s">
        <v>43</v>
      </c>
      <c r="N2722" t="s">
        <v>2919</v>
      </c>
      <c r="O2722" t="s">
        <v>45</v>
      </c>
      <c r="P2722" t="s">
        <v>74</v>
      </c>
      <c r="Q2722" t="s">
        <v>2920</v>
      </c>
      <c r="R2722">
        <v>13.343999999999999</v>
      </c>
      <c r="S2722">
        <v>6</v>
      </c>
      <c r="T2722">
        <v>0.2</v>
      </c>
      <c r="U2722">
        <v>4.3368000000000002</v>
      </c>
      <c r="V2722" t="str">
        <f t="shared" si="42"/>
        <v>Pete Kriz</v>
      </c>
      <c r="W2722">
        <f>Table2[Profit]/Table2[Sales]</f>
        <v>0.32500000000000001</v>
      </c>
    </row>
    <row r="2723" spans="1:23" x14ac:dyDescent="0.25">
      <c r="A2723">
        <v>2722</v>
      </c>
      <c r="B2723" t="s">
        <v>8060</v>
      </c>
      <c r="C2723" s="1">
        <v>41719</v>
      </c>
      <c r="D2723" s="1">
        <v>41723</v>
      </c>
      <c r="E2723" t="s">
        <v>49</v>
      </c>
      <c r="F2723" t="s">
        <v>1133</v>
      </c>
      <c r="G2723" t="s">
        <v>1134</v>
      </c>
      <c r="H2723" t="s">
        <v>40</v>
      </c>
      <c r="I2723" t="s">
        <v>26</v>
      </c>
      <c r="J2723" t="s">
        <v>2455</v>
      </c>
      <c r="K2723" t="s">
        <v>87</v>
      </c>
      <c r="L2723">
        <v>28806</v>
      </c>
      <c r="M2723" t="s">
        <v>29</v>
      </c>
      <c r="N2723" t="s">
        <v>6293</v>
      </c>
      <c r="O2723" t="s">
        <v>45</v>
      </c>
      <c r="P2723" t="s">
        <v>58</v>
      </c>
      <c r="Q2723" t="s">
        <v>6294</v>
      </c>
      <c r="R2723">
        <v>16.271999999999998</v>
      </c>
      <c r="S2723">
        <v>1</v>
      </c>
      <c r="T2723">
        <v>0.2</v>
      </c>
      <c r="U2723">
        <v>-3.8645999999999998</v>
      </c>
      <c r="V2723" t="str">
        <f t="shared" si="42"/>
        <v>Thomas Seio</v>
      </c>
      <c r="W2723">
        <f>Table2[Profit]/Table2[Sales]</f>
        <v>-0.23750000000000002</v>
      </c>
    </row>
    <row r="2724" spans="1:23" x14ac:dyDescent="0.25">
      <c r="A2724">
        <v>2723</v>
      </c>
      <c r="B2724" t="s">
        <v>8061</v>
      </c>
      <c r="C2724" s="1">
        <v>43006</v>
      </c>
      <c r="D2724" s="1">
        <v>43012</v>
      </c>
      <c r="E2724" t="s">
        <v>49</v>
      </c>
      <c r="F2724" t="s">
        <v>1941</v>
      </c>
      <c r="G2724" t="s">
        <v>1942</v>
      </c>
      <c r="H2724" t="s">
        <v>25</v>
      </c>
      <c r="I2724" t="s">
        <v>26</v>
      </c>
      <c r="J2724" t="s">
        <v>41</v>
      </c>
      <c r="K2724" t="s">
        <v>42</v>
      </c>
      <c r="L2724">
        <v>90032</v>
      </c>
      <c r="M2724" t="s">
        <v>43</v>
      </c>
      <c r="N2724" t="s">
        <v>256</v>
      </c>
      <c r="O2724" t="s">
        <v>31</v>
      </c>
      <c r="P2724" t="s">
        <v>64</v>
      </c>
      <c r="Q2724" t="s">
        <v>257</v>
      </c>
      <c r="R2724">
        <v>9.24</v>
      </c>
      <c r="S2724">
        <v>3</v>
      </c>
      <c r="T2724">
        <v>0</v>
      </c>
      <c r="U2724">
        <v>4.4352</v>
      </c>
      <c r="V2724" t="str">
        <f t="shared" si="42"/>
        <v>Bruce Degenhardt</v>
      </c>
      <c r="W2724">
        <f>Table2[Profit]/Table2[Sales]</f>
        <v>0.48</v>
      </c>
    </row>
    <row r="2725" spans="1:23" x14ac:dyDescent="0.25">
      <c r="A2725">
        <v>2724</v>
      </c>
      <c r="B2725" t="s">
        <v>8062</v>
      </c>
      <c r="C2725" s="1">
        <v>41658</v>
      </c>
      <c r="D2725" s="1">
        <v>41659</v>
      </c>
      <c r="E2725" t="s">
        <v>185</v>
      </c>
      <c r="F2725" t="s">
        <v>2917</v>
      </c>
      <c r="G2725" t="s">
        <v>2918</v>
      </c>
      <c r="H2725" t="s">
        <v>25</v>
      </c>
      <c r="I2725" t="s">
        <v>26</v>
      </c>
      <c r="J2725" t="s">
        <v>616</v>
      </c>
      <c r="K2725" t="s">
        <v>303</v>
      </c>
      <c r="L2725">
        <v>85254</v>
      </c>
      <c r="M2725" t="s">
        <v>43</v>
      </c>
      <c r="N2725" t="s">
        <v>3188</v>
      </c>
      <c r="O2725" t="s">
        <v>45</v>
      </c>
      <c r="P2725" t="s">
        <v>74</v>
      </c>
      <c r="Q2725" t="s">
        <v>3189</v>
      </c>
      <c r="R2725">
        <v>32.340000000000003</v>
      </c>
      <c r="S2725">
        <v>10</v>
      </c>
      <c r="T2725">
        <v>0.7</v>
      </c>
      <c r="U2725">
        <v>-23.716000000000001</v>
      </c>
      <c r="V2725" t="str">
        <f t="shared" si="42"/>
        <v>Toby Swindell</v>
      </c>
      <c r="W2725">
        <f>Table2[Profit]/Table2[Sales]</f>
        <v>-0.73333333333333328</v>
      </c>
    </row>
    <row r="2726" spans="1:23" x14ac:dyDescent="0.25">
      <c r="A2726">
        <v>2725</v>
      </c>
      <c r="B2726" t="s">
        <v>8063</v>
      </c>
      <c r="C2726" s="1">
        <v>41684</v>
      </c>
      <c r="D2726" s="1">
        <v>41689</v>
      </c>
      <c r="E2726" t="s">
        <v>22</v>
      </c>
      <c r="F2726" t="s">
        <v>3790</v>
      </c>
      <c r="G2726" t="s">
        <v>3791</v>
      </c>
      <c r="H2726" t="s">
        <v>25</v>
      </c>
      <c r="I2726" t="s">
        <v>26</v>
      </c>
      <c r="J2726" t="s">
        <v>181</v>
      </c>
      <c r="K2726" t="s">
        <v>103</v>
      </c>
      <c r="L2726">
        <v>77095</v>
      </c>
      <c r="M2726" t="s">
        <v>104</v>
      </c>
      <c r="N2726" t="s">
        <v>3643</v>
      </c>
      <c r="O2726" t="s">
        <v>45</v>
      </c>
      <c r="P2726" t="s">
        <v>89</v>
      </c>
      <c r="Q2726" t="s">
        <v>3644</v>
      </c>
      <c r="R2726">
        <v>16.175999999999998</v>
      </c>
      <c r="S2726">
        <v>3</v>
      </c>
      <c r="T2726">
        <v>0.2</v>
      </c>
      <c r="U2726">
        <v>6.0659999999999998</v>
      </c>
      <c r="V2726" t="str">
        <f t="shared" si="42"/>
        <v>Shui Tom</v>
      </c>
      <c r="W2726">
        <f>Table2[Profit]/Table2[Sales]</f>
        <v>0.375</v>
      </c>
    </row>
    <row r="2727" spans="1:23" x14ac:dyDescent="0.25">
      <c r="A2727">
        <v>2726</v>
      </c>
      <c r="B2727" t="s">
        <v>8064</v>
      </c>
      <c r="C2727" s="1">
        <v>42530</v>
      </c>
      <c r="D2727" s="1">
        <v>42535</v>
      </c>
      <c r="E2727" t="s">
        <v>49</v>
      </c>
      <c r="F2727" t="s">
        <v>1748</v>
      </c>
      <c r="G2727" t="s">
        <v>1749</v>
      </c>
      <c r="H2727" t="s">
        <v>25</v>
      </c>
      <c r="I2727" t="s">
        <v>26</v>
      </c>
      <c r="J2727" t="s">
        <v>126</v>
      </c>
      <c r="K2727" t="s">
        <v>42</v>
      </c>
      <c r="L2727">
        <v>94109</v>
      </c>
      <c r="M2727" t="s">
        <v>43</v>
      </c>
      <c r="N2727" t="s">
        <v>146</v>
      </c>
      <c r="O2727" t="s">
        <v>31</v>
      </c>
      <c r="P2727" t="s">
        <v>35</v>
      </c>
      <c r="Q2727" t="s">
        <v>147</v>
      </c>
      <c r="R2727">
        <v>122.352</v>
      </c>
      <c r="S2727">
        <v>3</v>
      </c>
      <c r="T2727">
        <v>0.2</v>
      </c>
      <c r="U2727">
        <v>13.7646</v>
      </c>
      <c r="V2727" t="str">
        <f t="shared" si="42"/>
        <v>Dean Braden</v>
      </c>
      <c r="W2727">
        <f>Table2[Profit]/Table2[Sales]</f>
        <v>0.11249999999999999</v>
      </c>
    </row>
    <row r="2728" spans="1:23" x14ac:dyDescent="0.25">
      <c r="A2728">
        <v>2727</v>
      </c>
      <c r="B2728" t="s">
        <v>8065</v>
      </c>
      <c r="C2728" s="1">
        <v>41908</v>
      </c>
      <c r="D2728" s="1">
        <v>41909</v>
      </c>
      <c r="E2728" t="s">
        <v>185</v>
      </c>
      <c r="F2728" t="s">
        <v>4995</v>
      </c>
      <c r="G2728" t="s">
        <v>4996</v>
      </c>
      <c r="H2728" t="s">
        <v>101</v>
      </c>
      <c r="I2728" t="s">
        <v>26</v>
      </c>
      <c r="J2728" t="s">
        <v>941</v>
      </c>
      <c r="K2728" t="s">
        <v>42</v>
      </c>
      <c r="L2728">
        <v>92105</v>
      </c>
      <c r="M2728" t="s">
        <v>43</v>
      </c>
      <c r="N2728" t="s">
        <v>34</v>
      </c>
      <c r="O2728" t="s">
        <v>31</v>
      </c>
      <c r="P2728" t="s">
        <v>35</v>
      </c>
      <c r="Q2728" t="s">
        <v>36</v>
      </c>
      <c r="R2728">
        <v>585.55200000000002</v>
      </c>
      <c r="S2728">
        <v>3</v>
      </c>
      <c r="T2728">
        <v>0.2</v>
      </c>
      <c r="U2728">
        <v>73.194000000000003</v>
      </c>
      <c r="V2728" t="str">
        <f t="shared" si="42"/>
        <v>Karen Ferguson</v>
      </c>
      <c r="W2728">
        <f>Table2[Profit]/Table2[Sales]</f>
        <v>0.125</v>
      </c>
    </row>
    <row r="2729" spans="1:23" x14ac:dyDescent="0.25">
      <c r="A2729">
        <v>2728</v>
      </c>
      <c r="B2729" t="s">
        <v>8066</v>
      </c>
      <c r="C2729" s="1">
        <v>42520</v>
      </c>
      <c r="D2729" s="1">
        <v>42525</v>
      </c>
      <c r="E2729" t="s">
        <v>49</v>
      </c>
      <c r="F2729" t="s">
        <v>5118</v>
      </c>
      <c r="G2729" t="s">
        <v>5119</v>
      </c>
      <c r="H2729" t="s">
        <v>25</v>
      </c>
      <c r="I2729" t="s">
        <v>26</v>
      </c>
      <c r="J2729" t="s">
        <v>772</v>
      </c>
      <c r="K2729" t="s">
        <v>491</v>
      </c>
      <c r="L2729">
        <v>45011</v>
      </c>
      <c r="M2729" t="s">
        <v>145</v>
      </c>
      <c r="N2729" t="s">
        <v>5056</v>
      </c>
      <c r="O2729" t="s">
        <v>45</v>
      </c>
      <c r="P2729" t="s">
        <v>77</v>
      </c>
      <c r="Q2729" t="s">
        <v>5057</v>
      </c>
      <c r="R2729">
        <v>123.92</v>
      </c>
      <c r="S2729">
        <v>5</v>
      </c>
      <c r="T2729">
        <v>0.2</v>
      </c>
      <c r="U2729">
        <v>9.2940000000000005</v>
      </c>
      <c r="V2729" t="str">
        <f t="shared" si="42"/>
        <v>Justin MacKendrick</v>
      </c>
      <c r="W2729">
        <f>Table2[Profit]/Table2[Sales]</f>
        <v>7.4999999999999997E-2</v>
      </c>
    </row>
    <row r="2730" spans="1:23" x14ac:dyDescent="0.25">
      <c r="A2730">
        <v>2729</v>
      </c>
      <c r="B2730" t="s">
        <v>8067</v>
      </c>
      <c r="C2730" s="1">
        <v>43088</v>
      </c>
      <c r="D2730" s="1">
        <v>43092</v>
      </c>
      <c r="E2730" t="s">
        <v>49</v>
      </c>
      <c r="F2730" t="s">
        <v>6379</v>
      </c>
      <c r="G2730" t="s">
        <v>6380</v>
      </c>
      <c r="H2730" t="s">
        <v>25</v>
      </c>
      <c r="I2730" t="s">
        <v>26</v>
      </c>
      <c r="J2730" t="s">
        <v>1697</v>
      </c>
      <c r="K2730" t="s">
        <v>450</v>
      </c>
      <c r="L2730">
        <v>80134</v>
      </c>
      <c r="M2730" t="s">
        <v>43</v>
      </c>
      <c r="N2730" t="s">
        <v>6438</v>
      </c>
      <c r="O2730" t="s">
        <v>31</v>
      </c>
      <c r="P2730" t="s">
        <v>64</v>
      </c>
      <c r="Q2730" t="s">
        <v>6439</v>
      </c>
      <c r="R2730">
        <v>13.36</v>
      </c>
      <c r="S2730">
        <v>5</v>
      </c>
      <c r="T2730">
        <v>0.2</v>
      </c>
      <c r="U2730">
        <v>4.008</v>
      </c>
      <c r="V2730" t="str">
        <f t="shared" si="42"/>
        <v>Tony Sayre</v>
      </c>
      <c r="W2730">
        <f>Table2[Profit]/Table2[Sales]</f>
        <v>0.3</v>
      </c>
    </row>
    <row r="2731" spans="1:23" x14ac:dyDescent="0.25">
      <c r="A2731">
        <v>2730</v>
      </c>
      <c r="B2731" t="s">
        <v>8068</v>
      </c>
      <c r="C2731" s="1">
        <v>43095</v>
      </c>
      <c r="D2731" s="1">
        <v>43095</v>
      </c>
      <c r="E2731" t="s">
        <v>1278</v>
      </c>
      <c r="F2731" t="s">
        <v>2362</v>
      </c>
      <c r="G2731" t="s">
        <v>2363</v>
      </c>
      <c r="H2731" t="s">
        <v>40</v>
      </c>
      <c r="I2731" t="s">
        <v>26</v>
      </c>
      <c r="J2731" t="s">
        <v>134</v>
      </c>
      <c r="K2731" t="s">
        <v>135</v>
      </c>
      <c r="L2731">
        <v>68025</v>
      </c>
      <c r="M2731" t="s">
        <v>104</v>
      </c>
      <c r="N2731" t="s">
        <v>1745</v>
      </c>
      <c r="O2731" t="s">
        <v>45</v>
      </c>
      <c r="P2731" t="s">
        <v>58</v>
      </c>
      <c r="Q2731" t="s">
        <v>1746</v>
      </c>
      <c r="R2731">
        <v>750.68</v>
      </c>
      <c r="S2731">
        <v>2</v>
      </c>
      <c r="T2731">
        <v>0</v>
      </c>
      <c r="U2731">
        <v>37.533999999999999</v>
      </c>
      <c r="V2731" t="str">
        <f t="shared" si="42"/>
        <v>Yoseph Carroll</v>
      </c>
      <c r="W2731">
        <f>Table2[Profit]/Table2[Sales]</f>
        <v>0.05</v>
      </c>
    </row>
    <row r="2732" spans="1:23" x14ac:dyDescent="0.25">
      <c r="A2732">
        <v>2731</v>
      </c>
      <c r="B2732" t="s">
        <v>8069</v>
      </c>
      <c r="C2732" s="1">
        <v>42901</v>
      </c>
      <c r="D2732" s="1">
        <v>42904</v>
      </c>
      <c r="E2732" t="s">
        <v>185</v>
      </c>
      <c r="F2732" t="s">
        <v>5800</v>
      </c>
      <c r="G2732" t="s">
        <v>5801</v>
      </c>
      <c r="H2732" t="s">
        <v>101</v>
      </c>
      <c r="I2732" t="s">
        <v>26</v>
      </c>
      <c r="J2732" t="s">
        <v>6215</v>
      </c>
      <c r="K2732" t="s">
        <v>226</v>
      </c>
      <c r="L2732">
        <v>55369</v>
      </c>
      <c r="M2732" t="s">
        <v>104</v>
      </c>
      <c r="N2732" t="s">
        <v>2221</v>
      </c>
      <c r="O2732" t="s">
        <v>45</v>
      </c>
      <c r="P2732" t="s">
        <v>46</v>
      </c>
      <c r="Q2732" t="s">
        <v>2222</v>
      </c>
      <c r="R2732">
        <v>44.4</v>
      </c>
      <c r="S2732">
        <v>3</v>
      </c>
      <c r="T2732">
        <v>0</v>
      </c>
      <c r="U2732">
        <v>22.2</v>
      </c>
      <c r="V2732" t="str">
        <f t="shared" si="42"/>
        <v>Dean percer</v>
      </c>
      <c r="W2732">
        <f>Table2[Profit]/Table2[Sales]</f>
        <v>0.5</v>
      </c>
    </row>
    <row r="2733" spans="1:23" x14ac:dyDescent="0.25">
      <c r="A2733">
        <v>2732</v>
      </c>
      <c r="B2733" t="s">
        <v>8070</v>
      </c>
      <c r="C2733" s="1">
        <v>42694</v>
      </c>
      <c r="D2733" s="1">
        <v>42698</v>
      </c>
      <c r="E2733" t="s">
        <v>49</v>
      </c>
      <c r="F2733" t="s">
        <v>704</v>
      </c>
      <c r="G2733" t="s">
        <v>705</v>
      </c>
      <c r="H2733" t="s">
        <v>25</v>
      </c>
      <c r="I2733" t="s">
        <v>26</v>
      </c>
      <c r="J2733" t="s">
        <v>600</v>
      </c>
      <c r="K2733" t="s">
        <v>242</v>
      </c>
      <c r="L2733">
        <v>19711</v>
      </c>
      <c r="M2733" t="s">
        <v>145</v>
      </c>
      <c r="N2733" t="s">
        <v>4548</v>
      </c>
      <c r="O2733" t="s">
        <v>45</v>
      </c>
      <c r="P2733" t="s">
        <v>74</v>
      </c>
      <c r="Q2733" t="s">
        <v>4549</v>
      </c>
      <c r="R2733">
        <v>128.4</v>
      </c>
      <c r="S2733">
        <v>3</v>
      </c>
      <c r="T2733">
        <v>0</v>
      </c>
      <c r="U2733">
        <v>62.915999999999997</v>
      </c>
      <c r="V2733" t="str">
        <f t="shared" si="42"/>
        <v>Shirley Jackson</v>
      </c>
      <c r="W2733">
        <f>Table2[Profit]/Table2[Sales]</f>
        <v>0.48999999999999994</v>
      </c>
    </row>
    <row r="2734" spans="1:23" x14ac:dyDescent="0.25">
      <c r="A2734">
        <v>2733</v>
      </c>
      <c r="B2734" t="s">
        <v>8071</v>
      </c>
      <c r="C2734" s="1">
        <v>41729</v>
      </c>
      <c r="D2734" s="1">
        <v>41733</v>
      </c>
      <c r="E2734" t="s">
        <v>49</v>
      </c>
      <c r="F2734" t="s">
        <v>1781</v>
      </c>
      <c r="G2734" t="s">
        <v>1782</v>
      </c>
      <c r="H2734" t="s">
        <v>40</v>
      </c>
      <c r="I2734" t="s">
        <v>26</v>
      </c>
      <c r="J2734" t="s">
        <v>1406</v>
      </c>
      <c r="K2734" t="s">
        <v>53</v>
      </c>
      <c r="L2734">
        <v>33180</v>
      </c>
      <c r="M2734" t="s">
        <v>29</v>
      </c>
      <c r="N2734" t="s">
        <v>3073</v>
      </c>
      <c r="O2734" t="s">
        <v>45</v>
      </c>
      <c r="P2734" t="s">
        <v>74</v>
      </c>
      <c r="Q2734" t="s">
        <v>3074</v>
      </c>
      <c r="R2734">
        <v>1.869</v>
      </c>
      <c r="S2734">
        <v>1</v>
      </c>
      <c r="T2734">
        <v>0.7</v>
      </c>
      <c r="U2734">
        <v>-1.3083</v>
      </c>
      <c r="V2734" t="str">
        <f t="shared" si="42"/>
        <v>Karen Bern</v>
      </c>
      <c r="W2734">
        <f>Table2[Profit]/Table2[Sales]</f>
        <v>-0.70000000000000007</v>
      </c>
    </row>
    <row r="2735" spans="1:23" x14ac:dyDescent="0.25">
      <c r="A2735">
        <v>2734</v>
      </c>
      <c r="B2735" t="s">
        <v>8072</v>
      </c>
      <c r="C2735" s="1">
        <v>43016</v>
      </c>
      <c r="D2735" s="1">
        <v>43022</v>
      </c>
      <c r="E2735" t="s">
        <v>49</v>
      </c>
      <c r="F2735" t="s">
        <v>2388</v>
      </c>
      <c r="G2735" t="s">
        <v>2389</v>
      </c>
      <c r="H2735" t="s">
        <v>40</v>
      </c>
      <c r="I2735" t="s">
        <v>26</v>
      </c>
      <c r="J2735" t="s">
        <v>941</v>
      </c>
      <c r="K2735" t="s">
        <v>42</v>
      </c>
      <c r="L2735">
        <v>92105</v>
      </c>
      <c r="M2735" t="s">
        <v>43</v>
      </c>
      <c r="N2735" t="s">
        <v>3677</v>
      </c>
      <c r="O2735" t="s">
        <v>70</v>
      </c>
      <c r="P2735" t="s">
        <v>71</v>
      </c>
      <c r="Q2735" t="s">
        <v>3678</v>
      </c>
      <c r="R2735">
        <v>103.19199999999999</v>
      </c>
      <c r="S2735">
        <v>1</v>
      </c>
      <c r="T2735">
        <v>0.2</v>
      </c>
      <c r="U2735">
        <v>11.6091</v>
      </c>
      <c r="V2735" t="str">
        <f t="shared" si="42"/>
        <v>Chris Selesnick</v>
      </c>
      <c r="W2735">
        <f>Table2[Profit]/Table2[Sales]</f>
        <v>0.1125</v>
      </c>
    </row>
    <row r="2736" spans="1:23" x14ac:dyDescent="0.25">
      <c r="A2736">
        <v>2735</v>
      </c>
      <c r="B2736" t="s">
        <v>8073</v>
      </c>
      <c r="C2736" s="1">
        <v>42765</v>
      </c>
      <c r="D2736" s="1">
        <v>42770</v>
      </c>
      <c r="E2736" t="s">
        <v>49</v>
      </c>
      <c r="F2736" t="s">
        <v>149</v>
      </c>
      <c r="G2736" t="s">
        <v>150</v>
      </c>
      <c r="H2736" t="s">
        <v>25</v>
      </c>
      <c r="I2736" t="s">
        <v>26</v>
      </c>
      <c r="J2736" t="s">
        <v>1406</v>
      </c>
      <c r="K2736" t="s">
        <v>53</v>
      </c>
      <c r="L2736">
        <v>33142</v>
      </c>
      <c r="M2736" t="s">
        <v>29</v>
      </c>
      <c r="N2736" t="s">
        <v>8074</v>
      </c>
      <c r="O2736" t="s">
        <v>31</v>
      </c>
      <c r="P2736" t="s">
        <v>35</v>
      </c>
      <c r="Q2736" t="s">
        <v>8075</v>
      </c>
      <c r="R2736">
        <v>419.13600000000002</v>
      </c>
      <c r="S2736">
        <v>4</v>
      </c>
      <c r="T2736">
        <v>0.2</v>
      </c>
      <c r="U2736">
        <v>-68.1096</v>
      </c>
      <c r="V2736" t="str">
        <f t="shared" si="42"/>
        <v>Emily Burns</v>
      </c>
      <c r="W2736">
        <f>Table2[Profit]/Table2[Sales]</f>
        <v>-0.16249999999999998</v>
      </c>
    </row>
    <row r="2737" spans="1:23" x14ac:dyDescent="0.25">
      <c r="A2737">
        <v>2736</v>
      </c>
      <c r="B2737" t="s">
        <v>8076</v>
      </c>
      <c r="C2737" s="1">
        <v>41985</v>
      </c>
      <c r="D2737" s="1">
        <v>41990</v>
      </c>
      <c r="E2737" t="s">
        <v>49</v>
      </c>
      <c r="F2737" t="s">
        <v>1445</v>
      </c>
      <c r="G2737" t="s">
        <v>1446</v>
      </c>
      <c r="H2737" t="s">
        <v>25</v>
      </c>
      <c r="I2737" t="s">
        <v>26</v>
      </c>
      <c r="J2737" t="s">
        <v>1406</v>
      </c>
      <c r="K2737" t="s">
        <v>53</v>
      </c>
      <c r="L2737">
        <v>33178</v>
      </c>
      <c r="M2737" t="s">
        <v>29</v>
      </c>
      <c r="N2737" t="s">
        <v>2719</v>
      </c>
      <c r="O2737" t="s">
        <v>45</v>
      </c>
      <c r="P2737" t="s">
        <v>170</v>
      </c>
      <c r="Q2737" t="s">
        <v>662</v>
      </c>
      <c r="R2737">
        <v>23.472000000000001</v>
      </c>
      <c r="S2737">
        <v>3</v>
      </c>
      <c r="T2737">
        <v>0.2</v>
      </c>
      <c r="U2737">
        <v>7.6284000000000001</v>
      </c>
      <c r="V2737" t="str">
        <f t="shared" si="42"/>
        <v>Philip Brown</v>
      </c>
      <c r="W2737">
        <f>Table2[Profit]/Table2[Sales]</f>
        <v>0.32500000000000001</v>
      </c>
    </row>
    <row r="2738" spans="1:23" x14ac:dyDescent="0.25">
      <c r="A2738">
        <v>2737</v>
      </c>
      <c r="B2738" t="s">
        <v>8077</v>
      </c>
      <c r="C2738" s="1">
        <v>42301</v>
      </c>
      <c r="D2738" s="1">
        <v>42306</v>
      </c>
      <c r="E2738" t="s">
        <v>49</v>
      </c>
      <c r="F2738" t="s">
        <v>1641</v>
      </c>
      <c r="G2738" t="s">
        <v>1642</v>
      </c>
      <c r="H2738" t="s">
        <v>101</v>
      </c>
      <c r="I2738" t="s">
        <v>26</v>
      </c>
      <c r="J2738" t="s">
        <v>671</v>
      </c>
      <c r="K2738" t="s">
        <v>103</v>
      </c>
      <c r="L2738">
        <v>78207</v>
      </c>
      <c r="M2738" t="s">
        <v>104</v>
      </c>
      <c r="N2738" t="s">
        <v>1206</v>
      </c>
      <c r="O2738" t="s">
        <v>45</v>
      </c>
      <c r="P2738" t="s">
        <v>74</v>
      </c>
      <c r="Q2738" t="s">
        <v>1207</v>
      </c>
      <c r="R2738">
        <v>3.5920000000000001</v>
      </c>
      <c r="S2738">
        <v>4</v>
      </c>
      <c r="T2738">
        <v>0.8</v>
      </c>
      <c r="U2738">
        <v>-6.2859999999999996</v>
      </c>
      <c r="V2738" t="str">
        <f t="shared" si="42"/>
        <v>Michelle Tran</v>
      </c>
      <c r="W2738">
        <f>Table2[Profit]/Table2[Sales]</f>
        <v>-1.7499999999999998</v>
      </c>
    </row>
    <row r="2739" spans="1:23" x14ac:dyDescent="0.25">
      <c r="A2739">
        <v>2738</v>
      </c>
      <c r="B2739" t="s">
        <v>8078</v>
      </c>
      <c r="C2739" s="1">
        <v>42826</v>
      </c>
      <c r="D2739" s="1">
        <v>42829</v>
      </c>
      <c r="E2739" t="s">
        <v>22</v>
      </c>
      <c r="F2739" t="s">
        <v>2378</v>
      </c>
      <c r="G2739" t="s">
        <v>2379</v>
      </c>
      <c r="H2739" t="s">
        <v>40</v>
      </c>
      <c r="I2739" t="s">
        <v>26</v>
      </c>
      <c r="J2739" t="s">
        <v>1507</v>
      </c>
      <c r="K2739" t="s">
        <v>53</v>
      </c>
      <c r="L2739">
        <v>32216</v>
      </c>
      <c r="M2739" t="s">
        <v>29</v>
      </c>
      <c r="N2739" t="s">
        <v>4455</v>
      </c>
      <c r="O2739" t="s">
        <v>70</v>
      </c>
      <c r="P2739" t="s">
        <v>71</v>
      </c>
      <c r="Q2739" t="s">
        <v>4456</v>
      </c>
      <c r="R2739">
        <v>23.975999999999999</v>
      </c>
      <c r="S2739">
        <v>3</v>
      </c>
      <c r="T2739">
        <v>0.2</v>
      </c>
      <c r="U2739">
        <v>-5.6943000000000001</v>
      </c>
      <c r="V2739" t="str">
        <f t="shared" si="42"/>
        <v>Barry Französisch</v>
      </c>
      <c r="W2739">
        <f>Table2[Profit]/Table2[Sales]</f>
        <v>-0.23750000000000002</v>
      </c>
    </row>
    <row r="2740" spans="1:23" x14ac:dyDescent="0.25">
      <c r="A2740">
        <v>2739</v>
      </c>
      <c r="B2740" t="s">
        <v>8079</v>
      </c>
      <c r="C2740" s="1">
        <v>42761</v>
      </c>
      <c r="D2740" s="1">
        <v>42762</v>
      </c>
      <c r="E2740" t="s">
        <v>185</v>
      </c>
      <c r="F2740" t="s">
        <v>23</v>
      </c>
      <c r="G2740" t="s">
        <v>24</v>
      </c>
      <c r="H2740" t="s">
        <v>25</v>
      </c>
      <c r="I2740" t="s">
        <v>26</v>
      </c>
      <c r="J2740" t="s">
        <v>181</v>
      </c>
      <c r="K2740" t="s">
        <v>103</v>
      </c>
      <c r="L2740">
        <v>77070</v>
      </c>
      <c r="M2740" t="s">
        <v>104</v>
      </c>
      <c r="N2740" t="s">
        <v>342</v>
      </c>
      <c r="O2740" t="s">
        <v>45</v>
      </c>
      <c r="P2740" t="s">
        <v>58</v>
      </c>
      <c r="Q2740" t="s">
        <v>343</v>
      </c>
      <c r="R2740">
        <v>18.16</v>
      </c>
      <c r="S2740">
        <v>2</v>
      </c>
      <c r="T2740">
        <v>0.2</v>
      </c>
      <c r="U2740">
        <v>1.8160000000000001</v>
      </c>
      <c r="V2740" t="str">
        <f t="shared" si="42"/>
        <v>Claire Gute</v>
      </c>
      <c r="W2740">
        <f>Table2[Profit]/Table2[Sales]</f>
        <v>0.1</v>
      </c>
    </row>
    <row r="2741" spans="1:23" x14ac:dyDescent="0.25">
      <c r="A2741">
        <v>2740</v>
      </c>
      <c r="B2741" t="s">
        <v>8080</v>
      </c>
      <c r="C2741" s="1">
        <v>41971</v>
      </c>
      <c r="D2741" s="1">
        <v>41971</v>
      </c>
      <c r="E2741" t="s">
        <v>1278</v>
      </c>
      <c r="F2741" t="s">
        <v>6835</v>
      </c>
      <c r="G2741" t="s">
        <v>6836</v>
      </c>
      <c r="H2741" t="s">
        <v>101</v>
      </c>
      <c r="I2741" t="s">
        <v>26</v>
      </c>
      <c r="J2741" t="s">
        <v>126</v>
      </c>
      <c r="K2741" t="s">
        <v>42</v>
      </c>
      <c r="L2741">
        <v>94122</v>
      </c>
      <c r="M2741" t="s">
        <v>43</v>
      </c>
      <c r="N2741" t="s">
        <v>1284</v>
      </c>
      <c r="O2741" t="s">
        <v>45</v>
      </c>
      <c r="P2741" t="s">
        <v>572</v>
      </c>
      <c r="Q2741" t="s">
        <v>1285</v>
      </c>
      <c r="R2741">
        <v>7.36</v>
      </c>
      <c r="S2741">
        <v>2</v>
      </c>
      <c r="T2741">
        <v>0</v>
      </c>
      <c r="U2741">
        <v>0.1472</v>
      </c>
      <c r="V2741" t="str">
        <f t="shared" si="42"/>
        <v>Duane Huffman</v>
      </c>
      <c r="W2741">
        <f>Table2[Profit]/Table2[Sales]</f>
        <v>0.02</v>
      </c>
    </row>
    <row r="2742" spans="1:23" x14ac:dyDescent="0.25">
      <c r="A2742">
        <v>2741</v>
      </c>
      <c r="B2742" t="s">
        <v>8081</v>
      </c>
      <c r="C2742" s="1">
        <v>42251</v>
      </c>
      <c r="D2742" s="1">
        <v>42255</v>
      </c>
      <c r="E2742" t="s">
        <v>49</v>
      </c>
      <c r="F2742" t="s">
        <v>3807</v>
      </c>
      <c r="G2742" t="s">
        <v>3808</v>
      </c>
      <c r="H2742" t="s">
        <v>40</v>
      </c>
      <c r="I2742" t="s">
        <v>26</v>
      </c>
      <c r="J2742" t="s">
        <v>143</v>
      </c>
      <c r="K2742" t="s">
        <v>144</v>
      </c>
      <c r="L2742">
        <v>19140</v>
      </c>
      <c r="M2742" t="s">
        <v>145</v>
      </c>
      <c r="N2742" t="s">
        <v>4732</v>
      </c>
      <c r="O2742" t="s">
        <v>45</v>
      </c>
      <c r="P2742" t="s">
        <v>74</v>
      </c>
      <c r="Q2742" t="s">
        <v>4733</v>
      </c>
      <c r="R2742">
        <v>7.6559999999999997</v>
      </c>
      <c r="S2742">
        <v>4</v>
      </c>
      <c r="T2742">
        <v>0.7</v>
      </c>
      <c r="U2742">
        <v>-6.1247999999999996</v>
      </c>
      <c r="V2742" t="str">
        <f t="shared" si="42"/>
        <v>Shaun Chance</v>
      </c>
      <c r="W2742">
        <f>Table2[Profit]/Table2[Sales]</f>
        <v>-0.79999999999999993</v>
      </c>
    </row>
    <row r="2743" spans="1:23" x14ac:dyDescent="0.25">
      <c r="A2743">
        <v>2742</v>
      </c>
      <c r="B2743" t="s">
        <v>8082</v>
      </c>
      <c r="C2743" s="1">
        <v>42898</v>
      </c>
      <c r="D2743" s="1">
        <v>42902</v>
      </c>
      <c r="E2743" t="s">
        <v>49</v>
      </c>
      <c r="F2743" t="s">
        <v>5669</v>
      </c>
      <c r="G2743" t="s">
        <v>5670</v>
      </c>
      <c r="H2743" t="s">
        <v>25</v>
      </c>
      <c r="I2743" t="s">
        <v>26</v>
      </c>
      <c r="J2743" t="s">
        <v>5073</v>
      </c>
      <c r="K2743" t="s">
        <v>491</v>
      </c>
      <c r="L2743">
        <v>43302</v>
      </c>
      <c r="M2743" t="s">
        <v>145</v>
      </c>
      <c r="N2743" t="s">
        <v>984</v>
      </c>
      <c r="O2743" t="s">
        <v>70</v>
      </c>
      <c r="P2743" t="s">
        <v>158</v>
      </c>
      <c r="Q2743" t="s">
        <v>985</v>
      </c>
      <c r="R2743">
        <v>63.92</v>
      </c>
      <c r="S2743">
        <v>2</v>
      </c>
      <c r="T2743">
        <v>0.2</v>
      </c>
      <c r="U2743">
        <v>19.175999999999998</v>
      </c>
      <c r="V2743" t="str">
        <f t="shared" si="42"/>
        <v>Hunter Glantz</v>
      </c>
      <c r="W2743">
        <f>Table2[Profit]/Table2[Sales]</f>
        <v>0.3</v>
      </c>
    </row>
    <row r="2744" spans="1:23" x14ac:dyDescent="0.25">
      <c r="A2744">
        <v>2743</v>
      </c>
      <c r="B2744" t="s">
        <v>8083</v>
      </c>
      <c r="C2744" s="1">
        <v>42931</v>
      </c>
      <c r="D2744" s="1">
        <v>42934</v>
      </c>
      <c r="E2744" t="s">
        <v>22</v>
      </c>
      <c r="F2744" t="s">
        <v>4238</v>
      </c>
      <c r="G2744" t="s">
        <v>4239</v>
      </c>
      <c r="H2744" t="s">
        <v>25</v>
      </c>
      <c r="I2744" t="s">
        <v>26</v>
      </c>
      <c r="J2744" t="s">
        <v>263</v>
      </c>
      <c r="K2744" t="s">
        <v>264</v>
      </c>
      <c r="L2744">
        <v>10024</v>
      </c>
      <c r="M2744" t="s">
        <v>145</v>
      </c>
      <c r="N2744" t="s">
        <v>4888</v>
      </c>
      <c r="O2744" t="s">
        <v>45</v>
      </c>
      <c r="P2744" t="s">
        <v>67</v>
      </c>
      <c r="Q2744" t="s">
        <v>4889</v>
      </c>
      <c r="R2744">
        <v>6.56</v>
      </c>
      <c r="S2744">
        <v>2</v>
      </c>
      <c r="T2744">
        <v>0</v>
      </c>
      <c r="U2744">
        <v>1.9024000000000001</v>
      </c>
      <c r="V2744" t="str">
        <f t="shared" si="42"/>
        <v>Michelle Moray</v>
      </c>
      <c r="W2744">
        <f>Table2[Profit]/Table2[Sales]</f>
        <v>0.29000000000000004</v>
      </c>
    </row>
    <row r="2745" spans="1:23" x14ac:dyDescent="0.25">
      <c r="A2745">
        <v>2744</v>
      </c>
      <c r="B2745" t="s">
        <v>8084</v>
      </c>
      <c r="C2745" s="1">
        <v>43041</v>
      </c>
      <c r="D2745" s="1">
        <v>43045</v>
      </c>
      <c r="E2745" t="s">
        <v>49</v>
      </c>
      <c r="F2745" t="s">
        <v>8085</v>
      </c>
      <c r="G2745" t="s">
        <v>8086</v>
      </c>
      <c r="H2745" t="s">
        <v>40</v>
      </c>
      <c r="I2745" t="s">
        <v>26</v>
      </c>
      <c r="J2745" t="s">
        <v>143</v>
      </c>
      <c r="K2745" t="s">
        <v>144</v>
      </c>
      <c r="L2745">
        <v>19140</v>
      </c>
      <c r="M2745" t="s">
        <v>145</v>
      </c>
      <c r="N2745" t="s">
        <v>5570</v>
      </c>
      <c r="O2745" t="s">
        <v>31</v>
      </c>
      <c r="P2745" t="s">
        <v>64</v>
      </c>
      <c r="Q2745" t="s">
        <v>5571</v>
      </c>
      <c r="R2745">
        <v>3.3119999999999998</v>
      </c>
      <c r="S2745">
        <v>1</v>
      </c>
      <c r="T2745">
        <v>0.2</v>
      </c>
      <c r="U2745">
        <v>0.66239999999999999</v>
      </c>
      <c r="V2745" t="str">
        <f t="shared" si="42"/>
        <v>Thea Hudgings</v>
      </c>
      <c r="W2745">
        <f>Table2[Profit]/Table2[Sales]</f>
        <v>0.2</v>
      </c>
    </row>
    <row r="2746" spans="1:23" x14ac:dyDescent="0.25">
      <c r="A2746">
        <v>2745</v>
      </c>
      <c r="B2746" t="s">
        <v>8087</v>
      </c>
      <c r="C2746" s="1">
        <v>42651</v>
      </c>
      <c r="D2746" s="1">
        <v>42651</v>
      </c>
      <c r="E2746" t="s">
        <v>1278</v>
      </c>
      <c r="F2746" t="s">
        <v>325</v>
      </c>
      <c r="G2746" t="s">
        <v>326</v>
      </c>
      <c r="H2746" t="s">
        <v>25</v>
      </c>
      <c r="I2746" t="s">
        <v>26</v>
      </c>
      <c r="J2746" t="s">
        <v>41</v>
      </c>
      <c r="K2746" t="s">
        <v>42</v>
      </c>
      <c r="L2746">
        <v>90036</v>
      </c>
      <c r="M2746" t="s">
        <v>43</v>
      </c>
      <c r="N2746" t="s">
        <v>4250</v>
      </c>
      <c r="O2746" t="s">
        <v>45</v>
      </c>
      <c r="P2746" t="s">
        <v>89</v>
      </c>
      <c r="Q2746" t="s">
        <v>4251</v>
      </c>
      <c r="R2746">
        <v>61.96</v>
      </c>
      <c r="S2746">
        <v>2</v>
      </c>
      <c r="T2746">
        <v>0</v>
      </c>
      <c r="U2746">
        <v>27.882000000000001</v>
      </c>
      <c r="V2746" t="str">
        <f t="shared" si="42"/>
        <v>Joel Eaton</v>
      </c>
      <c r="W2746">
        <f>Table2[Profit]/Table2[Sales]</f>
        <v>0.45</v>
      </c>
    </row>
    <row r="2747" spans="1:23" x14ac:dyDescent="0.25">
      <c r="A2747">
        <v>2746</v>
      </c>
      <c r="B2747" t="s">
        <v>8088</v>
      </c>
      <c r="C2747" s="1">
        <v>42468</v>
      </c>
      <c r="D2747" s="1">
        <v>42474</v>
      </c>
      <c r="E2747" t="s">
        <v>49</v>
      </c>
      <c r="F2747" t="s">
        <v>2536</v>
      </c>
      <c r="G2747" t="s">
        <v>2537</v>
      </c>
      <c r="H2747" t="s">
        <v>25</v>
      </c>
      <c r="I2747" t="s">
        <v>26</v>
      </c>
      <c r="J2747" t="s">
        <v>3716</v>
      </c>
      <c r="K2747" t="s">
        <v>1260</v>
      </c>
      <c r="L2747">
        <v>30080</v>
      </c>
      <c r="M2747" t="s">
        <v>29</v>
      </c>
      <c r="N2747" t="s">
        <v>5393</v>
      </c>
      <c r="O2747" t="s">
        <v>45</v>
      </c>
      <c r="P2747" t="s">
        <v>170</v>
      </c>
      <c r="Q2747" t="s">
        <v>5394</v>
      </c>
      <c r="R2747">
        <v>17.920000000000002</v>
      </c>
      <c r="S2747">
        <v>4</v>
      </c>
      <c r="T2747">
        <v>0</v>
      </c>
      <c r="U2747">
        <v>8.6015999999999995</v>
      </c>
      <c r="V2747" t="str">
        <f t="shared" si="42"/>
        <v>Patrick Gardner</v>
      </c>
      <c r="W2747">
        <f>Table2[Profit]/Table2[Sales]</f>
        <v>0.47999999999999993</v>
      </c>
    </row>
    <row r="2748" spans="1:23" x14ac:dyDescent="0.25">
      <c r="A2748">
        <v>2747</v>
      </c>
      <c r="B2748" t="s">
        <v>8089</v>
      </c>
      <c r="C2748" s="1">
        <v>42285</v>
      </c>
      <c r="D2748" s="1">
        <v>42289</v>
      </c>
      <c r="E2748" t="s">
        <v>49</v>
      </c>
      <c r="F2748" t="s">
        <v>792</v>
      </c>
      <c r="G2748" t="s">
        <v>793</v>
      </c>
      <c r="H2748" t="s">
        <v>25</v>
      </c>
      <c r="I2748" t="s">
        <v>26</v>
      </c>
      <c r="J2748" t="s">
        <v>126</v>
      </c>
      <c r="K2748" t="s">
        <v>42</v>
      </c>
      <c r="L2748">
        <v>94122</v>
      </c>
      <c r="M2748" t="s">
        <v>43</v>
      </c>
      <c r="N2748" t="s">
        <v>1136</v>
      </c>
      <c r="O2748" t="s">
        <v>31</v>
      </c>
      <c r="P2748" t="s">
        <v>64</v>
      </c>
      <c r="Q2748" t="s">
        <v>1137</v>
      </c>
      <c r="R2748">
        <v>145.9</v>
      </c>
      <c r="S2748">
        <v>5</v>
      </c>
      <c r="T2748">
        <v>0</v>
      </c>
      <c r="U2748">
        <v>62.737000000000002</v>
      </c>
      <c r="V2748" t="str">
        <f t="shared" si="42"/>
        <v>Maria Bertelson</v>
      </c>
      <c r="W2748">
        <f>Table2[Profit]/Table2[Sales]</f>
        <v>0.43</v>
      </c>
    </row>
    <row r="2749" spans="1:23" x14ac:dyDescent="0.25">
      <c r="A2749">
        <v>2748</v>
      </c>
      <c r="B2749" t="s">
        <v>8090</v>
      </c>
      <c r="C2749" s="1">
        <v>42870</v>
      </c>
      <c r="D2749" s="1">
        <v>42875</v>
      </c>
      <c r="E2749" t="s">
        <v>49</v>
      </c>
      <c r="F2749" t="s">
        <v>4730</v>
      </c>
      <c r="G2749" t="s">
        <v>4731</v>
      </c>
      <c r="H2749" t="s">
        <v>25</v>
      </c>
      <c r="I2749" t="s">
        <v>26</v>
      </c>
      <c r="J2749" t="s">
        <v>296</v>
      </c>
      <c r="K2749" t="s">
        <v>208</v>
      </c>
      <c r="L2749">
        <v>60653</v>
      </c>
      <c r="M2749" t="s">
        <v>104</v>
      </c>
      <c r="N2749" t="s">
        <v>563</v>
      </c>
      <c r="O2749" t="s">
        <v>45</v>
      </c>
      <c r="P2749" t="s">
        <v>89</v>
      </c>
      <c r="Q2749" t="s">
        <v>564</v>
      </c>
      <c r="R2749">
        <v>56.704000000000001</v>
      </c>
      <c r="S2749">
        <v>2</v>
      </c>
      <c r="T2749">
        <v>0.2</v>
      </c>
      <c r="U2749">
        <v>19.137599999999999</v>
      </c>
      <c r="V2749" t="str">
        <f t="shared" si="42"/>
        <v>Joy Daniels</v>
      </c>
      <c r="W2749">
        <f>Table2[Profit]/Table2[Sales]</f>
        <v>0.33749999999999997</v>
      </c>
    </row>
    <row r="2750" spans="1:23" x14ac:dyDescent="0.25">
      <c r="A2750">
        <v>2749</v>
      </c>
      <c r="B2750" t="s">
        <v>8091</v>
      </c>
      <c r="C2750" s="1">
        <v>41694</v>
      </c>
      <c r="D2750" s="1">
        <v>41700</v>
      </c>
      <c r="E2750" t="s">
        <v>49</v>
      </c>
      <c r="F2750" t="s">
        <v>3028</v>
      </c>
      <c r="G2750" t="s">
        <v>3029</v>
      </c>
      <c r="H2750" t="s">
        <v>25</v>
      </c>
      <c r="I2750" t="s">
        <v>26</v>
      </c>
      <c r="J2750" t="s">
        <v>4606</v>
      </c>
      <c r="K2750" t="s">
        <v>413</v>
      </c>
      <c r="L2750">
        <v>97504</v>
      </c>
      <c r="M2750" t="s">
        <v>43</v>
      </c>
      <c r="N2750" t="s">
        <v>6469</v>
      </c>
      <c r="O2750" t="s">
        <v>45</v>
      </c>
      <c r="P2750" t="s">
        <v>89</v>
      </c>
      <c r="Q2750" t="s">
        <v>6470</v>
      </c>
      <c r="R2750">
        <v>32.896000000000001</v>
      </c>
      <c r="S2750">
        <v>4</v>
      </c>
      <c r="T2750">
        <v>0.2</v>
      </c>
      <c r="U2750">
        <v>11.102399999999999</v>
      </c>
      <c r="V2750" t="str">
        <f t="shared" si="42"/>
        <v>Jennifer Halladay</v>
      </c>
      <c r="W2750">
        <f>Table2[Profit]/Table2[Sales]</f>
        <v>0.33749999999999997</v>
      </c>
    </row>
    <row r="2751" spans="1:23" x14ac:dyDescent="0.25">
      <c r="A2751">
        <v>2750</v>
      </c>
      <c r="B2751" t="s">
        <v>8092</v>
      </c>
      <c r="C2751" s="1">
        <v>42154</v>
      </c>
      <c r="D2751" s="1">
        <v>42156</v>
      </c>
      <c r="E2751" t="s">
        <v>185</v>
      </c>
      <c r="F2751" t="s">
        <v>5592</v>
      </c>
      <c r="G2751" t="s">
        <v>5593</v>
      </c>
      <c r="H2751" t="s">
        <v>25</v>
      </c>
      <c r="I2751" t="s">
        <v>26</v>
      </c>
      <c r="J2751" t="s">
        <v>263</v>
      </c>
      <c r="K2751" t="s">
        <v>264</v>
      </c>
      <c r="L2751">
        <v>10009</v>
      </c>
      <c r="M2751" t="s">
        <v>145</v>
      </c>
      <c r="N2751" t="s">
        <v>2496</v>
      </c>
      <c r="O2751" t="s">
        <v>70</v>
      </c>
      <c r="P2751" t="s">
        <v>71</v>
      </c>
      <c r="Q2751" t="s">
        <v>8093</v>
      </c>
      <c r="R2751">
        <v>239.97</v>
      </c>
      <c r="S2751">
        <v>3</v>
      </c>
      <c r="T2751">
        <v>0</v>
      </c>
      <c r="U2751">
        <v>2.3997000000000002</v>
      </c>
      <c r="V2751" t="str">
        <f t="shared" si="42"/>
        <v>Edward Nazzal</v>
      </c>
      <c r="W2751">
        <f>Table2[Profit]/Table2[Sales]</f>
        <v>0.01</v>
      </c>
    </row>
    <row r="2752" spans="1:23" x14ac:dyDescent="0.25">
      <c r="A2752">
        <v>2751</v>
      </c>
      <c r="B2752" t="s">
        <v>8094</v>
      </c>
      <c r="C2752" s="1">
        <v>42692</v>
      </c>
      <c r="D2752" s="1">
        <v>42695</v>
      </c>
      <c r="E2752" t="s">
        <v>22</v>
      </c>
      <c r="F2752" t="s">
        <v>2823</v>
      </c>
      <c r="G2752" t="s">
        <v>2824</v>
      </c>
      <c r="H2752" t="s">
        <v>40</v>
      </c>
      <c r="I2752" t="s">
        <v>26</v>
      </c>
      <c r="J2752" t="s">
        <v>1657</v>
      </c>
      <c r="K2752" t="s">
        <v>351</v>
      </c>
      <c r="L2752">
        <v>35810</v>
      </c>
      <c r="M2752" t="s">
        <v>29</v>
      </c>
      <c r="N2752" t="s">
        <v>8022</v>
      </c>
      <c r="O2752" t="s">
        <v>70</v>
      </c>
      <c r="P2752" t="s">
        <v>158</v>
      </c>
      <c r="Q2752" t="s">
        <v>8023</v>
      </c>
      <c r="R2752">
        <v>1319.96</v>
      </c>
      <c r="S2752">
        <v>4</v>
      </c>
      <c r="T2752">
        <v>0</v>
      </c>
      <c r="U2752">
        <v>527.98400000000004</v>
      </c>
      <c r="V2752" t="str">
        <f t="shared" si="42"/>
        <v>Karen Carlisle</v>
      </c>
      <c r="W2752">
        <f>Table2[Profit]/Table2[Sales]</f>
        <v>0.4</v>
      </c>
    </row>
    <row r="2753" spans="1:23" x14ac:dyDescent="0.25">
      <c r="A2753">
        <v>2752</v>
      </c>
      <c r="B2753" t="s">
        <v>8095</v>
      </c>
      <c r="C2753" s="1">
        <v>43073</v>
      </c>
      <c r="D2753" s="1">
        <v>43078</v>
      </c>
      <c r="E2753" t="s">
        <v>49</v>
      </c>
      <c r="F2753" t="s">
        <v>835</v>
      </c>
      <c r="G2753" t="s">
        <v>836</v>
      </c>
      <c r="H2753" t="s">
        <v>40</v>
      </c>
      <c r="I2753" t="s">
        <v>26</v>
      </c>
      <c r="J2753" t="s">
        <v>143</v>
      </c>
      <c r="K2753" t="s">
        <v>144</v>
      </c>
      <c r="L2753">
        <v>19134</v>
      </c>
      <c r="M2753" t="s">
        <v>145</v>
      </c>
      <c r="N2753" t="s">
        <v>3346</v>
      </c>
      <c r="O2753" t="s">
        <v>31</v>
      </c>
      <c r="P2753" t="s">
        <v>35</v>
      </c>
      <c r="Q2753" t="s">
        <v>3347</v>
      </c>
      <c r="R2753">
        <v>239.96</v>
      </c>
      <c r="S2753">
        <v>10</v>
      </c>
      <c r="T2753">
        <v>0.3</v>
      </c>
      <c r="U2753">
        <v>-10.284000000000001</v>
      </c>
      <c r="V2753" t="str">
        <f t="shared" si="42"/>
        <v>Michael Stewart</v>
      </c>
      <c r="W2753">
        <f>Table2[Profit]/Table2[Sales]</f>
        <v>-4.2857142857142858E-2</v>
      </c>
    </row>
    <row r="2754" spans="1:23" x14ac:dyDescent="0.25">
      <c r="A2754">
        <v>2753</v>
      </c>
      <c r="B2754" t="s">
        <v>8096</v>
      </c>
      <c r="C2754" s="1">
        <v>42526</v>
      </c>
      <c r="D2754" s="1">
        <v>42528</v>
      </c>
      <c r="E2754" t="s">
        <v>185</v>
      </c>
      <c r="F2754" t="s">
        <v>1974</v>
      </c>
      <c r="G2754" t="s">
        <v>1975</v>
      </c>
      <c r="H2754" t="s">
        <v>25</v>
      </c>
      <c r="I2754" t="s">
        <v>26</v>
      </c>
      <c r="J2754" t="s">
        <v>905</v>
      </c>
      <c r="K2754" t="s">
        <v>42</v>
      </c>
      <c r="L2754">
        <v>95051</v>
      </c>
      <c r="M2754" t="s">
        <v>43</v>
      </c>
      <c r="N2754" t="s">
        <v>5505</v>
      </c>
      <c r="O2754" t="s">
        <v>45</v>
      </c>
      <c r="P2754" t="s">
        <v>74</v>
      </c>
      <c r="Q2754" t="s">
        <v>1207</v>
      </c>
      <c r="R2754">
        <v>21.552</v>
      </c>
      <c r="S2754">
        <v>6</v>
      </c>
      <c r="T2754">
        <v>0.2</v>
      </c>
      <c r="U2754">
        <v>7.0044000000000004</v>
      </c>
      <c r="V2754" t="str">
        <f t="shared" si="42"/>
        <v>Chloris Kastensmidt</v>
      </c>
      <c r="W2754">
        <f>Table2[Profit]/Table2[Sales]</f>
        <v>0.32500000000000001</v>
      </c>
    </row>
    <row r="2755" spans="1:23" x14ac:dyDescent="0.25">
      <c r="A2755">
        <v>2754</v>
      </c>
      <c r="B2755" t="s">
        <v>8097</v>
      </c>
      <c r="C2755" s="1">
        <v>42714</v>
      </c>
      <c r="D2755" s="1">
        <v>42716</v>
      </c>
      <c r="E2755" t="s">
        <v>185</v>
      </c>
      <c r="F2755" t="s">
        <v>2620</v>
      </c>
      <c r="G2755" t="s">
        <v>2621</v>
      </c>
      <c r="H2755" t="s">
        <v>101</v>
      </c>
      <c r="I2755" t="s">
        <v>26</v>
      </c>
      <c r="J2755" t="s">
        <v>1161</v>
      </c>
      <c r="K2755" t="s">
        <v>42</v>
      </c>
      <c r="L2755">
        <v>90805</v>
      </c>
      <c r="M2755" t="s">
        <v>43</v>
      </c>
      <c r="N2755" t="s">
        <v>4164</v>
      </c>
      <c r="O2755" t="s">
        <v>45</v>
      </c>
      <c r="P2755" t="s">
        <v>89</v>
      </c>
      <c r="Q2755" t="s">
        <v>4165</v>
      </c>
      <c r="R2755">
        <v>80.28</v>
      </c>
      <c r="S2755">
        <v>12</v>
      </c>
      <c r="T2755">
        <v>0</v>
      </c>
      <c r="U2755">
        <v>36.928800000000003</v>
      </c>
      <c r="V2755" t="str">
        <f t="shared" ref="V2755:V2818" si="43">TRIM(G2755)</f>
        <v>Sanjit Jacobs</v>
      </c>
      <c r="W2755">
        <f>Table2[Profit]/Table2[Sales]</f>
        <v>0.46</v>
      </c>
    </row>
    <row r="2756" spans="1:23" x14ac:dyDescent="0.25">
      <c r="A2756">
        <v>2755</v>
      </c>
      <c r="B2756" t="s">
        <v>8098</v>
      </c>
      <c r="C2756" s="1">
        <v>42855</v>
      </c>
      <c r="D2756" s="1">
        <v>42860</v>
      </c>
      <c r="E2756" t="s">
        <v>49</v>
      </c>
      <c r="F2756" t="s">
        <v>888</v>
      </c>
      <c r="G2756" t="s">
        <v>889</v>
      </c>
      <c r="H2756" t="s">
        <v>40</v>
      </c>
      <c r="I2756" t="s">
        <v>26</v>
      </c>
      <c r="J2756" t="s">
        <v>41</v>
      </c>
      <c r="K2756" t="s">
        <v>42</v>
      </c>
      <c r="L2756">
        <v>90008</v>
      </c>
      <c r="M2756" t="s">
        <v>43</v>
      </c>
      <c r="N2756" t="s">
        <v>1120</v>
      </c>
      <c r="O2756" t="s">
        <v>45</v>
      </c>
      <c r="P2756" t="s">
        <v>67</v>
      </c>
      <c r="Q2756" t="s">
        <v>1121</v>
      </c>
      <c r="R2756">
        <v>9.7799999999999994</v>
      </c>
      <c r="S2756">
        <v>2</v>
      </c>
      <c r="T2756">
        <v>0</v>
      </c>
      <c r="U2756">
        <v>4.0098000000000003</v>
      </c>
      <c r="V2756" t="str">
        <f t="shared" si="43"/>
        <v>Erin Ashbrook</v>
      </c>
      <c r="W2756">
        <f>Table2[Profit]/Table2[Sales]</f>
        <v>0.41000000000000003</v>
      </c>
    </row>
    <row r="2757" spans="1:23" x14ac:dyDescent="0.25">
      <c r="A2757">
        <v>2756</v>
      </c>
      <c r="B2757" t="s">
        <v>8099</v>
      </c>
      <c r="C2757" s="1">
        <v>42849</v>
      </c>
      <c r="D2757" s="1">
        <v>42853</v>
      </c>
      <c r="E2757" t="s">
        <v>49</v>
      </c>
      <c r="F2757" t="s">
        <v>3692</v>
      </c>
      <c r="G2757" t="s">
        <v>3693</v>
      </c>
      <c r="H2757" t="s">
        <v>101</v>
      </c>
      <c r="I2757" t="s">
        <v>26</v>
      </c>
      <c r="J2757" t="s">
        <v>8100</v>
      </c>
      <c r="K2757" t="s">
        <v>42</v>
      </c>
      <c r="L2757">
        <v>93101</v>
      </c>
      <c r="M2757" t="s">
        <v>43</v>
      </c>
      <c r="N2757" t="s">
        <v>4246</v>
      </c>
      <c r="O2757" t="s">
        <v>45</v>
      </c>
      <c r="P2757" t="s">
        <v>266</v>
      </c>
      <c r="Q2757" t="s">
        <v>4247</v>
      </c>
      <c r="R2757">
        <v>1.81</v>
      </c>
      <c r="S2757">
        <v>1</v>
      </c>
      <c r="T2757">
        <v>0</v>
      </c>
      <c r="U2757">
        <v>0.65159999999999996</v>
      </c>
      <c r="V2757" t="str">
        <f t="shared" si="43"/>
        <v>Michael Granlund</v>
      </c>
      <c r="W2757">
        <f>Table2[Profit]/Table2[Sales]</f>
        <v>0.36</v>
      </c>
    </row>
    <row r="2758" spans="1:23" x14ac:dyDescent="0.25">
      <c r="A2758">
        <v>2757</v>
      </c>
      <c r="B2758" t="s">
        <v>8101</v>
      </c>
      <c r="C2758" s="1">
        <v>42132</v>
      </c>
      <c r="D2758" s="1">
        <v>42134</v>
      </c>
      <c r="E2758" t="s">
        <v>185</v>
      </c>
      <c r="F2758" t="s">
        <v>3605</v>
      </c>
      <c r="G2758" t="s">
        <v>3606</v>
      </c>
      <c r="H2758" t="s">
        <v>101</v>
      </c>
      <c r="I2758" t="s">
        <v>26</v>
      </c>
      <c r="J2758" t="s">
        <v>263</v>
      </c>
      <c r="K2758" t="s">
        <v>264</v>
      </c>
      <c r="L2758">
        <v>10009</v>
      </c>
      <c r="M2758" t="s">
        <v>145</v>
      </c>
      <c r="N2758" t="s">
        <v>1615</v>
      </c>
      <c r="O2758" t="s">
        <v>45</v>
      </c>
      <c r="P2758" t="s">
        <v>89</v>
      </c>
      <c r="Q2758" t="s">
        <v>1616</v>
      </c>
      <c r="R2758">
        <v>37.94</v>
      </c>
      <c r="S2758">
        <v>2</v>
      </c>
      <c r="T2758">
        <v>0</v>
      </c>
      <c r="U2758">
        <v>18.211200000000002</v>
      </c>
      <c r="V2758" t="str">
        <f t="shared" si="43"/>
        <v>Alejandro Ballentine</v>
      </c>
      <c r="W2758">
        <f>Table2[Profit]/Table2[Sales]</f>
        <v>0.48000000000000009</v>
      </c>
    </row>
    <row r="2759" spans="1:23" x14ac:dyDescent="0.25">
      <c r="A2759">
        <v>2758</v>
      </c>
      <c r="B2759" t="s">
        <v>8102</v>
      </c>
      <c r="C2759" s="1">
        <v>42094</v>
      </c>
      <c r="D2759" s="1">
        <v>42098</v>
      </c>
      <c r="E2759" t="s">
        <v>49</v>
      </c>
      <c r="F2759" t="s">
        <v>5267</v>
      </c>
      <c r="G2759" t="s">
        <v>5268</v>
      </c>
      <c r="H2759" t="s">
        <v>40</v>
      </c>
      <c r="I2759" t="s">
        <v>26</v>
      </c>
      <c r="J2759" t="s">
        <v>1507</v>
      </c>
      <c r="K2759" t="s">
        <v>53</v>
      </c>
      <c r="L2759">
        <v>32216</v>
      </c>
      <c r="M2759" t="s">
        <v>29</v>
      </c>
      <c r="N2759" t="s">
        <v>917</v>
      </c>
      <c r="O2759" t="s">
        <v>70</v>
      </c>
      <c r="P2759" t="s">
        <v>71</v>
      </c>
      <c r="Q2759" t="s">
        <v>918</v>
      </c>
      <c r="R2759">
        <v>79.959999999999994</v>
      </c>
      <c r="S2759">
        <v>5</v>
      </c>
      <c r="T2759">
        <v>0.2</v>
      </c>
      <c r="U2759">
        <v>27.986000000000001</v>
      </c>
      <c r="V2759" t="str">
        <f t="shared" si="43"/>
        <v>Scott Cohen</v>
      </c>
      <c r="W2759">
        <f>Table2[Profit]/Table2[Sales]</f>
        <v>0.35000000000000003</v>
      </c>
    </row>
    <row r="2760" spans="1:23" x14ac:dyDescent="0.25">
      <c r="A2760">
        <v>2759</v>
      </c>
      <c r="B2760" t="s">
        <v>8103</v>
      </c>
      <c r="C2760" s="1">
        <v>42953</v>
      </c>
      <c r="D2760" s="1">
        <v>42958</v>
      </c>
      <c r="E2760" t="s">
        <v>49</v>
      </c>
      <c r="F2760" t="s">
        <v>3513</v>
      </c>
      <c r="G2760" t="s">
        <v>3514</v>
      </c>
      <c r="H2760" t="s">
        <v>40</v>
      </c>
      <c r="I2760" t="s">
        <v>26</v>
      </c>
      <c r="J2760" t="s">
        <v>8104</v>
      </c>
      <c r="K2760" t="s">
        <v>103</v>
      </c>
      <c r="L2760">
        <v>75104</v>
      </c>
      <c r="M2760" t="s">
        <v>104</v>
      </c>
      <c r="N2760" t="s">
        <v>7559</v>
      </c>
      <c r="O2760" t="s">
        <v>45</v>
      </c>
      <c r="P2760" t="s">
        <v>89</v>
      </c>
      <c r="Q2760" t="s">
        <v>7560</v>
      </c>
      <c r="R2760">
        <v>115.29600000000001</v>
      </c>
      <c r="S2760">
        <v>3</v>
      </c>
      <c r="T2760">
        <v>0.2</v>
      </c>
      <c r="U2760">
        <v>40.3536</v>
      </c>
      <c r="V2760" t="str">
        <f t="shared" si="43"/>
        <v>Todd Boyes</v>
      </c>
      <c r="W2760">
        <f>Table2[Profit]/Table2[Sales]</f>
        <v>0.35</v>
      </c>
    </row>
    <row r="2761" spans="1:23" x14ac:dyDescent="0.25">
      <c r="A2761">
        <v>2760</v>
      </c>
      <c r="B2761" t="s">
        <v>8105</v>
      </c>
      <c r="C2761" s="1">
        <v>43071</v>
      </c>
      <c r="D2761" s="1">
        <v>43075</v>
      </c>
      <c r="E2761" t="s">
        <v>49</v>
      </c>
      <c r="F2761" t="s">
        <v>8106</v>
      </c>
      <c r="G2761" t="s">
        <v>8107</v>
      </c>
      <c r="H2761" t="s">
        <v>25</v>
      </c>
      <c r="I2761" t="s">
        <v>26</v>
      </c>
      <c r="J2761" t="s">
        <v>2499</v>
      </c>
      <c r="K2761" t="s">
        <v>135</v>
      </c>
      <c r="L2761">
        <v>68104</v>
      </c>
      <c r="M2761" t="s">
        <v>104</v>
      </c>
      <c r="N2761" t="s">
        <v>2496</v>
      </c>
      <c r="O2761" t="s">
        <v>70</v>
      </c>
      <c r="P2761" t="s">
        <v>71</v>
      </c>
      <c r="Q2761" t="s">
        <v>2497</v>
      </c>
      <c r="R2761">
        <v>2479.96</v>
      </c>
      <c r="S2761">
        <v>4</v>
      </c>
      <c r="T2761">
        <v>0</v>
      </c>
      <c r="U2761">
        <v>743.98800000000006</v>
      </c>
      <c r="V2761" t="str">
        <f t="shared" si="43"/>
        <v>Juliana Krohn</v>
      </c>
      <c r="W2761">
        <f>Table2[Profit]/Table2[Sales]</f>
        <v>0.30000000000000004</v>
      </c>
    </row>
    <row r="2762" spans="1:23" x14ac:dyDescent="0.25">
      <c r="A2762">
        <v>2761</v>
      </c>
      <c r="B2762" t="s">
        <v>8108</v>
      </c>
      <c r="C2762" s="1">
        <v>42527</v>
      </c>
      <c r="D2762" s="1">
        <v>42528</v>
      </c>
      <c r="E2762" t="s">
        <v>185</v>
      </c>
      <c r="F2762" t="s">
        <v>2005</v>
      </c>
      <c r="G2762" t="s">
        <v>2006</v>
      </c>
      <c r="H2762" t="s">
        <v>25</v>
      </c>
      <c r="I2762" t="s">
        <v>26</v>
      </c>
      <c r="J2762" t="s">
        <v>5036</v>
      </c>
      <c r="K2762" t="s">
        <v>1683</v>
      </c>
      <c r="L2762">
        <v>72209</v>
      </c>
      <c r="M2762" t="s">
        <v>29</v>
      </c>
      <c r="N2762" t="s">
        <v>3911</v>
      </c>
      <c r="O2762" t="s">
        <v>70</v>
      </c>
      <c r="P2762" t="s">
        <v>158</v>
      </c>
      <c r="Q2762" t="s">
        <v>3912</v>
      </c>
      <c r="R2762">
        <v>179.94</v>
      </c>
      <c r="S2762">
        <v>6</v>
      </c>
      <c r="T2762">
        <v>0</v>
      </c>
      <c r="U2762">
        <v>75.574799999999996</v>
      </c>
      <c r="V2762" t="str">
        <f t="shared" si="43"/>
        <v>Clytie Kelty</v>
      </c>
      <c r="W2762">
        <f>Table2[Profit]/Table2[Sales]</f>
        <v>0.42</v>
      </c>
    </row>
    <row r="2763" spans="1:23" x14ac:dyDescent="0.25">
      <c r="A2763">
        <v>2762</v>
      </c>
      <c r="B2763" t="s">
        <v>8109</v>
      </c>
      <c r="C2763" s="1">
        <v>42107</v>
      </c>
      <c r="D2763" s="1">
        <v>42114</v>
      </c>
      <c r="E2763" t="s">
        <v>49</v>
      </c>
      <c r="F2763" t="s">
        <v>1670</v>
      </c>
      <c r="G2763" t="s">
        <v>1671</v>
      </c>
      <c r="H2763" t="s">
        <v>25</v>
      </c>
      <c r="I2763" t="s">
        <v>26</v>
      </c>
      <c r="J2763" t="s">
        <v>8110</v>
      </c>
      <c r="K2763" t="s">
        <v>135</v>
      </c>
      <c r="L2763">
        <v>68701</v>
      </c>
      <c r="M2763" t="s">
        <v>104</v>
      </c>
      <c r="N2763" t="s">
        <v>2691</v>
      </c>
      <c r="O2763" t="s">
        <v>45</v>
      </c>
      <c r="P2763" t="s">
        <v>74</v>
      </c>
      <c r="Q2763" t="s">
        <v>2692</v>
      </c>
      <c r="R2763">
        <v>17.43</v>
      </c>
      <c r="S2763">
        <v>3</v>
      </c>
      <c r="T2763">
        <v>0</v>
      </c>
      <c r="U2763">
        <v>8.0177999999999994</v>
      </c>
      <c r="V2763" t="str">
        <f t="shared" si="43"/>
        <v>Sonia Sunley</v>
      </c>
      <c r="W2763">
        <f>Table2[Profit]/Table2[Sales]</f>
        <v>0.45999999999999996</v>
      </c>
    </row>
    <row r="2764" spans="1:23" x14ac:dyDescent="0.25">
      <c r="A2764">
        <v>2763</v>
      </c>
      <c r="B2764" t="s">
        <v>8111</v>
      </c>
      <c r="C2764" s="1">
        <v>42877</v>
      </c>
      <c r="D2764" s="1">
        <v>42881</v>
      </c>
      <c r="E2764" t="s">
        <v>49</v>
      </c>
      <c r="F2764" t="s">
        <v>817</v>
      </c>
      <c r="G2764" t="s">
        <v>818</v>
      </c>
      <c r="H2764" t="s">
        <v>25</v>
      </c>
      <c r="I2764" t="s">
        <v>26</v>
      </c>
      <c r="J2764" t="s">
        <v>296</v>
      </c>
      <c r="K2764" t="s">
        <v>208</v>
      </c>
      <c r="L2764">
        <v>60653</v>
      </c>
      <c r="M2764" t="s">
        <v>104</v>
      </c>
      <c r="N2764" t="s">
        <v>329</v>
      </c>
      <c r="O2764" t="s">
        <v>31</v>
      </c>
      <c r="P2764" t="s">
        <v>35</v>
      </c>
      <c r="Q2764" t="s">
        <v>330</v>
      </c>
      <c r="R2764">
        <v>181.98599999999999</v>
      </c>
      <c r="S2764">
        <v>2</v>
      </c>
      <c r="T2764">
        <v>0.3</v>
      </c>
      <c r="U2764">
        <v>-54.595799999999997</v>
      </c>
      <c r="V2764" t="str">
        <f t="shared" si="43"/>
        <v>Laurel Elliston</v>
      </c>
      <c r="W2764">
        <f>Table2[Profit]/Table2[Sales]</f>
        <v>-0.3</v>
      </c>
    </row>
    <row r="2765" spans="1:23" x14ac:dyDescent="0.25">
      <c r="A2765">
        <v>2764</v>
      </c>
      <c r="B2765" t="s">
        <v>8112</v>
      </c>
      <c r="C2765" s="1">
        <v>42723</v>
      </c>
      <c r="D2765" s="1">
        <v>42729</v>
      </c>
      <c r="E2765" t="s">
        <v>49</v>
      </c>
      <c r="F2765" t="s">
        <v>217</v>
      </c>
      <c r="G2765" t="s">
        <v>218</v>
      </c>
      <c r="H2765" t="s">
        <v>40</v>
      </c>
      <c r="I2765" t="s">
        <v>26</v>
      </c>
      <c r="J2765" t="s">
        <v>1299</v>
      </c>
      <c r="K2765" t="s">
        <v>303</v>
      </c>
      <c r="L2765">
        <v>85705</v>
      </c>
      <c r="M2765" t="s">
        <v>43</v>
      </c>
      <c r="N2765" t="s">
        <v>8113</v>
      </c>
      <c r="O2765" t="s">
        <v>31</v>
      </c>
      <c r="P2765" t="s">
        <v>55</v>
      </c>
      <c r="Q2765" t="s">
        <v>8114</v>
      </c>
      <c r="R2765">
        <v>455.97</v>
      </c>
      <c r="S2765">
        <v>6</v>
      </c>
      <c r="T2765">
        <v>0.5</v>
      </c>
      <c r="U2765">
        <v>-218.8656</v>
      </c>
      <c r="V2765" t="str">
        <f t="shared" si="43"/>
        <v>Erin Smith</v>
      </c>
      <c r="W2765">
        <f>Table2[Profit]/Table2[Sales]</f>
        <v>-0.48</v>
      </c>
    </row>
    <row r="2766" spans="1:23" x14ac:dyDescent="0.25">
      <c r="A2766">
        <v>2765</v>
      </c>
      <c r="B2766" t="s">
        <v>8115</v>
      </c>
      <c r="C2766" s="1">
        <v>43000</v>
      </c>
      <c r="D2766" s="1">
        <v>43004</v>
      </c>
      <c r="E2766" t="s">
        <v>49</v>
      </c>
      <c r="F2766" t="s">
        <v>3692</v>
      </c>
      <c r="G2766" t="s">
        <v>3693</v>
      </c>
      <c r="H2766" t="s">
        <v>101</v>
      </c>
      <c r="I2766" t="s">
        <v>26</v>
      </c>
      <c r="J2766" t="s">
        <v>86</v>
      </c>
      <c r="K2766" t="s">
        <v>2658</v>
      </c>
      <c r="L2766">
        <v>3301</v>
      </c>
      <c r="M2766" t="s">
        <v>145</v>
      </c>
      <c r="N2766" t="s">
        <v>627</v>
      </c>
      <c r="O2766" t="s">
        <v>45</v>
      </c>
      <c r="P2766" t="s">
        <v>58</v>
      </c>
      <c r="Q2766" t="s">
        <v>628</v>
      </c>
      <c r="R2766">
        <v>67.400000000000006</v>
      </c>
      <c r="S2766">
        <v>5</v>
      </c>
      <c r="T2766">
        <v>0</v>
      </c>
      <c r="U2766">
        <v>17.524000000000001</v>
      </c>
      <c r="V2766" t="str">
        <f t="shared" si="43"/>
        <v>Michael Granlund</v>
      </c>
      <c r="W2766">
        <f>Table2[Profit]/Table2[Sales]</f>
        <v>0.26</v>
      </c>
    </row>
    <row r="2767" spans="1:23" x14ac:dyDescent="0.25">
      <c r="A2767">
        <v>2766</v>
      </c>
      <c r="B2767" t="s">
        <v>8116</v>
      </c>
      <c r="C2767" s="1">
        <v>42985</v>
      </c>
      <c r="D2767" s="1">
        <v>42986</v>
      </c>
      <c r="E2767" t="s">
        <v>185</v>
      </c>
      <c r="F2767" t="s">
        <v>5118</v>
      </c>
      <c r="G2767" t="s">
        <v>5119</v>
      </c>
      <c r="H2767" t="s">
        <v>25</v>
      </c>
      <c r="I2767" t="s">
        <v>26</v>
      </c>
      <c r="J2767" t="s">
        <v>8117</v>
      </c>
      <c r="K2767" t="s">
        <v>120</v>
      </c>
      <c r="L2767">
        <v>84020</v>
      </c>
      <c r="M2767" t="s">
        <v>43</v>
      </c>
      <c r="N2767" t="s">
        <v>6868</v>
      </c>
      <c r="O2767" t="s">
        <v>31</v>
      </c>
      <c r="P2767" t="s">
        <v>64</v>
      </c>
      <c r="Q2767" t="s">
        <v>6869</v>
      </c>
      <c r="R2767">
        <v>25.16</v>
      </c>
      <c r="S2767">
        <v>2</v>
      </c>
      <c r="T2767">
        <v>0</v>
      </c>
      <c r="U2767">
        <v>10.5672</v>
      </c>
      <c r="V2767" t="str">
        <f t="shared" si="43"/>
        <v>Justin MacKendrick</v>
      </c>
      <c r="W2767">
        <f>Table2[Profit]/Table2[Sales]</f>
        <v>0.42</v>
      </c>
    </row>
    <row r="2768" spans="1:23" x14ac:dyDescent="0.25">
      <c r="A2768">
        <v>2767</v>
      </c>
      <c r="B2768" t="s">
        <v>8118</v>
      </c>
      <c r="C2768" s="1">
        <v>41971</v>
      </c>
      <c r="D2768" s="1">
        <v>41974</v>
      </c>
      <c r="E2768" t="s">
        <v>185</v>
      </c>
      <c r="F2768" t="s">
        <v>4057</v>
      </c>
      <c r="G2768" t="s">
        <v>4058</v>
      </c>
      <c r="H2768" t="s">
        <v>25</v>
      </c>
      <c r="I2768" t="s">
        <v>26</v>
      </c>
      <c r="J2768" t="s">
        <v>126</v>
      </c>
      <c r="K2768" t="s">
        <v>42</v>
      </c>
      <c r="L2768">
        <v>94109</v>
      </c>
      <c r="M2768" t="s">
        <v>43</v>
      </c>
      <c r="N2768" t="s">
        <v>3579</v>
      </c>
      <c r="O2768" t="s">
        <v>45</v>
      </c>
      <c r="P2768" t="s">
        <v>77</v>
      </c>
      <c r="Q2768" t="s">
        <v>3580</v>
      </c>
      <c r="R2768">
        <v>43.68</v>
      </c>
      <c r="S2768">
        <v>3</v>
      </c>
      <c r="T2768">
        <v>0</v>
      </c>
      <c r="U2768">
        <v>11.7936</v>
      </c>
      <c r="V2768" t="str">
        <f t="shared" si="43"/>
        <v>Sheri Gordon</v>
      </c>
      <c r="W2768">
        <f>Table2[Profit]/Table2[Sales]</f>
        <v>0.27</v>
      </c>
    </row>
    <row r="2769" spans="1:23" x14ac:dyDescent="0.25">
      <c r="A2769">
        <v>2768</v>
      </c>
      <c r="B2769" t="s">
        <v>8119</v>
      </c>
      <c r="C2769" s="1">
        <v>41955</v>
      </c>
      <c r="D2769" s="1">
        <v>41959</v>
      </c>
      <c r="E2769" t="s">
        <v>49</v>
      </c>
      <c r="F2769" t="s">
        <v>6642</v>
      </c>
      <c r="G2769" t="s">
        <v>6643</v>
      </c>
      <c r="H2769" t="s">
        <v>40</v>
      </c>
      <c r="I2769" t="s">
        <v>26</v>
      </c>
      <c r="J2769" t="s">
        <v>181</v>
      </c>
      <c r="K2769" t="s">
        <v>103</v>
      </c>
      <c r="L2769">
        <v>77036</v>
      </c>
      <c r="M2769" t="s">
        <v>104</v>
      </c>
      <c r="N2769" t="s">
        <v>5717</v>
      </c>
      <c r="O2769" t="s">
        <v>45</v>
      </c>
      <c r="P2769" t="s">
        <v>67</v>
      </c>
      <c r="Q2769" t="s">
        <v>5718</v>
      </c>
      <c r="R2769">
        <v>2.6720000000000002</v>
      </c>
      <c r="S2769">
        <v>1</v>
      </c>
      <c r="T2769">
        <v>0.2</v>
      </c>
      <c r="U2769">
        <v>0.33400000000000002</v>
      </c>
      <c r="V2769" t="str">
        <f t="shared" si="43"/>
        <v>Darren Budd</v>
      </c>
      <c r="W2769">
        <f>Table2[Profit]/Table2[Sales]</f>
        <v>0.125</v>
      </c>
    </row>
    <row r="2770" spans="1:23" x14ac:dyDescent="0.25">
      <c r="A2770">
        <v>2769</v>
      </c>
      <c r="B2770" t="s">
        <v>8120</v>
      </c>
      <c r="C2770" s="1">
        <v>43010</v>
      </c>
      <c r="D2770" s="1">
        <v>43014</v>
      </c>
      <c r="E2770" t="s">
        <v>22</v>
      </c>
      <c r="F2770" t="s">
        <v>3923</v>
      </c>
      <c r="G2770" t="s">
        <v>3924</v>
      </c>
      <c r="H2770" t="s">
        <v>40</v>
      </c>
      <c r="I2770" t="s">
        <v>26</v>
      </c>
      <c r="J2770" t="s">
        <v>1793</v>
      </c>
      <c r="K2770" t="s">
        <v>351</v>
      </c>
      <c r="L2770">
        <v>36116</v>
      </c>
      <c r="M2770" t="s">
        <v>29</v>
      </c>
      <c r="N2770" t="s">
        <v>6388</v>
      </c>
      <c r="O2770" t="s">
        <v>31</v>
      </c>
      <c r="P2770" t="s">
        <v>64</v>
      </c>
      <c r="Q2770" t="s">
        <v>6389</v>
      </c>
      <c r="R2770">
        <v>10.16</v>
      </c>
      <c r="S2770">
        <v>2</v>
      </c>
      <c r="T2770">
        <v>0</v>
      </c>
      <c r="U2770">
        <v>3.4544000000000001</v>
      </c>
      <c r="V2770" t="str">
        <f t="shared" si="43"/>
        <v>Jane Waco</v>
      </c>
      <c r="W2770">
        <f>Table2[Profit]/Table2[Sales]</f>
        <v>0.34</v>
      </c>
    </row>
    <row r="2771" spans="1:23" x14ac:dyDescent="0.25">
      <c r="A2771">
        <v>2770</v>
      </c>
      <c r="B2771" t="s">
        <v>8121</v>
      </c>
      <c r="C2771" s="1">
        <v>42352</v>
      </c>
      <c r="D2771" s="1">
        <v>42356</v>
      </c>
      <c r="E2771" t="s">
        <v>49</v>
      </c>
      <c r="F2771" t="s">
        <v>3857</v>
      </c>
      <c r="G2771" t="s">
        <v>3858</v>
      </c>
      <c r="H2771" t="s">
        <v>40</v>
      </c>
      <c r="I2771" t="s">
        <v>26</v>
      </c>
      <c r="J2771" t="s">
        <v>321</v>
      </c>
      <c r="K2771" t="s">
        <v>1473</v>
      </c>
      <c r="L2771">
        <v>39212</v>
      </c>
      <c r="M2771" t="s">
        <v>29</v>
      </c>
      <c r="N2771" t="s">
        <v>5633</v>
      </c>
      <c r="O2771" t="s">
        <v>31</v>
      </c>
      <c r="P2771" t="s">
        <v>64</v>
      </c>
      <c r="Q2771" t="s">
        <v>5634</v>
      </c>
      <c r="R2771">
        <v>6.16</v>
      </c>
      <c r="S2771">
        <v>2</v>
      </c>
      <c r="T2771">
        <v>0</v>
      </c>
      <c r="U2771">
        <v>1.9712000000000001</v>
      </c>
      <c r="V2771" t="str">
        <f t="shared" si="43"/>
        <v>Keith Dawkins</v>
      </c>
      <c r="W2771">
        <f>Table2[Profit]/Table2[Sales]</f>
        <v>0.32</v>
      </c>
    </row>
    <row r="2772" spans="1:23" x14ac:dyDescent="0.25">
      <c r="A2772">
        <v>2771</v>
      </c>
      <c r="B2772" t="s">
        <v>8122</v>
      </c>
      <c r="C2772" s="1">
        <v>42344</v>
      </c>
      <c r="D2772" s="1">
        <v>42348</v>
      </c>
      <c r="E2772" t="s">
        <v>49</v>
      </c>
      <c r="F2772" t="s">
        <v>5007</v>
      </c>
      <c r="G2772" t="s">
        <v>5008</v>
      </c>
      <c r="H2772" t="s">
        <v>25</v>
      </c>
      <c r="I2772" t="s">
        <v>26</v>
      </c>
      <c r="J2772" t="s">
        <v>3961</v>
      </c>
      <c r="K2772" t="s">
        <v>1381</v>
      </c>
      <c r="L2772">
        <v>89031</v>
      </c>
      <c r="M2772" t="s">
        <v>43</v>
      </c>
      <c r="N2772" t="s">
        <v>8123</v>
      </c>
      <c r="O2772" t="s">
        <v>45</v>
      </c>
      <c r="P2772" t="s">
        <v>89</v>
      </c>
      <c r="Q2772" t="s">
        <v>8124</v>
      </c>
      <c r="R2772">
        <v>6.48</v>
      </c>
      <c r="S2772">
        <v>1</v>
      </c>
      <c r="T2772">
        <v>0</v>
      </c>
      <c r="U2772">
        <v>3.1103999999999998</v>
      </c>
      <c r="V2772" t="str">
        <f t="shared" si="43"/>
        <v>Ivan Liston</v>
      </c>
      <c r="W2772">
        <f>Table2[Profit]/Table2[Sales]</f>
        <v>0.47999999999999993</v>
      </c>
    </row>
    <row r="2773" spans="1:23" x14ac:dyDescent="0.25">
      <c r="A2773">
        <v>2772</v>
      </c>
      <c r="B2773" t="s">
        <v>8125</v>
      </c>
      <c r="C2773" s="1">
        <v>42825</v>
      </c>
      <c r="D2773" s="1">
        <v>42827</v>
      </c>
      <c r="E2773" t="s">
        <v>22</v>
      </c>
      <c r="F2773" t="s">
        <v>4415</v>
      </c>
      <c r="G2773" t="s">
        <v>4416</v>
      </c>
      <c r="H2773" t="s">
        <v>40</v>
      </c>
      <c r="I2773" t="s">
        <v>26</v>
      </c>
      <c r="J2773" t="s">
        <v>1712</v>
      </c>
      <c r="K2773" t="s">
        <v>1260</v>
      </c>
      <c r="L2773">
        <v>30318</v>
      </c>
      <c r="M2773" t="s">
        <v>29</v>
      </c>
      <c r="N2773" t="s">
        <v>1194</v>
      </c>
      <c r="O2773" t="s">
        <v>45</v>
      </c>
      <c r="P2773" t="s">
        <v>74</v>
      </c>
      <c r="Q2773" t="s">
        <v>1195</v>
      </c>
      <c r="R2773">
        <v>34.54</v>
      </c>
      <c r="S2773">
        <v>1</v>
      </c>
      <c r="T2773">
        <v>0</v>
      </c>
      <c r="U2773">
        <v>17.27</v>
      </c>
      <c r="V2773" t="str">
        <f t="shared" si="43"/>
        <v>Jim Epp</v>
      </c>
      <c r="W2773">
        <f>Table2[Profit]/Table2[Sales]</f>
        <v>0.5</v>
      </c>
    </row>
    <row r="2774" spans="1:23" x14ac:dyDescent="0.25">
      <c r="A2774">
        <v>2773</v>
      </c>
      <c r="B2774" t="s">
        <v>8126</v>
      </c>
      <c r="C2774" s="1">
        <v>42807</v>
      </c>
      <c r="D2774" s="1">
        <v>42807</v>
      </c>
      <c r="E2774" t="s">
        <v>1278</v>
      </c>
      <c r="F2774" t="s">
        <v>6558</v>
      </c>
      <c r="G2774" t="s">
        <v>6559</v>
      </c>
      <c r="H2774" t="s">
        <v>101</v>
      </c>
      <c r="I2774" t="s">
        <v>26</v>
      </c>
      <c r="J2774" t="s">
        <v>296</v>
      </c>
      <c r="K2774" t="s">
        <v>208</v>
      </c>
      <c r="L2774">
        <v>60610</v>
      </c>
      <c r="M2774" t="s">
        <v>104</v>
      </c>
      <c r="N2774" t="s">
        <v>6313</v>
      </c>
      <c r="O2774" t="s">
        <v>45</v>
      </c>
      <c r="P2774" t="s">
        <v>67</v>
      </c>
      <c r="Q2774" t="s">
        <v>6314</v>
      </c>
      <c r="R2774">
        <v>19.456</v>
      </c>
      <c r="S2774">
        <v>4</v>
      </c>
      <c r="T2774">
        <v>0.2</v>
      </c>
      <c r="U2774">
        <v>2.1888000000000001</v>
      </c>
      <c r="V2774" t="str">
        <f t="shared" si="43"/>
        <v>Stephanie Ulpright</v>
      </c>
      <c r="W2774">
        <f>Table2[Profit]/Table2[Sales]</f>
        <v>0.1125</v>
      </c>
    </row>
    <row r="2775" spans="1:23" x14ac:dyDescent="0.25">
      <c r="A2775">
        <v>2774</v>
      </c>
      <c r="B2775" t="s">
        <v>8127</v>
      </c>
      <c r="C2775" s="1">
        <v>41978</v>
      </c>
      <c r="D2775" s="1">
        <v>41982</v>
      </c>
      <c r="E2775" t="s">
        <v>49</v>
      </c>
      <c r="F2775" t="s">
        <v>888</v>
      </c>
      <c r="G2775" t="s">
        <v>889</v>
      </c>
      <c r="H2775" t="s">
        <v>40</v>
      </c>
      <c r="I2775" t="s">
        <v>26</v>
      </c>
      <c r="J2775" t="s">
        <v>490</v>
      </c>
      <c r="K2775" t="s">
        <v>491</v>
      </c>
      <c r="L2775">
        <v>43229</v>
      </c>
      <c r="M2775" t="s">
        <v>145</v>
      </c>
      <c r="N2775" t="s">
        <v>6383</v>
      </c>
      <c r="O2775" t="s">
        <v>45</v>
      </c>
      <c r="P2775" t="s">
        <v>89</v>
      </c>
      <c r="Q2775" t="s">
        <v>6384</v>
      </c>
      <c r="R2775">
        <v>98.376000000000005</v>
      </c>
      <c r="S2775">
        <v>3</v>
      </c>
      <c r="T2775">
        <v>0.2</v>
      </c>
      <c r="U2775">
        <v>35.661299999999997</v>
      </c>
      <c r="V2775" t="str">
        <f t="shared" si="43"/>
        <v>Erin Ashbrook</v>
      </c>
      <c r="W2775">
        <f>Table2[Profit]/Table2[Sales]</f>
        <v>0.36249999999999993</v>
      </c>
    </row>
    <row r="2776" spans="1:23" x14ac:dyDescent="0.25">
      <c r="A2776">
        <v>2775</v>
      </c>
      <c r="B2776" t="s">
        <v>8132</v>
      </c>
      <c r="C2776" s="1">
        <v>42716</v>
      </c>
      <c r="D2776" s="1">
        <v>42720</v>
      </c>
      <c r="E2776" t="s">
        <v>49</v>
      </c>
      <c r="F2776" t="s">
        <v>1413</v>
      </c>
      <c r="G2776" t="s">
        <v>1414</v>
      </c>
      <c r="H2776" t="s">
        <v>25</v>
      </c>
      <c r="I2776" t="s">
        <v>26</v>
      </c>
      <c r="J2776" t="s">
        <v>596</v>
      </c>
      <c r="K2776" t="s">
        <v>42</v>
      </c>
      <c r="L2776">
        <v>91104</v>
      </c>
      <c r="M2776" t="s">
        <v>43</v>
      </c>
      <c r="N2776" t="s">
        <v>1690</v>
      </c>
      <c r="O2776" t="s">
        <v>31</v>
      </c>
      <c r="P2776" t="s">
        <v>64</v>
      </c>
      <c r="Q2776" t="s">
        <v>1691</v>
      </c>
      <c r="R2776">
        <v>383.64</v>
      </c>
      <c r="S2776">
        <v>6</v>
      </c>
      <c r="T2776">
        <v>0</v>
      </c>
      <c r="U2776">
        <v>122.76479999999999</v>
      </c>
      <c r="V2776" t="str">
        <f t="shared" si="43"/>
        <v>Roy Französisch</v>
      </c>
      <c r="W2776">
        <f>Table2[Profit]/Table2[Sales]</f>
        <v>0.32</v>
      </c>
    </row>
    <row r="2777" spans="1:23" x14ac:dyDescent="0.25">
      <c r="A2777">
        <v>2776</v>
      </c>
      <c r="B2777" t="s">
        <v>8133</v>
      </c>
      <c r="C2777" s="1">
        <v>42987</v>
      </c>
      <c r="D2777" s="1">
        <v>42992</v>
      </c>
      <c r="E2777" t="s">
        <v>22</v>
      </c>
      <c r="F2777" t="s">
        <v>6420</v>
      </c>
      <c r="G2777" t="s">
        <v>6421</v>
      </c>
      <c r="H2777" t="s">
        <v>25</v>
      </c>
      <c r="I2777" t="s">
        <v>26</v>
      </c>
      <c r="J2777" t="s">
        <v>41</v>
      </c>
      <c r="K2777" t="s">
        <v>42</v>
      </c>
      <c r="L2777">
        <v>90004</v>
      </c>
      <c r="M2777" t="s">
        <v>43</v>
      </c>
      <c r="N2777" t="s">
        <v>3645</v>
      </c>
      <c r="O2777" t="s">
        <v>45</v>
      </c>
      <c r="P2777" t="s">
        <v>67</v>
      </c>
      <c r="Q2777" t="s">
        <v>3646</v>
      </c>
      <c r="R2777">
        <v>6.56</v>
      </c>
      <c r="S2777">
        <v>2</v>
      </c>
      <c r="T2777">
        <v>0</v>
      </c>
      <c r="U2777">
        <v>1.9024000000000001</v>
      </c>
      <c r="V2777" t="str">
        <f t="shared" si="43"/>
        <v>Liz Carlisle</v>
      </c>
      <c r="W2777">
        <f>Table2[Profit]/Table2[Sales]</f>
        <v>0.29000000000000004</v>
      </c>
    </row>
    <row r="2778" spans="1:23" x14ac:dyDescent="0.25">
      <c r="A2778">
        <v>2777</v>
      </c>
      <c r="B2778" t="s">
        <v>8134</v>
      </c>
      <c r="C2778" s="1">
        <v>43012</v>
      </c>
      <c r="D2778" s="1">
        <v>43016</v>
      </c>
      <c r="E2778" t="s">
        <v>49</v>
      </c>
      <c r="F2778" t="s">
        <v>294</v>
      </c>
      <c r="G2778" t="s">
        <v>295</v>
      </c>
      <c r="H2778" t="s">
        <v>101</v>
      </c>
      <c r="I2778" t="s">
        <v>26</v>
      </c>
      <c r="J2778" t="s">
        <v>3159</v>
      </c>
      <c r="K2778" t="s">
        <v>2699</v>
      </c>
      <c r="L2778">
        <v>20735</v>
      </c>
      <c r="M2778" t="s">
        <v>145</v>
      </c>
      <c r="N2778" t="s">
        <v>3393</v>
      </c>
      <c r="O2778" t="s">
        <v>31</v>
      </c>
      <c r="P2778" t="s">
        <v>64</v>
      </c>
      <c r="Q2778" t="s">
        <v>3394</v>
      </c>
      <c r="R2778">
        <v>19.98</v>
      </c>
      <c r="S2778">
        <v>1</v>
      </c>
      <c r="T2778">
        <v>0</v>
      </c>
      <c r="U2778">
        <v>8.5914000000000001</v>
      </c>
      <c r="V2778" t="str">
        <f t="shared" si="43"/>
        <v>Paul Stevenson</v>
      </c>
      <c r="W2778">
        <f>Table2[Profit]/Table2[Sales]</f>
        <v>0.43</v>
      </c>
    </row>
    <row r="2779" spans="1:23" x14ac:dyDescent="0.25">
      <c r="A2779">
        <v>2778</v>
      </c>
      <c r="B2779" t="s">
        <v>8135</v>
      </c>
      <c r="C2779" s="1">
        <v>42499</v>
      </c>
      <c r="D2779" s="1">
        <v>42503</v>
      </c>
      <c r="E2779" t="s">
        <v>49</v>
      </c>
      <c r="F2779" t="s">
        <v>294</v>
      </c>
      <c r="G2779" t="s">
        <v>295</v>
      </c>
      <c r="H2779" t="s">
        <v>101</v>
      </c>
      <c r="I2779" t="s">
        <v>26</v>
      </c>
      <c r="J2779" t="s">
        <v>263</v>
      </c>
      <c r="K2779" t="s">
        <v>264</v>
      </c>
      <c r="L2779">
        <v>10024</v>
      </c>
      <c r="M2779" t="s">
        <v>145</v>
      </c>
      <c r="N2779" t="s">
        <v>3428</v>
      </c>
      <c r="O2779" t="s">
        <v>45</v>
      </c>
      <c r="P2779" t="s">
        <v>67</v>
      </c>
      <c r="Q2779" t="s">
        <v>3429</v>
      </c>
      <c r="R2779">
        <v>8</v>
      </c>
      <c r="S2779">
        <v>5</v>
      </c>
      <c r="T2779">
        <v>0</v>
      </c>
      <c r="U2779">
        <v>3.44</v>
      </c>
      <c r="V2779" t="str">
        <f t="shared" si="43"/>
        <v>Paul Stevenson</v>
      </c>
      <c r="W2779">
        <f>Table2[Profit]/Table2[Sales]</f>
        <v>0.43</v>
      </c>
    </row>
    <row r="2780" spans="1:23" x14ac:dyDescent="0.25">
      <c r="A2780">
        <v>2779</v>
      </c>
      <c r="B2780" t="s">
        <v>8136</v>
      </c>
      <c r="C2780" s="1">
        <v>41988</v>
      </c>
      <c r="D2780" s="1">
        <v>41992</v>
      </c>
      <c r="E2780" t="s">
        <v>22</v>
      </c>
      <c r="F2780" t="s">
        <v>1041</v>
      </c>
      <c r="G2780" t="s">
        <v>1042</v>
      </c>
      <c r="H2780" t="s">
        <v>25</v>
      </c>
      <c r="I2780" t="s">
        <v>26</v>
      </c>
      <c r="J2780" t="s">
        <v>941</v>
      </c>
      <c r="K2780" t="s">
        <v>42</v>
      </c>
      <c r="L2780">
        <v>92037</v>
      </c>
      <c r="M2780" t="s">
        <v>43</v>
      </c>
      <c r="N2780" t="s">
        <v>5633</v>
      </c>
      <c r="O2780" t="s">
        <v>31</v>
      </c>
      <c r="P2780" t="s">
        <v>64</v>
      </c>
      <c r="Q2780" t="s">
        <v>5634</v>
      </c>
      <c r="R2780">
        <v>6.16</v>
      </c>
      <c r="S2780">
        <v>2</v>
      </c>
      <c r="T2780">
        <v>0</v>
      </c>
      <c r="U2780">
        <v>1.9712000000000001</v>
      </c>
      <c r="V2780" t="str">
        <f t="shared" si="43"/>
        <v>Jas O'Carroll</v>
      </c>
      <c r="W2780">
        <f>Table2[Profit]/Table2[Sales]</f>
        <v>0.32</v>
      </c>
    </row>
    <row r="2781" spans="1:23" x14ac:dyDescent="0.25">
      <c r="A2781">
        <v>2780</v>
      </c>
      <c r="B2781" t="s">
        <v>8137</v>
      </c>
      <c r="C2781" s="1">
        <v>43069</v>
      </c>
      <c r="D2781" s="1">
        <v>43073</v>
      </c>
      <c r="E2781" t="s">
        <v>49</v>
      </c>
      <c r="F2781" t="s">
        <v>1378</v>
      </c>
      <c r="G2781" t="s">
        <v>1379</v>
      </c>
      <c r="H2781" t="s">
        <v>101</v>
      </c>
      <c r="I2781" t="s">
        <v>26</v>
      </c>
      <c r="J2781" t="s">
        <v>263</v>
      </c>
      <c r="K2781" t="s">
        <v>264</v>
      </c>
      <c r="L2781">
        <v>10011</v>
      </c>
      <c r="M2781" t="s">
        <v>145</v>
      </c>
      <c r="N2781" t="s">
        <v>8138</v>
      </c>
      <c r="O2781" t="s">
        <v>45</v>
      </c>
      <c r="P2781" t="s">
        <v>58</v>
      </c>
      <c r="Q2781" t="s">
        <v>8139</v>
      </c>
      <c r="R2781">
        <v>83.56</v>
      </c>
      <c r="S2781">
        <v>4</v>
      </c>
      <c r="T2781">
        <v>0</v>
      </c>
      <c r="U2781">
        <v>1.6712</v>
      </c>
      <c r="V2781" t="str">
        <f t="shared" si="43"/>
        <v>Victor Preis</v>
      </c>
      <c r="W2781">
        <f>Table2[Profit]/Table2[Sales]</f>
        <v>0.02</v>
      </c>
    </row>
    <row r="2782" spans="1:23" x14ac:dyDescent="0.25">
      <c r="A2782">
        <v>2781</v>
      </c>
      <c r="B2782" t="s">
        <v>8140</v>
      </c>
      <c r="C2782" s="1">
        <v>42082</v>
      </c>
      <c r="D2782" s="1">
        <v>42083</v>
      </c>
      <c r="E2782" t="s">
        <v>185</v>
      </c>
      <c r="F2782" t="s">
        <v>2589</v>
      </c>
      <c r="G2782" t="s">
        <v>2590</v>
      </c>
      <c r="H2782" t="s">
        <v>25</v>
      </c>
      <c r="I2782" t="s">
        <v>26</v>
      </c>
      <c r="J2782" t="s">
        <v>2439</v>
      </c>
      <c r="K2782" t="s">
        <v>42</v>
      </c>
      <c r="L2782">
        <v>93534</v>
      </c>
      <c r="M2782" t="s">
        <v>43</v>
      </c>
      <c r="N2782" t="s">
        <v>3235</v>
      </c>
      <c r="O2782" t="s">
        <v>45</v>
      </c>
      <c r="P2782" t="s">
        <v>266</v>
      </c>
      <c r="Q2782" t="s">
        <v>3236</v>
      </c>
      <c r="R2782">
        <v>10.9</v>
      </c>
      <c r="S2782">
        <v>5</v>
      </c>
      <c r="T2782">
        <v>0</v>
      </c>
      <c r="U2782">
        <v>3.597</v>
      </c>
      <c r="V2782" t="str">
        <f t="shared" si="43"/>
        <v>Guy Armstrong</v>
      </c>
      <c r="W2782">
        <f>Table2[Profit]/Table2[Sales]</f>
        <v>0.32999999999999996</v>
      </c>
    </row>
    <row r="2783" spans="1:23" x14ac:dyDescent="0.25">
      <c r="A2783">
        <v>2782</v>
      </c>
      <c r="B2783" t="s">
        <v>8141</v>
      </c>
      <c r="C2783" s="1">
        <v>41839</v>
      </c>
      <c r="D2783" s="1">
        <v>41844</v>
      </c>
      <c r="E2783" t="s">
        <v>49</v>
      </c>
      <c r="F2783" t="s">
        <v>6005</v>
      </c>
      <c r="G2783" t="s">
        <v>6006</v>
      </c>
      <c r="H2783" t="s">
        <v>101</v>
      </c>
      <c r="I2783" t="s">
        <v>26</v>
      </c>
      <c r="J2783" t="s">
        <v>1737</v>
      </c>
      <c r="K2783" t="s">
        <v>1738</v>
      </c>
      <c r="L2783">
        <v>59405</v>
      </c>
      <c r="M2783" t="s">
        <v>43</v>
      </c>
      <c r="N2783" t="s">
        <v>2829</v>
      </c>
      <c r="O2783" t="s">
        <v>45</v>
      </c>
      <c r="P2783" t="s">
        <v>74</v>
      </c>
      <c r="Q2783" t="s">
        <v>2830</v>
      </c>
      <c r="R2783">
        <v>6.0960000000000001</v>
      </c>
      <c r="S2783">
        <v>2</v>
      </c>
      <c r="T2783">
        <v>0.2</v>
      </c>
      <c r="U2783">
        <v>2.2098</v>
      </c>
      <c r="V2783" t="str">
        <f t="shared" si="43"/>
        <v>Eugene Moren</v>
      </c>
      <c r="W2783">
        <f>Table2[Profit]/Table2[Sales]</f>
        <v>0.36249999999999999</v>
      </c>
    </row>
    <row r="2784" spans="1:23" x14ac:dyDescent="0.25">
      <c r="A2784">
        <v>2783</v>
      </c>
      <c r="B2784" t="s">
        <v>8142</v>
      </c>
      <c r="C2784" s="1">
        <v>42712</v>
      </c>
      <c r="D2784" s="1">
        <v>42715</v>
      </c>
      <c r="E2784" t="s">
        <v>22</v>
      </c>
      <c r="F2784" t="s">
        <v>1199</v>
      </c>
      <c r="G2784" t="s">
        <v>1200</v>
      </c>
      <c r="H2784" t="s">
        <v>25</v>
      </c>
      <c r="I2784" t="s">
        <v>26</v>
      </c>
      <c r="J2784" t="s">
        <v>126</v>
      </c>
      <c r="K2784" t="s">
        <v>42</v>
      </c>
      <c r="L2784">
        <v>94110</v>
      </c>
      <c r="M2784" t="s">
        <v>43</v>
      </c>
      <c r="N2784" t="s">
        <v>342</v>
      </c>
      <c r="O2784" t="s">
        <v>45</v>
      </c>
      <c r="P2784" t="s">
        <v>58</v>
      </c>
      <c r="Q2784" t="s">
        <v>343</v>
      </c>
      <c r="R2784">
        <v>34.049999999999997</v>
      </c>
      <c r="S2784">
        <v>3</v>
      </c>
      <c r="T2784">
        <v>0</v>
      </c>
      <c r="U2784">
        <v>9.5340000000000007</v>
      </c>
      <c r="V2784" t="str">
        <f t="shared" si="43"/>
        <v>Doug Bickford</v>
      </c>
      <c r="W2784">
        <f>Table2[Profit]/Table2[Sales]</f>
        <v>0.28000000000000003</v>
      </c>
    </row>
    <row r="2785" spans="1:23" x14ac:dyDescent="0.25">
      <c r="A2785">
        <v>2784</v>
      </c>
      <c r="B2785" t="s">
        <v>8143</v>
      </c>
      <c r="C2785" s="1">
        <v>41925</v>
      </c>
      <c r="D2785" s="1">
        <v>41930</v>
      </c>
      <c r="E2785" t="s">
        <v>22</v>
      </c>
      <c r="F2785" t="s">
        <v>4150</v>
      </c>
      <c r="G2785" t="s">
        <v>4151</v>
      </c>
      <c r="H2785" t="s">
        <v>40</v>
      </c>
      <c r="I2785" t="s">
        <v>26</v>
      </c>
      <c r="J2785" t="s">
        <v>1111</v>
      </c>
      <c r="K2785" t="s">
        <v>781</v>
      </c>
      <c r="L2785">
        <v>8701</v>
      </c>
      <c r="M2785" t="s">
        <v>145</v>
      </c>
      <c r="N2785" t="s">
        <v>3134</v>
      </c>
      <c r="O2785" t="s">
        <v>31</v>
      </c>
      <c r="P2785" t="s">
        <v>35</v>
      </c>
      <c r="Q2785" t="s">
        <v>3135</v>
      </c>
      <c r="R2785">
        <v>245.98</v>
      </c>
      <c r="S2785">
        <v>2</v>
      </c>
      <c r="T2785">
        <v>0</v>
      </c>
      <c r="U2785">
        <v>27.0578</v>
      </c>
      <c r="V2785" t="str">
        <f t="shared" si="43"/>
        <v>Marina Lichtenstein</v>
      </c>
      <c r="W2785">
        <f>Table2[Profit]/Table2[Sales]</f>
        <v>0.11</v>
      </c>
    </row>
    <row r="2786" spans="1:23" x14ac:dyDescent="0.25">
      <c r="A2786">
        <v>2785</v>
      </c>
      <c r="B2786" t="s">
        <v>8144</v>
      </c>
      <c r="C2786" s="1">
        <v>43058</v>
      </c>
      <c r="D2786" s="1">
        <v>43064</v>
      </c>
      <c r="E2786" t="s">
        <v>49</v>
      </c>
      <c r="F2786" t="s">
        <v>3028</v>
      </c>
      <c r="G2786" t="s">
        <v>3029</v>
      </c>
      <c r="H2786" t="s">
        <v>25</v>
      </c>
      <c r="I2786" t="s">
        <v>26</v>
      </c>
      <c r="J2786" t="s">
        <v>2148</v>
      </c>
      <c r="K2786" t="s">
        <v>491</v>
      </c>
      <c r="L2786">
        <v>44105</v>
      </c>
      <c r="M2786" t="s">
        <v>145</v>
      </c>
      <c r="N2786" t="s">
        <v>2676</v>
      </c>
      <c r="O2786" t="s">
        <v>45</v>
      </c>
      <c r="P2786" t="s">
        <v>74</v>
      </c>
      <c r="Q2786" t="s">
        <v>2677</v>
      </c>
      <c r="R2786">
        <v>59.912999999999997</v>
      </c>
      <c r="S2786">
        <v>7</v>
      </c>
      <c r="T2786">
        <v>0.7</v>
      </c>
      <c r="U2786">
        <v>-45.933300000000003</v>
      </c>
      <c r="V2786" t="str">
        <f t="shared" si="43"/>
        <v>Jennifer Halladay</v>
      </c>
      <c r="W2786">
        <f>Table2[Profit]/Table2[Sales]</f>
        <v>-0.76666666666666672</v>
      </c>
    </row>
    <row r="2787" spans="1:23" x14ac:dyDescent="0.25">
      <c r="A2787">
        <v>2786</v>
      </c>
      <c r="B2787" t="s">
        <v>8145</v>
      </c>
      <c r="C2787" s="1">
        <v>43002</v>
      </c>
      <c r="D2787" s="1">
        <v>43002</v>
      </c>
      <c r="E2787" t="s">
        <v>1278</v>
      </c>
      <c r="F2787" t="s">
        <v>1372</v>
      </c>
      <c r="G2787" t="s">
        <v>1373</v>
      </c>
      <c r="H2787" t="s">
        <v>40</v>
      </c>
      <c r="I2787" t="s">
        <v>26</v>
      </c>
      <c r="J2787" t="s">
        <v>1465</v>
      </c>
      <c r="K2787" t="s">
        <v>1233</v>
      </c>
      <c r="L2787">
        <v>1841</v>
      </c>
      <c r="M2787" t="s">
        <v>145</v>
      </c>
      <c r="N2787" t="s">
        <v>1794</v>
      </c>
      <c r="O2787" t="s">
        <v>70</v>
      </c>
      <c r="P2787" t="s">
        <v>71</v>
      </c>
      <c r="Q2787" t="s">
        <v>1795</v>
      </c>
      <c r="R2787">
        <v>391.98</v>
      </c>
      <c r="S2787">
        <v>2</v>
      </c>
      <c r="T2787">
        <v>0</v>
      </c>
      <c r="U2787">
        <v>109.7544</v>
      </c>
      <c r="V2787" t="str">
        <f t="shared" si="43"/>
        <v>Bart Pistole</v>
      </c>
      <c r="W2787">
        <f>Table2[Profit]/Table2[Sales]</f>
        <v>0.27999999999999997</v>
      </c>
    </row>
    <row r="2788" spans="1:23" x14ac:dyDescent="0.25">
      <c r="A2788">
        <v>2787</v>
      </c>
      <c r="B2788" t="s">
        <v>8146</v>
      </c>
      <c r="C2788" s="1">
        <v>42272</v>
      </c>
      <c r="D2788" s="1">
        <v>42276</v>
      </c>
      <c r="E2788" t="s">
        <v>49</v>
      </c>
      <c r="F2788" t="s">
        <v>8147</v>
      </c>
      <c r="G2788" t="s">
        <v>8148</v>
      </c>
      <c r="H2788" t="s">
        <v>25</v>
      </c>
      <c r="I2788" t="s">
        <v>26</v>
      </c>
      <c r="J2788" t="s">
        <v>86</v>
      </c>
      <c r="K2788" t="s">
        <v>2658</v>
      </c>
      <c r="L2788">
        <v>3301</v>
      </c>
      <c r="M2788" t="s">
        <v>145</v>
      </c>
      <c r="N2788" t="s">
        <v>611</v>
      </c>
      <c r="O2788" t="s">
        <v>45</v>
      </c>
      <c r="P2788" t="s">
        <v>74</v>
      </c>
      <c r="Q2788" t="s">
        <v>612</v>
      </c>
      <c r="R2788">
        <v>68.62</v>
      </c>
      <c r="S2788">
        <v>2</v>
      </c>
      <c r="T2788">
        <v>0</v>
      </c>
      <c r="U2788">
        <v>32.251399999999997</v>
      </c>
      <c r="V2788" t="str">
        <f t="shared" si="43"/>
        <v>Sarah Brown</v>
      </c>
      <c r="W2788">
        <f>Table2[Profit]/Table2[Sales]</f>
        <v>0.46999999999999992</v>
      </c>
    </row>
    <row r="2789" spans="1:23" x14ac:dyDescent="0.25">
      <c r="A2789">
        <v>2788</v>
      </c>
      <c r="B2789" t="s">
        <v>8149</v>
      </c>
      <c r="C2789" s="1">
        <v>42779</v>
      </c>
      <c r="D2789" s="1">
        <v>42786</v>
      </c>
      <c r="E2789" t="s">
        <v>49</v>
      </c>
      <c r="F2789" t="s">
        <v>5686</v>
      </c>
      <c r="G2789" t="s">
        <v>5687</v>
      </c>
      <c r="H2789" t="s">
        <v>25</v>
      </c>
      <c r="I2789" t="s">
        <v>26</v>
      </c>
      <c r="J2789" t="s">
        <v>4400</v>
      </c>
      <c r="K2789" t="s">
        <v>2699</v>
      </c>
      <c r="L2789">
        <v>21215</v>
      </c>
      <c r="M2789" t="s">
        <v>145</v>
      </c>
      <c r="N2789" t="s">
        <v>4131</v>
      </c>
      <c r="O2789" t="s">
        <v>45</v>
      </c>
      <c r="P2789" t="s">
        <v>572</v>
      </c>
      <c r="Q2789" t="s">
        <v>4132</v>
      </c>
      <c r="R2789">
        <v>25.02</v>
      </c>
      <c r="S2789">
        <v>3</v>
      </c>
      <c r="T2789">
        <v>0</v>
      </c>
      <c r="U2789">
        <v>6.5052000000000003</v>
      </c>
      <c r="V2789" t="str">
        <f t="shared" si="43"/>
        <v>Stewart Visinsky</v>
      </c>
      <c r="W2789">
        <f>Table2[Profit]/Table2[Sales]</f>
        <v>0.26</v>
      </c>
    </row>
    <row r="2790" spans="1:23" x14ac:dyDescent="0.25">
      <c r="A2790">
        <v>2789</v>
      </c>
      <c r="B2790" t="s">
        <v>8150</v>
      </c>
      <c r="C2790" s="1">
        <v>41915</v>
      </c>
      <c r="D2790" s="1">
        <v>41915</v>
      </c>
      <c r="E2790" t="s">
        <v>1278</v>
      </c>
      <c r="F2790" t="s">
        <v>1339</v>
      </c>
      <c r="G2790" t="s">
        <v>1340</v>
      </c>
      <c r="H2790" t="s">
        <v>25</v>
      </c>
      <c r="I2790" t="s">
        <v>26</v>
      </c>
      <c r="J2790" t="s">
        <v>490</v>
      </c>
      <c r="K2790" t="s">
        <v>491</v>
      </c>
      <c r="L2790">
        <v>43229</v>
      </c>
      <c r="M2790" t="s">
        <v>145</v>
      </c>
      <c r="N2790" t="s">
        <v>8151</v>
      </c>
      <c r="O2790" t="s">
        <v>45</v>
      </c>
      <c r="P2790" t="s">
        <v>67</v>
      </c>
      <c r="Q2790" t="s">
        <v>8152</v>
      </c>
      <c r="R2790">
        <v>55.984000000000002</v>
      </c>
      <c r="S2790">
        <v>2</v>
      </c>
      <c r="T2790">
        <v>0.2</v>
      </c>
      <c r="U2790">
        <v>4.1988000000000003</v>
      </c>
      <c r="V2790" t="str">
        <f t="shared" si="43"/>
        <v>Denny Ordway</v>
      </c>
      <c r="W2790">
        <f>Table2[Profit]/Table2[Sales]</f>
        <v>7.4999999999999997E-2</v>
      </c>
    </row>
    <row r="2791" spans="1:23" x14ac:dyDescent="0.25">
      <c r="A2791">
        <v>2790</v>
      </c>
      <c r="B2791" t="s">
        <v>8153</v>
      </c>
      <c r="C2791" s="1">
        <v>42609</v>
      </c>
      <c r="D2791" s="1">
        <v>42611</v>
      </c>
      <c r="E2791" t="s">
        <v>22</v>
      </c>
      <c r="F2791" t="s">
        <v>3513</v>
      </c>
      <c r="G2791" t="s">
        <v>3514</v>
      </c>
      <c r="H2791" t="s">
        <v>40</v>
      </c>
      <c r="I2791" t="s">
        <v>26</v>
      </c>
      <c r="J2791" t="s">
        <v>181</v>
      </c>
      <c r="K2791" t="s">
        <v>103</v>
      </c>
      <c r="L2791">
        <v>77041</v>
      </c>
      <c r="M2791" t="s">
        <v>104</v>
      </c>
      <c r="N2791" t="s">
        <v>8154</v>
      </c>
      <c r="O2791" t="s">
        <v>45</v>
      </c>
      <c r="P2791" t="s">
        <v>58</v>
      </c>
      <c r="Q2791" t="s">
        <v>8155</v>
      </c>
      <c r="R2791">
        <v>14.16</v>
      </c>
      <c r="S2791">
        <v>1</v>
      </c>
      <c r="T2791">
        <v>0.2</v>
      </c>
      <c r="U2791">
        <v>1.0620000000000001</v>
      </c>
      <c r="V2791" t="str">
        <f t="shared" si="43"/>
        <v>Todd Boyes</v>
      </c>
      <c r="W2791">
        <f>Table2[Profit]/Table2[Sales]</f>
        <v>7.4999999999999997E-2</v>
      </c>
    </row>
    <row r="2792" spans="1:23" x14ac:dyDescent="0.25">
      <c r="A2792">
        <v>2791</v>
      </c>
      <c r="B2792" t="s">
        <v>8156</v>
      </c>
      <c r="C2792" s="1">
        <v>42341</v>
      </c>
      <c r="D2792" s="1">
        <v>42345</v>
      </c>
      <c r="E2792" t="s">
        <v>49</v>
      </c>
      <c r="F2792" t="s">
        <v>4201</v>
      </c>
      <c r="G2792" t="s">
        <v>4202</v>
      </c>
      <c r="H2792" t="s">
        <v>40</v>
      </c>
      <c r="I2792" t="s">
        <v>26</v>
      </c>
      <c r="J2792" t="s">
        <v>263</v>
      </c>
      <c r="K2792" t="s">
        <v>264</v>
      </c>
      <c r="L2792">
        <v>10011</v>
      </c>
      <c r="M2792" t="s">
        <v>145</v>
      </c>
      <c r="N2792" t="s">
        <v>7449</v>
      </c>
      <c r="O2792" t="s">
        <v>45</v>
      </c>
      <c r="P2792" t="s">
        <v>74</v>
      </c>
      <c r="Q2792" t="s">
        <v>7450</v>
      </c>
      <c r="R2792">
        <v>590.35199999999998</v>
      </c>
      <c r="S2792">
        <v>6</v>
      </c>
      <c r="T2792">
        <v>0.2</v>
      </c>
      <c r="U2792">
        <v>206.6232</v>
      </c>
      <c r="V2792" t="str">
        <f t="shared" si="43"/>
        <v>Bill Stewart</v>
      </c>
      <c r="W2792">
        <f>Table2[Profit]/Table2[Sales]</f>
        <v>0.35000000000000003</v>
      </c>
    </row>
    <row r="2793" spans="1:23" x14ac:dyDescent="0.25">
      <c r="A2793">
        <v>2792</v>
      </c>
      <c r="B2793" t="s">
        <v>8157</v>
      </c>
      <c r="C2793" s="1">
        <v>42633</v>
      </c>
      <c r="D2793" s="1">
        <v>42638</v>
      </c>
      <c r="E2793" t="s">
        <v>49</v>
      </c>
      <c r="F2793" t="s">
        <v>4337</v>
      </c>
      <c r="G2793" t="s">
        <v>4338</v>
      </c>
      <c r="H2793" t="s">
        <v>40</v>
      </c>
      <c r="I2793" t="s">
        <v>26</v>
      </c>
      <c r="J2793" t="s">
        <v>4396</v>
      </c>
      <c r="K2793" t="s">
        <v>87</v>
      </c>
      <c r="L2793">
        <v>27405</v>
      </c>
      <c r="M2793" t="s">
        <v>29</v>
      </c>
      <c r="N2793" t="s">
        <v>5925</v>
      </c>
      <c r="O2793" t="s">
        <v>31</v>
      </c>
      <c r="P2793" t="s">
        <v>64</v>
      </c>
      <c r="Q2793" t="s">
        <v>5926</v>
      </c>
      <c r="R2793">
        <v>17.088000000000001</v>
      </c>
      <c r="S2793">
        <v>2</v>
      </c>
      <c r="T2793">
        <v>0.2</v>
      </c>
      <c r="U2793">
        <v>1.0680000000000001</v>
      </c>
      <c r="V2793" t="str">
        <f t="shared" si="43"/>
        <v>Filia McAdams</v>
      </c>
      <c r="W2793">
        <f>Table2[Profit]/Table2[Sales]</f>
        <v>6.25E-2</v>
      </c>
    </row>
    <row r="2794" spans="1:23" x14ac:dyDescent="0.25">
      <c r="A2794">
        <v>2793</v>
      </c>
      <c r="B2794" t="s">
        <v>8158</v>
      </c>
      <c r="C2794" s="1">
        <v>42819</v>
      </c>
      <c r="D2794" s="1">
        <v>42825</v>
      </c>
      <c r="E2794" t="s">
        <v>49</v>
      </c>
      <c r="F2794" t="s">
        <v>2084</v>
      </c>
      <c r="G2794" t="s">
        <v>2085</v>
      </c>
      <c r="H2794" t="s">
        <v>25</v>
      </c>
      <c r="I2794" t="s">
        <v>26</v>
      </c>
      <c r="J2794" t="s">
        <v>263</v>
      </c>
      <c r="K2794" t="s">
        <v>264</v>
      </c>
      <c r="L2794">
        <v>10024</v>
      </c>
      <c r="M2794" t="s">
        <v>145</v>
      </c>
      <c r="N2794" t="s">
        <v>632</v>
      </c>
      <c r="O2794" t="s">
        <v>45</v>
      </c>
      <c r="P2794" t="s">
        <v>67</v>
      </c>
      <c r="Q2794" t="s">
        <v>633</v>
      </c>
      <c r="R2794">
        <v>11.05</v>
      </c>
      <c r="S2794">
        <v>5</v>
      </c>
      <c r="T2794">
        <v>0</v>
      </c>
      <c r="U2794">
        <v>2.9834999999999998</v>
      </c>
      <c r="V2794" t="str">
        <f t="shared" si="43"/>
        <v>John Lee</v>
      </c>
      <c r="W2794">
        <f>Table2[Profit]/Table2[Sales]</f>
        <v>0.26999999999999996</v>
      </c>
    </row>
    <row r="2795" spans="1:23" x14ac:dyDescent="0.25">
      <c r="A2795">
        <v>2794</v>
      </c>
      <c r="B2795" t="s">
        <v>8159</v>
      </c>
      <c r="C2795" s="1">
        <v>42344</v>
      </c>
      <c r="D2795" s="1">
        <v>42349</v>
      </c>
      <c r="E2795" t="s">
        <v>49</v>
      </c>
      <c r="F2795" t="s">
        <v>4974</v>
      </c>
      <c r="G2795" t="s">
        <v>4975</v>
      </c>
      <c r="H2795" t="s">
        <v>25</v>
      </c>
      <c r="I2795" t="s">
        <v>26</v>
      </c>
      <c r="J2795" t="s">
        <v>126</v>
      </c>
      <c r="K2795" t="s">
        <v>42</v>
      </c>
      <c r="L2795">
        <v>94109</v>
      </c>
      <c r="M2795" t="s">
        <v>43</v>
      </c>
      <c r="N2795" t="s">
        <v>4005</v>
      </c>
      <c r="O2795" t="s">
        <v>45</v>
      </c>
      <c r="P2795" t="s">
        <v>77</v>
      </c>
      <c r="Q2795" t="s">
        <v>4006</v>
      </c>
      <c r="R2795">
        <v>7.78</v>
      </c>
      <c r="S2795">
        <v>2</v>
      </c>
      <c r="T2795">
        <v>0</v>
      </c>
      <c r="U2795">
        <v>2.0228000000000002</v>
      </c>
      <c r="V2795" t="str">
        <f t="shared" si="43"/>
        <v>Art Ferguson</v>
      </c>
      <c r="W2795">
        <f>Table2[Profit]/Table2[Sales]</f>
        <v>0.26</v>
      </c>
    </row>
    <row r="2796" spans="1:23" x14ac:dyDescent="0.25">
      <c r="A2796">
        <v>2795</v>
      </c>
      <c r="B2796" t="s">
        <v>8160</v>
      </c>
      <c r="C2796" s="1">
        <v>42978</v>
      </c>
      <c r="D2796" s="1">
        <v>42983</v>
      </c>
      <c r="E2796" t="s">
        <v>49</v>
      </c>
      <c r="F2796" t="s">
        <v>8161</v>
      </c>
      <c r="G2796" t="s">
        <v>8162</v>
      </c>
      <c r="H2796" t="s">
        <v>25</v>
      </c>
      <c r="I2796" t="s">
        <v>26</v>
      </c>
      <c r="J2796" t="s">
        <v>728</v>
      </c>
      <c r="K2796" t="s">
        <v>729</v>
      </c>
      <c r="L2796">
        <v>71203</v>
      </c>
      <c r="M2796" t="s">
        <v>29</v>
      </c>
      <c r="N2796" t="s">
        <v>2945</v>
      </c>
      <c r="O2796" t="s">
        <v>70</v>
      </c>
      <c r="P2796" t="s">
        <v>158</v>
      </c>
      <c r="Q2796" t="s">
        <v>2946</v>
      </c>
      <c r="R2796">
        <v>659.9</v>
      </c>
      <c r="S2796">
        <v>2</v>
      </c>
      <c r="T2796">
        <v>0</v>
      </c>
      <c r="U2796">
        <v>217.767</v>
      </c>
      <c r="V2796" t="str">
        <f t="shared" si="43"/>
        <v>Barry Gonzalez</v>
      </c>
      <c r="W2796">
        <f>Table2[Profit]/Table2[Sales]</f>
        <v>0.33</v>
      </c>
    </row>
    <row r="2797" spans="1:23" x14ac:dyDescent="0.25">
      <c r="A2797">
        <v>2796</v>
      </c>
      <c r="B2797" t="s">
        <v>8163</v>
      </c>
      <c r="C2797" s="1">
        <v>42282</v>
      </c>
      <c r="D2797" s="1">
        <v>42284</v>
      </c>
      <c r="E2797" t="s">
        <v>185</v>
      </c>
      <c r="F2797" t="s">
        <v>792</v>
      </c>
      <c r="G2797" t="s">
        <v>793</v>
      </c>
      <c r="H2797" t="s">
        <v>25</v>
      </c>
      <c r="I2797" t="s">
        <v>26</v>
      </c>
      <c r="J2797" t="s">
        <v>999</v>
      </c>
      <c r="K2797" t="s">
        <v>491</v>
      </c>
      <c r="L2797">
        <v>45231</v>
      </c>
      <c r="M2797" t="s">
        <v>145</v>
      </c>
      <c r="N2797" t="s">
        <v>746</v>
      </c>
      <c r="O2797" t="s">
        <v>70</v>
      </c>
      <c r="P2797" t="s">
        <v>158</v>
      </c>
      <c r="Q2797" t="s">
        <v>747</v>
      </c>
      <c r="R2797">
        <v>53.04</v>
      </c>
      <c r="S2797">
        <v>3</v>
      </c>
      <c r="T2797">
        <v>0.2</v>
      </c>
      <c r="U2797">
        <v>-4.641</v>
      </c>
      <c r="V2797" t="str">
        <f t="shared" si="43"/>
        <v>Maria Bertelson</v>
      </c>
      <c r="W2797">
        <f>Table2[Profit]/Table2[Sales]</f>
        <v>-8.7500000000000008E-2</v>
      </c>
    </row>
    <row r="2798" spans="1:23" x14ac:dyDescent="0.25">
      <c r="A2798">
        <v>2797</v>
      </c>
      <c r="B2798" t="s">
        <v>8164</v>
      </c>
      <c r="C2798" s="1">
        <v>42965</v>
      </c>
      <c r="D2798" s="1">
        <v>42969</v>
      </c>
      <c r="E2798" t="s">
        <v>49</v>
      </c>
      <c r="F2798" t="s">
        <v>2476</v>
      </c>
      <c r="G2798" t="s">
        <v>2477</v>
      </c>
      <c r="H2798" t="s">
        <v>40</v>
      </c>
      <c r="I2798" t="s">
        <v>26</v>
      </c>
      <c r="J2798" t="s">
        <v>94</v>
      </c>
      <c r="K2798" t="s">
        <v>95</v>
      </c>
      <c r="L2798">
        <v>98105</v>
      </c>
      <c r="M2798" t="s">
        <v>43</v>
      </c>
      <c r="N2798" t="s">
        <v>2668</v>
      </c>
      <c r="O2798" t="s">
        <v>70</v>
      </c>
      <c r="P2798" t="s">
        <v>158</v>
      </c>
      <c r="Q2798" t="s">
        <v>4177</v>
      </c>
      <c r="R2798">
        <v>843.9</v>
      </c>
      <c r="S2798">
        <v>2</v>
      </c>
      <c r="T2798">
        <v>0</v>
      </c>
      <c r="U2798">
        <v>371.31599999999997</v>
      </c>
      <c r="V2798" t="str">
        <f t="shared" si="43"/>
        <v>Helen Wasserman</v>
      </c>
      <c r="W2798">
        <f>Table2[Profit]/Table2[Sales]</f>
        <v>0.44</v>
      </c>
    </row>
    <row r="2799" spans="1:23" x14ac:dyDescent="0.25">
      <c r="A2799">
        <v>2798</v>
      </c>
      <c r="B2799" t="s">
        <v>8165</v>
      </c>
      <c r="C2799" s="1">
        <v>42402</v>
      </c>
      <c r="D2799" s="1">
        <v>42407</v>
      </c>
      <c r="E2799" t="s">
        <v>49</v>
      </c>
      <c r="F2799" t="s">
        <v>3751</v>
      </c>
      <c r="G2799" t="s">
        <v>3752</v>
      </c>
      <c r="H2799" t="s">
        <v>25</v>
      </c>
      <c r="I2799" t="s">
        <v>26</v>
      </c>
      <c r="J2799" t="s">
        <v>263</v>
      </c>
      <c r="K2799" t="s">
        <v>264</v>
      </c>
      <c r="L2799">
        <v>10011</v>
      </c>
      <c r="M2799" t="s">
        <v>145</v>
      </c>
      <c r="N2799" t="s">
        <v>8166</v>
      </c>
      <c r="O2799" t="s">
        <v>45</v>
      </c>
      <c r="P2799" t="s">
        <v>58</v>
      </c>
      <c r="Q2799" t="s">
        <v>8167</v>
      </c>
      <c r="R2799">
        <v>117.96</v>
      </c>
      <c r="S2799">
        <v>2</v>
      </c>
      <c r="T2799">
        <v>0</v>
      </c>
      <c r="U2799">
        <v>5.8979999999999997</v>
      </c>
      <c r="V2799" t="str">
        <f t="shared" si="43"/>
        <v>Adrian Barton</v>
      </c>
      <c r="W2799">
        <f>Table2[Profit]/Table2[Sales]</f>
        <v>0.05</v>
      </c>
    </row>
    <row r="2800" spans="1:23" x14ac:dyDescent="0.25">
      <c r="A2800">
        <v>2799</v>
      </c>
      <c r="B2800" t="s">
        <v>8168</v>
      </c>
      <c r="C2800" s="1">
        <v>42605</v>
      </c>
      <c r="D2800" s="1">
        <v>42609</v>
      </c>
      <c r="E2800" t="s">
        <v>49</v>
      </c>
      <c r="F2800" t="s">
        <v>6194</v>
      </c>
      <c r="G2800" t="s">
        <v>6195</v>
      </c>
      <c r="H2800" t="s">
        <v>40</v>
      </c>
      <c r="I2800" t="s">
        <v>26</v>
      </c>
      <c r="J2800" t="s">
        <v>263</v>
      </c>
      <c r="K2800" t="s">
        <v>264</v>
      </c>
      <c r="L2800">
        <v>10035</v>
      </c>
      <c r="M2800" t="s">
        <v>145</v>
      </c>
      <c r="N2800" t="s">
        <v>1252</v>
      </c>
      <c r="O2800" t="s">
        <v>45</v>
      </c>
      <c r="P2800" t="s">
        <v>67</v>
      </c>
      <c r="Q2800" t="s">
        <v>1253</v>
      </c>
      <c r="R2800">
        <v>21.3</v>
      </c>
      <c r="S2800">
        <v>5</v>
      </c>
      <c r="T2800">
        <v>0</v>
      </c>
      <c r="U2800">
        <v>8.7330000000000005</v>
      </c>
      <c r="V2800" t="str">
        <f t="shared" si="43"/>
        <v>Jennifer Patt</v>
      </c>
      <c r="W2800">
        <f>Table2[Profit]/Table2[Sales]</f>
        <v>0.41000000000000003</v>
      </c>
    </row>
    <row r="2801" spans="1:23" x14ac:dyDescent="0.25">
      <c r="A2801">
        <v>2800</v>
      </c>
      <c r="B2801" t="s">
        <v>8169</v>
      </c>
      <c r="C2801" s="1">
        <v>42916</v>
      </c>
      <c r="D2801" s="1">
        <v>42920</v>
      </c>
      <c r="E2801" t="s">
        <v>49</v>
      </c>
      <c r="F2801" t="s">
        <v>38</v>
      </c>
      <c r="G2801" t="s">
        <v>39</v>
      </c>
      <c r="H2801" t="s">
        <v>40</v>
      </c>
      <c r="I2801" t="s">
        <v>26</v>
      </c>
      <c r="J2801" t="s">
        <v>327</v>
      </c>
      <c r="K2801" t="s">
        <v>328</v>
      </c>
      <c r="L2801">
        <v>38109</v>
      </c>
      <c r="M2801" t="s">
        <v>29</v>
      </c>
      <c r="N2801" t="s">
        <v>4389</v>
      </c>
      <c r="O2801" t="s">
        <v>31</v>
      </c>
      <c r="P2801" t="s">
        <v>64</v>
      </c>
      <c r="Q2801" t="s">
        <v>4390</v>
      </c>
      <c r="R2801">
        <v>19.52</v>
      </c>
      <c r="S2801">
        <v>2</v>
      </c>
      <c r="T2801">
        <v>0.2</v>
      </c>
      <c r="U2801">
        <v>5.3680000000000003</v>
      </c>
      <c r="V2801" t="str">
        <f t="shared" si="43"/>
        <v>Darrin Van Huff</v>
      </c>
      <c r="W2801">
        <f>Table2[Profit]/Table2[Sales]</f>
        <v>0.27500000000000002</v>
      </c>
    </row>
    <row r="2802" spans="1:23" x14ac:dyDescent="0.25">
      <c r="A2802">
        <v>2801</v>
      </c>
      <c r="B2802" t="s">
        <v>8170</v>
      </c>
      <c r="C2802" s="1">
        <v>42265</v>
      </c>
      <c r="D2802" s="1">
        <v>42268</v>
      </c>
      <c r="E2802" t="s">
        <v>185</v>
      </c>
      <c r="F2802" t="s">
        <v>4060</v>
      </c>
      <c r="G2802" t="s">
        <v>4061</v>
      </c>
      <c r="H2802" t="s">
        <v>25</v>
      </c>
      <c r="I2802" t="s">
        <v>26</v>
      </c>
      <c r="J2802" t="s">
        <v>941</v>
      </c>
      <c r="K2802" t="s">
        <v>42</v>
      </c>
      <c r="L2802">
        <v>92105</v>
      </c>
      <c r="M2802" t="s">
        <v>43</v>
      </c>
      <c r="N2802" t="s">
        <v>114</v>
      </c>
      <c r="O2802" t="s">
        <v>45</v>
      </c>
      <c r="P2802" t="s">
        <v>58</v>
      </c>
      <c r="Q2802" t="s">
        <v>115</v>
      </c>
      <c r="R2802">
        <v>443.92</v>
      </c>
      <c r="S2802">
        <v>4</v>
      </c>
      <c r="T2802">
        <v>0</v>
      </c>
      <c r="U2802">
        <v>8.8783999999999992</v>
      </c>
      <c r="V2802" t="str">
        <f t="shared" si="43"/>
        <v>Charlotte Melton</v>
      </c>
      <c r="W2802">
        <f>Table2[Profit]/Table2[Sales]</f>
        <v>1.9999999999999997E-2</v>
      </c>
    </row>
    <row r="2803" spans="1:23" x14ac:dyDescent="0.25">
      <c r="A2803">
        <v>2802</v>
      </c>
      <c r="B2803" t="s">
        <v>8171</v>
      </c>
      <c r="C2803" s="1">
        <v>42638</v>
      </c>
      <c r="D2803" s="1">
        <v>42643</v>
      </c>
      <c r="E2803" t="s">
        <v>49</v>
      </c>
      <c r="F2803" t="s">
        <v>2296</v>
      </c>
      <c r="G2803" t="s">
        <v>2297</v>
      </c>
      <c r="H2803" t="s">
        <v>40</v>
      </c>
      <c r="I2803" t="s">
        <v>26</v>
      </c>
      <c r="J2803" t="s">
        <v>7412</v>
      </c>
      <c r="K2803" t="s">
        <v>113</v>
      </c>
      <c r="L2803">
        <v>54601</v>
      </c>
      <c r="M2803" t="s">
        <v>104</v>
      </c>
      <c r="N2803" t="s">
        <v>1168</v>
      </c>
      <c r="O2803" t="s">
        <v>70</v>
      </c>
      <c r="P2803" t="s">
        <v>158</v>
      </c>
      <c r="Q2803" t="s">
        <v>1169</v>
      </c>
      <c r="R2803">
        <v>499.95</v>
      </c>
      <c r="S2803">
        <v>5</v>
      </c>
      <c r="T2803">
        <v>0</v>
      </c>
      <c r="U2803">
        <v>174.98249999999999</v>
      </c>
      <c r="V2803" t="str">
        <f t="shared" si="43"/>
        <v>Steve Chapman</v>
      </c>
      <c r="W2803">
        <f>Table2[Profit]/Table2[Sales]</f>
        <v>0.35</v>
      </c>
    </row>
    <row r="2804" spans="1:23" x14ac:dyDescent="0.25">
      <c r="A2804">
        <v>2803</v>
      </c>
      <c r="B2804" t="s">
        <v>8172</v>
      </c>
      <c r="C2804" s="1">
        <v>42667</v>
      </c>
      <c r="D2804" s="1">
        <v>42671</v>
      </c>
      <c r="E2804" t="s">
        <v>22</v>
      </c>
      <c r="F2804" t="s">
        <v>840</v>
      </c>
      <c r="G2804" t="s">
        <v>841</v>
      </c>
      <c r="H2804" t="s">
        <v>40</v>
      </c>
      <c r="I2804" t="s">
        <v>26</v>
      </c>
      <c r="J2804" t="s">
        <v>41</v>
      </c>
      <c r="K2804" t="s">
        <v>42</v>
      </c>
      <c r="L2804">
        <v>90032</v>
      </c>
      <c r="M2804" t="s">
        <v>43</v>
      </c>
      <c r="N2804" t="s">
        <v>4172</v>
      </c>
      <c r="O2804" t="s">
        <v>70</v>
      </c>
      <c r="P2804" t="s">
        <v>158</v>
      </c>
      <c r="Q2804" t="s">
        <v>4173</v>
      </c>
      <c r="R2804">
        <v>100</v>
      </c>
      <c r="S2804">
        <v>4</v>
      </c>
      <c r="T2804">
        <v>0</v>
      </c>
      <c r="U2804">
        <v>21</v>
      </c>
      <c r="V2804" t="str">
        <f t="shared" si="43"/>
        <v>Victoria Wilson</v>
      </c>
      <c r="W2804">
        <f>Table2[Profit]/Table2[Sales]</f>
        <v>0.21</v>
      </c>
    </row>
    <row r="2805" spans="1:23" x14ac:dyDescent="0.25">
      <c r="A2805">
        <v>2804</v>
      </c>
      <c r="B2805" t="s">
        <v>8173</v>
      </c>
      <c r="C2805" s="1">
        <v>41911</v>
      </c>
      <c r="D2805" s="1">
        <v>41913</v>
      </c>
      <c r="E2805" t="s">
        <v>22</v>
      </c>
      <c r="F2805" t="s">
        <v>3714</v>
      </c>
      <c r="G2805" t="s">
        <v>3715</v>
      </c>
      <c r="H2805" t="s">
        <v>101</v>
      </c>
      <c r="I2805" t="s">
        <v>26</v>
      </c>
      <c r="J2805" t="s">
        <v>94</v>
      </c>
      <c r="K2805" t="s">
        <v>95</v>
      </c>
      <c r="L2805">
        <v>98115</v>
      </c>
      <c r="M2805" t="s">
        <v>43</v>
      </c>
      <c r="N2805" t="s">
        <v>256</v>
      </c>
      <c r="O2805" t="s">
        <v>31</v>
      </c>
      <c r="P2805" t="s">
        <v>64</v>
      </c>
      <c r="Q2805" t="s">
        <v>257</v>
      </c>
      <c r="R2805">
        <v>6.16</v>
      </c>
      <c r="S2805">
        <v>2</v>
      </c>
      <c r="T2805">
        <v>0</v>
      </c>
      <c r="U2805">
        <v>2.9567999999999999</v>
      </c>
      <c r="V2805" t="str">
        <f t="shared" si="43"/>
        <v>Paul Prost</v>
      </c>
      <c r="W2805">
        <f>Table2[Profit]/Table2[Sales]</f>
        <v>0.48</v>
      </c>
    </row>
    <row r="2806" spans="1:23" x14ac:dyDescent="0.25">
      <c r="A2806">
        <v>2805</v>
      </c>
      <c r="B2806" t="s">
        <v>8174</v>
      </c>
      <c r="C2806" s="1">
        <v>42912</v>
      </c>
      <c r="D2806" s="1">
        <v>42917</v>
      </c>
      <c r="E2806" t="s">
        <v>49</v>
      </c>
      <c r="F2806" t="s">
        <v>952</v>
      </c>
      <c r="G2806" t="s">
        <v>953</v>
      </c>
      <c r="H2806" t="s">
        <v>40</v>
      </c>
      <c r="I2806" t="s">
        <v>26</v>
      </c>
      <c r="J2806" t="s">
        <v>1406</v>
      </c>
      <c r="K2806" t="s">
        <v>53</v>
      </c>
      <c r="L2806">
        <v>33180</v>
      </c>
      <c r="M2806" t="s">
        <v>29</v>
      </c>
      <c r="N2806" t="s">
        <v>1064</v>
      </c>
      <c r="O2806" t="s">
        <v>45</v>
      </c>
      <c r="P2806" t="s">
        <v>46</v>
      </c>
      <c r="Q2806" t="s">
        <v>1065</v>
      </c>
      <c r="R2806">
        <v>13.872</v>
      </c>
      <c r="S2806">
        <v>6</v>
      </c>
      <c r="T2806">
        <v>0.2</v>
      </c>
      <c r="U2806">
        <v>4.6818</v>
      </c>
      <c r="V2806" t="str">
        <f t="shared" si="43"/>
        <v>Dan Reichenbach</v>
      </c>
      <c r="W2806">
        <f>Table2[Profit]/Table2[Sales]</f>
        <v>0.33750000000000002</v>
      </c>
    </row>
    <row r="2807" spans="1:23" x14ac:dyDescent="0.25">
      <c r="A2807">
        <v>2806</v>
      </c>
      <c r="B2807" t="s">
        <v>8177</v>
      </c>
      <c r="C2807" s="1">
        <v>42603</v>
      </c>
      <c r="D2807" s="1">
        <v>42605</v>
      </c>
      <c r="E2807" t="s">
        <v>22</v>
      </c>
      <c r="F2807" t="s">
        <v>433</v>
      </c>
      <c r="G2807" t="s">
        <v>434</v>
      </c>
      <c r="H2807" t="s">
        <v>101</v>
      </c>
      <c r="I2807" t="s">
        <v>26</v>
      </c>
      <c r="J2807" t="s">
        <v>143</v>
      </c>
      <c r="K2807" t="s">
        <v>144</v>
      </c>
      <c r="L2807">
        <v>19143</v>
      </c>
      <c r="M2807" t="s">
        <v>145</v>
      </c>
      <c r="N2807" t="s">
        <v>3837</v>
      </c>
      <c r="O2807" t="s">
        <v>31</v>
      </c>
      <c r="P2807" t="s">
        <v>55</v>
      </c>
      <c r="Q2807" t="s">
        <v>3838</v>
      </c>
      <c r="R2807">
        <v>815.29200000000003</v>
      </c>
      <c r="S2807">
        <v>9</v>
      </c>
      <c r="T2807">
        <v>0.4</v>
      </c>
      <c r="U2807">
        <v>-339.70499999999998</v>
      </c>
      <c r="V2807" t="str">
        <f t="shared" si="43"/>
        <v>Rick Bensley</v>
      </c>
      <c r="W2807">
        <f>Table2[Profit]/Table2[Sales]</f>
        <v>-0.41666666666666663</v>
      </c>
    </row>
    <row r="2808" spans="1:23" x14ac:dyDescent="0.25">
      <c r="A2808">
        <v>2807</v>
      </c>
      <c r="B2808" t="s">
        <v>8178</v>
      </c>
      <c r="C2808" s="1">
        <v>41681</v>
      </c>
      <c r="D2808" s="1">
        <v>41685</v>
      </c>
      <c r="E2808" t="s">
        <v>49</v>
      </c>
      <c r="F2808" t="s">
        <v>1471</v>
      </c>
      <c r="G2808" t="s">
        <v>1472</v>
      </c>
      <c r="H2808" t="s">
        <v>25</v>
      </c>
      <c r="I2808" t="s">
        <v>26</v>
      </c>
      <c r="J2808" t="s">
        <v>4771</v>
      </c>
      <c r="K2808" t="s">
        <v>312</v>
      </c>
      <c r="L2808">
        <v>23320</v>
      </c>
      <c r="M2808" t="s">
        <v>29</v>
      </c>
      <c r="N2808" t="s">
        <v>1821</v>
      </c>
      <c r="O2808" t="s">
        <v>70</v>
      </c>
      <c r="P2808" t="s">
        <v>158</v>
      </c>
      <c r="Q2808" t="s">
        <v>1822</v>
      </c>
      <c r="R2808">
        <v>234.45</v>
      </c>
      <c r="S2808">
        <v>3</v>
      </c>
      <c r="T2808">
        <v>0</v>
      </c>
      <c r="U2808">
        <v>103.158</v>
      </c>
      <c r="V2808" t="str">
        <f t="shared" si="43"/>
        <v>Natalie Fritzler</v>
      </c>
      <c r="W2808">
        <f>Table2[Profit]/Table2[Sales]</f>
        <v>0.44</v>
      </c>
    </row>
    <row r="2809" spans="1:23" x14ac:dyDescent="0.25">
      <c r="A2809">
        <v>2808</v>
      </c>
      <c r="B2809" t="s">
        <v>8179</v>
      </c>
      <c r="C2809" s="1">
        <v>42636</v>
      </c>
      <c r="D2809" s="1">
        <v>42641</v>
      </c>
      <c r="E2809" t="s">
        <v>22</v>
      </c>
      <c r="F2809" t="s">
        <v>5364</v>
      </c>
      <c r="G2809" t="s">
        <v>5365</v>
      </c>
      <c r="H2809" t="s">
        <v>101</v>
      </c>
      <c r="I2809" t="s">
        <v>26</v>
      </c>
      <c r="J2809" t="s">
        <v>263</v>
      </c>
      <c r="K2809" t="s">
        <v>264</v>
      </c>
      <c r="L2809">
        <v>10009</v>
      </c>
      <c r="M2809" t="s">
        <v>145</v>
      </c>
      <c r="N2809" t="s">
        <v>2395</v>
      </c>
      <c r="O2809" t="s">
        <v>45</v>
      </c>
      <c r="P2809" t="s">
        <v>74</v>
      </c>
      <c r="Q2809" t="s">
        <v>2396</v>
      </c>
      <c r="R2809">
        <v>10.528</v>
      </c>
      <c r="S2809">
        <v>7</v>
      </c>
      <c r="T2809">
        <v>0.2</v>
      </c>
      <c r="U2809">
        <v>3.6848000000000001</v>
      </c>
      <c r="V2809" t="str">
        <f t="shared" si="43"/>
        <v>Clay Rozendal</v>
      </c>
      <c r="W2809">
        <f>Table2[Profit]/Table2[Sales]</f>
        <v>0.35</v>
      </c>
    </row>
    <row r="2810" spans="1:23" x14ac:dyDescent="0.25">
      <c r="A2810">
        <v>2809</v>
      </c>
      <c r="B2810" t="s">
        <v>8180</v>
      </c>
      <c r="C2810" s="1">
        <v>42343</v>
      </c>
      <c r="D2810" s="1">
        <v>42344</v>
      </c>
      <c r="E2810" t="s">
        <v>185</v>
      </c>
      <c r="F2810" t="s">
        <v>6558</v>
      </c>
      <c r="G2810" t="s">
        <v>6559</v>
      </c>
      <c r="H2810" t="s">
        <v>101</v>
      </c>
      <c r="I2810" t="s">
        <v>26</v>
      </c>
      <c r="J2810" t="s">
        <v>8181</v>
      </c>
      <c r="K2810" t="s">
        <v>235</v>
      </c>
      <c r="L2810">
        <v>48104</v>
      </c>
      <c r="M2810" t="s">
        <v>104</v>
      </c>
      <c r="N2810" t="s">
        <v>3830</v>
      </c>
      <c r="O2810" t="s">
        <v>45</v>
      </c>
      <c r="P2810" t="s">
        <v>74</v>
      </c>
      <c r="Q2810" t="s">
        <v>3831</v>
      </c>
      <c r="R2810">
        <v>152.80000000000001</v>
      </c>
      <c r="S2810">
        <v>5</v>
      </c>
      <c r="T2810">
        <v>0</v>
      </c>
      <c r="U2810">
        <v>76.400000000000006</v>
      </c>
      <c r="V2810" t="str">
        <f t="shared" si="43"/>
        <v>Stephanie Ulpright</v>
      </c>
      <c r="W2810">
        <f>Table2[Profit]/Table2[Sales]</f>
        <v>0.5</v>
      </c>
    </row>
    <row r="2811" spans="1:23" x14ac:dyDescent="0.25">
      <c r="A2811">
        <v>2810</v>
      </c>
      <c r="B2811" t="s">
        <v>8182</v>
      </c>
      <c r="C2811" s="1">
        <v>42981</v>
      </c>
      <c r="D2811" s="1">
        <v>42986</v>
      </c>
      <c r="E2811" t="s">
        <v>49</v>
      </c>
      <c r="F2811" t="s">
        <v>2760</v>
      </c>
      <c r="G2811" t="s">
        <v>2761</v>
      </c>
      <c r="H2811" t="s">
        <v>101</v>
      </c>
      <c r="I2811" t="s">
        <v>26</v>
      </c>
      <c r="J2811" t="s">
        <v>8183</v>
      </c>
      <c r="K2811" t="s">
        <v>42</v>
      </c>
      <c r="L2811">
        <v>91941</v>
      </c>
      <c r="M2811" t="s">
        <v>43</v>
      </c>
      <c r="N2811" t="s">
        <v>1331</v>
      </c>
      <c r="O2811" t="s">
        <v>45</v>
      </c>
      <c r="P2811" t="s">
        <v>74</v>
      </c>
      <c r="Q2811" t="s">
        <v>1332</v>
      </c>
      <c r="R2811">
        <v>82.56</v>
      </c>
      <c r="S2811">
        <v>5</v>
      </c>
      <c r="T2811">
        <v>0.2</v>
      </c>
      <c r="U2811">
        <v>28.896000000000001</v>
      </c>
      <c r="V2811" t="str">
        <f t="shared" si="43"/>
        <v>Sample Company A</v>
      </c>
      <c r="W2811">
        <f>Table2[Profit]/Table2[Sales]</f>
        <v>0.35</v>
      </c>
    </row>
    <row r="2812" spans="1:23" x14ac:dyDescent="0.25">
      <c r="A2812">
        <v>2811</v>
      </c>
      <c r="B2812" t="s">
        <v>8184</v>
      </c>
      <c r="C2812" s="1">
        <v>42820</v>
      </c>
      <c r="D2812" s="1">
        <v>42827</v>
      </c>
      <c r="E2812" t="s">
        <v>49</v>
      </c>
      <c r="F2812" t="s">
        <v>5352</v>
      </c>
      <c r="G2812" t="s">
        <v>5353</v>
      </c>
      <c r="H2812" t="s">
        <v>40</v>
      </c>
      <c r="I2812" t="s">
        <v>26</v>
      </c>
      <c r="J2812" t="s">
        <v>2029</v>
      </c>
      <c r="K2812" t="s">
        <v>235</v>
      </c>
      <c r="L2812">
        <v>48126</v>
      </c>
      <c r="M2812" t="s">
        <v>104</v>
      </c>
      <c r="N2812" t="s">
        <v>8185</v>
      </c>
      <c r="O2812" t="s">
        <v>31</v>
      </c>
      <c r="P2812" t="s">
        <v>64</v>
      </c>
      <c r="Q2812" t="s">
        <v>8186</v>
      </c>
      <c r="R2812">
        <v>60.84</v>
      </c>
      <c r="S2812">
        <v>3</v>
      </c>
      <c r="T2812">
        <v>0</v>
      </c>
      <c r="U2812">
        <v>23.119199999999999</v>
      </c>
      <c r="V2812" t="str">
        <f t="shared" si="43"/>
        <v>Michelle Lonsdale</v>
      </c>
      <c r="W2812">
        <f>Table2[Profit]/Table2[Sales]</f>
        <v>0.37999999999999995</v>
      </c>
    </row>
    <row r="2813" spans="1:23" x14ac:dyDescent="0.25">
      <c r="A2813">
        <v>2812</v>
      </c>
      <c r="B2813" t="s">
        <v>8187</v>
      </c>
      <c r="C2813" s="1">
        <v>41994</v>
      </c>
      <c r="D2813" s="1">
        <v>42000</v>
      </c>
      <c r="E2813" t="s">
        <v>49</v>
      </c>
      <c r="F2813" t="s">
        <v>2489</v>
      </c>
      <c r="G2813" t="s">
        <v>2490</v>
      </c>
      <c r="H2813" t="s">
        <v>25</v>
      </c>
      <c r="I2813" t="s">
        <v>26</v>
      </c>
      <c r="J2813" t="s">
        <v>941</v>
      </c>
      <c r="K2813" t="s">
        <v>42</v>
      </c>
      <c r="L2813">
        <v>92024</v>
      </c>
      <c r="M2813" t="s">
        <v>43</v>
      </c>
      <c r="N2813" t="s">
        <v>679</v>
      </c>
      <c r="O2813" t="s">
        <v>31</v>
      </c>
      <c r="P2813" t="s">
        <v>35</v>
      </c>
      <c r="Q2813" t="s">
        <v>680</v>
      </c>
      <c r="R2813">
        <v>1325.76</v>
      </c>
      <c r="S2813">
        <v>6</v>
      </c>
      <c r="T2813">
        <v>0.2</v>
      </c>
      <c r="U2813">
        <v>149.148</v>
      </c>
      <c r="V2813" t="str">
        <f t="shared" si="43"/>
        <v>Gary McGarr</v>
      </c>
      <c r="W2813">
        <f>Table2[Profit]/Table2[Sales]</f>
        <v>0.1125</v>
      </c>
    </row>
    <row r="2814" spans="1:23" x14ac:dyDescent="0.25">
      <c r="A2814">
        <v>2813</v>
      </c>
      <c r="B2814" t="s">
        <v>8188</v>
      </c>
      <c r="C2814" s="1">
        <v>41905</v>
      </c>
      <c r="D2814" s="1">
        <v>41910</v>
      </c>
      <c r="E2814" t="s">
        <v>49</v>
      </c>
      <c r="F2814" t="s">
        <v>714</v>
      </c>
      <c r="G2814" t="s">
        <v>715</v>
      </c>
      <c r="H2814" t="s">
        <v>101</v>
      </c>
      <c r="I2814" t="s">
        <v>26</v>
      </c>
      <c r="J2814" t="s">
        <v>1111</v>
      </c>
      <c r="K2814" t="s">
        <v>491</v>
      </c>
      <c r="L2814">
        <v>44107</v>
      </c>
      <c r="M2814" t="s">
        <v>145</v>
      </c>
      <c r="N2814" t="s">
        <v>7966</v>
      </c>
      <c r="O2814" t="s">
        <v>45</v>
      </c>
      <c r="P2814" t="s">
        <v>89</v>
      </c>
      <c r="Q2814" t="s">
        <v>7967</v>
      </c>
      <c r="R2814">
        <v>28.8</v>
      </c>
      <c r="S2814">
        <v>9</v>
      </c>
      <c r="T2814">
        <v>0.2</v>
      </c>
      <c r="U2814">
        <v>10.08</v>
      </c>
      <c r="V2814" t="str">
        <f t="shared" si="43"/>
        <v>Jim Kriz</v>
      </c>
      <c r="W2814">
        <f>Table2[Profit]/Table2[Sales]</f>
        <v>0.35</v>
      </c>
    </row>
    <row r="2815" spans="1:23" x14ac:dyDescent="0.25">
      <c r="A2815">
        <v>2814</v>
      </c>
      <c r="B2815" t="s">
        <v>8189</v>
      </c>
      <c r="C2815" s="1">
        <v>42827</v>
      </c>
      <c r="D2815" s="1">
        <v>42830</v>
      </c>
      <c r="E2815" t="s">
        <v>185</v>
      </c>
      <c r="F2815" t="s">
        <v>3306</v>
      </c>
      <c r="G2815" t="s">
        <v>3307</v>
      </c>
      <c r="H2815" t="s">
        <v>101</v>
      </c>
      <c r="I2815" t="s">
        <v>26</v>
      </c>
      <c r="J2815" t="s">
        <v>4514</v>
      </c>
      <c r="K2815" t="s">
        <v>740</v>
      </c>
      <c r="L2815">
        <v>6450</v>
      </c>
      <c r="M2815" t="s">
        <v>145</v>
      </c>
      <c r="N2815" t="s">
        <v>136</v>
      </c>
      <c r="O2815" t="s">
        <v>45</v>
      </c>
      <c r="P2815" t="s">
        <v>67</v>
      </c>
      <c r="Q2815" t="s">
        <v>137</v>
      </c>
      <c r="R2815">
        <v>11.12</v>
      </c>
      <c r="S2815">
        <v>4</v>
      </c>
      <c r="T2815">
        <v>0</v>
      </c>
      <c r="U2815">
        <v>2.8912</v>
      </c>
      <c r="V2815" t="str">
        <f t="shared" si="43"/>
        <v>Alyssa Tate</v>
      </c>
      <c r="W2815">
        <f>Table2[Profit]/Table2[Sales]</f>
        <v>0.26</v>
      </c>
    </row>
    <row r="2816" spans="1:23" x14ac:dyDescent="0.25">
      <c r="A2816">
        <v>2815</v>
      </c>
      <c r="B2816" t="s">
        <v>8190</v>
      </c>
      <c r="C2816" s="1">
        <v>42461</v>
      </c>
      <c r="D2816" s="1">
        <v>42465</v>
      </c>
      <c r="E2816" t="s">
        <v>22</v>
      </c>
      <c r="F2816" t="s">
        <v>5487</v>
      </c>
      <c r="G2816" t="s">
        <v>5488</v>
      </c>
      <c r="H2816" t="s">
        <v>101</v>
      </c>
      <c r="I2816" t="s">
        <v>26</v>
      </c>
      <c r="J2816" t="s">
        <v>490</v>
      </c>
      <c r="K2816" t="s">
        <v>1260</v>
      </c>
      <c r="L2816">
        <v>31907</v>
      </c>
      <c r="M2816" t="s">
        <v>29</v>
      </c>
      <c r="N2816" t="s">
        <v>1012</v>
      </c>
      <c r="O2816" t="s">
        <v>31</v>
      </c>
      <c r="P2816" t="s">
        <v>64</v>
      </c>
      <c r="Q2816" t="s">
        <v>1013</v>
      </c>
      <c r="R2816">
        <v>7.04</v>
      </c>
      <c r="S2816">
        <v>4</v>
      </c>
      <c r="T2816">
        <v>0</v>
      </c>
      <c r="U2816">
        <v>3.0975999999999999</v>
      </c>
      <c r="V2816" t="str">
        <f t="shared" si="43"/>
        <v>Daniel Byrd</v>
      </c>
      <c r="W2816">
        <f>Table2[Profit]/Table2[Sales]</f>
        <v>0.44</v>
      </c>
    </row>
    <row r="2817" spans="1:23" x14ac:dyDescent="0.25">
      <c r="A2817">
        <v>2816</v>
      </c>
      <c r="B2817" t="s">
        <v>8191</v>
      </c>
      <c r="C2817" s="1">
        <v>42139</v>
      </c>
      <c r="D2817" s="1">
        <v>42144</v>
      </c>
      <c r="E2817" t="s">
        <v>22</v>
      </c>
      <c r="F2817" t="s">
        <v>6483</v>
      </c>
      <c r="G2817" t="s">
        <v>6484</v>
      </c>
      <c r="H2817" t="s">
        <v>40</v>
      </c>
      <c r="I2817" t="s">
        <v>26</v>
      </c>
      <c r="J2817" t="s">
        <v>3203</v>
      </c>
      <c r="K2817" t="s">
        <v>1260</v>
      </c>
      <c r="L2817">
        <v>30076</v>
      </c>
      <c r="M2817" t="s">
        <v>29</v>
      </c>
      <c r="N2817" t="s">
        <v>5231</v>
      </c>
      <c r="O2817" t="s">
        <v>45</v>
      </c>
      <c r="P2817" t="s">
        <v>170</v>
      </c>
      <c r="Q2817" t="s">
        <v>5232</v>
      </c>
      <c r="R2817">
        <v>17.940000000000001</v>
      </c>
      <c r="S2817">
        <v>3</v>
      </c>
      <c r="T2817">
        <v>0</v>
      </c>
      <c r="U2817">
        <v>8.7905999999999995</v>
      </c>
      <c r="V2817" t="str">
        <f t="shared" si="43"/>
        <v>Anna Häberlin</v>
      </c>
      <c r="W2817">
        <f>Table2[Profit]/Table2[Sales]</f>
        <v>0.48999999999999994</v>
      </c>
    </row>
    <row r="2818" spans="1:23" x14ac:dyDescent="0.25">
      <c r="A2818">
        <v>2817</v>
      </c>
      <c r="B2818" t="s">
        <v>8192</v>
      </c>
      <c r="C2818" s="1">
        <v>42817</v>
      </c>
      <c r="D2818" s="1">
        <v>42820</v>
      </c>
      <c r="E2818" t="s">
        <v>185</v>
      </c>
      <c r="F2818" t="s">
        <v>2620</v>
      </c>
      <c r="G2818" t="s">
        <v>2621</v>
      </c>
      <c r="H2818" t="s">
        <v>101</v>
      </c>
      <c r="I2818" t="s">
        <v>26</v>
      </c>
      <c r="J2818" t="s">
        <v>94</v>
      </c>
      <c r="K2818" t="s">
        <v>95</v>
      </c>
      <c r="L2818">
        <v>98105</v>
      </c>
      <c r="M2818" t="s">
        <v>43</v>
      </c>
      <c r="N2818" t="s">
        <v>2024</v>
      </c>
      <c r="O2818" t="s">
        <v>45</v>
      </c>
      <c r="P2818" t="s">
        <v>74</v>
      </c>
      <c r="Q2818" t="s">
        <v>2025</v>
      </c>
      <c r="R2818">
        <v>34.76</v>
      </c>
      <c r="S2818">
        <v>5</v>
      </c>
      <c r="T2818">
        <v>0.2</v>
      </c>
      <c r="U2818">
        <v>11.297000000000001</v>
      </c>
      <c r="V2818" t="str">
        <f t="shared" si="43"/>
        <v>Sanjit Jacobs</v>
      </c>
      <c r="W2818">
        <f>Table2[Profit]/Table2[Sales]</f>
        <v>0.32500000000000001</v>
      </c>
    </row>
    <row r="2819" spans="1:23" x14ac:dyDescent="0.25">
      <c r="A2819">
        <v>2818</v>
      </c>
      <c r="B2819" t="s">
        <v>8193</v>
      </c>
      <c r="C2819" s="1">
        <v>42839</v>
      </c>
      <c r="D2819" s="1">
        <v>42844</v>
      </c>
      <c r="E2819" t="s">
        <v>49</v>
      </c>
      <c r="F2819" t="s">
        <v>3673</v>
      </c>
      <c r="G2819" t="s">
        <v>3674</v>
      </c>
      <c r="H2819" t="s">
        <v>40</v>
      </c>
      <c r="I2819" t="s">
        <v>26</v>
      </c>
      <c r="J2819" t="s">
        <v>993</v>
      </c>
      <c r="K2819" t="s">
        <v>781</v>
      </c>
      <c r="L2819">
        <v>7960</v>
      </c>
      <c r="M2819" t="s">
        <v>145</v>
      </c>
      <c r="N2819" t="s">
        <v>3625</v>
      </c>
      <c r="O2819" t="s">
        <v>31</v>
      </c>
      <c r="P2819" t="s">
        <v>64</v>
      </c>
      <c r="Q2819" t="s">
        <v>3626</v>
      </c>
      <c r="R2819">
        <v>74.45</v>
      </c>
      <c r="S2819">
        <v>5</v>
      </c>
      <c r="T2819">
        <v>0</v>
      </c>
      <c r="U2819">
        <v>20.101500000000001</v>
      </c>
      <c r="V2819" t="str">
        <f t="shared" ref="V2819:V2882" si="44">TRIM(G2819)</f>
        <v>Harry Marie</v>
      </c>
      <c r="W2819">
        <f>Table2[Profit]/Table2[Sales]</f>
        <v>0.27</v>
      </c>
    </row>
    <row r="2820" spans="1:23" x14ac:dyDescent="0.25">
      <c r="A2820">
        <v>2819</v>
      </c>
      <c r="B2820" t="s">
        <v>8194</v>
      </c>
      <c r="C2820" s="1">
        <v>42008</v>
      </c>
      <c r="D2820" s="1">
        <v>42013</v>
      </c>
      <c r="E2820" t="s">
        <v>49</v>
      </c>
      <c r="F2820" t="s">
        <v>1025</v>
      </c>
      <c r="G2820" t="s">
        <v>1026</v>
      </c>
      <c r="H2820" t="s">
        <v>40</v>
      </c>
      <c r="I2820" t="s">
        <v>26</v>
      </c>
      <c r="J2820" t="s">
        <v>2773</v>
      </c>
      <c r="K2820" t="s">
        <v>312</v>
      </c>
      <c r="L2820">
        <v>22304</v>
      </c>
      <c r="M2820" t="s">
        <v>29</v>
      </c>
      <c r="N2820" t="s">
        <v>3846</v>
      </c>
      <c r="O2820" t="s">
        <v>31</v>
      </c>
      <c r="P2820" t="s">
        <v>64</v>
      </c>
      <c r="Q2820" t="s">
        <v>3847</v>
      </c>
      <c r="R2820">
        <v>192.22</v>
      </c>
      <c r="S2820">
        <v>14</v>
      </c>
      <c r="T2820">
        <v>0</v>
      </c>
      <c r="U2820">
        <v>69.199200000000005</v>
      </c>
      <c r="V2820" t="str">
        <f t="shared" si="44"/>
        <v>Andrew Gjertsen</v>
      </c>
      <c r="W2820">
        <f>Table2[Profit]/Table2[Sales]</f>
        <v>0.36000000000000004</v>
      </c>
    </row>
    <row r="2821" spans="1:23" x14ac:dyDescent="0.25">
      <c r="A2821">
        <v>2820</v>
      </c>
      <c r="B2821" t="s">
        <v>8195</v>
      </c>
      <c r="C2821" s="1">
        <v>43041</v>
      </c>
      <c r="D2821" s="1">
        <v>43046</v>
      </c>
      <c r="E2821" t="s">
        <v>49</v>
      </c>
      <c r="F2821" t="s">
        <v>6082</v>
      </c>
      <c r="G2821" t="s">
        <v>6083</v>
      </c>
      <c r="H2821" t="s">
        <v>25</v>
      </c>
      <c r="I2821" t="s">
        <v>26</v>
      </c>
      <c r="J2821" t="s">
        <v>5016</v>
      </c>
      <c r="K2821" t="s">
        <v>120</v>
      </c>
      <c r="L2821">
        <v>84106</v>
      </c>
      <c r="M2821" t="s">
        <v>43</v>
      </c>
      <c r="N2821" t="s">
        <v>2242</v>
      </c>
      <c r="O2821" t="s">
        <v>45</v>
      </c>
      <c r="P2821" t="s">
        <v>89</v>
      </c>
      <c r="Q2821" t="s">
        <v>2243</v>
      </c>
      <c r="R2821">
        <v>19.440000000000001</v>
      </c>
      <c r="S2821">
        <v>3</v>
      </c>
      <c r="T2821">
        <v>0</v>
      </c>
      <c r="U2821">
        <v>9.3312000000000008</v>
      </c>
      <c r="V2821" t="str">
        <f t="shared" si="44"/>
        <v>Joy Bell-</v>
      </c>
      <c r="W2821">
        <f>Table2[Profit]/Table2[Sales]</f>
        <v>0.48000000000000004</v>
      </c>
    </row>
    <row r="2822" spans="1:23" x14ac:dyDescent="0.25">
      <c r="A2822">
        <v>2821</v>
      </c>
      <c r="B2822" t="s">
        <v>8196</v>
      </c>
      <c r="C2822" s="1">
        <v>42933</v>
      </c>
      <c r="D2822" s="1">
        <v>42935</v>
      </c>
      <c r="E2822" t="s">
        <v>22</v>
      </c>
      <c r="F2822" t="s">
        <v>2400</v>
      </c>
      <c r="G2822" t="s">
        <v>2401</v>
      </c>
      <c r="H2822" t="s">
        <v>40</v>
      </c>
      <c r="I2822" t="s">
        <v>26</v>
      </c>
      <c r="J2822" t="s">
        <v>5989</v>
      </c>
      <c r="K2822" t="s">
        <v>42</v>
      </c>
      <c r="L2822">
        <v>92307</v>
      </c>
      <c r="M2822" t="s">
        <v>43</v>
      </c>
      <c r="N2822" t="s">
        <v>6331</v>
      </c>
      <c r="O2822" t="s">
        <v>45</v>
      </c>
      <c r="P2822" t="s">
        <v>89</v>
      </c>
      <c r="Q2822" t="s">
        <v>6332</v>
      </c>
      <c r="R2822">
        <v>32.4</v>
      </c>
      <c r="S2822">
        <v>5</v>
      </c>
      <c r="T2822">
        <v>0</v>
      </c>
      <c r="U2822">
        <v>15.552</v>
      </c>
      <c r="V2822" t="str">
        <f t="shared" si="44"/>
        <v>Anthony Johnson</v>
      </c>
      <c r="W2822">
        <f>Table2[Profit]/Table2[Sales]</f>
        <v>0.48</v>
      </c>
    </row>
    <row r="2823" spans="1:23" x14ac:dyDescent="0.25">
      <c r="A2823">
        <v>2822</v>
      </c>
      <c r="B2823" t="s">
        <v>8198</v>
      </c>
      <c r="C2823" s="1">
        <v>43014</v>
      </c>
      <c r="D2823" s="1">
        <v>43019</v>
      </c>
      <c r="E2823" t="s">
        <v>49</v>
      </c>
      <c r="F2823" t="s">
        <v>1307</v>
      </c>
      <c r="G2823" t="s">
        <v>1308</v>
      </c>
      <c r="H2823" t="s">
        <v>40</v>
      </c>
      <c r="I2823" t="s">
        <v>26</v>
      </c>
      <c r="J2823" t="s">
        <v>263</v>
      </c>
      <c r="K2823" t="s">
        <v>264</v>
      </c>
      <c r="L2823">
        <v>10009</v>
      </c>
      <c r="M2823" t="s">
        <v>145</v>
      </c>
      <c r="N2823" t="s">
        <v>6383</v>
      </c>
      <c r="O2823" t="s">
        <v>45</v>
      </c>
      <c r="P2823" t="s">
        <v>89</v>
      </c>
      <c r="Q2823" t="s">
        <v>6384</v>
      </c>
      <c r="R2823">
        <v>40.99</v>
      </c>
      <c r="S2823">
        <v>1</v>
      </c>
      <c r="T2823">
        <v>0</v>
      </c>
      <c r="U2823">
        <v>20.085100000000001</v>
      </c>
      <c r="V2823" t="str">
        <f t="shared" si="44"/>
        <v>Muhammed MacIntyre</v>
      </c>
      <c r="W2823">
        <f>Table2[Profit]/Table2[Sales]</f>
        <v>0.49</v>
      </c>
    </row>
    <row r="2824" spans="1:23" x14ac:dyDescent="0.25">
      <c r="A2824">
        <v>2823</v>
      </c>
      <c r="B2824" t="s">
        <v>8199</v>
      </c>
      <c r="C2824" s="1">
        <v>41947</v>
      </c>
      <c r="D2824" s="1">
        <v>41954</v>
      </c>
      <c r="E2824" t="s">
        <v>49</v>
      </c>
      <c r="F2824" t="s">
        <v>2139</v>
      </c>
      <c r="G2824" t="s">
        <v>2140</v>
      </c>
      <c r="H2824" t="s">
        <v>40</v>
      </c>
      <c r="I2824" t="s">
        <v>26</v>
      </c>
      <c r="J2824" t="s">
        <v>1161</v>
      </c>
      <c r="K2824" t="s">
        <v>42</v>
      </c>
      <c r="L2824">
        <v>90805</v>
      </c>
      <c r="M2824" t="s">
        <v>43</v>
      </c>
      <c r="N2824" t="s">
        <v>580</v>
      </c>
      <c r="O2824" t="s">
        <v>45</v>
      </c>
      <c r="P2824" t="s">
        <v>67</v>
      </c>
      <c r="Q2824" t="s">
        <v>581</v>
      </c>
      <c r="R2824">
        <v>2.94</v>
      </c>
      <c r="S2824">
        <v>1</v>
      </c>
      <c r="T2824">
        <v>0</v>
      </c>
      <c r="U2824">
        <v>0.79379999999999995</v>
      </c>
      <c r="V2824" t="str">
        <f t="shared" si="44"/>
        <v>Tiffany House</v>
      </c>
      <c r="W2824">
        <f>Table2[Profit]/Table2[Sales]</f>
        <v>0.26999999999999996</v>
      </c>
    </row>
    <row r="2825" spans="1:23" x14ac:dyDescent="0.25">
      <c r="A2825">
        <v>2824</v>
      </c>
      <c r="B2825" t="s">
        <v>8200</v>
      </c>
      <c r="C2825" s="1">
        <v>42722</v>
      </c>
      <c r="D2825" s="1">
        <v>42725</v>
      </c>
      <c r="E2825" t="s">
        <v>185</v>
      </c>
      <c r="F2825" t="s">
        <v>4900</v>
      </c>
      <c r="G2825" t="s">
        <v>4901</v>
      </c>
      <c r="H2825" t="s">
        <v>101</v>
      </c>
      <c r="I2825" t="s">
        <v>26</v>
      </c>
      <c r="J2825" t="s">
        <v>1948</v>
      </c>
      <c r="K2825" t="s">
        <v>413</v>
      </c>
      <c r="L2825">
        <v>97301</v>
      </c>
      <c r="M2825" t="s">
        <v>43</v>
      </c>
      <c r="N2825" t="s">
        <v>1698</v>
      </c>
      <c r="O2825" t="s">
        <v>45</v>
      </c>
      <c r="P2825" t="s">
        <v>74</v>
      </c>
      <c r="Q2825" t="s">
        <v>1699</v>
      </c>
      <c r="R2825">
        <v>45.24</v>
      </c>
      <c r="S2825">
        <v>4</v>
      </c>
      <c r="T2825">
        <v>0.7</v>
      </c>
      <c r="U2825">
        <v>-30.16</v>
      </c>
      <c r="V2825" t="str">
        <f t="shared" si="44"/>
        <v>Adrian Hane</v>
      </c>
      <c r="W2825">
        <f>Table2[Profit]/Table2[Sales]</f>
        <v>-0.66666666666666663</v>
      </c>
    </row>
    <row r="2826" spans="1:23" x14ac:dyDescent="0.25">
      <c r="A2826">
        <v>2825</v>
      </c>
      <c r="B2826" t="s">
        <v>8201</v>
      </c>
      <c r="C2826" s="1">
        <v>42637</v>
      </c>
      <c r="D2826" s="1">
        <v>42644</v>
      </c>
      <c r="E2826" t="s">
        <v>49</v>
      </c>
      <c r="F2826" t="s">
        <v>5665</v>
      </c>
      <c r="G2826" t="s">
        <v>5666</v>
      </c>
      <c r="H2826" t="s">
        <v>101</v>
      </c>
      <c r="I2826" t="s">
        <v>26</v>
      </c>
      <c r="J2826" t="s">
        <v>449</v>
      </c>
      <c r="K2826" t="s">
        <v>450</v>
      </c>
      <c r="L2826">
        <v>80013</v>
      </c>
      <c r="M2826" t="s">
        <v>43</v>
      </c>
      <c r="N2826" t="s">
        <v>1102</v>
      </c>
      <c r="O2826" t="s">
        <v>31</v>
      </c>
      <c r="P2826" t="s">
        <v>64</v>
      </c>
      <c r="Q2826" t="s">
        <v>1103</v>
      </c>
      <c r="R2826">
        <v>21.44</v>
      </c>
      <c r="S2826">
        <v>2</v>
      </c>
      <c r="T2826">
        <v>0.2</v>
      </c>
      <c r="U2826">
        <v>7.5039999999999996</v>
      </c>
      <c r="V2826" t="str">
        <f t="shared" si="44"/>
        <v>Craig Leslie</v>
      </c>
      <c r="W2826">
        <f>Table2[Profit]/Table2[Sales]</f>
        <v>0.35</v>
      </c>
    </row>
    <row r="2827" spans="1:23" x14ac:dyDescent="0.25">
      <c r="A2827">
        <v>2826</v>
      </c>
      <c r="B2827" t="s">
        <v>8202</v>
      </c>
      <c r="C2827" s="1">
        <v>42572</v>
      </c>
      <c r="D2827" s="1">
        <v>42572</v>
      </c>
      <c r="E2827" t="s">
        <v>1278</v>
      </c>
      <c r="F2827" t="s">
        <v>6162</v>
      </c>
      <c r="G2827" t="s">
        <v>6163</v>
      </c>
      <c r="H2827" t="s">
        <v>40</v>
      </c>
      <c r="I2827" t="s">
        <v>26</v>
      </c>
      <c r="J2827" t="s">
        <v>600</v>
      </c>
      <c r="K2827" t="s">
        <v>491</v>
      </c>
      <c r="L2827">
        <v>43055</v>
      </c>
      <c r="M2827" t="s">
        <v>145</v>
      </c>
      <c r="N2827" t="s">
        <v>8203</v>
      </c>
      <c r="O2827" t="s">
        <v>45</v>
      </c>
      <c r="P2827" t="s">
        <v>67</v>
      </c>
      <c r="Q2827" t="s">
        <v>8204</v>
      </c>
      <c r="R2827">
        <v>18.655999999999999</v>
      </c>
      <c r="S2827">
        <v>2</v>
      </c>
      <c r="T2827">
        <v>0.2</v>
      </c>
      <c r="U2827">
        <v>1.3992</v>
      </c>
      <c r="V2827" t="str">
        <f t="shared" si="44"/>
        <v>Jason Gross</v>
      </c>
      <c r="W2827">
        <f>Table2[Profit]/Table2[Sales]</f>
        <v>7.5000000000000011E-2</v>
      </c>
    </row>
    <row r="2828" spans="1:23" x14ac:dyDescent="0.25">
      <c r="A2828">
        <v>2827</v>
      </c>
      <c r="B2828" t="s">
        <v>8205</v>
      </c>
      <c r="C2828" s="1">
        <v>42532</v>
      </c>
      <c r="D2828" s="1">
        <v>42536</v>
      </c>
      <c r="E2828" t="s">
        <v>49</v>
      </c>
      <c r="F2828" t="s">
        <v>2775</v>
      </c>
      <c r="G2828" t="s">
        <v>2776</v>
      </c>
      <c r="H2828" t="s">
        <v>25</v>
      </c>
      <c r="I2828" t="s">
        <v>26</v>
      </c>
      <c r="J2828" t="s">
        <v>94</v>
      </c>
      <c r="K2828" t="s">
        <v>95</v>
      </c>
      <c r="L2828">
        <v>98103</v>
      </c>
      <c r="M2828" t="s">
        <v>43</v>
      </c>
      <c r="N2828" t="s">
        <v>2583</v>
      </c>
      <c r="O2828" t="s">
        <v>45</v>
      </c>
      <c r="P2828" t="s">
        <v>46</v>
      </c>
      <c r="Q2828" t="s">
        <v>2584</v>
      </c>
      <c r="R2828">
        <v>14.62</v>
      </c>
      <c r="S2828">
        <v>2</v>
      </c>
      <c r="T2828">
        <v>0</v>
      </c>
      <c r="U2828">
        <v>6.8714000000000004</v>
      </c>
      <c r="V2828" t="str">
        <f t="shared" si="44"/>
        <v>Sanjit Engle</v>
      </c>
      <c r="W2828">
        <f>Table2[Profit]/Table2[Sales]</f>
        <v>0.47000000000000003</v>
      </c>
    </row>
    <row r="2829" spans="1:23" x14ac:dyDescent="0.25">
      <c r="A2829">
        <v>2828</v>
      </c>
      <c r="B2829" t="s">
        <v>8206</v>
      </c>
      <c r="C2829" s="1">
        <v>42164</v>
      </c>
      <c r="D2829" s="1">
        <v>42166</v>
      </c>
      <c r="E2829" t="s">
        <v>22</v>
      </c>
      <c r="F2829" t="s">
        <v>1919</v>
      </c>
      <c r="G2829" t="s">
        <v>1920</v>
      </c>
      <c r="H2829" t="s">
        <v>25</v>
      </c>
      <c r="I2829" t="s">
        <v>26</v>
      </c>
      <c r="J2829" t="s">
        <v>8207</v>
      </c>
      <c r="K2829" t="s">
        <v>6119</v>
      </c>
      <c r="L2829">
        <v>83201</v>
      </c>
      <c r="M2829" t="s">
        <v>43</v>
      </c>
      <c r="N2829" t="s">
        <v>8037</v>
      </c>
      <c r="O2829" t="s">
        <v>31</v>
      </c>
      <c r="P2829" t="s">
        <v>64</v>
      </c>
      <c r="Q2829" t="s">
        <v>8038</v>
      </c>
      <c r="R2829">
        <v>355.36</v>
      </c>
      <c r="S2829">
        <v>4</v>
      </c>
      <c r="T2829">
        <v>0</v>
      </c>
      <c r="U2829">
        <v>92.393600000000006</v>
      </c>
      <c r="V2829" t="str">
        <f t="shared" si="44"/>
        <v>Trudy Glocke</v>
      </c>
      <c r="W2829">
        <f>Table2[Profit]/Table2[Sales]</f>
        <v>0.26</v>
      </c>
    </row>
    <row r="2830" spans="1:23" x14ac:dyDescent="0.25">
      <c r="A2830">
        <v>2829</v>
      </c>
      <c r="B2830" t="s">
        <v>8208</v>
      </c>
      <c r="C2830" s="1">
        <v>43035</v>
      </c>
      <c r="D2830" s="1">
        <v>43042</v>
      </c>
      <c r="E2830" t="s">
        <v>49</v>
      </c>
      <c r="F2830" t="s">
        <v>578</v>
      </c>
      <c r="G2830" t="s">
        <v>579</v>
      </c>
      <c r="H2830" t="s">
        <v>40</v>
      </c>
      <c r="I2830" t="s">
        <v>26</v>
      </c>
      <c r="J2830" t="s">
        <v>808</v>
      </c>
      <c r="K2830" t="s">
        <v>103</v>
      </c>
      <c r="L2830">
        <v>75081</v>
      </c>
      <c r="M2830" t="s">
        <v>104</v>
      </c>
      <c r="N2830" t="s">
        <v>7249</v>
      </c>
      <c r="O2830" t="s">
        <v>45</v>
      </c>
      <c r="P2830" t="s">
        <v>170</v>
      </c>
      <c r="Q2830" t="s">
        <v>7250</v>
      </c>
      <c r="R2830">
        <v>15.84</v>
      </c>
      <c r="S2830">
        <v>2</v>
      </c>
      <c r="T2830">
        <v>0.2</v>
      </c>
      <c r="U2830">
        <v>5.5439999999999996</v>
      </c>
      <c r="V2830" t="str">
        <f t="shared" si="44"/>
        <v>Sally Hughsby</v>
      </c>
      <c r="W2830">
        <f>Table2[Profit]/Table2[Sales]</f>
        <v>0.35</v>
      </c>
    </row>
    <row r="2831" spans="1:23" x14ac:dyDescent="0.25">
      <c r="A2831">
        <v>2830</v>
      </c>
      <c r="B2831" t="s">
        <v>8209</v>
      </c>
      <c r="C2831" s="1">
        <v>42391</v>
      </c>
      <c r="D2831" s="1">
        <v>42396</v>
      </c>
      <c r="E2831" t="s">
        <v>49</v>
      </c>
      <c r="F2831" t="s">
        <v>4180</v>
      </c>
      <c r="G2831" t="s">
        <v>4181</v>
      </c>
      <c r="H2831" t="s">
        <v>25</v>
      </c>
      <c r="I2831" t="s">
        <v>26</v>
      </c>
      <c r="J2831" t="s">
        <v>94</v>
      </c>
      <c r="K2831" t="s">
        <v>95</v>
      </c>
      <c r="L2831">
        <v>98105</v>
      </c>
      <c r="M2831" t="s">
        <v>43</v>
      </c>
      <c r="N2831" t="s">
        <v>2486</v>
      </c>
      <c r="O2831" t="s">
        <v>45</v>
      </c>
      <c r="P2831" t="s">
        <v>89</v>
      </c>
      <c r="Q2831" t="s">
        <v>2487</v>
      </c>
      <c r="R2831">
        <v>12.96</v>
      </c>
      <c r="S2831">
        <v>2</v>
      </c>
      <c r="T2831">
        <v>0</v>
      </c>
      <c r="U2831">
        <v>6.2207999999999997</v>
      </c>
      <c r="V2831" t="str">
        <f t="shared" si="44"/>
        <v>Marc Crier</v>
      </c>
      <c r="W2831">
        <f>Table2[Profit]/Table2[Sales]</f>
        <v>0.47999999999999993</v>
      </c>
    </row>
    <row r="2832" spans="1:23" x14ac:dyDescent="0.25">
      <c r="A2832">
        <v>2831</v>
      </c>
      <c r="B2832" t="s">
        <v>8210</v>
      </c>
      <c r="C2832" s="1">
        <v>41787</v>
      </c>
      <c r="D2832" s="1">
        <v>41792</v>
      </c>
      <c r="E2832" t="s">
        <v>49</v>
      </c>
      <c r="F2832" t="s">
        <v>5178</v>
      </c>
      <c r="G2832" t="s">
        <v>5179</v>
      </c>
      <c r="H2832" t="s">
        <v>40</v>
      </c>
      <c r="I2832" t="s">
        <v>26</v>
      </c>
      <c r="J2832" t="s">
        <v>94</v>
      </c>
      <c r="K2832" t="s">
        <v>95</v>
      </c>
      <c r="L2832">
        <v>98115</v>
      </c>
      <c r="M2832" t="s">
        <v>43</v>
      </c>
      <c r="N2832" t="s">
        <v>759</v>
      </c>
      <c r="O2832" t="s">
        <v>70</v>
      </c>
      <c r="P2832" t="s">
        <v>71</v>
      </c>
      <c r="Q2832" t="s">
        <v>760</v>
      </c>
      <c r="R2832">
        <v>57.408000000000001</v>
      </c>
      <c r="S2832">
        <v>6</v>
      </c>
      <c r="T2832">
        <v>0.2</v>
      </c>
      <c r="U2832">
        <v>5.7408000000000001</v>
      </c>
      <c r="V2832" t="str">
        <f t="shared" si="44"/>
        <v>Patrick Jones</v>
      </c>
      <c r="W2832">
        <f>Table2[Profit]/Table2[Sales]</f>
        <v>0.1</v>
      </c>
    </row>
    <row r="2833" spans="1:23" x14ac:dyDescent="0.25">
      <c r="A2833">
        <v>2832</v>
      </c>
      <c r="B2833" t="s">
        <v>8211</v>
      </c>
      <c r="C2833" s="1">
        <v>42002</v>
      </c>
      <c r="D2833" s="1">
        <v>42009</v>
      </c>
      <c r="E2833" t="s">
        <v>49</v>
      </c>
      <c r="F2833" t="s">
        <v>1946</v>
      </c>
      <c r="G2833" t="s">
        <v>1947</v>
      </c>
      <c r="H2833" t="s">
        <v>25</v>
      </c>
      <c r="I2833" t="s">
        <v>26</v>
      </c>
      <c r="J2833" t="s">
        <v>296</v>
      </c>
      <c r="K2833" t="s">
        <v>208</v>
      </c>
      <c r="L2833">
        <v>60610</v>
      </c>
      <c r="M2833" t="s">
        <v>104</v>
      </c>
      <c r="N2833" t="s">
        <v>6393</v>
      </c>
      <c r="O2833" t="s">
        <v>31</v>
      </c>
      <c r="P2833" t="s">
        <v>64</v>
      </c>
      <c r="Q2833" t="s">
        <v>6394</v>
      </c>
      <c r="R2833">
        <v>38.975999999999999</v>
      </c>
      <c r="S2833">
        <v>3</v>
      </c>
      <c r="T2833">
        <v>0.6</v>
      </c>
      <c r="U2833">
        <v>-50.668799999999997</v>
      </c>
      <c r="V2833" t="str">
        <f t="shared" si="44"/>
        <v>Zuschuss Carroll</v>
      </c>
      <c r="W2833">
        <f>Table2[Profit]/Table2[Sales]</f>
        <v>-1.3</v>
      </c>
    </row>
    <row r="2834" spans="1:23" x14ac:dyDescent="0.25">
      <c r="A2834">
        <v>2833</v>
      </c>
      <c r="B2834" t="s">
        <v>8212</v>
      </c>
      <c r="C2834" s="1">
        <v>42579</v>
      </c>
      <c r="D2834" s="1">
        <v>42585</v>
      </c>
      <c r="E2834" t="s">
        <v>49</v>
      </c>
      <c r="F2834" t="s">
        <v>5741</v>
      </c>
      <c r="G2834" t="s">
        <v>5742</v>
      </c>
      <c r="H2834" t="s">
        <v>101</v>
      </c>
      <c r="I2834" t="s">
        <v>26</v>
      </c>
      <c r="J2834" t="s">
        <v>8213</v>
      </c>
      <c r="K2834" t="s">
        <v>235</v>
      </c>
      <c r="L2834">
        <v>49423</v>
      </c>
      <c r="M2834" t="s">
        <v>104</v>
      </c>
      <c r="N2834" t="s">
        <v>3245</v>
      </c>
      <c r="O2834" t="s">
        <v>45</v>
      </c>
      <c r="P2834" t="s">
        <v>266</v>
      </c>
      <c r="Q2834" t="s">
        <v>556</v>
      </c>
      <c r="R2834">
        <v>20.440000000000001</v>
      </c>
      <c r="S2834">
        <v>7</v>
      </c>
      <c r="T2834">
        <v>0</v>
      </c>
      <c r="U2834">
        <v>9.1980000000000004</v>
      </c>
      <c r="V2834" t="str">
        <f t="shared" si="44"/>
        <v>Steve Carroll</v>
      </c>
      <c r="W2834">
        <f>Table2[Profit]/Table2[Sales]</f>
        <v>0.45</v>
      </c>
    </row>
    <row r="2835" spans="1:23" x14ac:dyDescent="0.25">
      <c r="A2835">
        <v>2834</v>
      </c>
      <c r="B2835" t="s">
        <v>8214</v>
      </c>
      <c r="C2835" s="1">
        <v>42637</v>
      </c>
      <c r="D2835" s="1">
        <v>42643</v>
      </c>
      <c r="E2835" t="s">
        <v>49</v>
      </c>
      <c r="F2835" t="s">
        <v>4576</v>
      </c>
      <c r="G2835" t="s">
        <v>4577</v>
      </c>
      <c r="H2835" t="s">
        <v>25</v>
      </c>
      <c r="I2835" t="s">
        <v>26</v>
      </c>
      <c r="J2835" t="s">
        <v>7026</v>
      </c>
      <c r="K2835" t="s">
        <v>641</v>
      </c>
      <c r="L2835">
        <v>74012</v>
      </c>
      <c r="M2835" t="s">
        <v>104</v>
      </c>
      <c r="N2835" t="s">
        <v>4732</v>
      </c>
      <c r="O2835" t="s">
        <v>45</v>
      </c>
      <c r="P2835" t="s">
        <v>74</v>
      </c>
      <c r="Q2835" t="s">
        <v>4733</v>
      </c>
      <c r="R2835">
        <v>6.38</v>
      </c>
      <c r="S2835">
        <v>1</v>
      </c>
      <c r="T2835">
        <v>0</v>
      </c>
      <c r="U2835">
        <v>2.9348000000000001</v>
      </c>
      <c r="V2835" t="str">
        <f t="shared" si="44"/>
        <v>Benjamin Patterson</v>
      </c>
      <c r="W2835">
        <f>Table2[Profit]/Table2[Sales]</f>
        <v>0.46</v>
      </c>
    </row>
    <row r="2836" spans="1:23" x14ac:dyDescent="0.25">
      <c r="A2836">
        <v>2835</v>
      </c>
      <c r="B2836" t="s">
        <v>8215</v>
      </c>
      <c r="C2836" s="1">
        <v>41731</v>
      </c>
      <c r="D2836" s="1">
        <v>41737</v>
      </c>
      <c r="E2836" t="s">
        <v>49</v>
      </c>
      <c r="F2836" t="s">
        <v>2935</v>
      </c>
      <c r="G2836" t="s">
        <v>2936</v>
      </c>
      <c r="H2836" t="s">
        <v>25</v>
      </c>
      <c r="I2836" t="s">
        <v>26</v>
      </c>
      <c r="J2836" t="s">
        <v>7537</v>
      </c>
      <c r="K2836" t="s">
        <v>1260</v>
      </c>
      <c r="L2836">
        <v>30605</v>
      </c>
      <c r="M2836" t="s">
        <v>29</v>
      </c>
      <c r="N2836" t="s">
        <v>7124</v>
      </c>
      <c r="O2836" t="s">
        <v>45</v>
      </c>
      <c r="P2836" t="s">
        <v>89</v>
      </c>
      <c r="Q2836" t="s">
        <v>7125</v>
      </c>
      <c r="R2836">
        <v>15.84</v>
      </c>
      <c r="S2836">
        <v>3</v>
      </c>
      <c r="T2836">
        <v>0</v>
      </c>
      <c r="U2836">
        <v>7.1280000000000001</v>
      </c>
      <c r="V2836" t="str">
        <f t="shared" si="44"/>
        <v>Rob Dowd</v>
      </c>
      <c r="W2836">
        <f>Table2[Profit]/Table2[Sales]</f>
        <v>0.45</v>
      </c>
    </row>
    <row r="2837" spans="1:23" x14ac:dyDescent="0.25">
      <c r="A2837">
        <v>2836</v>
      </c>
      <c r="B2837" t="s">
        <v>8216</v>
      </c>
      <c r="C2837" s="1">
        <v>42313</v>
      </c>
      <c r="D2837" s="1">
        <v>42313</v>
      </c>
      <c r="E2837" t="s">
        <v>1278</v>
      </c>
      <c r="F2837" t="s">
        <v>909</v>
      </c>
      <c r="G2837" t="s">
        <v>910</v>
      </c>
      <c r="H2837" t="s">
        <v>25</v>
      </c>
      <c r="I2837" t="s">
        <v>26</v>
      </c>
      <c r="J2837" t="s">
        <v>94</v>
      </c>
      <c r="K2837" t="s">
        <v>95</v>
      </c>
      <c r="L2837">
        <v>98105</v>
      </c>
      <c r="M2837" t="s">
        <v>43</v>
      </c>
      <c r="N2837" t="s">
        <v>455</v>
      </c>
      <c r="O2837" t="s">
        <v>45</v>
      </c>
      <c r="P2837" t="s">
        <v>74</v>
      </c>
      <c r="Q2837" t="s">
        <v>456</v>
      </c>
      <c r="R2837">
        <v>98.352000000000004</v>
      </c>
      <c r="S2837">
        <v>3</v>
      </c>
      <c r="T2837">
        <v>0.2</v>
      </c>
      <c r="U2837">
        <v>35.6526</v>
      </c>
      <c r="V2837" t="str">
        <f t="shared" si="44"/>
        <v>Ken Lonsdale</v>
      </c>
      <c r="W2837">
        <f>Table2[Profit]/Table2[Sales]</f>
        <v>0.36249999999999999</v>
      </c>
    </row>
    <row r="2838" spans="1:23" x14ac:dyDescent="0.25">
      <c r="A2838">
        <v>2837</v>
      </c>
      <c r="B2838" t="s">
        <v>8217</v>
      </c>
      <c r="C2838" s="1">
        <v>41848</v>
      </c>
      <c r="D2838" s="1">
        <v>41848</v>
      </c>
      <c r="E2838" t="s">
        <v>1278</v>
      </c>
      <c r="F2838" t="s">
        <v>1974</v>
      </c>
      <c r="G2838" t="s">
        <v>1975</v>
      </c>
      <c r="H2838" t="s">
        <v>25</v>
      </c>
      <c r="I2838" t="s">
        <v>26</v>
      </c>
      <c r="J2838" t="s">
        <v>4638</v>
      </c>
      <c r="K2838" t="s">
        <v>53</v>
      </c>
      <c r="L2838">
        <v>32712</v>
      </c>
      <c r="M2838" t="s">
        <v>29</v>
      </c>
      <c r="N2838" t="s">
        <v>492</v>
      </c>
      <c r="O2838" t="s">
        <v>45</v>
      </c>
      <c r="P2838" t="s">
        <v>266</v>
      </c>
      <c r="Q2838" t="s">
        <v>493</v>
      </c>
      <c r="R2838">
        <v>14.32</v>
      </c>
      <c r="S2838">
        <v>5</v>
      </c>
      <c r="T2838">
        <v>0.2</v>
      </c>
      <c r="U2838">
        <v>5.1909999999999998</v>
      </c>
      <c r="V2838" t="str">
        <f t="shared" si="44"/>
        <v>Chloris Kastensmidt</v>
      </c>
      <c r="W2838">
        <f>Table2[Profit]/Table2[Sales]</f>
        <v>0.36249999999999999</v>
      </c>
    </row>
    <row r="2839" spans="1:23" x14ac:dyDescent="0.25">
      <c r="A2839">
        <v>2838</v>
      </c>
      <c r="B2839" t="s">
        <v>8218</v>
      </c>
      <c r="C2839" s="1">
        <v>42364</v>
      </c>
      <c r="D2839" s="1">
        <v>42369</v>
      </c>
      <c r="E2839" t="s">
        <v>49</v>
      </c>
      <c r="F2839" t="s">
        <v>410</v>
      </c>
      <c r="G2839" t="s">
        <v>411</v>
      </c>
      <c r="H2839" t="s">
        <v>101</v>
      </c>
      <c r="I2839" t="s">
        <v>26</v>
      </c>
      <c r="J2839" t="s">
        <v>181</v>
      </c>
      <c r="K2839" t="s">
        <v>103</v>
      </c>
      <c r="L2839">
        <v>77070</v>
      </c>
      <c r="M2839" t="s">
        <v>104</v>
      </c>
      <c r="N2839" t="s">
        <v>8074</v>
      </c>
      <c r="O2839" t="s">
        <v>31</v>
      </c>
      <c r="P2839" t="s">
        <v>35</v>
      </c>
      <c r="Q2839" t="s">
        <v>8075</v>
      </c>
      <c r="R2839">
        <v>275.05799999999999</v>
      </c>
      <c r="S2839">
        <v>3</v>
      </c>
      <c r="T2839">
        <v>0.3</v>
      </c>
      <c r="U2839">
        <v>-90.376199999999997</v>
      </c>
      <c r="V2839" t="str">
        <f t="shared" si="44"/>
        <v>Roger Barcio</v>
      </c>
      <c r="W2839">
        <f>Table2[Profit]/Table2[Sales]</f>
        <v>-0.32857142857142857</v>
      </c>
    </row>
    <row r="2840" spans="1:23" x14ac:dyDescent="0.25">
      <c r="A2840">
        <v>2839</v>
      </c>
      <c r="B2840" t="s">
        <v>8219</v>
      </c>
      <c r="C2840" s="1">
        <v>42348</v>
      </c>
      <c r="D2840" s="1">
        <v>42354</v>
      </c>
      <c r="E2840" t="s">
        <v>49</v>
      </c>
      <c r="F2840" t="s">
        <v>2977</v>
      </c>
      <c r="G2840" t="s">
        <v>2978</v>
      </c>
      <c r="H2840" t="s">
        <v>40</v>
      </c>
      <c r="I2840" t="s">
        <v>26</v>
      </c>
      <c r="J2840" t="s">
        <v>4400</v>
      </c>
      <c r="K2840" t="s">
        <v>2699</v>
      </c>
      <c r="L2840">
        <v>21215</v>
      </c>
      <c r="M2840" t="s">
        <v>145</v>
      </c>
      <c r="N2840" t="s">
        <v>5100</v>
      </c>
      <c r="O2840" t="s">
        <v>45</v>
      </c>
      <c r="P2840" t="s">
        <v>67</v>
      </c>
      <c r="Q2840" t="s">
        <v>5101</v>
      </c>
      <c r="R2840">
        <v>27.36</v>
      </c>
      <c r="S2840">
        <v>9</v>
      </c>
      <c r="T2840">
        <v>0</v>
      </c>
      <c r="U2840">
        <v>9.3024000000000004</v>
      </c>
      <c r="V2840" t="str">
        <f t="shared" si="44"/>
        <v>Kalyca Meade</v>
      </c>
      <c r="W2840">
        <f>Table2[Profit]/Table2[Sales]</f>
        <v>0.34</v>
      </c>
    </row>
    <row r="2841" spans="1:23" x14ac:dyDescent="0.25">
      <c r="A2841">
        <v>2840</v>
      </c>
      <c r="B2841" t="s">
        <v>8220</v>
      </c>
      <c r="C2841" s="1">
        <v>42495</v>
      </c>
      <c r="D2841" s="1">
        <v>42497</v>
      </c>
      <c r="E2841" t="s">
        <v>22</v>
      </c>
      <c r="F2841" t="s">
        <v>7089</v>
      </c>
      <c r="G2841" t="s">
        <v>7090</v>
      </c>
      <c r="H2841" t="s">
        <v>25</v>
      </c>
      <c r="I2841" t="s">
        <v>26</v>
      </c>
      <c r="J2841" t="s">
        <v>126</v>
      </c>
      <c r="K2841" t="s">
        <v>42</v>
      </c>
      <c r="L2841">
        <v>94109</v>
      </c>
      <c r="M2841" t="s">
        <v>43</v>
      </c>
      <c r="N2841" t="s">
        <v>3730</v>
      </c>
      <c r="O2841" t="s">
        <v>31</v>
      </c>
      <c r="P2841" t="s">
        <v>55</v>
      </c>
      <c r="Q2841" t="s">
        <v>3731</v>
      </c>
      <c r="R2841">
        <v>71.087999999999994</v>
      </c>
      <c r="S2841">
        <v>2</v>
      </c>
      <c r="T2841">
        <v>0.2</v>
      </c>
      <c r="U2841">
        <v>-1.7771999999999999</v>
      </c>
      <c r="V2841" t="str">
        <f t="shared" si="44"/>
        <v>Amy Hunt</v>
      </c>
      <c r="W2841">
        <f>Table2[Profit]/Table2[Sales]</f>
        <v>-2.5000000000000001E-2</v>
      </c>
    </row>
    <row r="2842" spans="1:23" x14ac:dyDescent="0.25">
      <c r="A2842">
        <v>2841</v>
      </c>
      <c r="B2842" t="s">
        <v>8221</v>
      </c>
      <c r="C2842" s="1">
        <v>43022</v>
      </c>
      <c r="D2842" s="1">
        <v>43026</v>
      </c>
      <c r="E2842" t="s">
        <v>49</v>
      </c>
      <c r="F2842" t="s">
        <v>2671</v>
      </c>
      <c r="G2842" t="s">
        <v>2672</v>
      </c>
      <c r="H2842" t="s">
        <v>101</v>
      </c>
      <c r="I2842" t="s">
        <v>26</v>
      </c>
      <c r="J2842" t="s">
        <v>296</v>
      </c>
      <c r="K2842" t="s">
        <v>208</v>
      </c>
      <c r="L2842">
        <v>60623</v>
      </c>
      <c r="M2842" t="s">
        <v>104</v>
      </c>
      <c r="N2842" t="s">
        <v>1324</v>
      </c>
      <c r="O2842" t="s">
        <v>45</v>
      </c>
      <c r="P2842" t="s">
        <v>74</v>
      </c>
      <c r="Q2842" t="s">
        <v>1325</v>
      </c>
      <c r="R2842">
        <v>27.396000000000001</v>
      </c>
      <c r="S2842">
        <v>9</v>
      </c>
      <c r="T2842">
        <v>0.8</v>
      </c>
      <c r="U2842">
        <v>-42.463799999999999</v>
      </c>
      <c r="V2842" t="str">
        <f t="shared" si="44"/>
        <v>Anthony Garverick</v>
      </c>
      <c r="W2842">
        <f>Table2[Profit]/Table2[Sales]</f>
        <v>-1.5499999999999998</v>
      </c>
    </row>
    <row r="2843" spans="1:23" x14ac:dyDescent="0.25">
      <c r="A2843">
        <v>2842</v>
      </c>
      <c r="B2843" t="s">
        <v>8222</v>
      </c>
      <c r="C2843" s="1">
        <v>42679</v>
      </c>
      <c r="D2843" s="1">
        <v>42679</v>
      </c>
      <c r="E2843" t="s">
        <v>1278</v>
      </c>
      <c r="F2843" t="s">
        <v>3582</v>
      </c>
      <c r="G2843" t="s">
        <v>3583</v>
      </c>
      <c r="H2843" t="s">
        <v>25</v>
      </c>
      <c r="I2843" t="s">
        <v>26</v>
      </c>
      <c r="J2843" t="s">
        <v>1958</v>
      </c>
      <c r="K2843" t="s">
        <v>103</v>
      </c>
      <c r="L2843">
        <v>78041</v>
      </c>
      <c r="M2843" t="s">
        <v>104</v>
      </c>
      <c r="N2843" t="s">
        <v>2221</v>
      </c>
      <c r="O2843" t="s">
        <v>45</v>
      </c>
      <c r="P2843" t="s">
        <v>46</v>
      </c>
      <c r="Q2843" t="s">
        <v>2222</v>
      </c>
      <c r="R2843">
        <v>11.84</v>
      </c>
      <c r="S2843">
        <v>1</v>
      </c>
      <c r="T2843">
        <v>0.2</v>
      </c>
      <c r="U2843">
        <v>4.4400000000000004</v>
      </c>
      <c r="V2843" t="str">
        <f t="shared" si="44"/>
        <v>Evan Bailliet</v>
      </c>
      <c r="W2843">
        <f>Table2[Profit]/Table2[Sales]</f>
        <v>0.37500000000000006</v>
      </c>
    </row>
    <row r="2844" spans="1:23" x14ac:dyDescent="0.25">
      <c r="A2844">
        <v>2843</v>
      </c>
      <c r="B2844" t="s">
        <v>8223</v>
      </c>
      <c r="C2844" s="1">
        <v>43042</v>
      </c>
      <c r="D2844" s="1">
        <v>43047</v>
      </c>
      <c r="E2844" t="s">
        <v>49</v>
      </c>
      <c r="F2844" t="s">
        <v>380</v>
      </c>
      <c r="G2844" t="s">
        <v>381</v>
      </c>
      <c r="H2844" t="s">
        <v>25</v>
      </c>
      <c r="I2844" t="s">
        <v>26</v>
      </c>
      <c r="J2844" t="s">
        <v>126</v>
      </c>
      <c r="K2844" t="s">
        <v>42</v>
      </c>
      <c r="L2844">
        <v>94109</v>
      </c>
      <c r="M2844" t="s">
        <v>43</v>
      </c>
      <c r="N2844" t="s">
        <v>7337</v>
      </c>
      <c r="O2844" t="s">
        <v>45</v>
      </c>
      <c r="P2844" t="s">
        <v>89</v>
      </c>
      <c r="Q2844" t="s">
        <v>7338</v>
      </c>
      <c r="R2844">
        <v>35.880000000000003</v>
      </c>
      <c r="S2844">
        <v>6</v>
      </c>
      <c r="T2844">
        <v>0</v>
      </c>
      <c r="U2844">
        <v>17.581199999999999</v>
      </c>
      <c r="V2844" t="str">
        <f t="shared" si="44"/>
        <v>Paul Gonzalez</v>
      </c>
      <c r="W2844">
        <f>Table2[Profit]/Table2[Sales]</f>
        <v>0.48999999999999994</v>
      </c>
    </row>
    <row r="2845" spans="1:23" x14ac:dyDescent="0.25">
      <c r="A2845">
        <v>2844</v>
      </c>
      <c r="B2845" t="s">
        <v>8224</v>
      </c>
      <c r="C2845" s="1">
        <v>42698</v>
      </c>
      <c r="D2845" s="1">
        <v>42700</v>
      </c>
      <c r="E2845" t="s">
        <v>185</v>
      </c>
      <c r="F2845" t="s">
        <v>3315</v>
      </c>
      <c r="G2845" t="s">
        <v>3316</v>
      </c>
      <c r="H2845" t="s">
        <v>101</v>
      </c>
      <c r="I2845" t="s">
        <v>26</v>
      </c>
      <c r="J2845" t="s">
        <v>2148</v>
      </c>
      <c r="K2845" t="s">
        <v>491</v>
      </c>
      <c r="L2845">
        <v>44105</v>
      </c>
      <c r="M2845" t="s">
        <v>145</v>
      </c>
      <c r="N2845" t="s">
        <v>2391</v>
      </c>
      <c r="O2845" t="s">
        <v>45</v>
      </c>
      <c r="P2845" t="s">
        <v>170</v>
      </c>
      <c r="Q2845" t="s">
        <v>2392</v>
      </c>
      <c r="R2845">
        <v>40.752000000000002</v>
      </c>
      <c r="S2845">
        <v>3</v>
      </c>
      <c r="T2845">
        <v>0.2</v>
      </c>
      <c r="U2845">
        <v>15.282</v>
      </c>
      <c r="V2845" t="str">
        <f t="shared" si="44"/>
        <v>Cathy Armstrong</v>
      </c>
      <c r="W2845">
        <f>Table2[Profit]/Table2[Sales]</f>
        <v>0.375</v>
      </c>
    </row>
    <row r="2846" spans="1:23" x14ac:dyDescent="0.25">
      <c r="A2846">
        <v>2845</v>
      </c>
      <c r="B2846" t="s">
        <v>8225</v>
      </c>
      <c r="C2846" s="1">
        <v>41987</v>
      </c>
      <c r="D2846" s="1">
        <v>41994</v>
      </c>
      <c r="E2846" t="s">
        <v>49</v>
      </c>
      <c r="F2846" t="s">
        <v>2338</v>
      </c>
      <c r="G2846" t="s">
        <v>2339</v>
      </c>
      <c r="H2846" t="s">
        <v>25</v>
      </c>
      <c r="I2846" t="s">
        <v>26</v>
      </c>
      <c r="J2846" t="s">
        <v>5073</v>
      </c>
      <c r="K2846" t="s">
        <v>491</v>
      </c>
      <c r="L2846">
        <v>43302</v>
      </c>
      <c r="M2846" t="s">
        <v>145</v>
      </c>
      <c r="N2846" t="s">
        <v>3645</v>
      </c>
      <c r="O2846" t="s">
        <v>45</v>
      </c>
      <c r="P2846" t="s">
        <v>67</v>
      </c>
      <c r="Q2846" t="s">
        <v>3646</v>
      </c>
      <c r="R2846">
        <v>2.6240000000000001</v>
      </c>
      <c r="S2846">
        <v>1</v>
      </c>
      <c r="T2846">
        <v>0.2</v>
      </c>
      <c r="U2846">
        <v>0.29520000000000002</v>
      </c>
      <c r="V2846" t="str">
        <f t="shared" si="44"/>
        <v>Sung Shariari</v>
      </c>
      <c r="W2846">
        <f>Table2[Profit]/Table2[Sales]</f>
        <v>0.1125</v>
      </c>
    </row>
    <row r="2847" spans="1:23" x14ac:dyDescent="0.25">
      <c r="A2847">
        <v>2846</v>
      </c>
      <c r="B2847" t="s">
        <v>8226</v>
      </c>
      <c r="C2847" s="1">
        <v>41946</v>
      </c>
      <c r="D2847" s="1">
        <v>41951</v>
      </c>
      <c r="E2847" t="s">
        <v>49</v>
      </c>
      <c r="F2847" t="s">
        <v>2146</v>
      </c>
      <c r="G2847" t="s">
        <v>2147</v>
      </c>
      <c r="H2847" t="s">
        <v>25</v>
      </c>
      <c r="I2847" t="s">
        <v>26</v>
      </c>
      <c r="J2847" t="s">
        <v>739</v>
      </c>
      <c r="K2847" t="s">
        <v>740</v>
      </c>
      <c r="L2847">
        <v>6824</v>
      </c>
      <c r="M2847" t="s">
        <v>145</v>
      </c>
      <c r="N2847" t="s">
        <v>6657</v>
      </c>
      <c r="O2847" t="s">
        <v>45</v>
      </c>
      <c r="P2847" t="s">
        <v>572</v>
      </c>
      <c r="Q2847" t="s">
        <v>6658</v>
      </c>
      <c r="R2847">
        <v>11.64</v>
      </c>
      <c r="S2847">
        <v>3</v>
      </c>
      <c r="T2847">
        <v>0</v>
      </c>
      <c r="U2847">
        <v>3.3755999999999999</v>
      </c>
      <c r="V2847" t="str">
        <f t="shared" si="44"/>
        <v>Resi Pölking</v>
      </c>
      <c r="W2847">
        <f>Table2[Profit]/Table2[Sales]</f>
        <v>0.28999999999999998</v>
      </c>
    </row>
    <row r="2848" spans="1:23" x14ac:dyDescent="0.25">
      <c r="A2848">
        <v>2847</v>
      </c>
      <c r="B2848" t="s">
        <v>8227</v>
      </c>
      <c r="C2848" s="1">
        <v>43000</v>
      </c>
      <c r="D2848" s="1">
        <v>43003</v>
      </c>
      <c r="E2848" t="s">
        <v>22</v>
      </c>
      <c r="F2848" t="s">
        <v>3807</v>
      </c>
      <c r="G2848" t="s">
        <v>3808</v>
      </c>
      <c r="H2848" t="s">
        <v>40</v>
      </c>
      <c r="I2848" t="s">
        <v>26</v>
      </c>
      <c r="J2848" t="s">
        <v>263</v>
      </c>
      <c r="K2848" t="s">
        <v>264</v>
      </c>
      <c r="L2848">
        <v>10009</v>
      </c>
      <c r="M2848" t="s">
        <v>145</v>
      </c>
      <c r="N2848" t="s">
        <v>6850</v>
      </c>
      <c r="O2848" t="s">
        <v>45</v>
      </c>
      <c r="P2848" t="s">
        <v>74</v>
      </c>
      <c r="Q2848" t="s">
        <v>6851</v>
      </c>
      <c r="R2848">
        <v>40.176000000000002</v>
      </c>
      <c r="S2848">
        <v>3</v>
      </c>
      <c r="T2848">
        <v>0.2</v>
      </c>
      <c r="U2848">
        <v>14.563800000000001</v>
      </c>
      <c r="V2848" t="str">
        <f t="shared" si="44"/>
        <v>Shaun Chance</v>
      </c>
      <c r="W2848">
        <f>Table2[Profit]/Table2[Sales]</f>
        <v>0.36249999999999999</v>
      </c>
    </row>
    <row r="2849" spans="1:23" x14ac:dyDescent="0.25">
      <c r="A2849">
        <v>2848</v>
      </c>
      <c r="B2849" t="s">
        <v>8228</v>
      </c>
      <c r="C2849" s="1">
        <v>42132</v>
      </c>
      <c r="D2849" s="1">
        <v>42139</v>
      </c>
      <c r="E2849" t="s">
        <v>49</v>
      </c>
      <c r="F2849" t="s">
        <v>4190</v>
      </c>
      <c r="G2849" t="s">
        <v>4191</v>
      </c>
      <c r="H2849" t="s">
        <v>25</v>
      </c>
      <c r="I2849" t="s">
        <v>26</v>
      </c>
      <c r="J2849" t="s">
        <v>263</v>
      </c>
      <c r="K2849" t="s">
        <v>264</v>
      </c>
      <c r="L2849">
        <v>10024</v>
      </c>
      <c r="M2849" t="s">
        <v>145</v>
      </c>
      <c r="N2849" t="s">
        <v>2890</v>
      </c>
      <c r="O2849" t="s">
        <v>31</v>
      </c>
      <c r="P2849" t="s">
        <v>64</v>
      </c>
      <c r="Q2849" t="s">
        <v>2891</v>
      </c>
      <c r="R2849">
        <v>79.44</v>
      </c>
      <c r="S2849">
        <v>3</v>
      </c>
      <c r="T2849">
        <v>0</v>
      </c>
      <c r="U2849">
        <v>30.187200000000001</v>
      </c>
      <c r="V2849" t="str">
        <f t="shared" si="44"/>
        <v>Natalie Webber</v>
      </c>
      <c r="W2849">
        <f>Table2[Profit]/Table2[Sales]</f>
        <v>0.38</v>
      </c>
    </row>
    <row r="2850" spans="1:23" x14ac:dyDescent="0.25">
      <c r="A2850">
        <v>2849</v>
      </c>
      <c r="B2850" t="s">
        <v>8229</v>
      </c>
      <c r="C2850" s="1">
        <v>42947</v>
      </c>
      <c r="D2850" s="1">
        <v>42947</v>
      </c>
      <c r="E2850" t="s">
        <v>1278</v>
      </c>
      <c r="F2850" t="s">
        <v>1266</v>
      </c>
      <c r="G2850" t="s">
        <v>1267</v>
      </c>
      <c r="H2850" t="s">
        <v>25</v>
      </c>
      <c r="I2850" t="s">
        <v>26</v>
      </c>
      <c r="J2850" t="s">
        <v>296</v>
      </c>
      <c r="K2850" t="s">
        <v>208</v>
      </c>
      <c r="L2850">
        <v>60653</v>
      </c>
      <c r="M2850" t="s">
        <v>104</v>
      </c>
      <c r="N2850" t="s">
        <v>1990</v>
      </c>
      <c r="O2850" t="s">
        <v>70</v>
      </c>
      <c r="P2850" t="s">
        <v>71</v>
      </c>
      <c r="Q2850" t="s">
        <v>1991</v>
      </c>
      <c r="R2850">
        <v>36.792000000000002</v>
      </c>
      <c r="S2850">
        <v>1</v>
      </c>
      <c r="T2850">
        <v>0.2</v>
      </c>
      <c r="U2850">
        <v>4.1391</v>
      </c>
      <c r="V2850" t="str">
        <f t="shared" si="44"/>
        <v>Katrina Willman</v>
      </c>
      <c r="W2850">
        <f>Table2[Profit]/Table2[Sales]</f>
        <v>0.11249999999999999</v>
      </c>
    </row>
    <row r="2851" spans="1:23" x14ac:dyDescent="0.25">
      <c r="A2851">
        <v>2850</v>
      </c>
      <c r="B2851" t="s">
        <v>8230</v>
      </c>
      <c r="C2851" s="1">
        <v>41699</v>
      </c>
      <c r="D2851" s="1">
        <v>41703</v>
      </c>
      <c r="E2851" t="s">
        <v>49</v>
      </c>
      <c r="F2851" t="s">
        <v>2995</v>
      </c>
      <c r="G2851" t="s">
        <v>2996</v>
      </c>
      <c r="H2851" t="s">
        <v>101</v>
      </c>
      <c r="I2851" t="s">
        <v>26</v>
      </c>
      <c r="J2851" t="s">
        <v>263</v>
      </c>
      <c r="K2851" t="s">
        <v>264</v>
      </c>
      <c r="L2851">
        <v>10035</v>
      </c>
      <c r="M2851" t="s">
        <v>145</v>
      </c>
      <c r="N2851" t="s">
        <v>3323</v>
      </c>
      <c r="O2851" t="s">
        <v>70</v>
      </c>
      <c r="P2851" t="s">
        <v>71</v>
      </c>
      <c r="Q2851" t="s">
        <v>3324</v>
      </c>
      <c r="R2851">
        <v>5.94</v>
      </c>
      <c r="S2851">
        <v>3</v>
      </c>
      <c r="T2851">
        <v>0</v>
      </c>
      <c r="U2851">
        <v>1.6037999999999999</v>
      </c>
      <c r="V2851" t="str">
        <f t="shared" si="44"/>
        <v>Hallie Redmond</v>
      </c>
      <c r="W2851">
        <f>Table2[Profit]/Table2[Sales]</f>
        <v>0.26999999999999996</v>
      </c>
    </row>
    <row r="2852" spans="1:23" x14ac:dyDescent="0.25">
      <c r="A2852">
        <v>2851</v>
      </c>
      <c r="B2852" t="s">
        <v>8231</v>
      </c>
      <c r="C2852" s="1">
        <v>43003</v>
      </c>
      <c r="D2852" s="1">
        <v>43007</v>
      </c>
      <c r="E2852" t="s">
        <v>49</v>
      </c>
      <c r="F2852" t="s">
        <v>1297</v>
      </c>
      <c r="G2852" t="s">
        <v>1298</v>
      </c>
      <c r="H2852" t="s">
        <v>25</v>
      </c>
      <c r="I2852" t="s">
        <v>26</v>
      </c>
      <c r="J2852" t="s">
        <v>1450</v>
      </c>
      <c r="K2852" t="s">
        <v>312</v>
      </c>
      <c r="L2852">
        <v>23223</v>
      </c>
      <c r="M2852" t="s">
        <v>29</v>
      </c>
      <c r="N2852" t="s">
        <v>3224</v>
      </c>
      <c r="O2852" t="s">
        <v>45</v>
      </c>
      <c r="P2852" t="s">
        <v>58</v>
      </c>
      <c r="Q2852" t="s">
        <v>3225</v>
      </c>
      <c r="R2852">
        <v>177.55</v>
      </c>
      <c r="S2852">
        <v>5</v>
      </c>
      <c r="T2852">
        <v>0</v>
      </c>
      <c r="U2852">
        <v>47.938499999999998</v>
      </c>
      <c r="V2852" t="str">
        <f t="shared" si="44"/>
        <v>Arthur Gainer</v>
      </c>
      <c r="W2852">
        <f>Table2[Profit]/Table2[Sales]</f>
        <v>0.26999999999999996</v>
      </c>
    </row>
    <row r="2853" spans="1:23" x14ac:dyDescent="0.25">
      <c r="A2853">
        <v>2852</v>
      </c>
      <c r="B2853" t="s">
        <v>8232</v>
      </c>
      <c r="C2853" s="1">
        <v>42286</v>
      </c>
      <c r="D2853" s="1">
        <v>42289</v>
      </c>
      <c r="E2853" t="s">
        <v>22</v>
      </c>
      <c r="F2853" t="s">
        <v>2570</v>
      </c>
      <c r="G2853" t="s">
        <v>2571</v>
      </c>
      <c r="H2853" t="s">
        <v>40</v>
      </c>
      <c r="I2853" t="s">
        <v>26</v>
      </c>
      <c r="J2853" t="s">
        <v>8181</v>
      </c>
      <c r="K2853" t="s">
        <v>235</v>
      </c>
      <c r="L2853">
        <v>48104</v>
      </c>
      <c r="M2853" t="s">
        <v>104</v>
      </c>
      <c r="N2853" t="s">
        <v>2668</v>
      </c>
      <c r="O2853" t="s">
        <v>70</v>
      </c>
      <c r="P2853" t="s">
        <v>158</v>
      </c>
      <c r="Q2853" t="s">
        <v>2669</v>
      </c>
      <c r="R2853">
        <v>619.95000000000005</v>
      </c>
      <c r="S2853">
        <v>5</v>
      </c>
      <c r="T2853">
        <v>0</v>
      </c>
      <c r="U2853">
        <v>111.59099999999999</v>
      </c>
      <c r="V2853" t="str">
        <f t="shared" si="44"/>
        <v>Brian Moss</v>
      </c>
      <c r="W2853">
        <f>Table2[Profit]/Table2[Sales]</f>
        <v>0.17999999999999997</v>
      </c>
    </row>
    <row r="2854" spans="1:23" x14ac:dyDescent="0.25">
      <c r="A2854">
        <v>2853</v>
      </c>
      <c r="B2854" t="s">
        <v>8233</v>
      </c>
      <c r="C2854" s="1">
        <v>42823</v>
      </c>
      <c r="D2854" s="1">
        <v>42827</v>
      </c>
      <c r="E2854" t="s">
        <v>22</v>
      </c>
      <c r="F2854" t="s">
        <v>7242</v>
      </c>
      <c r="G2854" t="s">
        <v>7243</v>
      </c>
      <c r="H2854" t="s">
        <v>25</v>
      </c>
      <c r="I2854" t="s">
        <v>26</v>
      </c>
      <c r="J2854" t="s">
        <v>4182</v>
      </c>
      <c r="K2854" t="s">
        <v>251</v>
      </c>
      <c r="L2854">
        <v>47905</v>
      </c>
      <c r="M2854" t="s">
        <v>104</v>
      </c>
      <c r="N2854" t="s">
        <v>6682</v>
      </c>
      <c r="O2854" t="s">
        <v>45</v>
      </c>
      <c r="P2854" t="s">
        <v>58</v>
      </c>
      <c r="Q2854" t="s">
        <v>6683</v>
      </c>
      <c r="R2854">
        <v>81.400000000000006</v>
      </c>
      <c r="S2854">
        <v>5</v>
      </c>
      <c r="T2854">
        <v>0</v>
      </c>
      <c r="U2854">
        <v>21.164000000000001</v>
      </c>
      <c r="V2854" t="str">
        <f t="shared" si="44"/>
        <v>Roger Demir</v>
      </c>
      <c r="W2854">
        <f>Table2[Profit]/Table2[Sales]</f>
        <v>0.26</v>
      </c>
    </row>
    <row r="2855" spans="1:23" x14ac:dyDescent="0.25">
      <c r="A2855">
        <v>2854</v>
      </c>
      <c r="B2855" t="s">
        <v>8234</v>
      </c>
      <c r="C2855" s="1">
        <v>42322</v>
      </c>
      <c r="D2855" s="1">
        <v>42325</v>
      </c>
      <c r="E2855" t="s">
        <v>185</v>
      </c>
      <c r="F2855" t="s">
        <v>132</v>
      </c>
      <c r="G2855" t="s">
        <v>133</v>
      </c>
      <c r="H2855" t="s">
        <v>40</v>
      </c>
      <c r="I2855" t="s">
        <v>26</v>
      </c>
      <c r="J2855" t="s">
        <v>311</v>
      </c>
      <c r="K2855" t="s">
        <v>413</v>
      </c>
      <c r="L2855">
        <v>97477</v>
      </c>
      <c r="M2855" t="s">
        <v>43</v>
      </c>
      <c r="N2855" t="s">
        <v>265</v>
      </c>
      <c r="O2855" t="s">
        <v>45</v>
      </c>
      <c r="P2855" t="s">
        <v>266</v>
      </c>
      <c r="Q2855" t="s">
        <v>267</v>
      </c>
      <c r="R2855">
        <v>8.7200000000000006</v>
      </c>
      <c r="S2855">
        <v>5</v>
      </c>
      <c r="T2855">
        <v>0.2</v>
      </c>
      <c r="U2855">
        <v>2.2890000000000001</v>
      </c>
      <c r="V2855" t="str">
        <f t="shared" si="44"/>
        <v>Ken Black</v>
      </c>
      <c r="W2855">
        <f>Table2[Profit]/Table2[Sales]</f>
        <v>0.26250000000000001</v>
      </c>
    </row>
    <row r="2856" spans="1:23" x14ac:dyDescent="0.25">
      <c r="A2856">
        <v>2855</v>
      </c>
      <c r="B2856" t="s">
        <v>8235</v>
      </c>
      <c r="C2856" s="1">
        <v>42639</v>
      </c>
      <c r="D2856" s="1">
        <v>42643</v>
      </c>
      <c r="E2856" t="s">
        <v>49</v>
      </c>
      <c r="F2856" t="s">
        <v>549</v>
      </c>
      <c r="G2856" t="s">
        <v>550</v>
      </c>
      <c r="H2856" t="s">
        <v>40</v>
      </c>
      <c r="I2856" t="s">
        <v>26</v>
      </c>
      <c r="J2856" t="s">
        <v>126</v>
      </c>
      <c r="K2856" t="s">
        <v>42</v>
      </c>
      <c r="L2856">
        <v>94109</v>
      </c>
      <c r="M2856" t="s">
        <v>43</v>
      </c>
      <c r="N2856" t="s">
        <v>3193</v>
      </c>
      <c r="O2856" t="s">
        <v>45</v>
      </c>
      <c r="P2856" t="s">
        <v>89</v>
      </c>
      <c r="Q2856" t="s">
        <v>3194</v>
      </c>
      <c r="R2856">
        <v>12.96</v>
      </c>
      <c r="S2856">
        <v>2</v>
      </c>
      <c r="T2856">
        <v>0</v>
      </c>
      <c r="U2856">
        <v>6.2207999999999997</v>
      </c>
      <c r="V2856" t="str">
        <f t="shared" si="44"/>
        <v>Dorothy Wardle</v>
      </c>
      <c r="W2856">
        <f>Table2[Profit]/Table2[Sales]</f>
        <v>0.47999999999999993</v>
      </c>
    </row>
    <row r="2857" spans="1:23" x14ac:dyDescent="0.25">
      <c r="A2857">
        <v>2856</v>
      </c>
      <c r="B2857" t="s">
        <v>8236</v>
      </c>
      <c r="C2857" s="1">
        <v>41904</v>
      </c>
      <c r="D2857" s="1">
        <v>41909</v>
      </c>
      <c r="E2857" t="s">
        <v>49</v>
      </c>
      <c r="F2857" t="s">
        <v>4104</v>
      </c>
      <c r="G2857" t="s">
        <v>4105</v>
      </c>
      <c r="H2857" t="s">
        <v>40</v>
      </c>
      <c r="I2857" t="s">
        <v>26</v>
      </c>
      <c r="J2857" t="s">
        <v>296</v>
      </c>
      <c r="K2857" t="s">
        <v>208</v>
      </c>
      <c r="L2857">
        <v>60653</v>
      </c>
      <c r="M2857" t="s">
        <v>104</v>
      </c>
      <c r="N2857" t="s">
        <v>3617</v>
      </c>
      <c r="O2857" t="s">
        <v>45</v>
      </c>
      <c r="P2857" t="s">
        <v>58</v>
      </c>
      <c r="Q2857" t="s">
        <v>3618</v>
      </c>
      <c r="R2857">
        <v>331.536</v>
      </c>
      <c r="S2857">
        <v>3</v>
      </c>
      <c r="T2857">
        <v>0.2</v>
      </c>
      <c r="U2857">
        <v>-82.884</v>
      </c>
      <c r="V2857" t="str">
        <f t="shared" si="44"/>
        <v>Vivek Grady</v>
      </c>
      <c r="W2857">
        <f>Table2[Profit]/Table2[Sales]</f>
        <v>-0.25</v>
      </c>
    </row>
    <row r="2858" spans="1:23" x14ac:dyDescent="0.25">
      <c r="A2858">
        <v>2857</v>
      </c>
      <c r="B2858" t="s">
        <v>8237</v>
      </c>
      <c r="C2858" s="1">
        <v>42272</v>
      </c>
      <c r="D2858" s="1">
        <v>42274</v>
      </c>
      <c r="E2858" t="s">
        <v>185</v>
      </c>
      <c r="F2858" t="s">
        <v>952</v>
      </c>
      <c r="G2858" t="s">
        <v>953</v>
      </c>
      <c r="H2858" t="s">
        <v>40</v>
      </c>
      <c r="I2858" t="s">
        <v>26</v>
      </c>
      <c r="J2858" t="s">
        <v>263</v>
      </c>
      <c r="K2858" t="s">
        <v>264</v>
      </c>
      <c r="L2858">
        <v>10011</v>
      </c>
      <c r="M2858" t="s">
        <v>145</v>
      </c>
      <c r="N2858" t="s">
        <v>5361</v>
      </c>
      <c r="O2858" t="s">
        <v>70</v>
      </c>
      <c r="P2858" t="s">
        <v>158</v>
      </c>
      <c r="Q2858" t="s">
        <v>5362</v>
      </c>
      <c r="R2858">
        <v>899.91</v>
      </c>
      <c r="S2858">
        <v>9</v>
      </c>
      <c r="T2858">
        <v>0</v>
      </c>
      <c r="U2858">
        <v>395.96039999999999</v>
      </c>
      <c r="V2858" t="str">
        <f t="shared" si="44"/>
        <v>Dan Reichenbach</v>
      </c>
      <c r="W2858">
        <f>Table2[Profit]/Table2[Sales]</f>
        <v>0.44</v>
      </c>
    </row>
    <row r="2859" spans="1:23" x14ac:dyDescent="0.25">
      <c r="A2859">
        <v>2858</v>
      </c>
      <c r="B2859" t="s">
        <v>8238</v>
      </c>
      <c r="C2859" s="1">
        <v>42128</v>
      </c>
      <c r="D2859" s="1">
        <v>42132</v>
      </c>
      <c r="E2859" t="s">
        <v>49</v>
      </c>
      <c r="F2859" t="s">
        <v>6483</v>
      </c>
      <c r="G2859" t="s">
        <v>6484</v>
      </c>
      <c r="H2859" t="s">
        <v>40</v>
      </c>
      <c r="I2859" t="s">
        <v>26</v>
      </c>
      <c r="J2859" t="s">
        <v>181</v>
      </c>
      <c r="K2859" t="s">
        <v>103</v>
      </c>
      <c r="L2859">
        <v>77095</v>
      </c>
      <c r="M2859" t="s">
        <v>104</v>
      </c>
      <c r="N2859" t="s">
        <v>3766</v>
      </c>
      <c r="O2859" t="s">
        <v>70</v>
      </c>
      <c r="P2859" t="s">
        <v>71</v>
      </c>
      <c r="Q2859" t="s">
        <v>3767</v>
      </c>
      <c r="R2859">
        <v>946.34400000000005</v>
      </c>
      <c r="S2859">
        <v>7</v>
      </c>
      <c r="T2859">
        <v>0.2</v>
      </c>
      <c r="U2859">
        <v>118.29300000000001</v>
      </c>
      <c r="V2859" t="str">
        <f t="shared" si="44"/>
        <v>Anna Häberlin</v>
      </c>
      <c r="W2859">
        <f>Table2[Profit]/Table2[Sales]</f>
        <v>0.125</v>
      </c>
    </row>
    <row r="2860" spans="1:23" x14ac:dyDescent="0.25">
      <c r="A2860">
        <v>2859</v>
      </c>
      <c r="B2860" t="s">
        <v>8239</v>
      </c>
      <c r="C2860" s="1">
        <v>43077</v>
      </c>
      <c r="D2860" s="1">
        <v>43082</v>
      </c>
      <c r="E2860" t="s">
        <v>49</v>
      </c>
      <c r="F2860" t="s">
        <v>1603</v>
      </c>
      <c r="G2860" t="s">
        <v>1604</v>
      </c>
      <c r="H2860" t="s">
        <v>25</v>
      </c>
      <c r="I2860" t="s">
        <v>26</v>
      </c>
      <c r="J2860" t="s">
        <v>112</v>
      </c>
      <c r="K2860" t="s">
        <v>113</v>
      </c>
      <c r="L2860">
        <v>53711</v>
      </c>
      <c r="M2860" t="s">
        <v>104</v>
      </c>
      <c r="N2860" t="s">
        <v>4248</v>
      </c>
      <c r="O2860" t="s">
        <v>70</v>
      </c>
      <c r="P2860" t="s">
        <v>158</v>
      </c>
      <c r="Q2860" t="s">
        <v>4249</v>
      </c>
      <c r="R2860">
        <v>178.11</v>
      </c>
      <c r="S2860">
        <v>3</v>
      </c>
      <c r="T2860">
        <v>0</v>
      </c>
      <c r="U2860">
        <v>32.059800000000003</v>
      </c>
      <c r="V2860" t="str">
        <f t="shared" si="44"/>
        <v>Jeremy Pistek</v>
      </c>
      <c r="W2860">
        <f>Table2[Profit]/Table2[Sales]</f>
        <v>0.18</v>
      </c>
    </row>
    <row r="2861" spans="1:23" x14ac:dyDescent="0.25">
      <c r="A2861">
        <v>2860</v>
      </c>
      <c r="B2861" t="s">
        <v>8240</v>
      </c>
      <c r="C2861" s="1">
        <v>42915</v>
      </c>
      <c r="D2861" s="1">
        <v>42918</v>
      </c>
      <c r="E2861" t="s">
        <v>185</v>
      </c>
      <c r="F2861" t="s">
        <v>952</v>
      </c>
      <c r="G2861" t="s">
        <v>953</v>
      </c>
      <c r="H2861" t="s">
        <v>40</v>
      </c>
      <c r="I2861" t="s">
        <v>26</v>
      </c>
      <c r="J2861" t="s">
        <v>8241</v>
      </c>
      <c r="K2861" t="s">
        <v>740</v>
      </c>
      <c r="L2861">
        <v>6460</v>
      </c>
      <c r="M2861" t="s">
        <v>145</v>
      </c>
      <c r="N2861" t="s">
        <v>6424</v>
      </c>
      <c r="O2861" t="s">
        <v>31</v>
      </c>
      <c r="P2861" t="s">
        <v>32</v>
      </c>
      <c r="Q2861" t="s">
        <v>6425</v>
      </c>
      <c r="R2861">
        <v>638.82000000000005</v>
      </c>
      <c r="S2861">
        <v>9</v>
      </c>
      <c r="T2861">
        <v>0</v>
      </c>
      <c r="U2861">
        <v>185.2578</v>
      </c>
      <c r="V2861" t="str">
        <f t="shared" si="44"/>
        <v>Dan Reichenbach</v>
      </c>
      <c r="W2861">
        <f>Table2[Profit]/Table2[Sales]</f>
        <v>0.28999999999999998</v>
      </c>
    </row>
    <row r="2862" spans="1:23" x14ac:dyDescent="0.25">
      <c r="A2862">
        <v>2861</v>
      </c>
      <c r="B2862" t="s">
        <v>8242</v>
      </c>
      <c r="C2862" s="1">
        <v>41819</v>
      </c>
      <c r="D2862" s="1">
        <v>41823</v>
      </c>
      <c r="E2862" t="s">
        <v>49</v>
      </c>
      <c r="F2862" t="s">
        <v>5171</v>
      </c>
      <c r="G2862" t="s">
        <v>5172</v>
      </c>
      <c r="H2862" t="s">
        <v>25</v>
      </c>
      <c r="I2862" t="s">
        <v>26</v>
      </c>
      <c r="J2862" t="s">
        <v>263</v>
      </c>
      <c r="K2862" t="s">
        <v>264</v>
      </c>
      <c r="L2862">
        <v>10024</v>
      </c>
      <c r="M2862" t="s">
        <v>145</v>
      </c>
      <c r="N2862" t="s">
        <v>6002</v>
      </c>
      <c r="O2862" t="s">
        <v>45</v>
      </c>
      <c r="P2862" t="s">
        <v>74</v>
      </c>
      <c r="Q2862" t="s">
        <v>6003</v>
      </c>
      <c r="R2862">
        <v>13.92</v>
      </c>
      <c r="S2862">
        <v>3</v>
      </c>
      <c r="T2862">
        <v>0.2</v>
      </c>
      <c r="U2862">
        <v>4.8719999999999999</v>
      </c>
      <c r="V2862" t="str">
        <f t="shared" si="44"/>
        <v>Jim Karlsson</v>
      </c>
      <c r="W2862">
        <f>Table2[Profit]/Table2[Sales]</f>
        <v>0.35</v>
      </c>
    </row>
    <row r="2863" spans="1:23" x14ac:dyDescent="0.25">
      <c r="A2863">
        <v>2862</v>
      </c>
      <c r="B2863" t="s">
        <v>8243</v>
      </c>
      <c r="C2863" s="1">
        <v>41659</v>
      </c>
      <c r="D2863" s="1">
        <v>41664</v>
      </c>
      <c r="E2863" t="s">
        <v>49</v>
      </c>
      <c r="F2863" t="s">
        <v>5140</v>
      </c>
      <c r="G2863" t="s">
        <v>5141</v>
      </c>
      <c r="H2863" t="s">
        <v>25</v>
      </c>
      <c r="I2863" t="s">
        <v>26</v>
      </c>
      <c r="J2863" t="s">
        <v>41</v>
      </c>
      <c r="K2863" t="s">
        <v>42</v>
      </c>
      <c r="L2863">
        <v>90049</v>
      </c>
      <c r="M2863" t="s">
        <v>43</v>
      </c>
      <c r="N2863" t="s">
        <v>1424</v>
      </c>
      <c r="O2863" t="s">
        <v>45</v>
      </c>
      <c r="P2863" t="s">
        <v>89</v>
      </c>
      <c r="Q2863" t="s">
        <v>1425</v>
      </c>
      <c r="R2863">
        <v>19.36</v>
      </c>
      <c r="S2863">
        <v>2</v>
      </c>
      <c r="T2863">
        <v>0</v>
      </c>
      <c r="U2863">
        <v>9.2927999999999997</v>
      </c>
      <c r="V2863" t="str">
        <f t="shared" si="44"/>
        <v>Mark Van Huff</v>
      </c>
      <c r="W2863">
        <f>Table2[Profit]/Table2[Sales]</f>
        <v>0.48</v>
      </c>
    </row>
    <row r="2864" spans="1:23" x14ac:dyDescent="0.25">
      <c r="A2864">
        <v>2863</v>
      </c>
      <c r="B2864" t="s">
        <v>8244</v>
      </c>
      <c r="C2864" s="1">
        <v>42735</v>
      </c>
      <c r="D2864" s="1">
        <v>42741</v>
      </c>
      <c r="E2864" t="s">
        <v>49</v>
      </c>
      <c r="F2864" t="s">
        <v>5986</v>
      </c>
      <c r="G2864" t="s">
        <v>5987</v>
      </c>
      <c r="H2864" t="s">
        <v>25</v>
      </c>
      <c r="I2864" t="s">
        <v>26</v>
      </c>
      <c r="J2864" t="s">
        <v>126</v>
      </c>
      <c r="K2864" t="s">
        <v>42</v>
      </c>
      <c r="L2864">
        <v>94109</v>
      </c>
      <c r="M2864" t="s">
        <v>43</v>
      </c>
      <c r="N2864" t="s">
        <v>5657</v>
      </c>
      <c r="O2864" t="s">
        <v>45</v>
      </c>
      <c r="P2864" t="s">
        <v>74</v>
      </c>
      <c r="Q2864" t="s">
        <v>5658</v>
      </c>
      <c r="R2864">
        <v>38.375999999999998</v>
      </c>
      <c r="S2864">
        <v>3</v>
      </c>
      <c r="T2864">
        <v>0.2</v>
      </c>
      <c r="U2864">
        <v>13.4316</v>
      </c>
      <c r="V2864" t="str">
        <f t="shared" si="44"/>
        <v>Becky Pak</v>
      </c>
      <c r="W2864">
        <f>Table2[Profit]/Table2[Sales]</f>
        <v>0.35000000000000003</v>
      </c>
    </row>
    <row r="2865" spans="1:23" x14ac:dyDescent="0.25">
      <c r="A2865">
        <v>2864</v>
      </c>
      <c r="B2865" t="s">
        <v>8245</v>
      </c>
      <c r="C2865" s="1">
        <v>42822</v>
      </c>
      <c r="D2865" s="1">
        <v>42825</v>
      </c>
      <c r="E2865" t="s">
        <v>185</v>
      </c>
      <c r="F2865" t="s">
        <v>6451</v>
      </c>
      <c r="G2865" t="s">
        <v>6452</v>
      </c>
      <c r="H2865" t="s">
        <v>40</v>
      </c>
      <c r="I2865" t="s">
        <v>26</v>
      </c>
      <c r="J2865" t="s">
        <v>739</v>
      </c>
      <c r="K2865" t="s">
        <v>42</v>
      </c>
      <c r="L2865">
        <v>94533</v>
      </c>
      <c r="M2865" t="s">
        <v>43</v>
      </c>
      <c r="N2865" t="s">
        <v>7160</v>
      </c>
      <c r="O2865" t="s">
        <v>45</v>
      </c>
      <c r="P2865" t="s">
        <v>89</v>
      </c>
      <c r="Q2865" t="s">
        <v>7161</v>
      </c>
      <c r="R2865">
        <v>12.96</v>
      </c>
      <c r="S2865">
        <v>2</v>
      </c>
      <c r="T2865">
        <v>0</v>
      </c>
      <c r="U2865">
        <v>6.3503999999999996</v>
      </c>
      <c r="V2865" t="str">
        <f t="shared" si="44"/>
        <v>Dave Hallsten</v>
      </c>
      <c r="W2865">
        <f>Table2[Profit]/Table2[Sales]</f>
        <v>0.48999999999999994</v>
      </c>
    </row>
    <row r="2866" spans="1:23" x14ac:dyDescent="0.25">
      <c r="A2866">
        <v>2865</v>
      </c>
      <c r="B2866" t="s">
        <v>8246</v>
      </c>
      <c r="C2866" s="1">
        <v>42712</v>
      </c>
      <c r="D2866" s="1">
        <v>42716</v>
      </c>
      <c r="E2866" t="s">
        <v>49</v>
      </c>
      <c r="F2866" t="s">
        <v>239</v>
      </c>
      <c r="G2866" t="s">
        <v>240</v>
      </c>
      <c r="H2866" t="s">
        <v>25</v>
      </c>
      <c r="I2866" t="s">
        <v>26</v>
      </c>
      <c r="J2866" t="s">
        <v>3451</v>
      </c>
      <c r="K2866" t="s">
        <v>87</v>
      </c>
      <c r="L2866">
        <v>27834</v>
      </c>
      <c r="M2866" t="s">
        <v>29</v>
      </c>
      <c r="N2866" t="s">
        <v>1894</v>
      </c>
      <c r="O2866" t="s">
        <v>70</v>
      </c>
      <c r="P2866" t="s">
        <v>71</v>
      </c>
      <c r="Q2866" t="s">
        <v>1895</v>
      </c>
      <c r="R2866">
        <v>249.584</v>
      </c>
      <c r="S2866">
        <v>2</v>
      </c>
      <c r="T2866">
        <v>0.2</v>
      </c>
      <c r="U2866">
        <v>31.198</v>
      </c>
      <c r="V2866" t="str">
        <f t="shared" si="44"/>
        <v>Lena Hernandez</v>
      </c>
      <c r="W2866">
        <f>Table2[Profit]/Table2[Sales]</f>
        <v>0.125</v>
      </c>
    </row>
    <row r="2867" spans="1:23" x14ac:dyDescent="0.25">
      <c r="A2867">
        <v>2866</v>
      </c>
      <c r="B2867" t="s">
        <v>8247</v>
      </c>
      <c r="C2867" s="1">
        <v>43057</v>
      </c>
      <c r="D2867" s="1">
        <v>43061</v>
      </c>
      <c r="E2867" t="s">
        <v>49</v>
      </c>
      <c r="F2867" t="s">
        <v>501</v>
      </c>
      <c r="G2867" t="s">
        <v>502</v>
      </c>
      <c r="H2867" t="s">
        <v>25</v>
      </c>
      <c r="I2867" t="s">
        <v>26</v>
      </c>
      <c r="J2867" t="s">
        <v>1161</v>
      </c>
      <c r="K2867" t="s">
        <v>264</v>
      </c>
      <c r="L2867">
        <v>11561</v>
      </c>
      <c r="M2867" t="s">
        <v>145</v>
      </c>
      <c r="N2867" t="s">
        <v>4932</v>
      </c>
      <c r="O2867" t="s">
        <v>70</v>
      </c>
      <c r="P2867" t="s">
        <v>71</v>
      </c>
      <c r="Q2867" t="s">
        <v>4933</v>
      </c>
      <c r="R2867">
        <v>74.95</v>
      </c>
      <c r="S2867">
        <v>5</v>
      </c>
      <c r="T2867">
        <v>0</v>
      </c>
      <c r="U2867">
        <v>36.725499999999997</v>
      </c>
      <c r="V2867" t="str">
        <f t="shared" si="44"/>
        <v>Dave Kipp</v>
      </c>
      <c r="W2867">
        <f>Table2[Profit]/Table2[Sales]</f>
        <v>0.48999999999999994</v>
      </c>
    </row>
    <row r="2868" spans="1:23" x14ac:dyDescent="0.25">
      <c r="A2868">
        <v>2867</v>
      </c>
      <c r="B2868" t="s">
        <v>8248</v>
      </c>
      <c r="C2868" s="1">
        <v>41789</v>
      </c>
      <c r="D2868" s="1">
        <v>41795</v>
      </c>
      <c r="E2868" t="s">
        <v>49</v>
      </c>
      <c r="F2868" t="s">
        <v>7747</v>
      </c>
      <c r="G2868" t="s">
        <v>7748</v>
      </c>
      <c r="H2868" t="s">
        <v>25</v>
      </c>
      <c r="I2868" t="s">
        <v>26</v>
      </c>
      <c r="J2868" t="s">
        <v>8249</v>
      </c>
      <c r="K2868" t="s">
        <v>208</v>
      </c>
      <c r="L2868">
        <v>60089</v>
      </c>
      <c r="M2868" t="s">
        <v>104</v>
      </c>
      <c r="N2868" t="s">
        <v>79</v>
      </c>
      <c r="O2868" t="s">
        <v>31</v>
      </c>
      <c r="P2868" t="s">
        <v>55</v>
      </c>
      <c r="Q2868" t="s">
        <v>80</v>
      </c>
      <c r="R2868">
        <v>355.45499999999998</v>
      </c>
      <c r="S2868">
        <v>3</v>
      </c>
      <c r="T2868">
        <v>0.5</v>
      </c>
      <c r="U2868">
        <v>-184.8366</v>
      </c>
      <c r="V2868" t="str">
        <f t="shared" si="44"/>
        <v>Shahid Shariari</v>
      </c>
      <c r="W2868">
        <f>Table2[Profit]/Table2[Sales]</f>
        <v>-0.52</v>
      </c>
    </row>
    <row r="2869" spans="1:23" x14ac:dyDescent="0.25">
      <c r="A2869">
        <v>2868</v>
      </c>
      <c r="B2869" t="s">
        <v>8250</v>
      </c>
      <c r="C2869" s="1">
        <v>42391</v>
      </c>
      <c r="D2869" s="1">
        <v>42397</v>
      </c>
      <c r="E2869" t="s">
        <v>49</v>
      </c>
      <c r="F2869" t="s">
        <v>1892</v>
      </c>
      <c r="G2869" t="s">
        <v>1893</v>
      </c>
      <c r="H2869" t="s">
        <v>25</v>
      </c>
      <c r="I2869" t="s">
        <v>26</v>
      </c>
      <c r="J2869" t="s">
        <v>941</v>
      </c>
      <c r="K2869" t="s">
        <v>42</v>
      </c>
      <c r="L2869">
        <v>92037</v>
      </c>
      <c r="M2869" t="s">
        <v>43</v>
      </c>
      <c r="N2869" t="s">
        <v>8251</v>
      </c>
      <c r="O2869" t="s">
        <v>45</v>
      </c>
      <c r="P2869" t="s">
        <v>46</v>
      </c>
      <c r="Q2869" t="s">
        <v>8252</v>
      </c>
      <c r="R2869">
        <v>44.4</v>
      </c>
      <c r="S2869">
        <v>3</v>
      </c>
      <c r="T2869">
        <v>0</v>
      </c>
      <c r="U2869">
        <v>22.2</v>
      </c>
      <c r="V2869" t="str">
        <f t="shared" si="44"/>
        <v>Frank Preis</v>
      </c>
      <c r="W2869">
        <f>Table2[Profit]/Table2[Sales]</f>
        <v>0.5</v>
      </c>
    </row>
    <row r="2870" spans="1:23" x14ac:dyDescent="0.25">
      <c r="A2870">
        <v>2869</v>
      </c>
      <c r="B2870" t="s">
        <v>8253</v>
      </c>
      <c r="C2870" s="1">
        <v>42403</v>
      </c>
      <c r="D2870" s="1">
        <v>42410</v>
      </c>
      <c r="E2870" t="s">
        <v>49</v>
      </c>
      <c r="F2870" t="s">
        <v>6420</v>
      </c>
      <c r="G2870" t="s">
        <v>6421</v>
      </c>
      <c r="H2870" t="s">
        <v>25</v>
      </c>
      <c r="I2870" t="s">
        <v>26</v>
      </c>
      <c r="J2870" t="s">
        <v>1450</v>
      </c>
      <c r="K2870" t="s">
        <v>28</v>
      </c>
      <c r="L2870">
        <v>40475</v>
      </c>
      <c r="M2870" t="s">
        <v>29</v>
      </c>
      <c r="N2870" t="s">
        <v>1474</v>
      </c>
      <c r="O2870" t="s">
        <v>31</v>
      </c>
      <c r="P2870" t="s">
        <v>35</v>
      </c>
      <c r="Q2870" t="s">
        <v>1475</v>
      </c>
      <c r="R2870">
        <v>866.4</v>
      </c>
      <c r="S2870">
        <v>4</v>
      </c>
      <c r="T2870">
        <v>0</v>
      </c>
      <c r="U2870">
        <v>225.26400000000001</v>
      </c>
      <c r="V2870" t="str">
        <f t="shared" si="44"/>
        <v>Liz Carlisle</v>
      </c>
      <c r="W2870">
        <f>Table2[Profit]/Table2[Sales]</f>
        <v>0.26</v>
      </c>
    </row>
    <row r="2871" spans="1:23" x14ac:dyDescent="0.25">
      <c r="A2871">
        <v>2870</v>
      </c>
      <c r="B2871" t="s">
        <v>8254</v>
      </c>
      <c r="C2871" s="1">
        <v>42092</v>
      </c>
      <c r="D2871" s="1">
        <v>42097</v>
      </c>
      <c r="E2871" t="s">
        <v>22</v>
      </c>
      <c r="F2871" t="s">
        <v>1979</v>
      </c>
      <c r="G2871" t="s">
        <v>1980</v>
      </c>
      <c r="H2871" t="s">
        <v>25</v>
      </c>
      <c r="I2871" t="s">
        <v>26</v>
      </c>
      <c r="J2871" t="s">
        <v>311</v>
      </c>
      <c r="K2871" t="s">
        <v>312</v>
      </c>
      <c r="L2871">
        <v>22153</v>
      </c>
      <c r="M2871" t="s">
        <v>29</v>
      </c>
      <c r="N2871" t="s">
        <v>1270</v>
      </c>
      <c r="O2871" t="s">
        <v>45</v>
      </c>
      <c r="P2871" t="s">
        <v>67</v>
      </c>
      <c r="Q2871" t="s">
        <v>1271</v>
      </c>
      <c r="R2871">
        <v>5.56</v>
      </c>
      <c r="S2871">
        <v>2</v>
      </c>
      <c r="T2871">
        <v>0</v>
      </c>
      <c r="U2871">
        <v>1.4456</v>
      </c>
      <c r="V2871" t="str">
        <f t="shared" si="44"/>
        <v>Alan Shonely</v>
      </c>
      <c r="W2871">
        <f>Table2[Profit]/Table2[Sales]</f>
        <v>0.26</v>
      </c>
    </row>
    <row r="2872" spans="1:23" x14ac:dyDescent="0.25">
      <c r="A2872">
        <v>2871</v>
      </c>
      <c r="B2872" t="s">
        <v>8255</v>
      </c>
      <c r="C2872" s="1">
        <v>41926</v>
      </c>
      <c r="D2872" s="1">
        <v>41930</v>
      </c>
      <c r="E2872" t="s">
        <v>49</v>
      </c>
      <c r="F2872" t="s">
        <v>5669</v>
      </c>
      <c r="G2872" t="s">
        <v>5670</v>
      </c>
      <c r="H2872" t="s">
        <v>25</v>
      </c>
      <c r="I2872" t="s">
        <v>26</v>
      </c>
      <c r="J2872" t="s">
        <v>102</v>
      </c>
      <c r="K2872" t="s">
        <v>103</v>
      </c>
      <c r="L2872">
        <v>76106</v>
      </c>
      <c r="M2872" t="s">
        <v>104</v>
      </c>
      <c r="N2872" t="s">
        <v>7452</v>
      </c>
      <c r="O2872" t="s">
        <v>45</v>
      </c>
      <c r="P2872" t="s">
        <v>77</v>
      </c>
      <c r="Q2872" t="s">
        <v>7453</v>
      </c>
      <c r="R2872">
        <v>3.16</v>
      </c>
      <c r="S2872">
        <v>4</v>
      </c>
      <c r="T2872">
        <v>0.8</v>
      </c>
      <c r="U2872">
        <v>-8.532</v>
      </c>
      <c r="V2872" t="str">
        <f t="shared" si="44"/>
        <v>Hunter Glantz</v>
      </c>
      <c r="W2872">
        <f>Table2[Profit]/Table2[Sales]</f>
        <v>-2.6999999999999997</v>
      </c>
    </row>
    <row r="2873" spans="1:23" x14ac:dyDescent="0.25">
      <c r="A2873">
        <v>2872</v>
      </c>
      <c r="B2873" t="s">
        <v>8256</v>
      </c>
      <c r="C2873" s="1">
        <v>42227</v>
      </c>
      <c r="D2873" s="1">
        <v>42232</v>
      </c>
      <c r="E2873" t="s">
        <v>49</v>
      </c>
      <c r="F2873" t="s">
        <v>8257</v>
      </c>
      <c r="G2873" t="s">
        <v>8258</v>
      </c>
      <c r="H2873" t="s">
        <v>25</v>
      </c>
      <c r="I2873" t="s">
        <v>26</v>
      </c>
      <c r="J2873" t="s">
        <v>4494</v>
      </c>
      <c r="K2873" t="s">
        <v>87</v>
      </c>
      <c r="L2873">
        <v>27604</v>
      </c>
      <c r="M2873" t="s">
        <v>29</v>
      </c>
      <c r="N2873" t="s">
        <v>3872</v>
      </c>
      <c r="O2873" t="s">
        <v>31</v>
      </c>
      <c r="P2873" t="s">
        <v>64</v>
      </c>
      <c r="Q2873" t="s">
        <v>5648</v>
      </c>
      <c r="R2873">
        <v>46.152000000000001</v>
      </c>
      <c r="S2873">
        <v>3</v>
      </c>
      <c r="T2873">
        <v>0.2</v>
      </c>
      <c r="U2873">
        <v>12.1149</v>
      </c>
      <c r="V2873" t="str">
        <f t="shared" si="44"/>
        <v>Barry Weirich</v>
      </c>
      <c r="W2873">
        <f>Table2[Profit]/Table2[Sales]</f>
        <v>0.26250000000000001</v>
      </c>
    </row>
    <row r="2874" spans="1:23" x14ac:dyDescent="0.25">
      <c r="A2874">
        <v>2873</v>
      </c>
      <c r="B2874" t="s">
        <v>8259</v>
      </c>
      <c r="C2874" s="1">
        <v>42330</v>
      </c>
      <c r="D2874" s="1">
        <v>42331</v>
      </c>
      <c r="E2874" t="s">
        <v>185</v>
      </c>
      <c r="F2874" t="s">
        <v>61</v>
      </c>
      <c r="G2874" t="s">
        <v>62</v>
      </c>
      <c r="H2874" t="s">
        <v>25</v>
      </c>
      <c r="I2874" t="s">
        <v>26</v>
      </c>
      <c r="J2874" t="s">
        <v>2298</v>
      </c>
      <c r="K2874" t="s">
        <v>53</v>
      </c>
      <c r="L2874">
        <v>33012</v>
      </c>
      <c r="M2874" t="s">
        <v>29</v>
      </c>
      <c r="N2874" t="s">
        <v>7984</v>
      </c>
      <c r="O2874" t="s">
        <v>70</v>
      </c>
      <c r="P2874" t="s">
        <v>675</v>
      </c>
      <c r="Q2874" t="s">
        <v>7985</v>
      </c>
      <c r="R2874">
        <v>32.984999999999999</v>
      </c>
      <c r="S2874">
        <v>3</v>
      </c>
      <c r="T2874">
        <v>0.5</v>
      </c>
      <c r="U2874">
        <v>-1.9791000000000001</v>
      </c>
      <c r="V2874" t="str">
        <f t="shared" si="44"/>
        <v>Brosina Hoffman</v>
      </c>
      <c r="W2874">
        <f>Table2[Profit]/Table2[Sales]</f>
        <v>-6.0000000000000005E-2</v>
      </c>
    </row>
    <row r="2875" spans="1:23" x14ac:dyDescent="0.25">
      <c r="A2875">
        <v>2874</v>
      </c>
      <c r="B2875" t="s">
        <v>8260</v>
      </c>
      <c r="C2875" s="1">
        <v>42734</v>
      </c>
      <c r="D2875" s="1">
        <v>42734</v>
      </c>
      <c r="E2875" t="s">
        <v>1278</v>
      </c>
      <c r="F2875" t="s">
        <v>5797</v>
      </c>
      <c r="G2875" t="s">
        <v>5798</v>
      </c>
      <c r="H2875" t="s">
        <v>101</v>
      </c>
      <c r="I2875" t="s">
        <v>26</v>
      </c>
      <c r="J2875" t="s">
        <v>41</v>
      </c>
      <c r="K2875" t="s">
        <v>42</v>
      </c>
      <c r="L2875">
        <v>90032</v>
      </c>
      <c r="M2875" t="s">
        <v>43</v>
      </c>
      <c r="N2875" t="s">
        <v>2983</v>
      </c>
      <c r="O2875" t="s">
        <v>45</v>
      </c>
      <c r="P2875" t="s">
        <v>58</v>
      </c>
      <c r="Q2875" t="s">
        <v>2984</v>
      </c>
      <c r="R2875">
        <v>481.32</v>
      </c>
      <c r="S2875">
        <v>4</v>
      </c>
      <c r="T2875">
        <v>0</v>
      </c>
      <c r="U2875">
        <v>125.14319999999999</v>
      </c>
      <c r="V2875" t="str">
        <f t="shared" si="44"/>
        <v>Julie Prescott</v>
      </c>
      <c r="W2875">
        <f>Table2[Profit]/Table2[Sales]</f>
        <v>0.26</v>
      </c>
    </row>
    <row r="2876" spans="1:23" x14ac:dyDescent="0.25">
      <c r="A2876">
        <v>2875</v>
      </c>
      <c r="B2876" t="s">
        <v>8261</v>
      </c>
      <c r="C2876" s="1">
        <v>42959</v>
      </c>
      <c r="D2876" s="1">
        <v>42962</v>
      </c>
      <c r="E2876" t="s">
        <v>185</v>
      </c>
      <c r="F2876" t="s">
        <v>5118</v>
      </c>
      <c r="G2876" t="s">
        <v>5119</v>
      </c>
      <c r="H2876" t="s">
        <v>25</v>
      </c>
      <c r="I2876" t="s">
        <v>26</v>
      </c>
      <c r="J2876" t="s">
        <v>8262</v>
      </c>
      <c r="K2876" t="s">
        <v>42</v>
      </c>
      <c r="L2876">
        <v>92630</v>
      </c>
      <c r="M2876" t="s">
        <v>43</v>
      </c>
      <c r="N2876" t="s">
        <v>4332</v>
      </c>
      <c r="O2876" t="s">
        <v>45</v>
      </c>
      <c r="P2876" t="s">
        <v>77</v>
      </c>
      <c r="Q2876" t="s">
        <v>4333</v>
      </c>
      <c r="R2876">
        <v>542.94000000000005</v>
      </c>
      <c r="S2876">
        <v>3</v>
      </c>
      <c r="T2876">
        <v>0</v>
      </c>
      <c r="U2876">
        <v>152.0232</v>
      </c>
      <c r="V2876" t="str">
        <f t="shared" si="44"/>
        <v>Justin MacKendrick</v>
      </c>
      <c r="W2876">
        <f>Table2[Profit]/Table2[Sales]</f>
        <v>0.27999999999999997</v>
      </c>
    </row>
    <row r="2877" spans="1:23" x14ac:dyDescent="0.25">
      <c r="A2877">
        <v>2876</v>
      </c>
      <c r="B2877" t="s">
        <v>8263</v>
      </c>
      <c r="C2877" s="1">
        <v>42311</v>
      </c>
      <c r="D2877" s="1">
        <v>42313</v>
      </c>
      <c r="E2877" t="s">
        <v>185</v>
      </c>
      <c r="F2877" t="s">
        <v>785</v>
      </c>
      <c r="G2877" t="s">
        <v>786</v>
      </c>
      <c r="H2877" t="s">
        <v>40</v>
      </c>
      <c r="I2877" t="s">
        <v>26</v>
      </c>
      <c r="J2877" t="s">
        <v>1161</v>
      </c>
      <c r="K2877" t="s">
        <v>264</v>
      </c>
      <c r="L2877">
        <v>11561</v>
      </c>
      <c r="M2877" t="s">
        <v>145</v>
      </c>
      <c r="N2877" t="s">
        <v>6747</v>
      </c>
      <c r="O2877" t="s">
        <v>31</v>
      </c>
      <c r="P2877" t="s">
        <v>35</v>
      </c>
      <c r="Q2877" t="s">
        <v>6748</v>
      </c>
      <c r="R2877">
        <v>1448.82</v>
      </c>
      <c r="S2877">
        <v>10</v>
      </c>
      <c r="T2877">
        <v>0.1</v>
      </c>
      <c r="U2877">
        <v>209.274</v>
      </c>
      <c r="V2877" t="str">
        <f t="shared" si="44"/>
        <v>Fred Hopkins</v>
      </c>
      <c r="W2877">
        <f>Table2[Profit]/Table2[Sales]</f>
        <v>0.14444444444444446</v>
      </c>
    </row>
    <row r="2878" spans="1:23" x14ac:dyDescent="0.25">
      <c r="A2878">
        <v>2877</v>
      </c>
      <c r="B2878" t="s">
        <v>8264</v>
      </c>
      <c r="C2878" s="1">
        <v>42257</v>
      </c>
      <c r="D2878" s="1">
        <v>42259</v>
      </c>
      <c r="E2878" t="s">
        <v>22</v>
      </c>
      <c r="F2878" t="s">
        <v>3573</v>
      </c>
      <c r="G2878" t="s">
        <v>3574</v>
      </c>
      <c r="H2878" t="s">
        <v>25</v>
      </c>
      <c r="I2878" t="s">
        <v>26</v>
      </c>
      <c r="J2878" t="s">
        <v>94</v>
      </c>
      <c r="K2878" t="s">
        <v>95</v>
      </c>
      <c r="L2878">
        <v>98103</v>
      </c>
      <c r="M2878" t="s">
        <v>43</v>
      </c>
      <c r="N2878" t="s">
        <v>8166</v>
      </c>
      <c r="O2878" t="s">
        <v>45</v>
      </c>
      <c r="P2878" t="s">
        <v>58</v>
      </c>
      <c r="Q2878" t="s">
        <v>8167</v>
      </c>
      <c r="R2878">
        <v>353.88</v>
      </c>
      <c r="S2878">
        <v>6</v>
      </c>
      <c r="T2878">
        <v>0</v>
      </c>
      <c r="U2878">
        <v>17.693999999999999</v>
      </c>
      <c r="V2878" t="str">
        <f t="shared" si="44"/>
        <v>Matt Collins</v>
      </c>
      <c r="W2878">
        <f>Table2[Profit]/Table2[Sales]</f>
        <v>4.9999999999999996E-2</v>
      </c>
    </row>
    <row r="2879" spans="1:23" x14ac:dyDescent="0.25">
      <c r="A2879">
        <v>2878</v>
      </c>
      <c r="B2879" t="s">
        <v>8265</v>
      </c>
      <c r="C2879" s="1">
        <v>41951</v>
      </c>
      <c r="D2879" s="1">
        <v>41957</v>
      </c>
      <c r="E2879" t="s">
        <v>49</v>
      </c>
      <c r="F2879" t="s">
        <v>149</v>
      </c>
      <c r="G2879" t="s">
        <v>150</v>
      </c>
      <c r="H2879" t="s">
        <v>25</v>
      </c>
      <c r="I2879" t="s">
        <v>26</v>
      </c>
      <c r="J2879" t="s">
        <v>8266</v>
      </c>
      <c r="K2879" t="s">
        <v>42</v>
      </c>
      <c r="L2879">
        <v>96003</v>
      </c>
      <c r="M2879" t="s">
        <v>43</v>
      </c>
      <c r="N2879" t="s">
        <v>3335</v>
      </c>
      <c r="O2879" t="s">
        <v>70</v>
      </c>
      <c r="P2879" t="s">
        <v>71</v>
      </c>
      <c r="Q2879" t="s">
        <v>3336</v>
      </c>
      <c r="R2879">
        <v>333.57600000000002</v>
      </c>
      <c r="S2879">
        <v>3</v>
      </c>
      <c r="T2879">
        <v>0.2</v>
      </c>
      <c r="U2879">
        <v>25.0182</v>
      </c>
      <c r="V2879" t="str">
        <f t="shared" si="44"/>
        <v>Emily Burns</v>
      </c>
      <c r="W2879">
        <f>Table2[Profit]/Table2[Sales]</f>
        <v>7.4999999999999997E-2</v>
      </c>
    </row>
    <row r="2880" spans="1:23" x14ac:dyDescent="0.25">
      <c r="A2880">
        <v>2879</v>
      </c>
      <c r="B2880" t="s">
        <v>8267</v>
      </c>
      <c r="C2880" s="1">
        <v>42651</v>
      </c>
      <c r="D2880" s="1">
        <v>42658</v>
      </c>
      <c r="E2880" t="s">
        <v>49</v>
      </c>
      <c r="F2880" t="s">
        <v>2681</v>
      </c>
      <c r="G2880" t="s">
        <v>2682</v>
      </c>
      <c r="H2880" t="s">
        <v>101</v>
      </c>
      <c r="I2880" t="s">
        <v>26</v>
      </c>
      <c r="J2880" t="s">
        <v>671</v>
      </c>
      <c r="K2880" t="s">
        <v>103</v>
      </c>
      <c r="L2880">
        <v>78207</v>
      </c>
      <c r="M2880" t="s">
        <v>104</v>
      </c>
      <c r="N2880" t="s">
        <v>5427</v>
      </c>
      <c r="O2880" t="s">
        <v>45</v>
      </c>
      <c r="P2880" t="s">
        <v>46</v>
      </c>
      <c r="Q2880" t="s">
        <v>5428</v>
      </c>
      <c r="R2880">
        <v>60.143999999999998</v>
      </c>
      <c r="S2880">
        <v>6</v>
      </c>
      <c r="T2880">
        <v>0.2</v>
      </c>
      <c r="U2880">
        <v>20.2986</v>
      </c>
      <c r="V2880" t="str">
        <f t="shared" si="44"/>
        <v>Peter McVee</v>
      </c>
      <c r="W2880">
        <f>Table2[Profit]/Table2[Sales]</f>
        <v>0.33750000000000002</v>
      </c>
    </row>
    <row r="2881" spans="1:23" x14ac:dyDescent="0.25">
      <c r="A2881">
        <v>2880</v>
      </c>
      <c r="B2881" t="s">
        <v>8268</v>
      </c>
      <c r="C2881" s="1">
        <v>42986</v>
      </c>
      <c r="D2881" s="1">
        <v>42990</v>
      </c>
      <c r="E2881" t="s">
        <v>22</v>
      </c>
      <c r="F2881" t="s">
        <v>7674</v>
      </c>
      <c r="G2881" t="s">
        <v>7675</v>
      </c>
      <c r="H2881" t="s">
        <v>40</v>
      </c>
      <c r="I2881" t="s">
        <v>26</v>
      </c>
      <c r="J2881" t="s">
        <v>181</v>
      </c>
      <c r="K2881" t="s">
        <v>103</v>
      </c>
      <c r="L2881">
        <v>77070</v>
      </c>
      <c r="M2881" t="s">
        <v>104</v>
      </c>
      <c r="N2881" t="s">
        <v>3566</v>
      </c>
      <c r="O2881" t="s">
        <v>70</v>
      </c>
      <c r="P2881" t="s">
        <v>158</v>
      </c>
      <c r="Q2881" t="s">
        <v>3567</v>
      </c>
      <c r="R2881">
        <v>85.2</v>
      </c>
      <c r="S2881">
        <v>6</v>
      </c>
      <c r="T2881">
        <v>0.2</v>
      </c>
      <c r="U2881">
        <v>20.234999999999999</v>
      </c>
      <c r="V2881" t="str">
        <f t="shared" si="44"/>
        <v>Alex Russell</v>
      </c>
      <c r="W2881">
        <f>Table2[Profit]/Table2[Sales]</f>
        <v>0.23749999999999999</v>
      </c>
    </row>
    <row r="2882" spans="1:23" x14ac:dyDescent="0.25">
      <c r="A2882">
        <v>2881</v>
      </c>
      <c r="B2882" t="s">
        <v>8269</v>
      </c>
      <c r="C2882" s="1">
        <v>42060</v>
      </c>
      <c r="D2882" s="1">
        <v>42064</v>
      </c>
      <c r="E2882" t="s">
        <v>49</v>
      </c>
      <c r="F2882" t="s">
        <v>2338</v>
      </c>
      <c r="G2882" t="s">
        <v>2339</v>
      </c>
      <c r="H2882" t="s">
        <v>25</v>
      </c>
      <c r="I2882" t="s">
        <v>26</v>
      </c>
      <c r="J2882" t="s">
        <v>4803</v>
      </c>
      <c r="K2882" t="s">
        <v>1233</v>
      </c>
      <c r="L2882">
        <v>1453</v>
      </c>
      <c r="M2882" t="s">
        <v>145</v>
      </c>
      <c r="N2882" t="s">
        <v>4053</v>
      </c>
      <c r="O2882" t="s">
        <v>45</v>
      </c>
      <c r="P2882" t="s">
        <v>46</v>
      </c>
      <c r="Q2882" t="s">
        <v>4054</v>
      </c>
      <c r="R2882">
        <v>3.15</v>
      </c>
      <c r="S2882">
        <v>1</v>
      </c>
      <c r="T2882">
        <v>0</v>
      </c>
      <c r="U2882">
        <v>1.512</v>
      </c>
      <c r="V2882" t="str">
        <f t="shared" si="44"/>
        <v>Sung Shariari</v>
      </c>
      <c r="W2882">
        <f>Table2[Profit]/Table2[Sales]</f>
        <v>0.48000000000000004</v>
      </c>
    </row>
    <row r="2883" spans="1:23" x14ac:dyDescent="0.25">
      <c r="A2883">
        <v>2882</v>
      </c>
      <c r="B2883" t="s">
        <v>8270</v>
      </c>
      <c r="C2883" s="1">
        <v>42271</v>
      </c>
      <c r="D2883" s="1">
        <v>42275</v>
      </c>
      <c r="E2883" t="s">
        <v>49</v>
      </c>
      <c r="F2883" t="s">
        <v>3807</v>
      </c>
      <c r="G2883" t="s">
        <v>3808</v>
      </c>
      <c r="H2883" t="s">
        <v>40</v>
      </c>
      <c r="I2883" t="s">
        <v>26</v>
      </c>
      <c r="J2883" t="s">
        <v>41</v>
      </c>
      <c r="K2883" t="s">
        <v>42</v>
      </c>
      <c r="L2883">
        <v>90032</v>
      </c>
      <c r="M2883" t="s">
        <v>43</v>
      </c>
      <c r="N2883" t="s">
        <v>2015</v>
      </c>
      <c r="O2883" t="s">
        <v>31</v>
      </c>
      <c r="P2883" t="s">
        <v>64</v>
      </c>
      <c r="Q2883" t="s">
        <v>2016</v>
      </c>
      <c r="R2883">
        <v>14.91</v>
      </c>
      <c r="S2883">
        <v>3</v>
      </c>
      <c r="T2883">
        <v>0</v>
      </c>
      <c r="U2883">
        <v>4.6220999999999997</v>
      </c>
      <c r="V2883" t="str">
        <f t="shared" ref="V2883:V2946" si="45">TRIM(G2883)</f>
        <v>Shaun Chance</v>
      </c>
      <c r="W2883">
        <f>Table2[Profit]/Table2[Sales]</f>
        <v>0.31</v>
      </c>
    </row>
    <row r="2884" spans="1:23" x14ac:dyDescent="0.25">
      <c r="A2884">
        <v>2883</v>
      </c>
      <c r="B2884" t="s">
        <v>8271</v>
      </c>
      <c r="C2884" s="1">
        <v>42334</v>
      </c>
      <c r="D2884" s="1">
        <v>42339</v>
      </c>
      <c r="E2884" t="s">
        <v>49</v>
      </c>
      <c r="F2884" t="s">
        <v>888</v>
      </c>
      <c r="G2884" t="s">
        <v>889</v>
      </c>
      <c r="H2884" t="s">
        <v>40</v>
      </c>
      <c r="I2884" t="s">
        <v>26</v>
      </c>
      <c r="J2884" t="s">
        <v>311</v>
      </c>
      <c r="K2884" t="s">
        <v>590</v>
      </c>
      <c r="L2884">
        <v>65807</v>
      </c>
      <c r="M2884" t="s">
        <v>104</v>
      </c>
      <c r="N2884" t="s">
        <v>1369</v>
      </c>
      <c r="O2884" t="s">
        <v>70</v>
      </c>
      <c r="P2884" t="s">
        <v>1204</v>
      </c>
      <c r="Q2884" t="s">
        <v>1370</v>
      </c>
      <c r="R2884">
        <v>599.99</v>
      </c>
      <c r="S2884">
        <v>1</v>
      </c>
      <c r="T2884">
        <v>0</v>
      </c>
      <c r="U2884">
        <v>233.99610000000001</v>
      </c>
      <c r="V2884" t="str">
        <f t="shared" si="45"/>
        <v>Erin Ashbrook</v>
      </c>
      <c r="W2884">
        <f>Table2[Profit]/Table2[Sales]</f>
        <v>0.39</v>
      </c>
    </row>
    <row r="2885" spans="1:23" x14ac:dyDescent="0.25">
      <c r="A2885">
        <v>2884</v>
      </c>
      <c r="B2885" t="s">
        <v>8272</v>
      </c>
      <c r="C2885" s="1">
        <v>42613</v>
      </c>
      <c r="D2885" s="1">
        <v>42619</v>
      </c>
      <c r="E2885" t="s">
        <v>49</v>
      </c>
      <c r="F2885" t="s">
        <v>1969</v>
      </c>
      <c r="G2885" t="s">
        <v>1970</v>
      </c>
      <c r="H2885" t="s">
        <v>25</v>
      </c>
      <c r="I2885" t="s">
        <v>26</v>
      </c>
      <c r="J2885" t="s">
        <v>7845</v>
      </c>
      <c r="K2885" t="s">
        <v>103</v>
      </c>
      <c r="L2885">
        <v>76706</v>
      </c>
      <c r="M2885" t="s">
        <v>104</v>
      </c>
      <c r="N2885" t="s">
        <v>1399</v>
      </c>
      <c r="O2885" t="s">
        <v>45</v>
      </c>
      <c r="P2885" t="s">
        <v>58</v>
      </c>
      <c r="Q2885" t="s">
        <v>1400</v>
      </c>
      <c r="R2885">
        <v>23.968</v>
      </c>
      <c r="S2885">
        <v>2</v>
      </c>
      <c r="T2885">
        <v>0.2</v>
      </c>
      <c r="U2885">
        <v>2.3967999999999998</v>
      </c>
      <c r="V2885" t="str">
        <f t="shared" si="45"/>
        <v>Theone Pippenger</v>
      </c>
      <c r="W2885">
        <f>Table2[Profit]/Table2[Sales]</f>
        <v>9.9999999999999992E-2</v>
      </c>
    </row>
    <row r="2886" spans="1:23" x14ac:dyDescent="0.25">
      <c r="A2886">
        <v>2885</v>
      </c>
      <c r="B2886" t="s">
        <v>8273</v>
      </c>
      <c r="C2886" s="1">
        <v>42472</v>
      </c>
      <c r="D2886" s="1">
        <v>42476</v>
      </c>
      <c r="E2886" t="s">
        <v>49</v>
      </c>
      <c r="F2886" t="s">
        <v>3652</v>
      </c>
      <c r="G2886" t="s">
        <v>3653</v>
      </c>
      <c r="H2886" t="s">
        <v>25</v>
      </c>
      <c r="I2886" t="s">
        <v>26</v>
      </c>
      <c r="J2886" t="s">
        <v>41</v>
      </c>
      <c r="K2886" t="s">
        <v>42</v>
      </c>
      <c r="L2886">
        <v>90036</v>
      </c>
      <c r="M2886" t="s">
        <v>43</v>
      </c>
      <c r="N2886" t="s">
        <v>8175</v>
      </c>
      <c r="O2886" t="s">
        <v>31</v>
      </c>
      <c r="P2886" t="s">
        <v>35</v>
      </c>
      <c r="Q2886" t="s">
        <v>8176</v>
      </c>
      <c r="R2886">
        <v>638.28800000000001</v>
      </c>
      <c r="S2886">
        <v>7</v>
      </c>
      <c r="T2886">
        <v>0.2</v>
      </c>
      <c r="U2886">
        <v>-31.914400000000001</v>
      </c>
      <c r="V2886" t="str">
        <f t="shared" si="45"/>
        <v>Beth Paige</v>
      </c>
      <c r="W2886">
        <f>Table2[Profit]/Table2[Sales]</f>
        <v>-0.05</v>
      </c>
    </row>
    <row r="2887" spans="1:23" x14ac:dyDescent="0.25">
      <c r="A2887">
        <v>2886</v>
      </c>
      <c r="B2887" t="s">
        <v>8274</v>
      </c>
      <c r="C2887" s="1">
        <v>42708</v>
      </c>
      <c r="D2887" s="1">
        <v>42712</v>
      </c>
      <c r="E2887" t="s">
        <v>49</v>
      </c>
      <c r="F2887" t="s">
        <v>1827</v>
      </c>
      <c r="G2887" t="s">
        <v>1828</v>
      </c>
      <c r="H2887" t="s">
        <v>25</v>
      </c>
      <c r="I2887" t="s">
        <v>26</v>
      </c>
      <c r="J2887" t="s">
        <v>1540</v>
      </c>
      <c r="K2887" t="s">
        <v>264</v>
      </c>
      <c r="L2887">
        <v>13021</v>
      </c>
      <c r="M2887" t="s">
        <v>145</v>
      </c>
      <c r="N2887" t="s">
        <v>2412</v>
      </c>
      <c r="O2887" t="s">
        <v>45</v>
      </c>
      <c r="P2887" t="s">
        <v>74</v>
      </c>
      <c r="Q2887" t="s">
        <v>2413</v>
      </c>
      <c r="R2887">
        <v>15.528</v>
      </c>
      <c r="S2887">
        <v>3</v>
      </c>
      <c r="T2887">
        <v>0.2</v>
      </c>
      <c r="U2887">
        <v>5.8230000000000004</v>
      </c>
      <c r="V2887" t="str">
        <f t="shared" si="45"/>
        <v>Liz MacKendrick</v>
      </c>
      <c r="W2887">
        <f>Table2[Profit]/Table2[Sales]</f>
        <v>0.375</v>
      </c>
    </row>
    <row r="2888" spans="1:23" x14ac:dyDescent="0.25">
      <c r="A2888">
        <v>2887</v>
      </c>
      <c r="B2888" t="s">
        <v>8275</v>
      </c>
      <c r="C2888" s="1">
        <v>42708</v>
      </c>
      <c r="D2888" s="1">
        <v>42713</v>
      </c>
      <c r="E2888" t="s">
        <v>49</v>
      </c>
      <c r="F2888" t="s">
        <v>3668</v>
      </c>
      <c r="G2888" t="s">
        <v>3669</v>
      </c>
      <c r="H2888" t="s">
        <v>25</v>
      </c>
      <c r="I2888" t="s">
        <v>26</v>
      </c>
      <c r="J2888" t="s">
        <v>126</v>
      </c>
      <c r="K2888" t="s">
        <v>42</v>
      </c>
      <c r="L2888">
        <v>94109</v>
      </c>
      <c r="M2888" t="s">
        <v>43</v>
      </c>
      <c r="N2888" t="s">
        <v>3500</v>
      </c>
      <c r="O2888" t="s">
        <v>45</v>
      </c>
      <c r="P2888" t="s">
        <v>89</v>
      </c>
      <c r="Q2888" t="s">
        <v>3501</v>
      </c>
      <c r="R2888">
        <v>104.85</v>
      </c>
      <c r="S2888">
        <v>1</v>
      </c>
      <c r="T2888">
        <v>0</v>
      </c>
      <c r="U2888">
        <v>50.328000000000003</v>
      </c>
      <c r="V2888" t="str">
        <f t="shared" si="45"/>
        <v>Kean Takahito</v>
      </c>
      <c r="W2888">
        <f>Table2[Profit]/Table2[Sales]</f>
        <v>0.48000000000000004</v>
      </c>
    </row>
    <row r="2889" spans="1:23" x14ac:dyDescent="0.25">
      <c r="A2889">
        <v>2888</v>
      </c>
      <c r="B2889" t="s">
        <v>8276</v>
      </c>
      <c r="C2889" s="1">
        <v>41954</v>
      </c>
      <c r="D2889" s="1">
        <v>41961</v>
      </c>
      <c r="E2889" t="s">
        <v>49</v>
      </c>
      <c r="F2889" t="s">
        <v>2255</v>
      </c>
      <c r="G2889" t="s">
        <v>2256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1547</v>
      </c>
      <c r="O2889" t="s">
        <v>45</v>
      </c>
      <c r="P2889" t="s">
        <v>67</v>
      </c>
      <c r="Q2889" t="s">
        <v>1548</v>
      </c>
      <c r="R2889">
        <v>30.48</v>
      </c>
      <c r="S2889">
        <v>3</v>
      </c>
      <c r="T2889">
        <v>0</v>
      </c>
      <c r="U2889">
        <v>7.9248000000000003</v>
      </c>
      <c r="V2889" t="str">
        <f t="shared" si="45"/>
        <v>Arthur Prichep</v>
      </c>
      <c r="W2889">
        <f>Table2[Profit]/Table2[Sales]</f>
        <v>0.26</v>
      </c>
    </row>
    <row r="2890" spans="1:23" x14ac:dyDescent="0.25">
      <c r="A2890">
        <v>2889</v>
      </c>
      <c r="B2890" t="s">
        <v>8277</v>
      </c>
      <c r="C2890" s="1">
        <v>42096</v>
      </c>
      <c r="D2890" s="1">
        <v>42103</v>
      </c>
      <c r="E2890" t="s">
        <v>49</v>
      </c>
      <c r="F2890" t="s">
        <v>3927</v>
      </c>
      <c r="G2890" t="s">
        <v>3928</v>
      </c>
      <c r="H2890" t="s">
        <v>25</v>
      </c>
      <c r="I2890" t="s">
        <v>26</v>
      </c>
      <c r="J2890" t="s">
        <v>41</v>
      </c>
      <c r="K2890" t="s">
        <v>42</v>
      </c>
      <c r="L2890">
        <v>90049</v>
      </c>
      <c r="M2890" t="s">
        <v>43</v>
      </c>
      <c r="N2890" t="s">
        <v>8278</v>
      </c>
      <c r="O2890" t="s">
        <v>70</v>
      </c>
      <c r="P2890" t="s">
        <v>675</v>
      </c>
      <c r="Q2890" t="s">
        <v>8279</v>
      </c>
      <c r="R2890">
        <v>71.975999999999999</v>
      </c>
      <c r="S2890">
        <v>3</v>
      </c>
      <c r="T2890">
        <v>0.2</v>
      </c>
      <c r="U2890">
        <v>24.291899999999998</v>
      </c>
      <c r="V2890" t="str">
        <f t="shared" si="45"/>
        <v>John Dryer</v>
      </c>
      <c r="W2890">
        <f>Table2[Profit]/Table2[Sales]</f>
        <v>0.33749999999999997</v>
      </c>
    </row>
    <row r="2891" spans="1:23" x14ac:dyDescent="0.25">
      <c r="A2891">
        <v>2890</v>
      </c>
      <c r="B2891" t="s">
        <v>8280</v>
      </c>
      <c r="C2891" s="1">
        <v>42350</v>
      </c>
      <c r="D2891" s="1">
        <v>42354</v>
      </c>
      <c r="E2891" t="s">
        <v>22</v>
      </c>
      <c r="F2891" t="s">
        <v>1631</v>
      </c>
      <c r="G2891" t="s">
        <v>1632</v>
      </c>
      <c r="H2891" t="s">
        <v>25</v>
      </c>
      <c r="I2891" t="s">
        <v>26</v>
      </c>
      <c r="J2891" t="s">
        <v>8281</v>
      </c>
      <c r="K2891" t="s">
        <v>42</v>
      </c>
      <c r="L2891">
        <v>95928</v>
      </c>
      <c r="M2891" t="s">
        <v>43</v>
      </c>
      <c r="N2891" t="s">
        <v>632</v>
      </c>
      <c r="O2891" t="s">
        <v>45</v>
      </c>
      <c r="P2891" t="s">
        <v>67</v>
      </c>
      <c r="Q2891" t="s">
        <v>633</v>
      </c>
      <c r="R2891">
        <v>2.21</v>
      </c>
      <c r="S2891">
        <v>1</v>
      </c>
      <c r="T2891">
        <v>0</v>
      </c>
      <c r="U2891">
        <v>0.59670000000000001</v>
      </c>
      <c r="V2891" t="str">
        <f t="shared" si="45"/>
        <v>Xylona Preis</v>
      </c>
      <c r="W2891">
        <f>Table2[Profit]/Table2[Sales]</f>
        <v>0.27</v>
      </c>
    </row>
    <row r="2892" spans="1:23" x14ac:dyDescent="0.25">
      <c r="A2892">
        <v>2891</v>
      </c>
      <c r="B2892" t="s">
        <v>8282</v>
      </c>
      <c r="C2892" s="1">
        <v>43010</v>
      </c>
      <c r="D2892" s="1">
        <v>43016</v>
      </c>
      <c r="E2892" t="s">
        <v>49</v>
      </c>
      <c r="F2892" t="s">
        <v>8106</v>
      </c>
      <c r="G2892" t="s">
        <v>8107</v>
      </c>
      <c r="H2892" t="s">
        <v>25</v>
      </c>
      <c r="I2892" t="s">
        <v>26</v>
      </c>
      <c r="J2892" t="s">
        <v>311</v>
      </c>
      <c r="K2892" t="s">
        <v>413</v>
      </c>
      <c r="L2892">
        <v>97477</v>
      </c>
      <c r="M2892" t="s">
        <v>43</v>
      </c>
      <c r="N2892" t="s">
        <v>1429</v>
      </c>
      <c r="O2892" t="s">
        <v>31</v>
      </c>
      <c r="P2892" t="s">
        <v>32</v>
      </c>
      <c r="Q2892" t="s">
        <v>1430</v>
      </c>
      <c r="R2892">
        <v>217.76400000000001</v>
      </c>
      <c r="S2892">
        <v>6</v>
      </c>
      <c r="T2892">
        <v>0.7</v>
      </c>
      <c r="U2892">
        <v>-384.71640000000002</v>
      </c>
      <c r="V2892" t="str">
        <f t="shared" si="45"/>
        <v>Juliana Krohn</v>
      </c>
      <c r="W2892">
        <f>Table2[Profit]/Table2[Sales]</f>
        <v>-1.7666666666666666</v>
      </c>
    </row>
    <row r="2893" spans="1:23" x14ac:dyDescent="0.25">
      <c r="A2893">
        <v>2892</v>
      </c>
      <c r="B2893" t="s">
        <v>8283</v>
      </c>
      <c r="C2893" s="1">
        <v>42835</v>
      </c>
      <c r="D2893" s="1">
        <v>42839</v>
      </c>
      <c r="E2893" t="s">
        <v>22</v>
      </c>
      <c r="F2893" t="s">
        <v>8284</v>
      </c>
      <c r="G2893" t="s">
        <v>8285</v>
      </c>
      <c r="H2893" t="s">
        <v>40</v>
      </c>
      <c r="I2893" t="s">
        <v>26</v>
      </c>
      <c r="J2893" t="s">
        <v>1507</v>
      </c>
      <c r="K2893" t="s">
        <v>53</v>
      </c>
      <c r="L2893">
        <v>32216</v>
      </c>
      <c r="M2893" t="s">
        <v>29</v>
      </c>
      <c r="N2893" t="s">
        <v>5633</v>
      </c>
      <c r="O2893" t="s">
        <v>31</v>
      </c>
      <c r="P2893" t="s">
        <v>64</v>
      </c>
      <c r="Q2893" t="s">
        <v>5634</v>
      </c>
      <c r="R2893">
        <v>12.32</v>
      </c>
      <c r="S2893">
        <v>5</v>
      </c>
      <c r="T2893">
        <v>0.2</v>
      </c>
      <c r="U2893">
        <v>1.8480000000000001</v>
      </c>
      <c r="V2893" t="str">
        <f t="shared" si="45"/>
        <v>Mitch Gastineau</v>
      </c>
      <c r="W2893">
        <f>Table2[Profit]/Table2[Sales]</f>
        <v>0.15</v>
      </c>
    </row>
    <row r="2894" spans="1:23" x14ac:dyDescent="0.25">
      <c r="A2894">
        <v>2893</v>
      </c>
      <c r="B2894" t="s">
        <v>8286</v>
      </c>
      <c r="C2894" s="1">
        <v>43007</v>
      </c>
      <c r="D2894" s="1">
        <v>43010</v>
      </c>
      <c r="E2894" t="s">
        <v>185</v>
      </c>
      <c r="F2894" t="s">
        <v>2536</v>
      </c>
      <c r="G2894" t="s">
        <v>2537</v>
      </c>
      <c r="H2894" t="s">
        <v>25</v>
      </c>
      <c r="I2894" t="s">
        <v>26</v>
      </c>
      <c r="J2894" t="s">
        <v>5826</v>
      </c>
      <c r="K2894" t="s">
        <v>42</v>
      </c>
      <c r="L2894">
        <v>93309</v>
      </c>
      <c r="M2894" t="s">
        <v>43</v>
      </c>
      <c r="N2894" t="s">
        <v>2541</v>
      </c>
      <c r="O2894" t="s">
        <v>45</v>
      </c>
      <c r="P2894" t="s">
        <v>266</v>
      </c>
      <c r="Q2894" t="s">
        <v>2542</v>
      </c>
      <c r="R2894">
        <v>35</v>
      </c>
      <c r="S2894">
        <v>7</v>
      </c>
      <c r="T2894">
        <v>0</v>
      </c>
      <c r="U2894">
        <v>16.8</v>
      </c>
      <c r="V2894" t="str">
        <f t="shared" si="45"/>
        <v>Patrick Gardner</v>
      </c>
      <c r="W2894">
        <f>Table2[Profit]/Table2[Sales]</f>
        <v>0.48000000000000004</v>
      </c>
    </row>
    <row r="2895" spans="1:23" x14ac:dyDescent="0.25">
      <c r="A2895">
        <v>2894</v>
      </c>
      <c r="B2895" t="s">
        <v>8287</v>
      </c>
      <c r="C2895" s="1">
        <v>41911</v>
      </c>
      <c r="D2895" s="1">
        <v>41915</v>
      </c>
      <c r="E2895" t="s">
        <v>22</v>
      </c>
      <c r="F2895" t="s">
        <v>3602</v>
      </c>
      <c r="G2895" t="s">
        <v>3603</v>
      </c>
      <c r="H2895" t="s">
        <v>25</v>
      </c>
      <c r="I2895" t="s">
        <v>26</v>
      </c>
      <c r="J2895" t="s">
        <v>263</v>
      </c>
      <c r="K2895" t="s">
        <v>264</v>
      </c>
      <c r="L2895">
        <v>10011</v>
      </c>
      <c r="M2895" t="s">
        <v>145</v>
      </c>
      <c r="N2895" t="s">
        <v>5963</v>
      </c>
      <c r="O2895" t="s">
        <v>45</v>
      </c>
      <c r="P2895" t="s">
        <v>58</v>
      </c>
      <c r="Q2895" t="s">
        <v>5964</v>
      </c>
      <c r="R2895">
        <v>1395.54</v>
      </c>
      <c r="S2895">
        <v>9</v>
      </c>
      <c r="T2895">
        <v>0</v>
      </c>
      <c r="U2895">
        <v>362.84039999999999</v>
      </c>
      <c r="V2895" t="str">
        <f t="shared" si="45"/>
        <v>Lisa DeCherney</v>
      </c>
      <c r="W2895">
        <f>Table2[Profit]/Table2[Sales]</f>
        <v>0.26</v>
      </c>
    </row>
    <row r="2896" spans="1:23" x14ac:dyDescent="0.25">
      <c r="A2896">
        <v>2895</v>
      </c>
      <c r="B2896" t="s">
        <v>8288</v>
      </c>
      <c r="C2896" s="1">
        <v>41871</v>
      </c>
      <c r="D2896" s="1">
        <v>41876</v>
      </c>
      <c r="E2896" t="s">
        <v>22</v>
      </c>
      <c r="F2896" t="s">
        <v>2120</v>
      </c>
      <c r="G2896" t="s">
        <v>2121</v>
      </c>
      <c r="H2896" t="s">
        <v>25</v>
      </c>
      <c r="I2896" t="s">
        <v>26</v>
      </c>
      <c r="J2896" t="s">
        <v>296</v>
      </c>
      <c r="K2896" t="s">
        <v>208</v>
      </c>
      <c r="L2896">
        <v>60610</v>
      </c>
      <c r="M2896" t="s">
        <v>104</v>
      </c>
      <c r="N2896" t="s">
        <v>6208</v>
      </c>
      <c r="O2896" t="s">
        <v>31</v>
      </c>
      <c r="P2896" t="s">
        <v>35</v>
      </c>
      <c r="Q2896" t="s">
        <v>6209</v>
      </c>
      <c r="R2896">
        <v>421.37200000000001</v>
      </c>
      <c r="S2896">
        <v>2</v>
      </c>
      <c r="T2896">
        <v>0.3</v>
      </c>
      <c r="U2896">
        <v>-6.0195999999999996</v>
      </c>
      <c r="V2896" t="str">
        <f t="shared" si="45"/>
        <v>Craig Reiter</v>
      </c>
      <c r="W2896">
        <f>Table2[Profit]/Table2[Sales]</f>
        <v>-1.4285714285714284E-2</v>
      </c>
    </row>
    <row r="2897" spans="1:23" x14ac:dyDescent="0.25">
      <c r="A2897">
        <v>2896</v>
      </c>
      <c r="B2897" t="s">
        <v>8289</v>
      </c>
      <c r="C2897" s="1">
        <v>41831</v>
      </c>
      <c r="D2897" s="1">
        <v>41834</v>
      </c>
      <c r="E2897" t="s">
        <v>185</v>
      </c>
      <c r="F2897" t="s">
        <v>3608</v>
      </c>
      <c r="G2897" t="s">
        <v>3609</v>
      </c>
      <c r="H2897" t="s">
        <v>25</v>
      </c>
      <c r="I2897" t="s">
        <v>26</v>
      </c>
      <c r="J2897" t="s">
        <v>4086</v>
      </c>
      <c r="K2897" t="s">
        <v>103</v>
      </c>
      <c r="L2897">
        <v>79907</v>
      </c>
      <c r="M2897" t="s">
        <v>104</v>
      </c>
      <c r="N2897" t="s">
        <v>4505</v>
      </c>
      <c r="O2897" t="s">
        <v>70</v>
      </c>
      <c r="P2897" t="s">
        <v>71</v>
      </c>
      <c r="Q2897" t="s">
        <v>4506</v>
      </c>
      <c r="R2897">
        <v>575.96799999999996</v>
      </c>
      <c r="S2897">
        <v>4</v>
      </c>
      <c r="T2897">
        <v>0.2</v>
      </c>
      <c r="U2897">
        <v>43.197600000000001</v>
      </c>
      <c r="V2897" t="str">
        <f t="shared" si="45"/>
        <v>Michael Nguyen</v>
      </c>
      <c r="W2897">
        <f>Table2[Profit]/Table2[Sales]</f>
        <v>7.5000000000000011E-2</v>
      </c>
    </row>
    <row r="2898" spans="1:23" x14ac:dyDescent="0.25">
      <c r="A2898">
        <v>2897</v>
      </c>
      <c r="B2898" t="s">
        <v>8290</v>
      </c>
      <c r="C2898" s="1">
        <v>42085</v>
      </c>
      <c r="D2898" s="1">
        <v>42087</v>
      </c>
      <c r="E2898" t="s">
        <v>185</v>
      </c>
      <c r="F2898" t="s">
        <v>657</v>
      </c>
      <c r="G2898" t="s">
        <v>658</v>
      </c>
      <c r="H2898" t="s">
        <v>25</v>
      </c>
      <c r="I2898" t="s">
        <v>26</v>
      </c>
      <c r="J2898" t="s">
        <v>5299</v>
      </c>
      <c r="K2898" t="s">
        <v>42</v>
      </c>
      <c r="L2898">
        <v>91360</v>
      </c>
      <c r="M2898" t="s">
        <v>43</v>
      </c>
      <c r="N2898" t="s">
        <v>1658</v>
      </c>
      <c r="O2898" t="s">
        <v>70</v>
      </c>
      <c r="P2898" t="s">
        <v>71</v>
      </c>
      <c r="Q2898" t="s">
        <v>1659</v>
      </c>
      <c r="R2898">
        <v>15.984</v>
      </c>
      <c r="S2898">
        <v>2</v>
      </c>
      <c r="T2898">
        <v>0.2</v>
      </c>
      <c r="U2898">
        <v>1.1988000000000001</v>
      </c>
      <c r="V2898" t="str">
        <f t="shared" si="45"/>
        <v>Ruben Dartt</v>
      </c>
      <c r="W2898">
        <f>Table2[Profit]/Table2[Sales]</f>
        <v>7.5000000000000011E-2</v>
      </c>
    </row>
    <row r="2899" spans="1:23" x14ac:dyDescent="0.25">
      <c r="A2899">
        <v>2898</v>
      </c>
      <c r="B2899" t="s">
        <v>8291</v>
      </c>
      <c r="C2899" s="1">
        <v>42867</v>
      </c>
      <c r="D2899" s="1">
        <v>42874</v>
      </c>
      <c r="E2899" t="s">
        <v>49</v>
      </c>
      <c r="F2899" t="s">
        <v>5797</v>
      </c>
      <c r="G2899" t="s">
        <v>5798</v>
      </c>
      <c r="H2899" t="s">
        <v>101</v>
      </c>
      <c r="I2899" t="s">
        <v>26</v>
      </c>
      <c r="J2899" t="s">
        <v>311</v>
      </c>
      <c r="K2899" t="s">
        <v>491</v>
      </c>
      <c r="L2899">
        <v>45503</v>
      </c>
      <c r="M2899" t="s">
        <v>145</v>
      </c>
      <c r="N2899" t="s">
        <v>4076</v>
      </c>
      <c r="O2899" t="s">
        <v>45</v>
      </c>
      <c r="P2899" t="s">
        <v>67</v>
      </c>
      <c r="Q2899" t="s">
        <v>4077</v>
      </c>
      <c r="R2899">
        <v>10.272</v>
      </c>
      <c r="S2899">
        <v>3</v>
      </c>
      <c r="T2899">
        <v>0.2</v>
      </c>
      <c r="U2899">
        <v>1.1556</v>
      </c>
      <c r="V2899" t="str">
        <f t="shared" si="45"/>
        <v>Julie Prescott</v>
      </c>
      <c r="W2899">
        <f>Table2[Profit]/Table2[Sales]</f>
        <v>0.11249999999999999</v>
      </c>
    </row>
    <row r="2900" spans="1:23" x14ac:dyDescent="0.25">
      <c r="A2900">
        <v>2899</v>
      </c>
      <c r="B2900" t="s">
        <v>8292</v>
      </c>
      <c r="C2900" s="1">
        <v>43052</v>
      </c>
      <c r="D2900" s="1">
        <v>43058</v>
      </c>
      <c r="E2900" t="s">
        <v>49</v>
      </c>
      <c r="F2900" t="s">
        <v>6824</v>
      </c>
      <c r="G2900" t="s">
        <v>6825</v>
      </c>
      <c r="H2900" t="s">
        <v>40</v>
      </c>
      <c r="I2900" t="s">
        <v>26</v>
      </c>
      <c r="J2900" t="s">
        <v>808</v>
      </c>
      <c r="K2900" t="s">
        <v>103</v>
      </c>
      <c r="L2900">
        <v>75220</v>
      </c>
      <c r="M2900" t="s">
        <v>104</v>
      </c>
      <c r="N2900" t="s">
        <v>4787</v>
      </c>
      <c r="O2900" t="s">
        <v>45</v>
      </c>
      <c r="P2900" t="s">
        <v>58</v>
      </c>
      <c r="Q2900" t="s">
        <v>4788</v>
      </c>
      <c r="R2900">
        <v>61.792000000000002</v>
      </c>
      <c r="S2900">
        <v>4</v>
      </c>
      <c r="T2900">
        <v>0.2</v>
      </c>
      <c r="U2900">
        <v>6.1791999999999998</v>
      </c>
      <c r="V2900" t="str">
        <f t="shared" si="45"/>
        <v>Katrina Edelman</v>
      </c>
      <c r="W2900">
        <f>Table2[Profit]/Table2[Sales]</f>
        <v>9.9999999999999992E-2</v>
      </c>
    </row>
    <row r="2901" spans="1:23" x14ac:dyDescent="0.25">
      <c r="A2901">
        <v>2900</v>
      </c>
      <c r="B2901" t="s">
        <v>8293</v>
      </c>
      <c r="C2901" s="1">
        <v>42617</v>
      </c>
      <c r="D2901" s="1">
        <v>42620</v>
      </c>
      <c r="E2901" t="s">
        <v>22</v>
      </c>
      <c r="F2901" t="s">
        <v>945</v>
      </c>
      <c r="G2901" t="s">
        <v>946</v>
      </c>
      <c r="H2901" t="s">
        <v>25</v>
      </c>
      <c r="I2901" t="s">
        <v>26</v>
      </c>
      <c r="J2901" t="s">
        <v>5032</v>
      </c>
      <c r="K2901" t="s">
        <v>328</v>
      </c>
      <c r="L2901">
        <v>37918</v>
      </c>
      <c r="M2901" t="s">
        <v>29</v>
      </c>
      <c r="N2901" t="s">
        <v>2803</v>
      </c>
      <c r="O2901" t="s">
        <v>45</v>
      </c>
      <c r="P2901" t="s">
        <v>89</v>
      </c>
      <c r="Q2901" t="s">
        <v>2804</v>
      </c>
      <c r="R2901">
        <v>12.192</v>
      </c>
      <c r="S2901">
        <v>3</v>
      </c>
      <c r="T2901">
        <v>0.2</v>
      </c>
      <c r="U2901">
        <v>4.1147999999999998</v>
      </c>
      <c r="V2901" t="str">
        <f t="shared" si="45"/>
        <v>Delfina Latchford</v>
      </c>
      <c r="W2901">
        <f>Table2[Profit]/Table2[Sales]</f>
        <v>0.33749999999999997</v>
      </c>
    </row>
    <row r="2902" spans="1:23" x14ac:dyDescent="0.25">
      <c r="A2902">
        <v>2901</v>
      </c>
      <c r="B2902" t="s">
        <v>8294</v>
      </c>
      <c r="C2902" s="1">
        <v>42406</v>
      </c>
      <c r="D2902" s="1">
        <v>42411</v>
      </c>
      <c r="E2902" t="s">
        <v>49</v>
      </c>
      <c r="F2902" t="s">
        <v>1781</v>
      </c>
      <c r="G2902" t="s">
        <v>1782</v>
      </c>
      <c r="H2902" t="s">
        <v>40</v>
      </c>
      <c r="I2902" t="s">
        <v>26</v>
      </c>
      <c r="J2902" t="s">
        <v>6103</v>
      </c>
      <c r="K2902" t="s">
        <v>328</v>
      </c>
      <c r="L2902">
        <v>37421</v>
      </c>
      <c r="M2902" t="s">
        <v>29</v>
      </c>
      <c r="N2902" t="s">
        <v>1832</v>
      </c>
      <c r="O2902" t="s">
        <v>31</v>
      </c>
      <c r="P2902" t="s">
        <v>64</v>
      </c>
      <c r="Q2902" t="s">
        <v>1833</v>
      </c>
      <c r="R2902">
        <v>132.22399999999999</v>
      </c>
      <c r="S2902">
        <v>4</v>
      </c>
      <c r="T2902">
        <v>0.2</v>
      </c>
      <c r="U2902">
        <v>-18.180800000000001</v>
      </c>
      <c r="V2902" t="str">
        <f t="shared" si="45"/>
        <v>Karen Bern</v>
      </c>
      <c r="W2902">
        <f>Table2[Profit]/Table2[Sales]</f>
        <v>-0.13750000000000001</v>
      </c>
    </row>
    <row r="2903" spans="1:23" x14ac:dyDescent="0.25">
      <c r="A2903">
        <v>2902</v>
      </c>
      <c r="B2903" t="s">
        <v>8295</v>
      </c>
      <c r="C2903" s="1">
        <v>42085</v>
      </c>
      <c r="D2903" s="1">
        <v>42089</v>
      </c>
      <c r="E2903" t="s">
        <v>49</v>
      </c>
      <c r="F2903" t="s">
        <v>2079</v>
      </c>
      <c r="G2903" t="s">
        <v>2080</v>
      </c>
      <c r="H2903" t="s">
        <v>40</v>
      </c>
      <c r="I2903" t="s">
        <v>26</v>
      </c>
      <c r="J2903" t="s">
        <v>941</v>
      </c>
      <c r="K2903" t="s">
        <v>42</v>
      </c>
      <c r="L2903">
        <v>92037</v>
      </c>
      <c r="M2903" t="s">
        <v>43</v>
      </c>
      <c r="N2903" t="s">
        <v>3138</v>
      </c>
      <c r="O2903" t="s">
        <v>45</v>
      </c>
      <c r="P2903" t="s">
        <v>89</v>
      </c>
      <c r="Q2903" t="s">
        <v>183</v>
      </c>
      <c r="R2903">
        <v>105.52</v>
      </c>
      <c r="S2903">
        <v>4</v>
      </c>
      <c r="T2903">
        <v>0</v>
      </c>
      <c r="U2903">
        <v>48.539200000000001</v>
      </c>
      <c r="V2903" t="str">
        <f t="shared" si="45"/>
        <v>Justin Deggeller</v>
      </c>
      <c r="W2903">
        <f>Table2[Profit]/Table2[Sales]</f>
        <v>0.46</v>
      </c>
    </row>
    <row r="2904" spans="1:23" x14ac:dyDescent="0.25">
      <c r="A2904">
        <v>2903</v>
      </c>
      <c r="B2904" t="s">
        <v>8298</v>
      </c>
      <c r="C2904" s="1">
        <v>42187</v>
      </c>
      <c r="D2904" s="1">
        <v>42188</v>
      </c>
      <c r="E2904" t="s">
        <v>185</v>
      </c>
      <c r="F2904" t="s">
        <v>2116</v>
      </c>
      <c r="G2904" t="s">
        <v>2117</v>
      </c>
      <c r="H2904" t="s">
        <v>101</v>
      </c>
      <c r="I2904" t="s">
        <v>26</v>
      </c>
      <c r="J2904" t="s">
        <v>263</v>
      </c>
      <c r="K2904" t="s">
        <v>264</v>
      </c>
      <c r="L2904">
        <v>10024</v>
      </c>
      <c r="M2904" t="s">
        <v>145</v>
      </c>
      <c r="N2904" t="s">
        <v>7814</v>
      </c>
      <c r="O2904" t="s">
        <v>45</v>
      </c>
      <c r="P2904" t="s">
        <v>89</v>
      </c>
      <c r="Q2904" t="s">
        <v>7815</v>
      </c>
      <c r="R2904">
        <v>19.440000000000001</v>
      </c>
      <c r="S2904">
        <v>3</v>
      </c>
      <c r="T2904">
        <v>0</v>
      </c>
      <c r="U2904">
        <v>9.3312000000000008</v>
      </c>
      <c r="V2904" t="str">
        <f t="shared" si="45"/>
        <v>Steven Roelle</v>
      </c>
      <c r="W2904">
        <f>Table2[Profit]/Table2[Sales]</f>
        <v>0.48000000000000004</v>
      </c>
    </row>
    <row r="2905" spans="1:23" x14ac:dyDescent="0.25">
      <c r="A2905">
        <v>2904</v>
      </c>
      <c r="B2905" t="s">
        <v>8299</v>
      </c>
      <c r="C2905" s="1">
        <v>42170</v>
      </c>
      <c r="D2905" s="1">
        <v>42172</v>
      </c>
      <c r="E2905" t="s">
        <v>185</v>
      </c>
      <c r="F2905" t="s">
        <v>4618</v>
      </c>
      <c r="G2905" t="s">
        <v>4619</v>
      </c>
      <c r="H2905" t="s">
        <v>25</v>
      </c>
      <c r="I2905" t="s">
        <v>26</v>
      </c>
      <c r="J2905" t="s">
        <v>893</v>
      </c>
      <c r="K2905" t="s">
        <v>53</v>
      </c>
      <c r="L2905">
        <v>33614</v>
      </c>
      <c r="M2905" t="s">
        <v>29</v>
      </c>
      <c r="N2905" t="s">
        <v>4734</v>
      </c>
      <c r="O2905" t="s">
        <v>70</v>
      </c>
      <c r="P2905" t="s">
        <v>158</v>
      </c>
      <c r="Q2905" t="s">
        <v>4735</v>
      </c>
      <c r="R2905">
        <v>11.672000000000001</v>
      </c>
      <c r="S2905">
        <v>1</v>
      </c>
      <c r="T2905">
        <v>0.2</v>
      </c>
      <c r="U2905">
        <v>-0.72950000000000004</v>
      </c>
      <c r="V2905" t="str">
        <f t="shared" si="45"/>
        <v>Amy Cox</v>
      </c>
      <c r="W2905">
        <f>Table2[Profit]/Table2[Sales]</f>
        <v>-6.25E-2</v>
      </c>
    </row>
    <row r="2906" spans="1:23" x14ac:dyDescent="0.25">
      <c r="A2906">
        <v>2905</v>
      </c>
      <c r="B2906" t="s">
        <v>8300</v>
      </c>
      <c r="C2906" s="1">
        <v>41969</v>
      </c>
      <c r="D2906" s="1">
        <v>41969</v>
      </c>
      <c r="E2906" t="s">
        <v>1278</v>
      </c>
      <c r="F2906" t="s">
        <v>1721</v>
      </c>
      <c r="G2906" t="s">
        <v>1722</v>
      </c>
      <c r="H2906" t="s">
        <v>25</v>
      </c>
      <c r="I2906" t="s">
        <v>26</v>
      </c>
      <c r="J2906" t="s">
        <v>8301</v>
      </c>
      <c r="K2906" t="s">
        <v>264</v>
      </c>
      <c r="L2906">
        <v>13501</v>
      </c>
      <c r="M2906" t="s">
        <v>145</v>
      </c>
      <c r="N2906" t="s">
        <v>2306</v>
      </c>
      <c r="O2906" t="s">
        <v>70</v>
      </c>
      <c r="P2906" t="s">
        <v>71</v>
      </c>
      <c r="Q2906" t="s">
        <v>2307</v>
      </c>
      <c r="R2906">
        <v>279.95999999999998</v>
      </c>
      <c r="S2906">
        <v>4</v>
      </c>
      <c r="T2906">
        <v>0</v>
      </c>
      <c r="U2906">
        <v>78.388800000000003</v>
      </c>
      <c r="V2906" t="str">
        <f t="shared" si="45"/>
        <v>Lynn Smith</v>
      </c>
      <c r="W2906">
        <f>Table2[Profit]/Table2[Sales]</f>
        <v>0.28000000000000003</v>
      </c>
    </row>
    <row r="2907" spans="1:23" x14ac:dyDescent="0.25">
      <c r="A2907">
        <v>2906</v>
      </c>
      <c r="B2907" t="s">
        <v>8302</v>
      </c>
      <c r="C2907" s="1">
        <v>42867</v>
      </c>
      <c r="D2907" s="1">
        <v>42873</v>
      </c>
      <c r="E2907" t="s">
        <v>49</v>
      </c>
      <c r="F2907" t="s">
        <v>6962</v>
      </c>
      <c r="G2907" t="s">
        <v>6963</v>
      </c>
      <c r="H2907" t="s">
        <v>40</v>
      </c>
      <c r="I2907" t="s">
        <v>26</v>
      </c>
      <c r="J2907" t="s">
        <v>126</v>
      </c>
      <c r="K2907" t="s">
        <v>42</v>
      </c>
      <c r="L2907">
        <v>94122</v>
      </c>
      <c r="M2907" t="s">
        <v>43</v>
      </c>
      <c r="N2907" t="s">
        <v>5766</v>
      </c>
      <c r="O2907" t="s">
        <v>45</v>
      </c>
      <c r="P2907" t="s">
        <v>572</v>
      </c>
      <c r="Q2907" t="s">
        <v>5767</v>
      </c>
      <c r="R2907">
        <v>238.62</v>
      </c>
      <c r="S2907">
        <v>2</v>
      </c>
      <c r="T2907">
        <v>0</v>
      </c>
      <c r="U2907">
        <v>4.7724000000000002</v>
      </c>
      <c r="V2907" t="str">
        <f t="shared" si="45"/>
        <v>Charles Sheldon</v>
      </c>
      <c r="W2907">
        <f>Table2[Profit]/Table2[Sales]</f>
        <v>0.02</v>
      </c>
    </row>
    <row r="2908" spans="1:23" x14ac:dyDescent="0.25">
      <c r="A2908">
        <v>2907</v>
      </c>
      <c r="B2908" t="s">
        <v>8303</v>
      </c>
      <c r="C2908" s="1">
        <v>41761</v>
      </c>
      <c r="D2908" s="1">
        <v>41761</v>
      </c>
      <c r="E2908" t="s">
        <v>1278</v>
      </c>
      <c r="F2908" t="s">
        <v>1986</v>
      </c>
      <c r="G2908" t="s">
        <v>1987</v>
      </c>
      <c r="H2908" t="s">
        <v>25</v>
      </c>
      <c r="I2908" t="s">
        <v>26</v>
      </c>
      <c r="J2908" t="s">
        <v>490</v>
      </c>
      <c r="K2908" t="s">
        <v>491</v>
      </c>
      <c r="L2908">
        <v>43229</v>
      </c>
      <c r="M2908" t="s">
        <v>145</v>
      </c>
      <c r="N2908" t="s">
        <v>3548</v>
      </c>
      <c r="O2908" t="s">
        <v>45</v>
      </c>
      <c r="P2908" t="s">
        <v>77</v>
      </c>
      <c r="Q2908" t="s">
        <v>3549</v>
      </c>
      <c r="R2908">
        <v>26.135999999999999</v>
      </c>
      <c r="S2908">
        <v>3</v>
      </c>
      <c r="T2908">
        <v>0.2</v>
      </c>
      <c r="U2908">
        <v>1.9601999999999999</v>
      </c>
      <c r="V2908" t="str">
        <f t="shared" si="45"/>
        <v>Andrew Roberts</v>
      </c>
      <c r="W2908">
        <f>Table2[Profit]/Table2[Sales]</f>
        <v>7.4999999999999997E-2</v>
      </c>
    </row>
    <row r="2909" spans="1:23" x14ac:dyDescent="0.25">
      <c r="A2909">
        <v>2908</v>
      </c>
      <c r="B2909" t="s">
        <v>8304</v>
      </c>
      <c r="C2909" s="1">
        <v>42981</v>
      </c>
      <c r="D2909" s="1">
        <v>42984</v>
      </c>
      <c r="E2909" t="s">
        <v>22</v>
      </c>
      <c r="F2909" t="s">
        <v>6146</v>
      </c>
      <c r="G2909" t="s">
        <v>6147</v>
      </c>
      <c r="H2909" t="s">
        <v>101</v>
      </c>
      <c r="I2909" t="s">
        <v>26</v>
      </c>
      <c r="J2909" t="s">
        <v>263</v>
      </c>
      <c r="K2909" t="s">
        <v>264</v>
      </c>
      <c r="L2909">
        <v>10035</v>
      </c>
      <c r="M2909" t="s">
        <v>145</v>
      </c>
      <c r="N2909" t="s">
        <v>3743</v>
      </c>
      <c r="O2909" t="s">
        <v>45</v>
      </c>
      <c r="P2909" t="s">
        <v>89</v>
      </c>
      <c r="Q2909" t="s">
        <v>3744</v>
      </c>
      <c r="R2909">
        <v>419.4</v>
      </c>
      <c r="S2909">
        <v>4</v>
      </c>
      <c r="T2909">
        <v>0</v>
      </c>
      <c r="U2909">
        <v>201.31200000000001</v>
      </c>
      <c r="V2909" t="str">
        <f t="shared" si="45"/>
        <v>Katrina Bavinger</v>
      </c>
      <c r="W2909">
        <f>Table2[Profit]/Table2[Sales]</f>
        <v>0.48000000000000004</v>
      </c>
    </row>
    <row r="2910" spans="1:23" x14ac:dyDescent="0.25">
      <c r="A2910">
        <v>2909</v>
      </c>
      <c r="B2910" t="s">
        <v>8305</v>
      </c>
      <c r="C2910" s="1">
        <v>42707</v>
      </c>
      <c r="D2910" s="1">
        <v>42711</v>
      </c>
      <c r="E2910" t="s">
        <v>49</v>
      </c>
      <c r="F2910" t="s">
        <v>3801</v>
      </c>
      <c r="G2910" t="s">
        <v>3802</v>
      </c>
      <c r="H2910" t="s">
        <v>25</v>
      </c>
      <c r="I2910" t="s">
        <v>26</v>
      </c>
      <c r="J2910" t="s">
        <v>1450</v>
      </c>
      <c r="K2910" t="s">
        <v>251</v>
      </c>
      <c r="L2910">
        <v>47374</v>
      </c>
      <c r="M2910" t="s">
        <v>104</v>
      </c>
      <c r="N2910" t="s">
        <v>1213</v>
      </c>
      <c r="O2910" t="s">
        <v>31</v>
      </c>
      <c r="P2910" t="s">
        <v>55</v>
      </c>
      <c r="Q2910" t="s">
        <v>1214</v>
      </c>
      <c r="R2910">
        <v>581.96</v>
      </c>
      <c r="S2910">
        <v>2</v>
      </c>
      <c r="T2910">
        <v>0</v>
      </c>
      <c r="U2910">
        <v>104.75279999999999</v>
      </c>
      <c r="V2910" t="str">
        <f t="shared" si="45"/>
        <v>Michael Moore</v>
      </c>
      <c r="W2910">
        <f>Table2[Profit]/Table2[Sales]</f>
        <v>0.17999999999999997</v>
      </c>
    </row>
    <row r="2911" spans="1:23" x14ac:dyDescent="0.25">
      <c r="A2911">
        <v>2910</v>
      </c>
      <c r="B2911" t="s">
        <v>8306</v>
      </c>
      <c r="C2911" s="1">
        <v>42203</v>
      </c>
      <c r="D2911" s="1">
        <v>42207</v>
      </c>
      <c r="E2911" t="s">
        <v>49</v>
      </c>
      <c r="F2911" t="s">
        <v>2352</v>
      </c>
      <c r="G2911" t="s">
        <v>2353</v>
      </c>
      <c r="H2911" t="s">
        <v>25</v>
      </c>
      <c r="I2911" t="s">
        <v>26</v>
      </c>
      <c r="J2911" t="s">
        <v>941</v>
      </c>
      <c r="K2911" t="s">
        <v>42</v>
      </c>
      <c r="L2911">
        <v>92105</v>
      </c>
      <c r="M2911" t="s">
        <v>43</v>
      </c>
      <c r="N2911" t="s">
        <v>5217</v>
      </c>
      <c r="O2911" t="s">
        <v>70</v>
      </c>
      <c r="P2911" t="s">
        <v>158</v>
      </c>
      <c r="Q2911" t="s">
        <v>5218</v>
      </c>
      <c r="R2911">
        <v>519.96</v>
      </c>
      <c r="S2911">
        <v>4</v>
      </c>
      <c r="T2911">
        <v>0</v>
      </c>
      <c r="U2911">
        <v>176.78639999999999</v>
      </c>
      <c r="V2911" t="str">
        <f t="shared" si="45"/>
        <v>Roland Fjeld</v>
      </c>
      <c r="W2911">
        <f>Table2[Profit]/Table2[Sales]</f>
        <v>0.33999999999999997</v>
      </c>
    </row>
    <row r="2912" spans="1:23" x14ac:dyDescent="0.25">
      <c r="A2912">
        <v>2911</v>
      </c>
      <c r="B2912" t="s">
        <v>8307</v>
      </c>
      <c r="C2912" s="1">
        <v>42572</v>
      </c>
      <c r="D2912" s="1">
        <v>42577</v>
      </c>
      <c r="E2912" t="s">
        <v>49</v>
      </c>
      <c r="F2912" t="s">
        <v>3652</v>
      </c>
      <c r="G2912" t="s">
        <v>3653</v>
      </c>
      <c r="H2912" t="s">
        <v>25</v>
      </c>
      <c r="I2912" t="s">
        <v>26</v>
      </c>
      <c r="J2912" t="s">
        <v>86</v>
      </c>
      <c r="K2912" t="s">
        <v>87</v>
      </c>
      <c r="L2912">
        <v>28027</v>
      </c>
      <c r="M2912" t="s">
        <v>29</v>
      </c>
      <c r="N2912" t="s">
        <v>3640</v>
      </c>
      <c r="O2912" t="s">
        <v>45</v>
      </c>
      <c r="P2912" t="s">
        <v>46</v>
      </c>
      <c r="Q2912" t="s">
        <v>3641</v>
      </c>
      <c r="R2912">
        <v>6.2640000000000002</v>
      </c>
      <c r="S2912">
        <v>3</v>
      </c>
      <c r="T2912">
        <v>0.2</v>
      </c>
      <c r="U2912">
        <v>2.0358000000000001</v>
      </c>
      <c r="V2912" t="str">
        <f t="shared" si="45"/>
        <v>Beth Paige</v>
      </c>
      <c r="W2912">
        <f>Table2[Profit]/Table2[Sales]</f>
        <v>0.32500000000000001</v>
      </c>
    </row>
    <row r="2913" spans="1:23" x14ac:dyDescent="0.25">
      <c r="A2913">
        <v>2912</v>
      </c>
      <c r="B2913" t="s">
        <v>8308</v>
      </c>
      <c r="C2913" s="1">
        <v>42164</v>
      </c>
      <c r="D2913" s="1">
        <v>42171</v>
      </c>
      <c r="E2913" t="s">
        <v>49</v>
      </c>
      <c r="F2913" t="s">
        <v>664</v>
      </c>
      <c r="G2913" t="s">
        <v>665</v>
      </c>
      <c r="H2913" t="s">
        <v>25</v>
      </c>
      <c r="I2913" t="s">
        <v>26</v>
      </c>
      <c r="J2913" t="s">
        <v>1406</v>
      </c>
      <c r="K2913" t="s">
        <v>53</v>
      </c>
      <c r="L2913">
        <v>33178</v>
      </c>
      <c r="M2913" t="s">
        <v>29</v>
      </c>
      <c r="N2913" t="s">
        <v>7142</v>
      </c>
      <c r="O2913" t="s">
        <v>45</v>
      </c>
      <c r="P2913" t="s">
        <v>74</v>
      </c>
      <c r="Q2913" t="s">
        <v>7143</v>
      </c>
      <c r="R2913">
        <v>64.2</v>
      </c>
      <c r="S2913">
        <v>5</v>
      </c>
      <c r="T2913">
        <v>0.7</v>
      </c>
      <c r="U2913">
        <v>-42.8</v>
      </c>
      <c r="V2913" t="str">
        <f t="shared" si="45"/>
        <v>Max Jones</v>
      </c>
      <c r="W2913">
        <f>Table2[Profit]/Table2[Sales]</f>
        <v>-0.66666666666666663</v>
      </c>
    </row>
    <row r="2914" spans="1:23" x14ac:dyDescent="0.25">
      <c r="A2914">
        <v>2913</v>
      </c>
      <c r="B2914" t="s">
        <v>8309</v>
      </c>
      <c r="C2914" s="1">
        <v>43066</v>
      </c>
      <c r="D2914" s="1">
        <v>43072</v>
      </c>
      <c r="E2914" t="s">
        <v>49</v>
      </c>
      <c r="F2914" t="s">
        <v>8310</v>
      </c>
      <c r="G2914" t="s">
        <v>8311</v>
      </c>
      <c r="H2914" t="s">
        <v>25</v>
      </c>
      <c r="I2914" t="s">
        <v>26</v>
      </c>
      <c r="J2914" t="s">
        <v>41</v>
      </c>
      <c r="K2914" t="s">
        <v>42</v>
      </c>
      <c r="L2914">
        <v>90036</v>
      </c>
      <c r="M2914" t="s">
        <v>43</v>
      </c>
      <c r="N2914" t="s">
        <v>8312</v>
      </c>
      <c r="O2914" t="s">
        <v>70</v>
      </c>
      <c r="P2914" t="s">
        <v>71</v>
      </c>
      <c r="Q2914" t="s">
        <v>8313</v>
      </c>
      <c r="R2914">
        <v>57.567999999999998</v>
      </c>
      <c r="S2914">
        <v>4</v>
      </c>
      <c r="T2914">
        <v>0.2</v>
      </c>
      <c r="U2914">
        <v>5.7568000000000001</v>
      </c>
      <c r="V2914" t="str">
        <f t="shared" si="45"/>
        <v>Doug O'Connell</v>
      </c>
      <c r="W2914">
        <f>Table2[Profit]/Table2[Sales]</f>
        <v>0.1</v>
      </c>
    </row>
    <row r="2915" spans="1:23" x14ac:dyDescent="0.25">
      <c r="A2915">
        <v>2914</v>
      </c>
      <c r="B2915" t="s">
        <v>8314</v>
      </c>
      <c r="C2915" s="1">
        <v>42090</v>
      </c>
      <c r="D2915" s="1">
        <v>42097</v>
      </c>
      <c r="E2915" t="s">
        <v>49</v>
      </c>
      <c r="F2915" t="s">
        <v>5140</v>
      </c>
      <c r="G2915" t="s">
        <v>5141</v>
      </c>
      <c r="H2915" t="s">
        <v>25</v>
      </c>
      <c r="I2915" t="s">
        <v>26</v>
      </c>
      <c r="J2915" t="s">
        <v>94</v>
      </c>
      <c r="K2915" t="s">
        <v>95</v>
      </c>
      <c r="L2915">
        <v>98115</v>
      </c>
      <c r="M2915" t="s">
        <v>43</v>
      </c>
      <c r="N2915" t="s">
        <v>8315</v>
      </c>
      <c r="O2915" t="s">
        <v>45</v>
      </c>
      <c r="P2915" t="s">
        <v>58</v>
      </c>
      <c r="Q2915" t="s">
        <v>8316</v>
      </c>
      <c r="R2915">
        <v>83.7</v>
      </c>
      <c r="S2915">
        <v>5</v>
      </c>
      <c r="T2915">
        <v>0</v>
      </c>
      <c r="U2915">
        <v>3.3479999999999999</v>
      </c>
      <c r="V2915" t="str">
        <f t="shared" si="45"/>
        <v>Mark Van Huff</v>
      </c>
      <c r="W2915">
        <f>Table2[Profit]/Table2[Sales]</f>
        <v>3.9999999999999994E-2</v>
      </c>
    </row>
    <row r="2916" spans="1:23" x14ac:dyDescent="0.25">
      <c r="A2916">
        <v>2915</v>
      </c>
      <c r="B2916" t="s">
        <v>8317</v>
      </c>
      <c r="C2916" s="1">
        <v>42269</v>
      </c>
      <c r="D2916" s="1">
        <v>42273</v>
      </c>
      <c r="E2916" t="s">
        <v>22</v>
      </c>
      <c r="F2916" t="s">
        <v>6062</v>
      </c>
      <c r="G2916" t="s">
        <v>6063</v>
      </c>
      <c r="H2916" t="s">
        <v>101</v>
      </c>
      <c r="I2916" t="s">
        <v>26</v>
      </c>
      <c r="J2916" t="s">
        <v>1119</v>
      </c>
      <c r="K2916" t="s">
        <v>312</v>
      </c>
      <c r="L2916">
        <v>22204</v>
      </c>
      <c r="M2916" t="s">
        <v>29</v>
      </c>
      <c r="N2916" t="s">
        <v>4685</v>
      </c>
      <c r="O2916" t="s">
        <v>45</v>
      </c>
      <c r="P2916" t="s">
        <v>89</v>
      </c>
      <c r="Q2916" t="s">
        <v>4686</v>
      </c>
      <c r="R2916">
        <v>32.4</v>
      </c>
      <c r="S2916">
        <v>5</v>
      </c>
      <c r="T2916">
        <v>0</v>
      </c>
      <c r="U2916">
        <v>15.552</v>
      </c>
      <c r="V2916" t="str">
        <f t="shared" si="45"/>
        <v>Michael Grace</v>
      </c>
      <c r="W2916">
        <f>Table2[Profit]/Table2[Sales]</f>
        <v>0.48</v>
      </c>
    </row>
    <row r="2917" spans="1:23" x14ac:dyDescent="0.25">
      <c r="A2917">
        <v>2916</v>
      </c>
      <c r="B2917" t="s">
        <v>8318</v>
      </c>
      <c r="C2917" s="1">
        <v>42325</v>
      </c>
      <c r="D2917" s="1">
        <v>42329</v>
      </c>
      <c r="E2917" t="s">
        <v>49</v>
      </c>
      <c r="F2917" t="s">
        <v>4935</v>
      </c>
      <c r="G2917" t="s">
        <v>4936</v>
      </c>
      <c r="H2917" t="s">
        <v>25</v>
      </c>
      <c r="I2917" t="s">
        <v>26</v>
      </c>
      <c r="J2917" t="s">
        <v>941</v>
      </c>
      <c r="K2917" t="s">
        <v>42</v>
      </c>
      <c r="L2917">
        <v>92105</v>
      </c>
      <c r="M2917" t="s">
        <v>43</v>
      </c>
      <c r="N2917" t="s">
        <v>8319</v>
      </c>
      <c r="O2917" t="s">
        <v>70</v>
      </c>
      <c r="P2917" t="s">
        <v>71</v>
      </c>
      <c r="Q2917" t="s">
        <v>8320</v>
      </c>
      <c r="R2917">
        <v>415.96800000000002</v>
      </c>
      <c r="S2917">
        <v>4</v>
      </c>
      <c r="T2917">
        <v>0.2</v>
      </c>
      <c r="U2917">
        <v>51.996000000000002</v>
      </c>
      <c r="V2917" t="str">
        <f t="shared" si="45"/>
        <v>Brian Stugart</v>
      </c>
      <c r="W2917">
        <f>Table2[Profit]/Table2[Sales]</f>
        <v>0.125</v>
      </c>
    </row>
    <row r="2918" spans="1:23" x14ac:dyDescent="0.25">
      <c r="A2918">
        <v>2917</v>
      </c>
      <c r="B2918" t="s">
        <v>8321</v>
      </c>
      <c r="C2918" s="1">
        <v>42318</v>
      </c>
      <c r="D2918" s="1">
        <v>42322</v>
      </c>
      <c r="E2918" t="s">
        <v>49</v>
      </c>
      <c r="F2918" t="s">
        <v>1511</v>
      </c>
      <c r="G2918" t="s">
        <v>1512</v>
      </c>
      <c r="H2918" t="s">
        <v>101</v>
      </c>
      <c r="I2918" t="s">
        <v>26</v>
      </c>
      <c r="J2918" t="s">
        <v>560</v>
      </c>
      <c r="K2918" t="s">
        <v>226</v>
      </c>
      <c r="L2918">
        <v>55113</v>
      </c>
      <c r="M2918" t="s">
        <v>104</v>
      </c>
      <c r="N2918" t="s">
        <v>3243</v>
      </c>
      <c r="O2918" t="s">
        <v>45</v>
      </c>
      <c r="P2918" t="s">
        <v>77</v>
      </c>
      <c r="Q2918" t="s">
        <v>3244</v>
      </c>
      <c r="R2918">
        <v>715.64</v>
      </c>
      <c r="S2918">
        <v>2</v>
      </c>
      <c r="T2918">
        <v>0</v>
      </c>
      <c r="U2918">
        <v>178.91</v>
      </c>
      <c r="V2918" t="str">
        <f t="shared" si="45"/>
        <v>Philisse Overcash</v>
      </c>
      <c r="W2918">
        <f>Table2[Profit]/Table2[Sales]</f>
        <v>0.25</v>
      </c>
    </row>
    <row r="2919" spans="1:23" x14ac:dyDescent="0.25">
      <c r="A2919">
        <v>2918</v>
      </c>
      <c r="B2919" t="s">
        <v>8322</v>
      </c>
      <c r="C2919" s="1">
        <v>41892</v>
      </c>
      <c r="D2919" s="1">
        <v>41896</v>
      </c>
      <c r="E2919" t="s">
        <v>49</v>
      </c>
      <c r="F2919" t="s">
        <v>4362</v>
      </c>
      <c r="G2919" t="s">
        <v>4363</v>
      </c>
      <c r="H2919" t="s">
        <v>101</v>
      </c>
      <c r="I2919" t="s">
        <v>26</v>
      </c>
      <c r="J2919" t="s">
        <v>2930</v>
      </c>
      <c r="K2919" t="s">
        <v>312</v>
      </c>
      <c r="L2919">
        <v>23464</v>
      </c>
      <c r="M2919" t="s">
        <v>29</v>
      </c>
      <c r="N2919" t="s">
        <v>1211</v>
      </c>
      <c r="O2919" t="s">
        <v>45</v>
      </c>
      <c r="P2919" t="s">
        <v>74</v>
      </c>
      <c r="Q2919" t="s">
        <v>1212</v>
      </c>
      <c r="R2919">
        <v>9.64</v>
      </c>
      <c r="S2919">
        <v>2</v>
      </c>
      <c r="T2919">
        <v>0</v>
      </c>
      <c r="U2919">
        <v>4.7236000000000002</v>
      </c>
      <c r="V2919" t="str">
        <f t="shared" si="45"/>
        <v>Dianna Arnett</v>
      </c>
      <c r="W2919">
        <f>Table2[Profit]/Table2[Sales]</f>
        <v>0.49</v>
      </c>
    </row>
    <row r="2920" spans="1:23" x14ac:dyDescent="0.25">
      <c r="A2920">
        <v>2919</v>
      </c>
      <c r="B2920" t="s">
        <v>8323</v>
      </c>
      <c r="C2920" s="1">
        <v>42221</v>
      </c>
      <c r="D2920" s="1">
        <v>42227</v>
      </c>
      <c r="E2920" t="s">
        <v>49</v>
      </c>
      <c r="F2920" t="s">
        <v>6483</v>
      </c>
      <c r="G2920" t="s">
        <v>6484</v>
      </c>
      <c r="H2920" t="s">
        <v>40</v>
      </c>
      <c r="I2920" t="s">
        <v>26</v>
      </c>
      <c r="J2920" t="s">
        <v>808</v>
      </c>
      <c r="K2920" t="s">
        <v>103</v>
      </c>
      <c r="L2920">
        <v>75220</v>
      </c>
      <c r="M2920" t="s">
        <v>104</v>
      </c>
      <c r="N2920" t="s">
        <v>4703</v>
      </c>
      <c r="O2920" t="s">
        <v>45</v>
      </c>
      <c r="P2920" t="s">
        <v>58</v>
      </c>
      <c r="Q2920" t="s">
        <v>4704</v>
      </c>
      <c r="R2920">
        <v>33.488</v>
      </c>
      <c r="S2920">
        <v>7</v>
      </c>
      <c r="T2920">
        <v>0.2</v>
      </c>
      <c r="U2920">
        <v>-1.2558</v>
      </c>
      <c r="V2920" t="str">
        <f t="shared" si="45"/>
        <v>Anna Häberlin</v>
      </c>
      <c r="W2920">
        <f>Table2[Profit]/Table2[Sales]</f>
        <v>-3.7499999999999999E-2</v>
      </c>
    </row>
    <row r="2921" spans="1:23" x14ac:dyDescent="0.25">
      <c r="A2921">
        <v>2920</v>
      </c>
      <c r="B2921" t="s">
        <v>8324</v>
      </c>
      <c r="C2921" s="1">
        <v>42981</v>
      </c>
      <c r="D2921" s="1">
        <v>42985</v>
      </c>
      <c r="E2921" t="s">
        <v>22</v>
      </c>
      <c r="F2921" t="s">
        <v>2453</v>
      </c>
      <c r="G2921" t="s">
        <v>2454</v>
      </c>
      <c r="H2921" t="s">
        <v>25</v>
      </c>
      <c r="I2921" t="s">
        <v>26</v>
      </c>
      <c r="J2921" t="s">
        <v>86</v>
      </c>
      <c r="K2921" t="s">
        <v>42</v>
      </c>
      <c r="L2921">
        <v>94521</v>
      </c>
      <c r="M2921" t="s">
        <v>43</v>
      </c>
      <c r="N2921" t="s">
        <v>6894</v>
      </c>
      <c r="O2921" t="s">
        <v>31</v>
      </c>
      <c r="P2921" t="s">
        <v>32</v>
      </c>
      <c r="Q2921" t="s">
        <v>6895</v>
      </c>
      <c r="R2921">
        <v>239.666</v>
      </c>
      <c r="S2921">
        <v>2</v>
      </c>
      <c r="T2921">
        <v>0.15</v>
      </c>
      <c r="U2921">
        <v>14.098000000000001</v>
      </c>
      <c r="V2921" t="str">
        <f t="shared" si="45"/>
        <v>Joe Kamberova</v>
      </c>
      <c r="W2921">
        <f>Table2[Profit]/Table2[Sales]</f>
        <v>5.8823529411764712E-2</v>
      </c>
    </row>
    <row r="2922" spans="1:23" x14ac:dyDescent="0.25">
      <c r="A2922">
        <v>2921</v>
      </c>
      <c r="B2922" t="s">
        <v>8325</v>
      </c>
      <c r="C2922" s="1">
        <v>42309</v>
      </c>
      <c r="D2922" s="1">
        <v>42316</v>
      </c>
      <c r="E2922" t="s">
        <v>49</v>
      </c>
      <c r="F2922" t="s">
        <v>5772</v>
      </c>
      <c r="G2922" t="s">
        <v>5773</v>
      </c>
      <c r="H2922" t="s">
        <v>25</v>
      </c>
      <c r="I2922" t="s">
        <v>26</v>
      </c>
      <c r="J2922" t="s">
        <v>8326</v>
      </c>
      <c r="K2922" t="s">
        <v>1683</v>
      </c>
      <c r="L2922">
        <v>72032</v>
      </c>
      <c r="M2922" t="s">
        <v>29</v>
      </c>
      <c r="N2922" t="s">
        <v>3837</v>
      </c>
      <c r="O2922" t="s">
        <v>31</v>
      </c>
      <c r="P2922" t="s">
        <v>55</v>
      </c>
      <c r="Q2922" t="s">
        <v>3838</v>
      </c>
      <c r="R2922">
        <v>301.95999999999998</v>
      </c>
      <c r="S2922">
        <v>2</v>
      </c>
      <c r="T2922">
        <v>0</v>
      </c>
      <c r="U2922">
        <v>45.293999999999997</v>
      </c>
      <c r="V2922" t="str">
        <f t="shared" si="45"/>
        <v>MaryBeth Skach</v>
      </c>
      <c r="W2922">
        <f>Table2[Profit]/Table2[Sales]</f>
        <v>0.15</v>
      </c>
    </row>
    <row r="2923" spans="1:23" x14ac:dyDescent="0.25">
      <c r="A2923">
        <v>2922</v>
      </c>
      <c r="B2923" t="s">
        <v>8327</v>
      </c>
      <c r="C2923" s="1">
        <v>42123</v>
      </c>
      <c r="D2923" s="1">
        <v>42128</v>
      </c>
      <c r="E2923" t="s">
        <v>22</v>
      </c>
      <c r="F2923" t="s">
        <v>714</v>
      </c>
      <c r="G2923" t="s">
        <v>715</v>
      </c>
      <c r="H2923" t="s">
        <v>101</v>
      </c>
      <c r="I2923" t="s">
        <v>26</v>
      </c>
      <c r="J2923" t="s">
        <v>143</v>
      </c>
      <c r="K2923" t="s">
        <v>144</v>
      </c>
      <c r="L2923">
        <v>19120</v>
      </c>
      <c r="M2923" t="s">
        <v>145</v>
      </c>
      <c r="N2923" t="s">
        <v>4093</v>
      </c>
      <c r="O2923" t="s">
        <v>45</v>
      </c>
      <c r="P2923" t="s">
        <v>89</v>
      </c>
      <c r="Q2923" t="s">
        <v>4094</v>
      </c>
      <c r="R2923">
        <v>7.968</v>
      </c>
      <c r="S2923">
        <v>2</v>
      </c>
      <c r="T2923">
        <v>0.2</v>
      </c>
      <c r="U2923">
        <v>2.8883999999999999</v>
      </c>
      <c r="V2923" t="str">
        <f t="shared" si="45"/>
        <v>Jim Kriz</v>
      </c>
      <c r="W2923">
        <f>Table2[Profit]/Table2[Sales]</f>
        <v>0.36249999999999999</v>
      </c>
    </row>
    <row r="2924" spans="1:23" x14ac:dyDescent="0.25">
      <c r="A2924">
        <v>2923</v>
      </c>
      <c r="B2924" t="s">
        <v>8328</v>
      </c>
      <c r="C2924" s="1">
        <v>42491</v>
      </c>
      <c r="D2924" s="1">
        <v>42494</v>
      </c>
      <c r="E2924" t="s">
        <v>22</v>
      </c>
      <c r="F2924" t="s">
        <v>5561</v>
      </c>
      <c r="G2924" t="s">
        <v>5562</v>
      </c>
      <c r="H2924" t="s">
        <v>25</v>
      </c>
      <c r="I2924" t="s">
        <v>26</v>
      </c>
      <c r="J2924" t="s">
        <v>5036</v>
      </c>
      <c r="K2924" t="s">
        <v>1683</v>
      </c>
      <c r="L2924">
        <v>72209</v>
      </c>
      <c r="M2924" t="s">
        <v>29</v>
      </c>
      <c r="N2924" t="s">
        <v>8329</v>
      </c>
      <c r="O2924" t="s">
        <v>45</v>
      </c>
      <c r="P2924" t="s">
        <v>89</v>
      </c>
      <c r="Q2924" t="s">
        <v>8330</v>
      </c>
      <c r="R2924">
        <v>109.92</v>
      </c>
      <c r="S2924">
        <v>2</v>
      </c>
      <c r="T2924">
        <v>0</v>
      </c>
      <c r="U2924">
        <v>53.860799999999998</v>
      </c>
      <c r="V2924" t="str">
        <f t="shared" si="45"/>
        <v>Chris McAfee</v>
      </c>
      <c r="W2924">
        <f>Table2[Profit]/Table2[Sales]</f>
        <v>0.49</v>
      </c>
    </row>
    <row r="2925" spans="1:23" x14ac:dyDescent="0.25">
      <c r="A2925">
        <v>2924</v>
      </c>
      <c r="B2925" t="s">
        <v>8331</v>
      </c>
      <c r="C2925" s="1">
        <v>41856</v>
      </c>
      <c r="D2925" s="1">
        <v>41858</v>
      </c>
      <c r="E2925" t="s">
        <v>22</v>
      </c>
      <c r="F2925" t="s">
        <v>5190</v>
      </c>
      <c r="G2925" t="s">
        <v>5191</v>
      </c>
      <c r="H2925" t="s">
        <v>40</v>
      </c>
      <c r="I2925" t="s">
        <v>26</v>
      </c>
      <c r="J2925" t="s">
        <v>4514</v>
      </c>
      <c r="K2925" t="s">
        <v>740</v>
      </c>
      <c r="L2925">
        <v>6450</v>
      </c>
      <c r="M2925" t="s">
        <v>145</v>
      </c>
      <c r="N2925" t="s">
        <v>5086</v>
      </c>
      <c r="O2925" t="s">
        <v>45</v>
      </c>
      <c r="P2925" t="s">
        <v>77</v>
      </c>
      <c r="Q2925" t="s">
        <v>5087</v>
      </c>
      <c r="R2925">
        <v>79.47</v>
      </c>
      <c r="S2925">
        <v>3</v>
      </c>
      <c r="T2925">
        <v>0</v>
      </c>
      <c r="U2925">
        <v>22.2516</v>
      </c>
      <c r="V2925" t="str">
        <f t="shared" si="45"/>
        <v>Ricardo Sperren</v>
      </c>
      <c r="W2925">
        <f>Table2[Profit]/Table2[Sales]</f>
        <v>0.28000000000000003</v>
      </c>
    </row>
    <row r="2926" spans="1:23" x14ac:dyDescent="0.25">
      <c r="A2926">
        <v>2925</v>
      </c>
      <c r="B2926" t="s">
        <v>8332</v>
      </c>
      <c r="C2926" s="1">
        <v>42373</v>
      </c>
      <c r="D2926" s="1">
        <v>42377</v>
      </c>
      <c r="E2926" t="s">
        <v>49</v>
      </c>
      <c r="F2926" t="s">
        <v>1123</v>
      </c>
      <c r="G2926" t="s">
        <v>1124</v>
      </c>
      <c r="H2926" t="s">
        <v>40</v>
      </c>
      <c r="I2926" t="s">
        <v>26</v>
      </c>
      <c r="J2926" t="s">
        <v>143</v>
      </c>
      <c r="K2926" t="s">
        <v>144</v>
      </c>
      <c r="L2926">
        <v>19143</v>
      </c>
      <c r="M2926" t="s">
        <v>145</v>
      </c>
      <c r="N2926" t="s">
        <v>1959</v>
      </c>
      <c r="O2926" t="s">
        <v>45</v>
      </c>
      <c r="P2926" t="s">
        <v>67</v>
      </c>
      <c r="Q2926" t="s">
        <v>1960</v>
      </c>
      <c r="R2926">
        <v>4.6719999999999997</v>
      </c>
      <c r="S2926">
        <v>1</v>
      </c>
      <c r="T2926">
        <v>0.2</v>
      </c>
      <c r="U2926">
        <v>0.58399999999999996</v>
      </c>
      <c r="V2926" t="str">
        <f t="shared" si="45"/>
        <v>Ben Peterman</v>
      </c>
      <c r="W2926">
        <f>Table2[Profit]/Table2[Sales]</f>
        <v>0.125</v>
      </c>
    </row>
    <row r="2927" spans="1:23" x14ac:dyDescent="0.25">
      <c r="A2927">
        <v>2926</v>
      </c>
      <c r="B2927" t="s">
        <v>8333</v>
      </c>
      <c r="C2927" s="1">
        <v>42681</v>
      </c>
      <c r="D2927" s="1">
        <v>42686</v>
      </c>
      <c r="E2927" t="s">
        <v>49</v>
      </c>
      <c r="F2927" t="s">
        <v>6015</v>
      </c>
      <c r="G2927" t="s">
        <v>6016</v>
      </c>
      <c r="H2927" t="s">
        <v>101</v>
      </c>
      <c r="I2927" t="s">
        <v>26</v>
      </c>
      <c r="J2927" t="s">
        <v>8334</v>
      </c>
      <c r="K2927" t="s">
        <v>8335</v>
      </c>
      <c r="L2927">
        <v>82001</v>
      </c>
      <c r="M2927" t="s">
        <v>43</v>
      </c>
      <c r="N2927" t="s">
        <v>1702</v>
      </c>
      <c r="O2927" t="s">
        <v>31</v>
      </c>
      <c r="P2927" t="s">
        <v>35</v>
      </c>
      <c r="Q2927" t="s">
        <v>1703</v>
      </c>
      <c r="R2927">
        <v>1603.136</v>
      </c>
      <c r="S2927">
        <v>4</v>
      </c>
      <c r="T2927">
        <v>0.2</v>
      </c>
      <c r="U2927">
        <v>100.196</v>
      </c>
      <c r="V2927" t="str">
        <f t="shared" si="45"/>
        <v>Michelle Arnett</v>
      </c>
      <c r="W2927">
        <f>Table2[Profit]/Table2[Sales]</f>
        <v>6.25E-2</v>
      </c>
    </row>
    <row r="2928" spans="1:23" x14ac:dyDescent="0.25">
      <c r="A2928">
        <v>2927</v>
      </c>
      <c r="B2928" t="s">
        <v>8336</v>
      </c>
      <c r="C2928" s="1">
        <v>42535</v>
      </c>
      <c r="D2928" s="1">
        <v>42535</v>
      </c>
      <c r="E2928" t="s">
        <v>1278</v>
      </c>
      <c r="F2928" t="s">
        <v>1552</v>
      </c>
      <c r="G2928" t="s">
        <v>1553</v>
      </c>
      <c r="H2928" t="s">
        <v>40</v>
      </c>
      <c r="I2928" t="s">
        <v>26</v>
      </c>
      <c r="J2928" t="s">
        <v>1857</v>
      </c>
      <c r="K2928" t="s">
        <v>42</v>
      </c>
      <c r="L2928">
        <v>92804</v>
      </c>
      <c r="M2928" t="s">
        <v>43</v>
      </c>
      <c r="N2928" t="s">
        <v>8058</v>
      </c>
      <c r="O2928" t="s">
        <v>31</v>
      </c>
      <c r="P2928" t="s">
        <v>55</v>
      </c>
      <c r="Q2928" t="s">
        <v>8059</v>
      </c>
      <c r="R2928">
        <v>1293.4880000000001</v>
      </c>
      <c r="S2928">
        <v>7</v>
      </c>
      <c r="T2928">
        <v>0.2</v>
      </c>
      <c r="U2928">
        <v>80.843000000000004</v>
      </c>
      <c r="V2928" t="str">
        <f t="shared" si="45"/>
        <v>Ed Braxton</v>
      </c>
      <c r="W2928">
        <f>Table2[Profit]/Table2[Sales]</f>
        <v>6.25E-2</v>
      </c>
    </row>
    <row r="2929" spans="1:23" x14ac:dyDescent="0.25">
      <c r="A2929">
        <v>2928</v>
      </c>
      <c r="B2929" t="s">
        <v>8337</v>
      </c>
      <c r="C2929" s="1">
        <v>42637</v>
      </c>
      <c r="D2929" s="1">
        <v>42641</v>
      </c>
      <c r="E2929" t="s">
        <v>49</v>
      </c>
      <c r="F2929" t="s">
        <v>657</v>
      </c>
      <c r="G2929" t="s">
        <v>658</v>
      </c>
      <c r="H2929" t="s">
        <v>25</v>
      </c>
      <c r="I2929" t="s">
        <v>26</v>
      </c>
      <c r="J2929" t="s">
        <v>531</v>
      </c>
      <c r="K2929" t="s">
        <v>251</v>
      </c>
      <c r="L2929">
        <v>47401</v>
      </c>
      <c r="M2929" t="s">
        <v>104</v>
      </c>
      <c r="N2929" t="s">
        <v>453</v>
      </c>
      <c r="O2929" t="s">
        <v>31</v>
      </c>
      <c r="P2929" t="s">
        <v>64</v>
      </c>
      <c r="Q2929" t="s">
        <v>454</v>
      </c>
      <c r="R2929">
        <v>127.95</v>
      </c>
      <c r="S2929">
        <v>3</v>
      </c>
      <c r="T2929">
        <v>0</v>
      </c>
      <c r="U2929">
        <v>21.7515</v>
      </c>
      <c r="V2929" t="str">
        <f t="shared" si="45"/>
        <v>Ruben Dartt</v>
      </c>
      <c r="W2929">
        <f>Table2[Profit]/Table2[Sales]</f>
        <v>0.16999999999999998</v>
      </c>
    </row>
    <row r="2930" spans="1:23" x14ac:dyDescent="0.25">
      <c r="A2930">
        <v>2929</v>
      </c>
      <c r="B2930" t="s">
        <v>8338</v>
      </c>
      <c r="C2930" s="1">
        <v>42824</v>
      </c>
      <c r="D2930" s="1">
        <v>42828</v>
      </c>
      <c r="E2930" t="s">
        <v>49</v>
      </c>
      <c r="F2930" t="s">
        <v>3833</v>
      </c>
      <c r="G2930" t="s">
        <v>3834</v>
      </c>
      <c r="H2930" t="s">
        <v>101</v>
      </c>
      <c r="I2930" t="s">
        <v>26</v>
      </c>
      <c r="J2930" t="s">
        <v>490</v>
      </c>
      <c r="K2930" t="s">
        <v>1260</v>
      </c>
      <c r="L2930">
        <v>31907</v>
      </c>
      <c r="M2930" t="s">
        <v>29</v>
      </c>
      <c r="N2930" t="s">
        <v>220</v>
      </c>
      <c r="O2930" t="s">
        <v>45</v>
      </c>
      <c r="P2930" t="s">
        <v>58</v>
      </c>
      <c r="Q2930" t="s">
        <v>221</v>
      </c>
      <c r="R2930">
        <v>59.76</v>
      </c>
      <c r="S2930">
        <v>1</v>
      </c>
      <c r="T2930">
        <v>0</v>
      </c>
      <c r="U2930">
        <v>16.732800000000001</v>
      </c>
      <c r="V2930" t="str">
        <f t="shared" si="45"/>
        <v>Maria Etezadi</v>
      </c>
      <c r="W2930">
        <f>Table2[Profit]/Table2[Sales]</f>
        <v>0.28000000000000003</v>
      </c>
    </row>
    <row r="2931" spans="1:23" x14ac:dyDescent="0.25">
      <c r="A2931">
        <v>2930</v>
      </c>
      <c r="B2931" t="s">
        <v>8339</v>
      </c>
      <c r="C2931" s="1">
        <v>42890</v>
      </c>
      <c r="D2931" s="1">
        <v>42890</v>
      </c>
      <c r="E2931" t="s">
        <v>1278</v>
      </c>
      <c r="F2931" t="s">
        <v>3106</v>
      </c>
      <c r="G2931" t="s">
        <v>3107</v>
      </c>
      <c r="H2931" t="s">
        <v>101</v>
      </c>
      <c r="I2931" t="s">
        <v>26</v>
      </c>
      <c r="J2931" t="s">
        <v>3207</v>
      </c>
      <c r="K2931" t="s">
        <v>1683</v>
      </c>
      <c r="L2931">
        <v>72401</v>
      </c>
      <c r="M2931" t="s">
        <v>29</v>
      </c>
      <c r="N2931" t="s">
        <v>4241</v>
      </c>
      <c r="O2931" t="s">
        <v>45</v>
      </c>
      <c r="P2931" t="s">
        <v>74</v>
      </c>
      <c r="Q2931" t="s">
        <v>4242</v>
      </c>
      <c r="R2931">
        <v>108.08</v>
      </c>
      <c r="S2931">
        <v>7</v>
      </c>
      <c r="T2931">
        <v>0</v>
      </c>
      <c r="U2931">
        <v>54.04</v>
      </c>
      <c r="V2931" t="str">
        <f t="shared" si="45"/>
        <v>Erica Hernandez</v>
      </c>
      <c r="W2931">
        <f>Table2[Profit]/Table2[Sales]</f>
        <v>0.5</v>
      </c>
    </row>
    <row r="2932" spans="1:23" x14ac:dyDescent="0.25">
      <c r="A2932">
        <v>2931</v>
      </c>
      <c r="B2932" t="s">
        <v>8340</v>
      </c>
      <c r="C2932" s="1">
        <v>42101</v>
      </c>
      <c r="D2932" s="1">
        <v>42103</v>
      </c>
      <c r="E2932" t="s">
        <v>185</v>
      </c>
      <c r="F2932" t="s">
        <v>744</v>
      </c>
      <c r="G2932" t="s">
        <v>745</v>
      </c>
      <c r="H2932" t="s">
        <v>101</v>
      </c>
      <c r="I2932" t="s">
        <v>26</v>
      </c>
      <c r="J2932" t="s">
        <v>143</v>
      </c>
      <c r="K2932" t="s">
        <v>144</v>
      </c>
      <c r="L2932">
        <v>19140</v>
      </c>
      <c r="M2932" t="s">
        <v>145</v>
      </c>
      <c r="N2932" t="s">
        <v>2158</v>
      </c>
      <c r="O2932" t="s">
        <v>45</v>
      </c>
      <c r="P2932" t="s">
        <v>67</v>
      </c>
      <c r="Q2932" t="s">
        <v>2159</v>
      </c>
      <c r="R2932">
        <v>11.736000000000001</v>
      </c>
      <c r="S2932">
        <v>3</v>
      </c>
      <c r="T2932">
        <v>0.2</v>
      </c>
      <c r="U2932">
        <v>1.0268999999999999</v>
      </c>
      <c r="V2932" t="str">
        <f t="shared" si="45"/>
        <v>Frank Merwin</v>
      </c>
      <c r="W2932">
        <f>Table2[Profit]/Table2[Sales]</f>
        <v>8.7499999999999994E-2</v>
      </c>
    </row>
    <row r="2933" spans="1:23" x14ac:dyDescent="0.25">
      <c r="A2933">
        <v>2932</v>
      </c>
      <c r="B2933" t="s">
        <v>8341</v>
      </c>
      <c r="C2933" s="1">
        <v>41780</v>
      </c>
      <c r="D2933" s="1">
        <v>41785</v>
      </c>
      <c r="E2933" t="s">
        <v>49</v>
      </c>
      <c r="F2933" t="s">
        <v>3597</v>
      </c>
      <c r="G2933" t="s">
        <v>3598</v>
      </c>
      <c r="H2933" t="s">
        <v>101</v>
      </c>
      <c r="I2933" t="s">
        <v>26</v>
      </c>
      <c r="J2933" t="s">
        <v>1465</v>
      </c>
      <c r="K2933" t="s">
        <v>1233</v>
      </c>
      <c r="L2933">
        <v>1841</v>
      </c>
      <c r="M2933" t="s">
        <v>145</v>
      </c>
      <c r="N2933" t="s">
        <v>2561</v>
      </c>
      <c r="O2933" t="s">
        <v>45</v>
      </c>
      <c r="P2933" t="s">
        <v>74</v>
      </c>
      <c r="Q2933" t="s">
        <v>2562</v>
      </c>
      <c r="R2933">
        <v>447.86</v>
      </c>
      <c r="S2933">
        <v>7</v>
      </c>
      <c r="T2933">
        <v>0</v>
      </c>
      <c r="U2933">
        <v>219.45140000000001</v>
      </c>
      <c r="V2933" t="str">
        <f t="shared" si="45"/>
        <v>Frank Gastineau</v>
      </c>
      <c r="W2933">
        <f>Table2[Profit]/Table2[Sales]</f>
        <v>0.49</v>
      </c>
    </row>
    <row r="2934" spans="1:23" x14ac:dyDescent="0.25">
      <c r="A2934">
        <v>2933</v>
      </c>
      <c r="B2934" t="s">
        <v>8342</v>
      </c>
      <c r="C2934" s="1">
        <v>42618</v>
      </c>
      <c r="D2934" s="1">
        <v>42624</v>
      </c>
      <c r="E2934" t="s">
        <v>49</v>
      </c>
      <c r="F2934" t="s">
        <v>5140</v>
      </c>
      <c r="G2934" t="s">
        <v>5141</v>
      </c>
      <c r="H2934" t="s">
        <v>25</v>
      </c>
      <c r="I2934" t="s">
        <v>26</v>
      </c>
      <c r="J2934" t="s">
        <v>263</v>
      </c>
      <c r="K2934" t="s">
        <v>264</v>
      </c>
      <c r="L2934">
        <v>10011</v>
      </c>
      <c r="M2934" t="s">
        <v>145</v>
      </c>
      <c r="N2934" t="s">
        <v>5726</v>
      </c>
      <c r="O2934" t="s">
        <v>45</v>
      </c>
      <c r="P2934" t="s">
        <v>89</v>
      </c>
      <c r="Q2934" t="s">
        <v>5727</v>
      </c>
      <c r="R2934">
        <v>192.16</v>
      </c>
      <c r="S2934">
        <v>4</v>
      </c>
      <c r="T2934">
        <v>0</v>
      </c>
      <c r="U2934">
        <v>92.236800000000002</v>
      </c>
      <c r="V2934" t="str">
        <f t="shared" si="45"/>
        <v>Mark Van Huff</v>
      </c>
      <c r="W2934">
        <f>Table2[Profit]/Table2[Sales]</f>
        <v>0.48000000000000004</v>
      </c>
    </row>
    <row r="2935" spans="1:23" x14ac:dyDescent="0.25">
      <c r="A2935">
        <v>2934</v>
      </c>
      <c r="B2935" t="s">
        <v>8343</v>
      </c>
      <c r="C2935" s="1">
        <v>42631</v>
      </c>
      <c r="D2935" s="1">
        <v>42635</v>
      </c>
      <c r="E2935" t="s">
        <v>49</v>
      </c>
      <c r="F2935" t="s">
        <v>3923</v>
      </c>
      <c r="G2935" t="s">
        <v>3924</v>
      </c>
      <c r="H2935" t="s">
        <v>40</v>
      </c>
      <c r="I2935" t="s">
        <v>26</v>
      </c>
      <c r="J2935" t="s">
        <v>941</v>
      </c>
      <c r="K2935" t="s">
        <v>42</v>
      </c>
      <c r="L2935">
        <v>92105</v>
      </c>
      <c r="M2935" t="s">
        <v>43</v>
      </c>
      <c r="N2935" t="s">
        <v>1702</v>
      </c>
      <c r="O2935" t="s">
        <v>31</v>
      </c>
      <c r="P2935" t="s">
        <v>35</v>
      </c>
      <c r="Q2935" t="s">
        <v>1703</v>
      </c>
      <c r="R2935">
        <v>801.56799999999998</v>
      </c>
      <c r="S2935">
        <v>2</v>
      </c>
      <c r="T2935">
        <v>0.2</v>
      </c>
      <c r="U2935">
        <v>50.097999999999999</v>
      </c>
      <c r="V2935" t="str">
        <f t="shared" si="45"/>
        <v>Jane Waco</v>
      </c>
      <c r="W2935">
        <f>Table2[Profit]/Table2[Sales]</f>
        <v>6.25E-2</v>
      </c>
    </row>
    <row r="2936" spans="1:23" x14ac:dyDescent="0.25">
      <c r="A2936">
        <v>2935</v>
      </c>
      <c r="B2936" t="s">
        <v>8344</v>
      </c>
      <c r="C2936" s="1">
        <v>42442</v>
      </c>
      <c r="D2936" s="1">
        <v>42444</v>
      </c>
      <c r="E2936" t="s">
        <v>22</v>
      </c>
      <c r="F2936" t="s">
        <v>4664</v>
      </c>
      <c r="G2936" t="s">
        <v>4665</v>
      </c>
      <c r="H2936" t="s">
        <v>40</v>
      </c>
      <c r="I2936" t="s">
        <v>26</v>
      </c>
      <c r="J2936" t="s">
        <v>126</v>
      </c>
      <c r="K2936" t="s">
        <v>42</v>
      </c>
      <c r="L2936">
        <v>94109</v>
      </c>
      <c r="M2936" t="s">
        <v>43</v>
      </c>
      <c r="N2936" t="s">
        <v>1466</v>
      </c>
      <c r="O2936" t="s">
        <v>31</v>
      </c>
      <c r="P2936" t="s">
        <v>64</v>
      </c>
      <c r="Q2936" t="s">
        <v>1467</v>
      </c>
      <c r="R2936">
        <v>28.28</v>
      </c>
      <c r="S2936">
        <v>2</v>
      </c>
      <c r="T2936">
        <v>0</v>
      </c>
      <c r="U2936">
        <v>7.3528000000000002</v>
      </c>
      <c r="V2936" t="str">
        <f t="shared" si="45"/>
        <v>Edward Hooks</v>
      </c>
      <c r="W2936">
        <f>Table2[Profit]/Table2[Sales]</f>
        <v>0.26</v>
      </c>
    </row>
    <row r="2937" spans="1:23" x14ac:dyDescent="0.25">
      <c r="A2937">
        <v>2936</v>
      </c>
      <c r="B2937" t="s">
        <v>8345</v>
      </c>
      <c r="C2937" s="1">
        <v>41928</v>
      </c>
      <c r="D2937" s="1">
        <v>41929</v>
      </c>
      <c r="E2937" t="s">
        <v>1278</v>
      </c>
      <c r="F2937" t="s">
        <v>1721</v>
      </c>
      <c r="G2937" t="s">
        <v>1722</v>
      </c>
      <c r="H2937" t="s">
        <v>25</v>
      </c>
      <c r="I2937" t="s">
        <v>26</v>
      </c>
      <c r="J2937" t="s">
        <v>126</v>
      </c>
      <c r="K2937" t="s">
        <v>42</v>
      </c>
      <c r="L2937">
        <v>94110</v>
      </c>
      <c r="M2937" t="s">
        <v>43</v>
      </c>
      <c r="N2937" t="s">
        <v>3649</v>
      </c>
      <c r="O2937" t="s">
        <v>45</v>
      </c>
      <c r="P2937" t="s">
        <v>74</v>
      </c>
      <c r="Q2937" t="s">
        <v>3650</v>
      </c>
      <c r="R2937">
        <v>14.352</v>
      </c>
      <c r="S2937">
        <v>3</v>
      </c>
      <c r="T2937">
        <v>0.2</v>
      </c>
      <c r="U2937">
        <v>5.0232000000000001</v>
      </c>
      <c r="V2937" t="str">
        <f t="shared" si="45"/>
        <v>Lynn Smith</v>
      </c>
      <c r="W2937">
        <f>Table2[Profit]/Table2[Sales]</f>
        <v>0.35</v>
      </c>
    </row>
    <row r="2938" spans="1:23" x14ac:dyDescent="0.25">
      <c r="A2938">
        <v>2937</v>
      </c>
      <c r="B2938" t="s">
        <v>8346</v>
      </c>
      <c r="C2938" s="1">
        <v>43016</v>
      </c>
      <c r="D2938" s="1">
        <v>43019</v>
      </c>
      <c r="E2938" t="s">
        <v>185</v>
      </c>
      <c r="F2938" t="s">
        <v>8347</v>
      </c>
      <c r="G2938" t="s">
        <v>8348</v>
      </c>
      <c r="H2938" t="s">
        <v>40</v>
      </c>
      <c r="I2938" t="s">
        <v>26</v>
      </c>
      <c r="J2938" t="s">
        <v>7134</v>
      </c>
      <c r="K2938" t="s">
        <v>1388</v>
      </c>
      <c r="L2938">
        <v>2920</v>
      </c>
      <c r="M2938" t="s">
        <v>145</v>
      </c>
      <c r="N2938" t="s">
        <v>5441</v>
      </c>
      <c r="O2938" t="s">
        <v>45</v>
      </c>
      <c r="P2938" t="s">
        <v>58</v>
      </c>
      <c r="Q2938" t="s">
        <v>5442</v>
      </c>
      <c r="R2938">
        <v>42.76</v>
      </c>
      <c r="S2938">
        <v>1</v>
      </c>
      <c r="T2938">
        <v>0</v>
      </c>
      <c r="U2938">
        <v>11.117599999999999</v>
      </c>
      <c r="V2938" t="str">
        <f t="shared" si="45"/>
        <v>Barry Pond</v>
      </c>
      <c r="W2938">
        <f>Table2[Profit]/Table2[Sales]</f>
        <v>0.26</v>
      </c>
    </row>
    <row r="2939" spans="1:23" x14ac:dyDescent="0.25">
      <c r="A2939">
        <v>2938</v>
      </c>
      <c r="B2939" t="s">
        <v>8349</v>
      </c>
      <c r="C2939" s="1">
        <v>42131</v>
      </c>
      <c r="D2939" s="1">
        <v>42136</v>
      </c>
      <c r="E2939" t="s">
        <v>49</v>
      </c>
      <c r="F2939" t="s">
        <v>3456</v>
      </c>
      <c r="G2939" t="s">
        <v>3457</v>
      </c>
      <c r="H2939" t="s">
        <v>25</v>
      </c>
      <c r="I2939" t="s">
        <v>26</v>
      </c>
      <c r="J2939" t="s">
        <v>8350</v>
      </c>
      <c r="K2939" t="s">
        <v>28</v>
      </c>
      <c r="L2939">
        <v>42301</v>
      </c>
      <c r="M2939" t="s">
        <v>29</v>
      </c>
      <c r="N2939" t="s">
        <v>8351</v>
      </c>
      <c r="O2939" t="s">
        <v>45</v>
      </c>
      <c r="P2939" t="s">
        <v>89</v>
      </c>
      <c r="Q2939" t="s">
        <v>8352</v>
      </c>
      <c r="R2939">
        <v>45.68</v>
      </c>
      <c r="S2939">
        <v>2</v>
      </c>
      <c r="T2939">
        <v>0</v>
      </c>
      <c r="U2939">
        <v>21.012799999999999</v>
      </c>
      <c r="V2939" t="str">
        <f t="shared" si="45"/>
        <v>Chris Cortes</v>
      </c>
      <c r="W2939">
        <f>Table2[Profit]/Table2[Sales]</f>
        <v>0.45999999999999996</v>
      </c>
    </row>
    <row r="2940" spans="1:23" x14ac:dyDescent="0.25">
      <c r="A2940">
        <v>2939</v>
      </c>
      <c r="B2940" t="s">
        <v>8353</v>
      </c>
      <c r="C2940" s="1">
        <v>42474</v>
      </c>
      <c r="D2940" s="1">
        <v>42477</v>
      </c>
      <c r="E2940" t="s">
        <v>185</v>
      </c>
      <c r="F2940" t="s">
        <v>7784</v>
      </c>
      <c r="G2940" t="s">
        <v>7785</v>
      </c>
      <c r="H2940" t="s">
        <v>25</v>
      </c>
      <c r="I2940" t="s">
        <v>26</v>
      </c>
      <c r="J2940" t="s">
        <v>4400</v>
      </c>
      <c r="K2940" t="s">
        <v>2699</v>
      </c>
      <c r="L2940">
        <v>21215</v>
      </c>
      <c r="M2940" t="s">
        <v>145</v>
      </c>
      <c r="N2940" t="s">
        <v>4281</v>
      </c>
      <c r="O2940" t="s">
        <v>45</v>
      </c>
      <c r="P2940" t="s">
        <v>74</v>
      </c>
      <c r="Q2940" t="s">
        <v>4282</v>
      </c>
      <c r="R2940">
        <v>25.06</v>
      </c>
      <c r="S2940">
        <v>2</v>
      </c>
      <c r="T2940">
        <v>0</v>
      </c>
      <c r="U2940">
        <v>11.7782</v>
      </c>
      <c r="V2940" t="str">
        <f t="shared" si="45"/>
        <v>Jill Matthias</v>
      </c>
      <c r="W2940">
        <f>Table2[Profit]/Table2[Sales]</f>
        <v>0.47000000000000003</v>
      </c>
    </row>
    <row r="2941" spans="1:23" x14ac:dyDescent="0.25">
      <c r="A2941">
        <v>2940</v>
      </c>
      <c r="B2941" t="s">
        <v>8354</v>
      </c>
      <c r="C2941" s="1">
        <v>42695</v>
      </c>
      <c r="D2941" s="1">
        <v>42700</v>
      </c>
      <c r="E2941" t="s">
        <v>49</v>
      </c>
      <c r="F2941" t="s">
        <v>7242</v>
      </c>
      <c r="G2941" t="s">
        <v>7243</v>
      </c>
      <c r="H2941" t="s">
        <v>25</v>
      </c>
      <c r="I2941" t="s">
        <v>26</v>
      </c>
      <c r="J2941" t="s">
        <v>296</v>
      </c>
      <c r="K2941" t="s">
        <v>208</v>
      </c>
      <c r="L2941">
        <v>60610</v>
      </c>
      <c r="M2941" t="s">
        <v>104</v>
      </c>
      <c r="N2941" t="s">
        <v>2665</v>
      </c>
      <c r="O2941" t="s">
        <v>45</v>
      </c>
      <c r="P2941" t="s">
        <v>89</v>
      </c>
      <c r="Q2941" t="s">
        <v>2666</v>
      </c>
      <c r="R2941">
        <v>38.432000000000002</v>
      </c>
      <c r="S2941">
        <v>1</v>
      </c>
      <c r="T2941">
        <v>0.2</v>
      </c>
      <c r="U2941">
        <v>13.4512</v>
      </c>
      <c r="V2941" t="str">
        <f t="shared" si="45"/>
        <v>Roger Demir</v>
      </c>
      <c r="W2941">
        <f>Table2[Profit]/Table2[Sales]</f>
        <v>0.35</v>
      </c>
    </row>
    <row r="2942" spans="1:23" x14ac:dyDescent="0.25">
      <c r="A2942">
        <v>2941</v>
      </c>
      <c r="B2942" t="s">
        <v>8355</v>
      </c>
      <c r="C2942" s="1">
        <v>42988</v>
      </c>
      <c r="D2942" s="1">
        <v>42992</v>
      </c>
      <c r="E2942" t="s">
        <v>49</v>
      </c>
      <c r="F2942" t="s">
        <v>7747</v>
      </c>
      <c r="G2942" t="s">
        <v>7748</v>
      </c>
      <c r="H2942" t="s">
        <v>25</v>
      </c>
      <c r="I2942" t="s">
        <v>26</v>
      </c>
      <c r="J2942" t="s">
        <v>1712</v>
      </c>
      <c r="K2942" t="s">
        <v>1260</v>
      </c>
      <c r="L2942">
        <v>30318</v>
      </c>
      <c r="M2942" t="s">
        <v>29</v>
      </c>
      <c r="N2942" t="s">
        <v>3816</v>
      </c>
      <c r="O2942" t="s">
        <v>45</v>
      </c>
      <c r="P2942" t="s">
        <v>74</v>
      </c>
      <c r="Q2942" t="s">
        <v>3817</v>
      </c>
      <c r="R2942">
        <v>2.78</v>
      </c>
      <c r="S2942">
        <v>1</v>
      </c>
      <c r="T2942">
        <v>0</v>
      </c>
      <c r="U2942">
        <v>1.3622000000000001</v>
      </c>
      <c r="V2942" t="str">
        <f t="shared" si="45"/>
        <v>Shahid Shariari</v>
      </c>
      <c r="W2942">
        <f>Table2[Profit]/Table2[Sales]</f>
        <v>0.49000000000000005</v>
      </c>
    </row>
    <row r="2943" spans="1:23" x14ac:dyDescent="0.25">
      <c r="A2943">
        <v>2942</v>
      </c>
      <c r="B2943" t="s">
        <v>8356</v>
      </c>
      <c r="C2943" s="1">
        <v>42987</v>
      </c>
      <c r="D2943" s="1">
        <v>42992</v>
      </c>
      <c r="E2943" t="s">
        <v>49</v>
      </c>
      <c r="F2943" t="s">
        <v>3857</v>
      </c>
      <c r="G2943" t="s">
        <v>3858</v>
      </c>
      <c r="H2943" t="s">
        <v>40</v>
      </c>
      <c r="I2943" t="s">
        <v>26</v>
      </c>
      <c r="J2943" t="s">
        <v>41</v>
      </c>
      <c r="K2943" t="s">
        <v>42</v>
      </c>
      <c r="L2943">
        <v>90036</v>
      </c>
      <c r="M2943" t="s">
        <v>43</v>
      </c>
      <c r="N2943" t="s">
        <v>5160</v>
      </c>
      <c r="O2943" t="s">
        <v>45</v>
      </c>
      <c r="P2943" t="s">
        <v>58</v>
      </c>
      <c r="Q2943" t="s">
        <v>5161</v>
      </c>
      <c r="R2943">
        <v>99.87</v>
      </c>
      <c r="S2943">
        <v>3</v>
      </c>
      <c r="T2943">
        <v>0</v>
      </c>
      <c r="U2943">
        <v>23.968800000000002</v>
      </c>
      <c r="V2943" t="str">
        <f t="shared" si="45"/>
        <v>Keith Dawkins</v>
      </c>
      <c r="W2943">
        <f>Table2[Profit]/Table2[Sales]</f>
        <v>0.24000000000000002</v>
      </c>
    </row>
    <row r="2944" spans="1:23" x14ac:dyDescent="0.25">
      <c r="A2944">
        <v>2943</v>
      </c>
      <c r="B2944" t="s">
        <v>8357</v>
      </c>
      <c r="C2944" s="1">
        <v>41944</v>
      </c>
      <c r="D2944" s="1">
        <v>41951</v>
      </c>
      <c r="E2944" t="s">
        <v>49</v>
      </c>
      <c r="F2944" t="s">
        <v>3967</v>
      </c>
      <c r="G2944" t="s">
        <v>3968</v>
      </c>
      <c r="H2944" t="s">
        <v>101</v>
      </c>
      <c r="I2944" t="s">
        <v>26</v>
      </c>
      <c r="J2944" t="s">
        <v>41</v>
      </c>
      <c r="K2944" t="s">
        <v>42</v>
      </c>
      <c r="L2944">
        <v>90049</v>
      </c>
      <c r="M2944" t="s">
        <v>43</v>
      </c>
      <c r="N2944" t="s">
        <v>8251</v>
      </c>
      <c r="O2944" t="s">
        <v>45</v>
      </c>
      <c r="P2944" t="s">
        <v>46</v>
      </c>
      <c r="Q2944" t="s">
        <v>8252</v>
      </c>
      <c r="R2944">
        <v>44.4</v>
      </c>
      <c r="S2944">
        <v>3</v>
      </c>
      <c r="T2944">
        <v>0</v>
      </c>
      <c r="U2944">
        <v>22.2</v>
      </c>
      <c r="V2944" t="str">
        <f t="shared" si="45"/>
        <v>Paul Lucas</v>
      </c>
      <c r="W2944">
        <f>Table2[Profit]/Table2[Sales]</f>
        <v>0.5</v>
      </c>
    </row>
    <row r="2945" spans="1:23" x14ac:dyDescent="0.25">
      <c r="A2945">
        <v>2944</v>
      </c>
      <c r="B2945" t="s">
        <v>8358</v>
      </c>
      <c r="C2945" s="1">
        <v>42463</v>
      </c>
      <c r="D2945" s="1">
        <v>42469</v>
      </c>
      <c r="E2945" t="s">
        <v>49</v>
      </c>
      <c r="F2945" t="s">
        <v>124</v>
      </c>
      <c r="G2945" t="s">
        <v>125</v>
      </c>
      <c r="H2945" t="s">
        <v>25</v>
      </c>
      <c r="I2945" t="s">
        <v>26</v>
      </c>
      <c r="J2945" t="s">
        <v>1450</v>
      </c>
      <c r="K2945" t="s">
        <v>251</v>
      </c>
      <c r="L2945">
        <v>47374</v>
      </c>
      <c r="M2945" t="s">
        <v>104</v>
      </c>
      <c r="N2945" t="s">
        <v>405</v>
      </c>
      <c r="O2945" t="s">
        <v>31</v>
      </c>
      <c r="P2945" t="s">
        <v>64</v>
      </c>
      <c r="Q2945" t="s">
        <v>406</v>
      </c>
      <c r="R2945">
        <v>71.12</v>
      </c>
      <c r="S2945">
        <v>4</v>
      </c>
      <c r="T2945">
        <v>0</v>
      </c>
      <c r="U2945">
        <v>22.0472</v>
      </c>
      <c r="V2945" t="str">
        <f t="shared" si="45"/>
        <v>Zuschuss Donatelli</v>
      </c>
      <c r="W2945">
        <f>Table2[Profit]/Table2[Sales]</f>
        <v>0.31</v>
      </c>
    </row>
    <row r="2946" spans="1:23" x14ac:dyDescent="0.25">
      <c r="A2946">
        <v>2945</v>
      </c>
      <c r="B2946" t="s">
        <v>8359</v>
      </c>
      <c r="C2946" s="1">
        <v>42747</v>
      </c>
      <c r="D2946" s="1">
        <v>42751</v>
      </c>
      <c r="E2946" t="s">
        <v>49</v>
      </c>
      <c r="F2946" t="s">
        <v>2643</v>
      </c>
      <c r="G2946" t="s">
        <v>2644</v>
      </c>
      <c r="H2946" t="s">
        <v>40</v>
      </c>
      <c r="I2946" t="s">
        <v>26</v>
      </c>
      <c r="J2946" t="s">
        <v>126</v>
      </c>
      <c r="K2946" t="s">
        <v>42</v>
      </c>
      <c r="L2946">
        <v>94110</v>
      </c>
      <c r="M2946" t="s">
        <v>43</v>
      </c>
      <c r="N2946" t="s">
        <v>4589</v>
      </c>
      <c r="O2946" t="s">
        <v>45</v>
      </c>
      <c r="P2946" t="s">
        <v>170</v>
      </c>
      <c r="Q2946" t="s">
        <v>662</v>
      </c>
      <c r="R2946">
        <v>9.7799999999999994</v>
      </c>
      <c r="S2946">
        <v>1</v>
      </c>
      <c r="T2946">
        <v>0</v>
      </c>
      <c r="U2946">
        <v>4.8899999999999997</v>
      </c>
      <c r="V2946" t="str">
        <f t="shared" si="45"/>
        <v>Linda Southworth</v>
      </c>
      <c r="W2946">
        <f>Table2[Profit]/Table2[Sales]</f>
        <v>0.5</v>
      </c>
    </row>
    <row r="2947" spans="1:23" x14ac:dyDescent="0.25">
      <c r="A2947">
        <v>2946</v>
      </c>
      <c r="B2947" t="s">
        <v>8360</v>
      </c>
      <c r="C2947" s="1">
        <v>42328</v>
      </c>
      <c r="D2947" s="1">
        <v>42332</v>
      </c>
      <c r="E2947" t="s">
        <v>49</v>
      </c>
      <c r="F2947" t="s">
        <v>5014</v>
      </c>
      <c r="G2947" t="s">
        <v>5015</v>
      </c>
      <c r="H2947" t="s">
        <v>101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1808</v>
      </c>
      <c r="O2947" t="s">
        <v>45</v>
      </c>
      <c r="P2947" t="s">
        <v>74</v>
      </c>
      <c r="Q2947" t="s">
        <v>1809</v>
      </c>
      <c r="R2947">
        <v>24.192</v>
      </c>
      <c r="S2947">
        <v>9</v>
      </c>
      <c r="T2947">
        <v>0.2</v>
      </c>
      <c r="U2947">
        <v>7.56</v>
      </c>
      <c r="V2947" t="str">
        <f t="shared" ref="V2947:V3010" si="46">TRIM(G2947)</f>
        <v>Patrick Bzostek</v>
      </c>
      <c r="W2947">
        <f>Table2[Profit]/Table2[Sales]</f>
        <v>0.3125</v>
      </c>
    </row>
    <row r="2948" spans="1:23" x14ac:dyDescent="0.25">
      <c r="A2948">
        <v>2947</v>
      </c>
      <c r="B2948" t="s">
        <v>8361</v>
      </c>
      <c r="C2948" s="1">
        <v>42701</v>
      </c>
      <c r="D2948" s="1">
        <v>42706</v>
      </c>
      <c r="E2948" t="s">
        <v>49</v>
      </c>
      <c r="F2948" t="s">
        <v>2712</v>
      </c>
      <c r="G2948" t="s">
        <v>2713</v>
      </c>
      <c r="H2948" t="s">
        <v>40</v>
      </c>
      <c r="I2948" t="s">
        <v>26</v>
      </c>
      <c r="J2948" t="s">
        <v>780</v>
      </c>
      <c r="K2948" t="s">
        <v>781</v>
      </c>
      <c r="L2948">
        <v>7090</v>
      </c>
      <c r="M2948" t="s">
        <v>145</v>
      </c>
      <c r="N2948" t="s">
        <v>4596</v>
      </c>
      <c r="O2948" t="s">
        <v>31</v>
      </c>
      <c r="P2948" t="s">
        <v>64</v>
      </c>
      <c r="Q2948" t="s">
        <v>4597</v>
      </c>
      <c r="R2948">
        <v>31.56</v>
      </c>
      <c r="S2948">
        <v>3</v>
      </c>
      <c r="T2948">
        <v>0</v>
      </c>
      <c r="U2948">
        <v>10.4148</v>
      </c>
      <c r="V2948" t="str">
        <f t="shared" si="46"/>
        <v>Pamela Coakley</v>
      </c>
      <c r="W2948">
        <f>Table2[Profit]/Table2[Sales]</f>
        <v>0.33</v>
      </c>
    </row>
    <row r="2949" spans="1:23" x14ac:dyDescent="0.25">
      <c r="A2949">
        <v>2948</v>
      </c>
      <c r="B2949" t="s">
        <v>8362</v>
      </c>
      <c r="C2949" s="1">
        <v>43045</v>
      </c>
      <c r="D2949" s="1">
        <v>43045</v>
      </c>
      <c r="E2949" t="s">
        <v>1278</v>
      </c>
      <c r="F2949" t="s">
        <v>744</v>
      </c>
      <c r="G2949" t="s">
        <v>745</v>
      </c>
      <c r="H2949" t="s">
        <v>101</v>
      </c>
      <c r="I2949" t="s">
        <v>26</v>
      </c>
      <c r="J2949" t="s">
        <v>126</v>
      </c>
      <c r="K2949" t="s">
        <v>42</v>
      </c>
      <c r="L2949">
        <v>94122</v>
      </c>
      <c r="M2949" t="s">
        <v>43</v>
      </c>
      <c r="N2949" t="s">
        <v>1436</v>
      </c>
      <c r="O2949" t="s">
        <v>45</v>
      </c>
      <c r="P2949" t="s">
        <v>89</v>
      </c>
      <c r="Q2949" t="s">
        <v>1437</v>
      </c>
      <c r="R2949">
        <v>59.94</v>
      </c>
      <c r="S2949">
        <v>3</v>
      </c>
      <c r="T2949">
        <v>0</v>
      </c>
      <c r="U2949">
        <v>28.171800000000001</v>
      </c>
      <c r="V2949" t="str">
        <f t="shared" si="46"/>
        <v>Frank Merwin</v>
      </c>
      <c r="W2949">
        <f>Table2[Profit]/Table2[Sales]</f>
        <v>0.47000000000000003</v>
      </c>
    </row>
    <row r="2950" spans="1:23" x14ac:dyDescent="0.25">
      <c r="A2950">
        <v>2949</v>
      </c>
      <c r="B2950" t="s">
        <v>8363</v>
      </c>
      <c r="C2950" s="1">
        <v>42706</v>
      </c>
      <c r="D2950" s="1">
        <v>42711</v>
      </c>
      <c r="E2950" t="s">
        <v>49</v>
      </c>
      <c r="F2950" t="s">
        <v>3857</v>
      </c>
      <c r="G2950" t="s">
        <v>3858</v>
      </c>
      <c r="H2950" t="s">
        <v>40</v>
      </c>
      <c r="I2950" t="s">
        <v>26</v>
      </c>
      <c r="J2950" t="s">
        <v>622</v>
      </c>
      <c r="K2950" t="s">
        <v>42</v>
      </c>
      <c r="L2950">
        <v>95123</v>
      </c>
      <c r="M2950" t="s">
        <v>43</v>
      </c>
      <c r="N2950" t="s">
        <v>4241</v>
      </c>
      <c r="O2950" t="s">
        <v>45</v>
      </c>
      <c r="P2950" t="s">
        <v>74</v>
      </c>
      <c r="Q2950" t="s">
        <v>4242</v>
      </c>
      <c r="R2950">
        <v>24.704000000000001</v>
      </c>
      <c r="S2950">
        <v>2</v>
      </c>
      <c r="T2950">
        <v>0.2</v>
      </c>
      <c r="U2950">
        <v>9.2639999999999993</v>
      </c>
      <c r="V2950" t="str">
        <f t="shared" si="46"/>
        <v>Keith Dawkins</v>
      </c>
      <c r="W2950">
        <f>Table2[Profit]/Table2[Sales]</f>
        <v>0.37499999999999994</v>
      </c>
    </row>
    <row r="2951" spans="1:23" x14ac:dyDescent="0.25">
      <c r="A2951">
        <v>2950</v>
      </c>
      <c r="B2951" t="s">
        <v>8364</v>
      </c>
      <c r="C2951" s="1">
        <v>42721</v>
      </c>
      <c r="D2951" s="1">
        <v>42726</v>
      </c>
      <c r="E2951" t="s">
        <v>49</v>
      </c>
      <c r="F2951" t="s">
        <v>5741</v>
      </c>
      <c r="G2951" t="s">
        <v>5742</v>
      </c>
      <c r="H2951" t="s">
        <v>101</v>
      </c>
      <c r="I2951" t="s">
        <v>26</v>
      </c>
      <c r="J2951" t="s">
        <v>94</v>
      </c>
      <c r="K2951" t="s">
        <v>95</v>
      </c>
      <c r="L2951">
        <v>98115</v>
      </c>
      <c r="M2951" t="s">
        <v>43</v>
      </c>
      <c r="N2951" t="s">
        <v>752</v>
      </c>
      <c r="O2951" t="s">
        <v>45</v>
      </c>
      <c r="P2951" t="s">
        <v>58</v>
      </c>
      <c r="Q2951" t="s">
        <v>753</v>
      </c>
      <c r="R2951">
        <v>46.53</v>
      </c>
      <c r="S2951">
        <v>3</v>
      </c>
      <c r="T2951">
        <v>0</v>
      </c>
      <c r="U2951">
        <v>13.0284</v>
      </c>
      <c r="V2951" t="str">
        <f t="shared" si="46"/>
        <v>Steve Carroll</v>
      </c>
      <c r="W2951">
        <f>Table2[Profit]/Table2[Sales]</f>
        <v>0.27999999999999997</v>
      </c>
    </row>
    <row r="2952" spans="1:23" x14ac:dyDescent="0.25">
      <c r="A2952">
        <v>2951</v>
      </c>
      <c r="B2952" t="s">
        <v>8365</v>
      </c>
      <c r="C2952" s="1">
        <v>41875</v>
      </c>
      <c r="D2952" s="1">
        <v>41877</v>
      </c>
      <c r="E2952" t="s">
        <v>22</v>
      </c>
      <c r="F2952" t="s">
        <v>549</v>
      </c>
      <c r="G2952" t="s">
        <v>550</v>
      </c>
      <c r="H2952" t="s">
        <v>40</v>
      </c>
      <c r="I2952" t="s">
        <v>26</v>
      </c>
      <c r="J2952" t="s">
        <v>8350</v>
      </c>
      <c r="K2952" t="s">
        <v>28</v>
      </c>
      <c r="L2952">
        <v>42301</v>
      </c>
      <c r="M2952" t="s">
        <v>29</v>
      </c>
      <c r="N2952" t="s">
        <v>8366</v>
      </c>
      <c r="O2952" t="s">
        <v>45</v>
      </c>
      <c r="P2952" t="s">
        <v>572</v>
      </c>
      <c r="Q2952" t="s">
        <v>8367</v>
      </c>
      <c r="R2952">
        <v>25.5</v>
      </c>
      <c r="S2952">
        <v>3</v>
      </c>
      <c r="T2952">
        <v>0</v>
      </c>
      <c r="U2952">
        <v>6.63</v>
      </c>
      <c r="V2952" t="str">
        <f t="shared" si="46"/>
        <v>Dorothy Wardle</v>
      </c>
      <c r="W2952">
        <f>Table2[Profit]/Table2[Sales]</f>
        <v>0.26</v>
      </c>
    </row>
    <row r="2953" spans="1:23" x14ac:dyDescent="0.25">
      <c r="A2953">
        <v>2952</v>
      </c>
      <c r="B2953" t="s">
        <v>8368</v>
      </c>
      <c r="C2953" s="1">
        <v>42264</v>
      </c>
      <c r="D2953" s="1">
        <v>42270</v>
      </c>
      <c r="E2953" t="s">
        <v>49</v>
      </c>
      <c r="F2953" t="s">
        <v>6866</v>
      </c>
      <c r="G2953" t="s">
        <v>6867</v>
      </c>
      <c r="H2953" t="s">
        <v>25</v>
      </c>
      <c r="I2953" t="s">
        <v>26</v>
      </c>
      <c r="J2953" t="s">
        <v>263</v>
      </c>
      <c r="K2953" t="s">
        <v>264</v>
      </c>
      <c r="L2953">
        <v>10035</v>
      </c>
      <c r="M2953" t="s">
        <v>145</v>
      </c>
      <c r="N2953" t="s">
        <v>1499</v>
      </c>
      <c r="O2953" t="s">
        <v>45</v>
      </c>
      <c r="P2953" t="s">
        <v>58</v>
      </c>
      <c r="Q2953" t="s">
        <v>1500</v>
      </c>
      <c r="R2953">
        <v>14.9</v>
      </c>
      <c r="S2953">
        <v>5</v>
      </c>
      <c r="T2953">
        <v>0</v>
      </c>
      <c r="U2953">
        <v>1.0429999999999999</v>
      </c>
      <c r="V2953" t="str">
        <f t="shared" si="46"/>
        <v>Peter Fuller</v>
      </c>
      <c r="W2953">
        <f>Table2[Profit]/Table2[Sales]</f>
        <v>6.9999999999999993E-2</v>
      </c>
    </row>
    <row r="2954" spans="1:23" x14ac:dyDescent="0.25">
      <c r="A2954">
        <v>2953</v>
      </c>
      <c r="B2954" t="s">
        <v>8369</v>
      </c>
      <c r="C2954" s="1">
        <v>42700</v>
      </c>
      <c r="D2954" s="1">
        <v>42704</v>
      </c>
      <c r="E2954" t="s">
        <v>22</v>
      </c>
      <c r="F2954" t="s">
        <v>1347</v>
      </c>
      <c r="G2954" t="s">
        <v>1348</v>
      </c>
      <c r="H2954" t="s">
        <v>40</v>
      </c>
      <c r="I2954" t="s">
        <v>26</v>
      </c>
      <c r="J2954" t="s">
        <v>263</v>
      </c>
      <c r="K2954" t="s">
        <v>264</v>
      </c>
      <c r="L2954">
        <v>10011</v>
      </c>
      <c r="M2954" t="s">
        <v>145</v>
      </c>
      <c r="N2954" t="s">
        <v>3728</v>
      </c>
      <c r="O2954" t="s">
        <v>31</v>
      </c>
      <c r="P2954" t="s">
        <v>55</v>
      </c>
      <c r="Q2954" t="s">
        <v>3729</v>
      </c>
      <c r="R2954">
        <v>313.17599999999999</v>
      </c>
      <c r="S2954">
        <v>2</v>
      </c>
      <c r="T2954">
        <v>0.4</v>
      </c>
      <c r="U2954">
        <v>-120.0508</v>
      </c>
      <c r="V2954" t="str">
        <f t="shared" si="46"/>
        <v>Dean Katz</v>
      </c>
      <c r="W2954">
        <f>Table2[Profit]/Table2[Sales]</f>
        <v>-0.38333333333333336</v>
      </c>
    </row>
    <row r="2955" spans="1:23" x14ac:dyDescent="0.25">
      <c r="A2955">
        <v>2954</v>
      </c>
      <c r="B2955" t="s">
        <v>8370</v>
      </c>
      <c r="C2955" s="1">
        <v>43058</v>
      </c>
      <c r="D2955" s="1">
        <v>43061</v>
      </c>
      <c r="E2955" t="s">
        <v>22</v>
      </c>
      <c r="F2955" t="s">
        <v>4978</v>
      </c>
      <c r="G2955" t="s">
        <v>4979</v>
      </c>
      <c r="H2955" t="s">
        <v>25</v>
      </c>
      <c r="I2955" t="s">
        <v>26</v>
      </c>
      <c r="J2955" t="s">
        <v>311</v>
      </c>
      <c r="K2955" t="s">
        <v>312</v>
      </c>
      <c r="L2955">
        <v>22153</v>
      </c>
      <c r="M2955" t="s">
        <v>29</v>
      </c>
      <c r="N2955" t="s">
        <v>4888</v>
      </c>
      <c r="O2955" t="s">
        <v>45</v>
      </c>
      <c r="P2955" t="s">
        <v>67</v>
      </c>
      <c r="Q2955" t="s">
        <v>4889</v>
      </c>
      <c r="R2955">
        <v>22.96</v>
      </c>
      <c r="S2955">
        <v>7</v>
      </c>
      <c r="T2955">
        <v>0</v>
      </c>
      <c r="U2955">
        <v>6.6584000000000003</v>
      </c>
      <c r="V2955" t="str">
        <f t="shared" si="46"/>
        <v>Richard Bierner</v>
      </c>
      <c r="W2955">
        <f>Table2[Profit]/Table2[Sales]</f>
        <v>0.28999999999999998</v>
      </c>
    </row>
    <row r="2956" spans="1:23" x14ac:dyDescent="0.25">
      <c r="A2956">
        <v>2955</v>
      </c>
      <c r="B2956" t="s">
        <v>8371</v>
      </c>
      <c r="C2956" s="1">
        <v>42889</v>
      </c>
      <c r="D2956" s="1">
        <v>42894</v>
      </c>
      <c r="E2956" t="s">
        <v>49</v>
      </c>
      <c r="F2956" t="s">
        <v>1998</v>
      </c>
      <c r="G2956" t="s">
        <v>1999</v>
      </c>
      <c r="H2956" t="s">
        <v>40</v>
      </c>
      <c r="I2956" t="s">
        <v>26</v>
      </c>
      <c r="J2956" t="s">
        <v>5553</v>
      </c>
      <c r="K2956" t="s">
        <v>95</v>
      </c>
      <c r="L2956">
        <v>98226</v>
      </c>
      <c r="M2956" t="s">
        <v>43</v>
      </c>
      <c r="N2956" t="s">
        <v>3796</v>
      </c>
      <c r="O2956" t="s">
        <v>70</v>
      </c>
      <c r="P2956" t="s">
        <v>158</v>
      </c>
      <c r="Q2956" t="s">
        <v>3797</v>
      </c>
      <c r="R2956">
        <v>1099.5</v>
      </c>
      <c r="S2956">
        <v>10</v>
      </c>
      <c r="T2956">
        <v>0</v>
      </c>
      <c r="U2956">
        <v>362.83499999999998</v>
      </c>
      <c r="V2956" t="str">
        <f t="shared" si="46"/>
        <v>Giulietta Dortch</v>
      </c>
      <c r="W2956">
        <f>Table2[Profit]/Table2[Sales]</f>
        <v>0.32999999999999996</v>
      </c>
    </row>
    <row r="2957" spans="1:23" x14ac:dyDescent="0.25">
      <c r="A2957">
        <v>2956</v>
      </c>
      <c r="B2957" t="s">
        <v>8372</v>
      </c>
      <c r="C2957" s="1">
        <v>41737</v>
      </c>
      <c r="D2957" s="1">
        <v>41741</v>
      </c>
      <c r="E2957" t="s">
        <v>49</v>
      </c>
      <c r="F2957" t="s">
        <v>212</v>
      </c>
      <c r="G2957" t="s">
        <v>213</v>
      </c>
      <c r="H2957" t="s">
        <v>40</v>
      </c>
      <c r="I2957" t="s">
        <v>26</v>
      </c>
      <c r="J2957" t="s">
        <v>350</v>
      </c>
      <c r="K2957" t="s">
        <v>351</v>
      </c>
      <c r="L2957">
        <v>35601</v>
      </c>
      <c r="M2957" t="s">
        <v>29</v>
      </c>
      <c r="N2957" t="s">
        <v>8113</v>
      </c>
      <c r="O2957" t="s">
        <v>31</v>
      </c>
      <c r="P2957" t="s">
        <v>55</v>
      </c>
      <c r="Q2957" t="s">
        <v>8114</v>
      </c>
      <c r="R2957">
        <v>1215.92</v>
      </c>
      <c r="S2957">
        <v>8</v>
      </c>
      <c r="T2957">
        <v>0</v>
      </c>
      <c r="U2957">
        <v>316.13920000000002</v>
      </c>
      <c r="V2957" t="str">
        <f t="shared" si="46"/>
        <v>Ruben Ausman</v>
      </c>
      <c r="W2957">
        <f>Table2[Profit]/Table2[Sales]</f>
        <v>0.26</v>
      </c>
    </row>
    <row r="2958" spans="1:23" x14ac:dyDescent="0.25">
      <c r="A2958">
        <v>2957</v>
      </c>
      <c r="B2958" t="s">
        <v>8373</v>
      </c>
      <c r="C2958" s="1">
        <v>41923</v>
      </c>
      <c r="D2958" s="1">
        <v>41927</v>
      </c>
      <c r="E2958" t="s">
        <v>49</v>
      </c>
      <c r="F2958" t="s">
        <v>5063</v>
      </c>
      <c r="G2958" t="s">
        <v>5064</v>
      </c>
      <c r="H2958" t="s">
        <v>40</v>
      </c>
      <c r="I2958" t="s">
        <v>26</v>
      </c>
      <c r="J2958" t="s">
        <v>1682</v>
      </c>
      <c r="K2958" t="s">
        <v>1683</v>
      </c>
      <c r="L2958">
        <v>72701</v>
      </c>
      <c r="M2958" t="s">
        <v>29</v>
      </c>
      <c r="N2958" t="s">
        <v>44</v>
      </c>
      <c r="O2958" t="s">
        <v>45</v>
      </c>
      <c r="P2958" t="s">
        <v>46</v>
      </c>
      <c r="Q2958" t="s">
        <v>47</v>
      </c>
      <c r="R2958">
        <v>7.31</v>
      </c>
      <c r="S2958">
        <v>1</v>
      </c>
      <c r="T2958">
        <v>0</v>
      </c>
      <c r="U2958">
        <v>3.4357000000000002</v>
      </c>
      <c r="V2958" t="str">
        <f t="shared" si="46"/>
        <v>Dorothy Badders</v>
      </c>
      <c r="W2958">
        <f>Table2[Profit]/Table2[Sales]</f>
        <v>0.47000000000000003</v>
      </c>
    </row>
    <row r="2959" spans="1:23" x14ac:dyDescent="0.25">
      <c r="A2959">
        <v>2958</v>
      </c>
      <c r="B2959" t="s">
        <v>8374</v>
      </c>
      <c r="C2959" s="1">
        <v>42923</v>
      </c>
      <c r="D2959" s="1">
        <v>42925</v>
      </c>
      <c r="E2959" t="s">
        <v>185</v>
      </c>
      <c r="F2959" t="s">
        <v>1791</v>
      </c>
      <c r="G2959" t="s">
        <v>1792</v>
      </c>
      <c r="H2959" t="s">
        <v>25</v>
      </c>
      <c r="I2959" t="s">
        <v>26</v>
      </c>
      <c r="J2959" t="s">
        <v>143</v>
      </c>
      <c r="K2959" t="s">
        <v>144</v>
      </c>
      <c r="L2959">
        <v>19120</v>
      </c>
      <c r="M2959" t="s">
        <v>145</v>
      </c>
      <c r="N2959" t="s">
        <v>2574</v>
      </c>
      <c r="O2959" t="s">
        <v>31</v>
      </c>
      <c r="P2959" t="s">
        <v>32</v>
      </c>
      <c r="Q2959" t="s">
        <v>2575</v>
      </c>
      <c r="R2959">
        <v>87.21</v>
      </c>
      <c r="S2959">
        <v>3</v>
      </c>
      <c r="T2959">
        <v>0.5</v>
      </c>
      <c r="U2959">
        <v>-45.349200000000003</v>
      </c>
      <c r="V2959" t="str">
        <f t="shared" si="46"/>
        <v>Rob Lucas</v>
      </c>
      <c r="W2959">
        <f>Table2[Profit]/Table2[Sales]</f>
        <v>-0.52000000000000013</v>
      </c>
    </row>
    <row r="2960" spans="1:23" x14ac:dyDescent="0.25">
      <c r="A2960">
        <v>2959</v>
      </c>
      <c r="B2960" t="s">
        <v>8375</v>
      </c>
      <c r="C2960" s="1">
        <v>42555</v>
      </c>
      <c r="D2960" s="1">
        <v>42555</v>
      </c>
      <c r="E2960" t="s">
        <v>1278</v>
      </c>
      <c r="F2960" t="s">
        <v>433</v>
      </c>
      <c r="G2960" t="s">
        <v>434</v>
      </c>
      <c r="H2960" t="s">
        <v>101</v>
      </c>
      <c r="I2960" t="s">
        <v>26</v>
      </c>
      <c r="J2960" t="s">
        <v>94</v>
      </c>
      <c r="K2960" t="s">
        <v>95</v>
      </c>
      <c r="L2960">
        <v>98103</v>
      </c>
      <c r="M2960" t="s">
        <v>43</v>
      </c>
      <c r="N2960" t="s">
        <v>2039</v>
      </c>
      <c r="O2960" t="s">
        <v>31</v>
      </c>
      <c r="P2960" t="s">
        <v>64</v>
      </c>
      <c r="Q2960" t="s">
        <v>2040</v>
      </c>
      <c r="R2960">
        <v>25.4</v>
      </c>
      <c r="S2960">
        <v>5</v>
      </c>
      <c r="T2960">
        <v>0</v>
      </c>
      <c r="U2960">
        <v>8.6359999999999992</v>
      </c>
      <c r="V2960" t="str">
        <f t="shared" si="46"/>
        <v>Rick Bensley</v>
      </c>
      <c r="W2960">
        <f>Table2[Profit]/Table2[Sales]</f>
        <v>0.33999999999999997</v>
      </c>
    </row>
    <row r="2961" spans="1:23" x14ac:dyDescent="0.25">
      <c r="A2961">
        <v>2960</v>
      </c>
      <c r="B2961" t="s">
        <v>8376</v>
      </c>
      <c r="C2961" s="1">
        <v>42874</v>
      </c>
      <c r="D2961" s="1">
        <v>42880</v>
      </c>
      <c r="E2961" t="s">
        <v>49</v>
      </c>
      <c r="F2961" t="s">
        <v>5628</v>
      </c>
      <c r="G2961" t="s">
        <v>5629</v>
      </c>
      <c r="H2961" t="s">
        <v>25</v>
      </c>
      <c r="I2961" t="s">
        <v>26</v>
      </c>
      <c r="J2961" t="s">
        <v>4260</v>
      </c>
      <c r="K2961" t="s">
        <v>103</v>
      </c>
      <c r="L2961">
        <v>75023</v>
      </c>
      <c r="M2961" t="s">
        <v>104</v>
      </c>
      <c r="N2961" t="s">
        <v>4746</v>
      </c>
      <c r="O2961" t="s">
        <v>70</v>
      </c>
      <c r="P2961" t="s">
        <v>71</v>
      </c>
      <c r="Q2961" t="s">
        <v>4747</v>
      </c>
      <c r="R2961">
        <v>95.992000000000004</v>
      </c>
      <c r="S2961">
        <v>1</v>
      </c>
      <c r="T2961">
        <v>0.2</v>
      </c>
      <c r="U2961">
        <v>9.5991999999999997</v>
      </c>
      <c r="V2961" t="str">
        <f t="shared" si="46"/>
        <v>Jason Fortune-</v>
      </c>
      <c r="W2961">
        <f>Table2[Profit]/Table2[Sales]</f>
        <v>9.9999999999999992E-2</v>
      </c>
    </row>
    <row r="2962" spans="1:23" x14ac:dyDescent="0.25">
      <c r="A2962">
        <v>2961</v>
      </c>
      <c r="B2962" t="s">
        <v>8377</v>
      </c>
      <c r="C2962" s="1">
        <v>43020</v>
      </c>
      <c r="D2962" s="1">
        <v>43022</v>
      </c>
      <c r="E2962" t="s">
        <v>22</v>
      </c>
      <c r="F2962" t="s">
        <v>2898</v>
      </c>
      <c r="G2962" t="s">
        <v>2899</v>
      </c>
      <c r="H2962" t="s">
        <v>25</v>
      </c>
      <c r="I2962" t="s">
        <v>26</v>
      </c>
      <c r="J2962" t="s">
        <v>41</v>
      </c>
      <c r="K2962" t="s">
        <v>42</v>
      </c>
      <c r="L2962">
        <v>90049</v>
      </c>
      <c r="M2962" t="s">
        <v>43</v>
      </c>
      <c r="N2962" t="s">
        <v>1830</v>
      </c>
      <c r="O2962" t="s">
        <v>70</v>
      </c>
      <c r="P2962" t="s">
        <v>158</v>
      </c>
      <c r="Q2962" t="s">
        <v>1831</v>
      </c>
      <c r="R2962">
        <v>435.84</v>
      </c>
      <c r="S2962">
        <v>12</v>
      </c>
      <c r="T2962">
        <v>0</v>
      </c>
      <c r="U2962">
        <v>130.75200000000001</v>
      </c>
      <c r="V2962" t="str">
        <f t="shared" si="46"/>
        <v>Robert Waldorf</v>
      </c>
      <c r="W2962">
        <f>Table2[Profit]/Table2[Sales]</f>
        <v>0.30000000000000004</v>
      </c>
    </row>
    <row r="2963" spans="1:23" x14ac:dyDescent="0.25">
      <c r="A2963">
        <v>2962</v>
      </c>
      <c r="B2963" t="s">
        <v>8378</v>
      </c>
      <c r="C2963" s="1">
        <v>42588</v>
      </c>
      <c r="D2963" s="1">
        <v>42595</v>
      </c>
      <c r="E2963" t="s">
        <v>49</v>
      </c>
      <c r="F2963" t="s">
        <v>2962</v>
      </c>
      <c r="G2963" t="s">
        <v>2963</v>
      </c>
      <c r="H2963" t="s">
        <v>25</v>
      </c>
      <c r="I2963" t="s">
        <v>26</v>
      </c>
      <c r="J2963" t="s">
        <v>41</v>
      </c>
      <c r="K2963" t="s">
        <v>42</v>
      </c>
      <c r="L2963">
        <v>90032</v>
      </c>
      <c r="M2963" t="s">
        <v>43</v>
      </c>
      <c r="N2963" t="s">
        <v>828</v>
      </c>
      <c r="O2963" t="s">
        <v>70</v>
      </c>
      <c r="P2963" t="s">
        <v>71</v>
      </c>
      <c r="Q2963" t="s">
        <v>829</v>
      </c>
      <c r="R2963">
        <v>211.16800000000001</v>
      </c>
      <c r="S2963">
        <v>4</v>
      </c>
      <c r="T2963">
        <v>0.2</v>
      </c>
      <c r="U2963">
        <v>18.4772</v>
      </c>
      <c r="V2963" t="str">
        <f t="shared" si="46"/>
        <v>Vivek Gonzalez</v>
      </c>
      <c r="W2963">
        <f>Table2[Profit]/Table2[Sales]</f>
        <v>8.7499999999999994E-2</v>
      </c>
    </row>
    <row r="2964" spans="1:23" x14ac:dyDescent="0.25">
      <c r="A2964">
        <v>2963</v>
      </c>
      <c r="B2964" t="s">
        <v>8379</v>
      </c>
      <c r="C2964" s="1">
        <v>41876</v>
      </c>
      <c r="D2964" s="1">
        <v>41880</v>
      </c>
      <c r="E2964" t="s">
        <v>49</v>
      </c>
      <c r="F2964" t="s">
        <v>261</v>
      </c>
      <c r="G2964" t="s">
        <v>262</v>
      </c>
      <c r="H2964" t="s">
        <v>40</v>
      </c>
      <c r="I2964" t="s">
        <v>26</v>
      </c>
      <c r="J2964" t="s">
        <v>41</v>
      </c>
      <c r="K2964" t="s">
        <v>42</v>
      </c>
      <c r="L2964">
        <v>90036</v>
      </c>
      <c r="M2964" t="s">
        <v>43</v>
      </c>
      <c r="N2964" t="s">
        <v>5952</v>
      </c>
      <c r="O2964" t="s">
        <v>31</v>
      </c>
      <c r="P2964" t="s">
        <v>64</v>
      </c>
      <c r="Q2964" t="s">
        <v>5953</v>
      </c>
      <c r="R2964">
        <v>6.28</v>
      </c>
      <c r="S2964">
        <v>1</v>
      </c>
      <c r="T2964">
        <v>0</v>
      </c>
      <c r="U2964">
        <v>2.6375999999999999</v>
      </c>
      <c r="V2964" t="str">
        <f t="shared" si="46"/>
        <v>Janet Molinari</v>
      </c>
      <c r="W2964">
        <f>Table2[Profit]/Table2[Sales]</f>
        <v>0.42</v>
      </c>
    </row>
    <row r="2965" spans="1:23" x14ac:dyDescent="0.25">
      <c r="A2965">
        <v>2964</v>
      </c>
      <c r="B2965" t="s">
        <v>8380</v>
      </c>
      <c r="C2965" s="1">
        <v>42261</v>
      </c>
      <c r="D2965" s="1">
        <v>42265</v>
      </c>
      <c r="E2965" t="s">
        <v>22</v>
      </c>
      <c r="F2965" t="s">
        <v>4433</v>
      </c>
      <c r="G2965" t="s">
        <v>4434</v>
      </c>
      <c r="H2965" t="s">
        <v>101</v>
      </c>
      <c r="I2965" t="s">
        <v>26</v>
      </c>
      <c r="J2965" t="s">
        <v>1366</v>
      </c>
      <c r="K2965" t="s">
        <v>482</v>
      </c>
      <c r="L2965">
        <v>50315</v>
      </c>
      <c r="M2965" t="s">
        <v>104</v>
      </c>
      <c r="N2965" t="s">
        <v>6226</v>
      </c>
      <c r="O2965" t="s">
        <v>45</v>
      </c>
      <c r="P2965" t="s">
        <v>74</v>
      </c>
      <c r="Q2965" t="s">
        <v>6227</v>
      </c>
      <c r="R2965">
        <v>25.9</v>
      </c>
      <c r="S2965">
        <v>5</v>
      </c>
      <c r="T2965">
        <v>0</v>
      </c>
      <c r="U2965">
        <v>12.691000000000001</v>
      </c>
      <c r="V2965" t="str">
        <f t="shared" si="46"/>
        <v>Brad Eason</v>
      </c>
      <c r="W2965">
        <f>Table2[Profit]/Table2[Sales]</f>
        <v>0.49000000000000005</v>
      </c>
    </row>
    <row r="2966" spans="1:23" x14ac:dyDescent="0.25">
      <c r="A2966">
        <v>2965</v>
      </c>
      <c r="B2966" t="s">
        <v>8381</v>
      </c>
      <c r="C2966" s="1">
        <v>42799</v>
      </c>
      <c r="D2966" s="1">
        <v>42799</v>
      </c>
      <c r="E2966" t="s">
        <v>1278</v>
      </c>
      <c r="F2966" t="s">
        <v>987</v>
      </c>
      <c r="G2966" t="s">
        <v>988</v>
      </c>
      <c r="H2966" t="s">
        <v>40</v>
      </c>
      <c r="I2966" t="s">
        <v>26</v>
      </c>
      <c r="J2966" t="s">
        <v>5169</v>
      </c>
      <c r="K2966" t="s">
        <v>1473</v>
      </c>
      <c r="L2966">
        <v>38671</v>
      </c>
      <c r="M2966" t="s">
        <v>29</v>
      </c>
      <c r="N2966" t="s">
        <v>2937</v>
      </c>
      <c r="O2966" t="s">
        <v>45</v>
      </c>
      <c r="P2966" t="s">
        <v>170</v>
      </c>
      <c r="Q2966" t="s">
        <v>2938</v>
      </c>
      <c r="R2966">
        <v>42.68</v>
      </c>
      <c r="S2966">
        <v>4</v>
      </c>
      <c r="T2966">
        <v>0</v>
      </c>
      <c r="U2966">
        <v>19.6328</v>
      </c>
      <c r="V2966" t="str">
        <f t="shared" si="46"/>
        <v>Claudia Bergmann</v>
      </c>
      <c r="W2966">
        <f>Table2[Profit]/Table2[Sales]</f>
        <v>0.46</v>
      </c>
    </row>
    <row r="2967" spans="1:23" x14ac:dyDescent="0.25">
      <c r="A2967">
        <v>2966</v>
      </c>
      <c r="B2967" t="s">
        <v>8383</v>
      </c>
      <c r="C2967" s="1">
        <v>42840</v>
      </c>
      <c r="D2967" s="1">
        <v>42846</v>
      </c>
      <c r="E2967" t="s">
        <v>49</v>
      </c>
      <c r="F2967" t="s">
        <v>1483</v>
      </c>
      <c r="G2967" t="s">
        <v>1484</v>
      </c>
      <c r="H2967" t="s">
        <v>101</v>
      </c>
      <c r="I2967" t="s">
        <v>26</v>
      </c>
      <c r="J2967" t="s">
        <v>181</v>
      </c>
      <c r="K2967" t="s">
        <v>103</v>
      </c>
      <c r="L2967">
        <v>77041</v>
      </c>
      <c r="M2967" t="s">
        <v>104</v>
      </c>
      <c r="N2967" t="s">
        <v>8384</v>
      </c>
      <c r="O2967" t="s">
        <v>45</v>
      </c>
      <c r="P2967" t="s">
        <v>89</v>
      </c>
      <c r="Q2967" t="s">
        <v>8385</v>
      </c>
      <c r="R2967">
        <v>20.736000000000001</v>
      </c>
      <c r="S2967">
        <v>4</v>
      </c>
      <c r="T2967">
        <v>0.2</v>
      </c>
      <c r="U2967">
        <v>7.2576000000000001</v>
      </c>
      <c r="V2967" t="str">
        <f t="shared" si="46"/>
        <v>Shirley Daniels</v>
      </c>
      <c r="W2967">
        <f>Table2[Profit]/Table2[Sales]</f>
        <v>0.35</v>
      </c>
    </row>
    <row r="2968" spans="1:23" x14ac:dyDescent="0.25">
      <c r="A2968">
        <v>2967</v>
      </c>
      <c r="B2968" t="s">
        <v>8386</v>
      </c>
      <c r="C2968" s="1">
        <v>41728</v>
      </c>
      <c r="D2968" s="1">
        <v>41729</v>
      </c>
      <c r="E2968" t="s">
        <v>185</v>
      </c>
      <c r="F2968" t="s">
        <v>7115</v>
      </c>
      <c r="G2968" t="s">
        <v>7116</v>
      </c>
      <c r="H2968" t="s">
        <v>40</v>
      </c>
      <c r="I2968" t="s">
        <v>26</v>
      </c>
      <c r="J2968" t="s">
        <v>263</v>
      </c>
      <c r="K2968" t="s">
        <v>264</v>
      </c>
      <c r="L2968">
        <v>10009</v>
      </c>
      <c r="M2968" t="s">
        <v>145</v>
      </c>
      <c r="N2968" t="s">
        <v>7654</v>
      </c>
      <c r="O2968" t="s">
        <v>45</v>
      </c>
      <c r="P2968" t="s">
        <v>67</v>
      </c>
      <c r="Q2968" t="s">
        <v>7655</v>
      </c>
      <c r="R2968">
        <v>10.5</v>
      </c>
      <c r="S2968">
        <v>5</v>
      </c>
      <c r="T2968">
        <v>0</v>
      </c>
      <c r="U2968">
        <v>2.94</v>
      </c>
      <c r="V2968" t="str">
        <f t="shared" si="46"/>
        <v>Susan Gilcrest</v>
      </c>
      <c r="W2968">
        <f>Table2[Profit]/Table2[Sales]</f>
        <v>0.27999999999999997</v>
      </c>
    </row>
    <row r="2969" spans="1:23" x14ac:dyDescent="0.25">
      <c r="A2969">
        <v>2968</v>
      </c>
      <c r="B2969" t="s">
        <v>8387</v>
      </c>
      <c r="C2969" s="1">
        <v>41954</v>
      </c>
      <c r="D2969" s="1">
        <v>41958</v>
      </c>
      <c r="E2969" t="s">
        <v>22</v>
      </c>
      <c r="F2969" t="s">
        <v>7445</v>
      </c>
      <c r="G2969" t="s">
        <v>7446</v>
      </c>
      <c r="H2969" t="s">
        <v>40</v>
      </c>
      <c r="I2969" t="s">
        <v>26</v>
      </c>
      <c r="J2969" t="s">
        <v>4671</v>
      </c>
      <c r="K2969" t="s">
        <v>144</v>
      </c>
      <c r="L2969">
        <v>19601</v>
      </c>
      <c r="M2969" t="s">
        <v>145</v>
      </c>
      <c r="N2969" t="s">
        <v>5909</v>
      </c>
      <c r="O2969" t="s">
        <v>31</v>
      </c>
      <c r="P2969" t="s">
        <v>64</v>
      </c>
      <c r="Q2969" t="s">
        <v>5910</v>
      </c>
      <c r="R2969">
        <v>23.968</v>
      </c>
      <c r="S2969">
        <v>2</v>
      </c>
      <c r="T2969">
        <v>0.2</v>
      </c>
      <c r="U2969">
        <v>7.7896000000000001</v>
      </c>
      <c r="V2969" t="str">
        <f t="shared" si="46"/>
        <v>Tom Stivers</v>
      </c>
      <c r="W2969">
        <f>Table2[Profit]/Table2[Sales]</f>
        <v>0.32500000000000001</v>
      </c>
    </row>
    <row r="2970" spans="1:23" x14ac:dyDescent="0.25">
      <c r="A2970">
        <v>2969</v>
      </c>
      <c r="B2970" t="s">
        <v>8388</v>
      </c>
      <c r="C2970" s="1">
        <v>42441</v>
      </c>
      <c r="D2970" s="1">
        <v>42444</v>
      </c>
      <c r="E2970" t="s">
        <v>22</v>
      </c>
      <c r="F2970" t="s">
        <v>1347</v>
      </c>
      <c r="G2970" t="s">
        <v>1348</v>
      </c>
      <c r="H2970" t="s">
        <v>40</v>
      </c>
      <c r="I2970" t="s">
        <v>26</v>
      </c>
      <c r="J2970" t="s">
        <v>126</v>
      </c>
      <c r="K2970" t="s">
        <v>42</v>
      </c>
      <c r="L2970">
        <v>94109</v>
      </c>
      <c r="M2970" t="s">
        <v>43</v>
      </c>
      <c r="N2970" t="s">
        <v>1088</v>
      </c>
      <c r="O2970" t="s">
        <v>45</v>
      </c>
      <c r="P2970" t="s">
        <v>58</v>
      </c>
      <c r="Q2970" t="s">
        <v>1089</v>
      </c>
      <c r="R2970">
        <v>676.55</v>
      </c>
      <c r="S2970">
        <v>5</v>
      </c>
      <c r="T2970">
        <v>0</v>
      </c>
      <c r="U2970">
        <v>6.7655000000000003</v>
      </c>
      <c r="V2970" t="str">
        <f t="shared" si="46"/>
        <v>Dean Katz</v>
      </c>
      <c r="W2970">
        <f>Table2[Profit]/Table2[Sales]</f>
        <v>1.0000000000000002E-2</v>
      </c>
    </row>
    <row r="2971" spans="1:23" x14ac:dyDescent="0.25">
      <c r="A2971">
        <v>2970</v>
      </c>
      <c r="B2971" t="s">
        <v>8389</v>
      </c>
      <c r="C2971" s="1">
        <v>42775</v>
      </c>
      <c r="D2971" s="1">
        <v>42780</v>
      </c>
      <c r="E2971" t="s">
        <v>22</v>
      </c>
      <c r="F2971" t="s">
        <v>4150</v>
      </c>
      <c r="G2971" t="s">
        <v>4151</v>
      </c>
      <c r="H2971" t="s">
        <v>40</v>
      </c>
      <c r="I2971" t="s">
        <v>26</v>
      </c>
      <c r="J2971" t="s">
        <v>41</v>
      </c>
      <c r="K2971" t="s">
        <v>42</v>
      </c>
      <c r="L2971">
        <v>90045</v>
      </c>
      <c r="M2971" t="s">
        <v>43</v>
      </c>
      <c r="N2971" t="s">
        <v>4827</v>
      </c>
      <c r="O2971" t="s">
        <v>31</v>
      </c>
      <c r="P2971" t="s">
        <v>64</v>
      </c>
      <c r="Q2971" t="s">
        <v>4828</v>
      </c>
      <c r="R2971">
        <v>21.12</v>
      </c>
      <c r="S2971">
        <v>4</v>
      </c>
      <c r="T2971">
        <v>0</v>
      </c>
      <c r="U2971">
        <v>6.5472000000000001</v>
      </c>
      <c r="V2971" t="str">
        <f t="shared" si="46"/>
        <v>Marina Lichtenstein</v>
      </c>
      <c r="W2971">
        <f>Table2[Profit]/Table2[Sales]</f>
        <v>0.31</v>
      </c>
    </row>
    <row r="2972" spans="1:23" x14ac:dyDescent="0.25">
      <c r="A2972">
        <v>2971</v>
      </c>
      <c r="B2972" t="s">
        <v>8390</v>
      </c>
      <c r="C2972" s="1">
        <v>41954</v>
      </c>
      <c r="D2972" s="1">
        <v>41956</v>
      </c>
      <c r="E2972" t="s">
        <v>22</v>
      </c>
      <c r="F2972" t="s">
        <v>179</v>
      </c>
      <c r="G2972" t="s">
        <v>180</v>
      </c>
      <c r="H2972" t="s">
        <v>101</v>
      </c>
      <c r="I2972" t="s">
        <v>26</v>
      </c>
      <c r="J2972" t="s">
        <v>41</v>
      </c>
      <c r="K2972" t="s">
        <v>42</v>
      </c>
      <c r="L2972">
        <v>90004</v>
      </c>
      <c r="M2972" t="s">
        <v>43</v>
      </c>
      <c r="N2972" t="s">
        <v>1976</v>
      </c>
      <c r="O2972" t="s">
        <v>70</v>
      </c>
      <c r="P2972" t="s">
        <v>71</v>
      </c>
      <c r="Q2972" t="s">
        <v>1977</v>
      </c>
      <c r="R2972">
        <v>575.928</v>
      </c>
      <c r="S2972">
        <v>9</v>
      </c>
      <c r="T2972">
        <v>0.2</v>
      </c>
      <c r="U2972">
        <v>57.592799999999997</v>
      </c>
      <c r="V2972" t="str">
        <f t="shared" si="46"/>
        <v>Matt Abelman</v>
      </c>
      <c r="W2972">
        <f>Table2[Profit]/Table2[Sales]</f>
        <v>9.9999999999999992E-2</v>
      </c>
    </row>
    <row r="2973" spans="1:23" x14ac:dyDescent="0.25">
      <c r="A2973">
        <v>2972</v>
      </c>
      <c r="B2973" t="s">
        <v>8391</v>
      </c>
      <c r="C2973" s="1">
        <v>42967</v>
      </c>
      <c r="D2973" s="1">
        <v>42972</v>
      </c>
      <c r="E2973" t="s">
        <v>49</v>
      </c>
      <c r="F2973" t="s">
        <v>7739</v>
      </c>
      <c r="G2973" t="s">
        <v>7740</v>
      </c>
      <c r="H2973" t="s">
        <v>40</v>
      </c>
      <c r="I2973" t="s">
        <v>26</v>
      </c>
      <c r="J2973" t="s">
        <v>126</v>
      </c>
      <c r="K2973" t="s">
        <v>42</v>
      </c>
      <c r="L2973">
        <v>94109</v>
      </c>
      <c r="M2973" t="s">
        <v>43</v>
      </c>
      <c r="N2973" t="s">
        <v>5296</v>
      </c>
      <c r="O2973" t="s">
        <v>45</v>
      </c>
      <c r="P2973" t="s">
        <v>572</v>
      </c>
      <c r="Q2973" t="s">
        <v>5297</v>
      </c>
      <c r="R2973">
        <v>17.22</v>
      </c>
      <c r="S2973">
        <v>3</v>
      </c>
      <c r="T2973">
        <v>0</v>
      </c>
      <c r="U2973">
        <v>5.1660000000000004</v>
      </c>
      <c r="V2973" t="str">
        <f t="shared" si="46"/>
        <v>Lisa Ryan</v>
      </c>
      <c r="W2973">
        <f>Table2[Profit]/Table2[Sales]</f>
        <v>0.30000000000000004</v>
      </c>
    </row>
    <row r="2974" spans="1:23" x14ac:dyDescent="0.25">
      <c r="A2974">
        <v>2973</v>
      </c>
      <c r="B2974" t="s">
        <v>8392</v>
      </c>
      <c r="C2974" s="1">
        <v>42384</v>
      </c>
      <c r="D2974" s="1">
        <v>42386</v>
      </c>
      <c r="E2974" t="s">
        <v>185</v>
      </c>
      <c r="F2974" t="s">
        <v>2753</v>
      </c>
      <c r="G2974" t="s">
        <v>2754</v>
      </c>
      <c r="H2974" t="s">
        <v>101</v>
      </c>
      <c r="I2974" t="s">
        <v>26</v>
      </c>
      <c r="J2974" t="s">
        <v>263</v>
      </c>
      <c r="K2974" t="s">
        <v>264</v>
      </c>
      <c r="L2974">
        <v>10009</v>
      </c>
      <c r="M2974" t="s">
        <v>145</v>
      </c>
      <c r="N2974" t="s">
        <v>6383</v>
      </c>
      <c r="O2974" t="s">
        <v>45</v>
      </c>
      <c r="P2974" t="s">
        <v>89</v>
      </c>
      <c r="Q2974" t="s">
        <v>6384</v>
      </c>
      <c r="R2974">
        <v>81.98</v>
      </c>
      <c r="S2974">
        <v>2</v>
      </c>
      <c r="T2974">
        <v>0</v>
      </c>
      <c r="U2974">
        <v>40.170200000000001</v>
      </c>
      <c r="V2974" t="str">
        <f t="shared" si="46"/>
        <v>Bill Eplett</v>
      </c>
      <c r="W2974">
        <f>Table2[Profit]/Table2[Sales]</f>
        <v>0.49</v>
      </c>
    </row>
    <row r="2975" spans="1:23" x14ac:dyDescent="0.25">
      <c r="A2975">
        <v>2974</v>
      </c>
      <c r="B2975" t="s">
        <v>8393</v>
      </c>
      <c r="C2975" s="1">
        <v>41840</v>
      </c>
      <c r="D2975" s="1">
        <v>41842</v>
      </c>
      <c r="E2975" t="s">
        <v>185</v>
      </c>
      <c r="F2975" t="s">
        <v>1929</v>
      </c>
      <c r="G2975" t="s">
        <v>1930</v>
      </c>
      <c r="H2975" t="s">
        <v>25</v>
      </c>
      <c r="I2975" t="s">
        <v>26</v>
      </c>
      <c r="J2975" t="s">
        <v>941</v>
      </c>
      <c r="K2975" t="s">
        <v>42</v>
      </c>
      <c r="L2975">
        <v>92105</v>
      </c>
      <c r="M2975" t="s">
        <v>43</v>
      </c>
      <c r="N2975" t="s">
        <v>3743</v>
      </c>
      <c r="O2975" t="s">
        <v>45</v>
      </c>
      <c r="P2975" t="s">
        <v>89</v>
      </c>
      <c r="Q2975" t="s">
        <v>3744</v>
      </c>
      <c r="R2975">
        <v>104.85</v>
      </c>
      <c r="S2975">
        <v>1</v>
      </c>
      <c r="T2975">
        <v>0</v>
      </c>
      <c r="U2975">
        <v>50.328000000000003</v>
      </c>
      <c r="V2975" t="str">
        <f t="shared" si="46"/>
        <v>Charles Crestani</v>
      </c>
      <c r="W2975">
        <f>Table2[Profit]/Table2[Sales]</f>
        <v>0.48000000000000004</v>
      </c>
    </row>
    <row r="2976" spans="1:23" x14ac:dyDescent="0.25">
      <c r="A2976">
        <v>2975</v>
      </c>
      <c r="B2976" t="s">
        <v>8394</v>
      </c>
      <c r="C2976" s="1">
        <v>42772</v>
      </c>
      <c r="D2976" s="1">
        <v>42777</v>
      </c>
      <c r="E2976" t="s">
        <v>49</v>
      </c>
      <c r="F2976" t="s">
        <v>3481</v>
      </c>
      <c r="G2976" t="s">
        <v>3482</v>
      </c>
      <c r="H2976" t="s">
        <v>25</v>
      </c>
      <c r="I2976" t="s">
        <v>26</v>
      </c>
      <c r="J2976" t="s">
        <v>263</v>
      </c>
      <c r="K2976" t="s">
        <v>264</v>
      </c>
      <c r="L2976">
        <v>10024</v>
      </c>
      <c r="M2976" t="s">
        <v>145</v>
      </c>
      <c r="N2976" t="s">
        <v>3041</v>
      </c>
      <c r="O2976" t="s">
        <v>31</v>
      </c>
      <c r="P2976" t="s">
        <v>32</v>
      </c>
      <c r="Q2976" t="s">
        <v>3042</v>
      </c>
      <c r="R2976">
        <v>240.78399999999999</v>
      </c>
      <c r="S2976">
        <v>1</v>
      </c>
      <c r="T2976">
        <v>0.2</v>
      </c>
      <c r="U2976">
        <v>30.097999999999999</v>
      </c>
      <c r="V2976" t="str">
        <f t="shared" si="46"/>
        <v>Bryan Davis</v>
      </c>
      <c r="W2976">
        <f>Table2[Profit]/Table2[Sales]</f>
        <v>0.125</v>
      </c>
    </row>
    <row r="2977" spans="1:23" x14ac:dyDescent="0.25">
      <c r="A2977">
        <v>2976</v>
      </c>
      <c r="B2977" t="s">
        <v>8395</v>
      </c>
      <c r="C2977" s="1">
        <v>42363</v>
      </c>
      <c r="D2977" s="1">
        <v>42367</v>
      </c>
      <c r="E2977" t="s">
        <v>49</v>
      </c>
      <c r="F2977" t="s">
        <v>714</v>
      </c>
      <c r="G2977" t="s">
        <v>715</v>
      </c>
      <c r="H2977" t="s">
        <v>101</v>
      </c>
      <c r="I2977" t="s">
        <v>26</v>
      </c>
      <c r="J2977" t="s">
        <v>263</v>
      </c>
      <c r="K2977" t="s">
        <v>264</v>
      </c>
      <c r="L2977">
        <v>10011</v>
      </c>
      <c r="M2977" t="s">
        <v>145</v>
      </c>
      <c r="N2977" t="s">
        <v>6064</v>
      </c>
      <c r="O2977" t="s">
        <v>45</v>
      </c>
      <c r="P2977" t="s">
        <v>77</v>
      </c>
      <c r="Q2977" t="s">
        <v>6065</v>
      </c>
      <c r="R2977">
        <v>414.96</v>
      </c>
      <c r="S2977">
        <v>2</v>
      </c>
      <c r="T2977">
        <v>0</v>
      </c>
      <c r="U2977">
        <v>124.488</v>
      </c>
      <c r="V2977" t="str">
        <f t="shared" si="46"/>
        <v>Jim Kriz</v>
      </c>
      <c r="W2977">
        <f>Table2[Profit]/Table2[Sales]</f>
        <v>0.3</v>
      </c>
    </row>
    <row r="2978" spans="1:23" x14ac:dyDescent="0.25">
      <c r="A2978">
        <v>2977</v>
      </c>
      <c r="B2978" t="s">
        <v>8396</v>
      </c>
      <c r="C2978" s="1">
        <v>42651</v>
      </c>
      <c r="D2978" s="1">
        <v>42656</v>
      </c>
      <c r="E2978" t="s">
        <v>49</v>
      </c>
      <c r="F2978" t="s">
        <v>1199</v>
      </c>
      <c r="G2978" t="s">
        <v>1200</v>
      </c>
      <c r="H2978" t="s">
        <v>25</v>
      </c>
      <c r="I2978" t="s">
        <v>26</v>
      </c>
      <c r="J2978" t="s">
        <v>460</v>
      </c>
      <c r="K2978" t="s">
        <v>87</v>
      </c>
      <c r="L2978">
        <v>28205</v>
      </c>
      <c r="M2978" t="s">
        <v>29</v>
      </c>
      <c r="N2978" t="s">
        <v>3377</v>
      </c>
      <c r="O2978" t="s">
        <v>45</v>
      </c>
      <c r="P2978" t="s">
        <v>58</v>
      </c>
      <c r="Q2978" t="s">
        <v>3378</v>
      </c>
      <c r="R2978">
        <v>387.72</v>
      </c>
      <c r="S2978">
        <v>5</v>
      </c>
      <c r="T2978">
        <v>0.2</v>
      </c>
      <c r="U2978">
        <v>-67.850999999999999</v>
      </c>
      <c r="V2978" t="str">
        <f t="shared" si="46"/>
        <v>Doug Bickford</v>
      </c>
      <c r="W2978">
        <f>Table2[Profit]/Table2[Sales]</f>
        <v>-0.17499999999999999</v>
      </c>
    </row>
    <row r="2979" spans="1:23" x14ac:dyDescent="0.25">
      <c r="A2979">
        <v>2978</v>
      </c>
      <c r="B2979" t="s">
        <v>8397</v>
      </c>
      <c r="C2979" s="1">
        <v>42929</v>
      </c>
      <c r="D2979" s="1">
        <v>42933</v>
      </c>
      <c r="E2979" t="s">
        <v>49</v>
      </c>
      <c r="F2979" t="s">
        <v>5675</v>
      </c>
      <c r="G2979" t="s">
        <v>5676</v>
      </c>
      <c r="H2979" t="s">
        <v>40</v>
      </c>
      <c r="I2979" t="s">
        <v>26</v>
      </c>
      <c r="J2979" t="s">
        <v>6347</v>
      </c>
      <c r="K2979" t="s">
        <v>4436</v>
      </c>
      <c r="L2979">
        <v>66212</v>
      </c>
      <c r="M2979" t="s">
        <v>104</v>
      </c>
      <c r="N2979" t="s">
        <v>2832</v>
      </c>
      <c r="O2979" t="s">
        <v>45</v>
      </c>
      <c r="P2979" t="s">
        <v>58</v>
      </c>
      <c r="Q2979" t="s">
        <v>2833</v>
      </c>
      <c r="R2979">
        <v>360.38</v>
      </c>
      <c r="S2979">
        <v>2</v>
      </c>
      <c r="T2979">
        <v>0</v>
      </c>
      <c r="U2979">
        <v>93.698800000000006</v>
      </c>
      <c r="V2979" t="str">
        <f t="shared" si="46"/>
        <v>Rick Reed</v>
      </c>
      <c r="W2979">
        <f>Table2[Profit]/Table2[Sales]</f>
        <v>0.26</v>
      </c>
    </row>
    <row r="2980" spans="1:23" x14ac:dyDescent="0.25">
      <c r="A2980">
        <v>2979</v>
      </c>
      <c r="B2980" t="s">
        <v>8398</v>
      </c>
      <c r="C2980" s="1">
        <v>42849</v>
      </c>
      <c r="D2980" s="1">
        <v>42850</v>
      </c>
      <c r="E2980" t="s">
        <v>185</v>
      </c>
      <c r="F2980" t="s">
        <v>5207</v>
      </c>
      <c r="G2980" t="s">
        <v>5208</v>
      </c>
      <c r="H2980" t="s">
        <v>25</v>
      </c>
      <c r="I2980" t="s">
        <v>26</v>
      </c>
      <c r="J2980" t="s">
        <v>1799</v>
      </c>
      <c r="K2980" t="s">
        <v>303</v>
      </c>
      <c r="L2980">
        <v>85204</v>
      </c>
      <c r="M2980" t="s">
        <v>43</v>
      </c>
      <c r="N2980" t="s">
        <v>1192</v>
      </c>
      <c r="O2980" t="s">
        <v>70</v>
      </c>
      <c r="P2980" t="s">
        <v>71</v>
      </c>
      <c r="Q2980" t="s">
        <v>1193</v>
      </c>
      <c r="R2980">
        <v>552</v>
      </c>
      <c r="S2980">
        <v>10</v>
      </c>
      <c r="T2980">
        <v>0.2</v>
      </c>
      <c r="U2980">
        <v>34.5</v>
      </c>
      <c r="V2980" t="str">
        <f t="shared" si="46"/>
        <v>Susan Vittorini</v>
      </c>
      <c r="W2980">
        <f>Table2[Profit]/Table2[Sales]</f>
        <v>6.25E-2</v>
      </c>
    </row>
    <row r="2981" spans="1:23" x14ac:dyDescent="0.25">
      <c r="A2981">
        <v>2980</v>
      </c>
      <c r="B2981" t="s">
        <v>8399</v>
      </c>
      <c r="C2981" s="1">
        <v>41889</v>
      </c>
      <c r="D2981" s="1">
        <v>41895</v>
      </c>
      <c r="E2981" t="s">
        <v>49</v>
      </c>
      <c r="F2981" t="s">
        <v>433</v>
      </c>
      <c r="G2981" t="s">
        <v>434</v>
      </c>
      <c r="H2981" t="s">
        <v>101</v>
      </c>
      <c r="I2981" t="s">
        <v>26</v>
      </c>
      <c r="J2981" t="s">
        <v>4454</v>
      </c>
      <c r="K2981" t="s">
        <v>641</v>
      </c>
      <c r="L2981">
        <v>74133</v>
      </c>
      <c r="M2981" t="s">
        <v>104</v>
      </c>
      <c r="N2981" t="s">
        <v>3746</v>
      </c>
      <c r="O2981" t="s">
        <v>31</v>
      </c>
      <c r="P2981" t="s">
        <v>55</v>
      </c>
      <c r="Q2981" t="s">
        <v>3216</v>
      </c>
      <c r="R2981">
        <v>429.9</v>
      </c>
      <c r="S2981">
        <v>5</v>
      </c>
      <c r="T2981">
        <v>0</v>
      </c>
      <c r="U2981">
        <v>111.774</v>
      </c>
      <c r="V2981" t="str">
        <f t="shared" si="46"/>
        <v>Rick Bensley</v>
      </c>
      <c r="W2981">
        <f>Table2[Profit]/Table2[Sales]</f>
        <v>0.26</v>
      </c>
    </row>
    <row r="2982" spans="1:23" x14ac:dyDescent="0.25">
      <c r="A2982">
        <v>2981</v>
      </c>
      <c r="B2982" t="s">
        <v>8400</v>
      </c>
      <c r="C2982" s="1">
        <v>42695</v>
      </c>
      <c r="D2982" s="1">
        <v>42702</v>
      </c>
      <c r="E2982" t="s">
        <v>49</v>
      </c>
      <c r="F2982" t="s">
        <v>1359</v>
      </c>
      <c r="G2982" t="s">
        <v>1360</v>
      </c>
      <c r="H2982" t="s">
        <v>25</v>
      </c>
      <c r="I2982" t="s">
        <v>26</v>
      </c>
      <c r="J2982" t="s">
        <v>263</v>
      </c>
      <c r="K2982" t="s">
        <v>264</v>
      </c>
      <c r="L2982">
        <v>10035</v>
      </c>
      <c r="M2982" t="s">
        <v>145</v>
      </c>
      <c r="N2982" t="s">
        <v>7160</v>
      </c>
      <c r="O2982" t="s">
        <v>45</v>
      </c>
      <c r="P2982" t="s">
        <v>89</v>
      </c>
      <c r="Q2982" t="s">
        <v>7161</v>
      </c>
      <c r="R2982">
        <v>12.96</v>
      </c>
      <c r="S2982">
        <v>2</v>
      </c>
      <c r="T2982">
        <v>0</v>
      </c>
      <c r="U2982">
        <v>6.3503999999999996</v>
      </c>
      <c r="V2982" t="str">
        <f t="shared" si="46"/>
        <v>Mike Vittorini</v>
      </c>
      <c r="W2982">
        <f>Table2[Profit]/Table2[Sales]</f>
        <v>0.48999999999999994</v>
      </c>
    </row>
    <row r="2983" spans="1:23" x14ac:dyDescent="0.25">
      <c r="A2983">
        <v>2982</v>
      </c>
      <c r="B2983" t="s">
        <v>8401</v>
      </c>
      <c r="C2983" s="1">
        <v>42994</v>
      </c>
      <c r="D2983" s="1">
        <v>42996</v>
      </c>
      <c r="E2983" t="s">
        <v>22</v>
      </c>
      <c r="F2983" t="s">
        <v>6337</v>
      </c>
      <c r="G2983" t="s">
        <v>6338</v>
      </c>
      <c r="H2983" t="s">
        <v>25</v>
      </c>
      <c r="I2983" t="s">
        <v>26</v>
      </c>
      <c r="J2983" t="s">
        <v>143</v>
      </c>
      <c r="K2983" t="s">
        <v>144</v>
      </c>
      <c r="L2983">
        <v>19143</v>
      </c>
      <c r="M2983" t="s">
        <v>145</v>
      </c>
      <c r="N2983" t="s">
        <v>2426</v>
      </c>
      <c r="O2983" t="s">
        <v>45</v>
      </c>
      <c r="P2983" t="s">
        <v>89</v>
      </c>
      <c r="Q2983" t="s">
        <v>2427</v>
      </c>
      <c r="R2983">
        <v>20.544</v>
      </c>
      <c r="S2983">
        <v>6</v>
      </c>
      <c r="T2983">
        <v>0.2</v>
      </c>
      <c r="U2983">
        <v>6.42</v>
      </c>
      <c r="V2983" t="str">
        <f t="shared" si="46"/>
        <v>Evan Henry</v>
      </c>
      <c r="W2983">
        <f>Table2[Profit]/Table2[Sales]</f>
        <v>0.3125</v>
      </c>
    </row>
    <row r="2984" spans="1:23" x14ac:dyDescent="0.25">
      <c r="A2984">
        <v>2983</v>
      </c>
      <c r="B2984" t="s">
        <v>8402</v>
      </c>
      <c r="C2984" s="1">
        <v>42570</v>
      </c>
      <c r="D2984" s="1">
        <v>42576</v>
      </c>
      <c r="E2984" t="s">
        <v>49</v>
      </c>
      <c r="F2984" t="s">
        <v>4766</v>
      </c>
      <c r="G2984" t="s">
        <v>4767</v>
      </c>
      <c r="H2984" t="s">
        <v>25</v>
      </c>
      <c r="I2984" t="s">
        <v>26</v>
      </c>
      <c r="J2984" t="s">
        <v>7439</v>
      </c>
      <c r="K2984" t="s">
        <v>1473</v>
      </c>
      <c r="L2984">
        <v>39401</v>
      </c>
      <c r="M2984" t="s">
        <v>29</v>
      </c>
      <c r="N2984" t="s">
        <v>5862</v>
      </c>
      <c r="O2984" t="s">
        <v>31</v>
      </c>
      <c r="P2984" t="s">
        <v>64</v>
      </c>
      <c r="Q2984" t="s">
        <v>5863</v>
      </c>
      <c r="R2984">
        <v>185.58</v>
      </c>
      <c r="S2984">
        <v>6</v>
      </c>
      <c r="T2984">
        <v>0</v>
      </c>
      <c r="U2984">
        <v>76.087800000000001</v>
      </c>
      <c r="V2984" t="str">
        <f t="shared" si="46"/>
        <v>Joy Smith</v>
      </c>
      <c r="W2984">
        <f>Table2[Profit]/Table2[Sales]</f>
        <v>0.41</v>
      </c>
    </row>
    <row r="2985" spans="1:23" x14ac:dyDescent="0.25">
      <c r="A2985">
        <v>2984</v>
      </c>
      <c r="B2985" t="s">
        <v>8403</v>
      </c>
      <c r="C2985" s="1">
        <v>42993</v>
      </c>
      <c r="D2985" s="1">
        <v>42999</v>
      </c>
      <c r="E2985" t="s">
        <v>49</v>
      </c>
      <c r="F2985" t="s">
        <v>2459</v>
      </c>
      <c r="G2985" t="s">
        <v>2460</v>
      </c>
      <c r="H2985" t="s">
        <v>25</v>
      </c>
      <c r="I2985" t="s">
        <v>26</v>
      </c>
      <c r="J2985" t="s">
        <v>41</v>
      </c>
      <c r="K2985" t="s">
        <v>42</v>
      </c>
      <c r="L2985">
        <v>90049</v>
      </c>
      <c r="M2985" t="s">
        <v>43</v>
      </c>
      <c r="N2985" t="s">
        <v>4625</v>
      </c>
      <c r="O2985" t="s">
        <v>45</v>
      </c>
      <c r="P2985" t="s">
        <v>74</v>
      </c>
      <c r="Q2985" t="s">
        <v>4626</v>
      </c>
      <c r="R2985">
        <v>2357.4879999999998</v>
      </c>
      <c r="S2985">
        <v>7</v>
      </c>
      <c r="T2985">
        <v>0.2</v>
      </c>
      <c r="U2985">
        <v>884.05799999999999</v>
      </c>
      <c r="V2985" t="str">
        <f t="shared" si="46"/>
        <v>Erica Smith</v>
      </c>
      <c r="W2985">
        <f>Table2[Profit]/Table2[Sales]</f>
        <v>0.375</v>
      </c>
    </row>
    <row r="2986" spans="1:23" x14ac:dyDescent="0.25">
      <c r="A2986">
        <v>2985</v>
      </c>
      <c r="B2986" t="s">
        <v>8404</v>
      </c>
      <c r="C2986" s="1">
        <v>42715</v>
      </c>
      <c r="D2986" s="1">
        <v>42715</v>
      </c>
      <c r="E2986" t="s">
        <v>1278</v>
      </c>
      <c r="F2986" t="s">
        <v>3044</v>
      </c>
      <c r="G2986" t="s">
        <v>3045</v>
      </c>
      <c r="H2986" t="s">
        <v>40</v>
      </c>
      <c r="I2986" t="s">
        <v>26</v>
      </c>
      <c r="J2986" t="s">
        <v>490</v>
      </c>
      <c r="K2986" t="s">
        <v>491</v>
      </c>
      <c r="L2986">
        <v>43229</v>
      </c>
      <c r="M2986" t="s">
        <v>145</v>
      </c>
      <c r="N2986" t="s">
        <v>2770</v>
      </c>
      <c r="O2986" t="s">
        <v>45</v>
      </c>
      <c r="P2986" t="s">
        <v>58</v>
      </c>
      <c r="Q2986" t="s">
        <v>2771</v>
      </c>
      <c r="R2986">
        <v>64.959999999999994</v>
      </c>
      <c r="S2986">
        <v>5</v>
      </c>
      <c r="T2986">
        <v>0.2</v>
      </c>
      <c r="U2986">
        <v>-4.0599999999999996</v>
      </c>
      <c r="V2986" t="str">
        <f t="shared" si="46"/>
        <v>Noel Staavos</v>
      </c>
      <c r="W2986">
        <f>Table2[Profit]/Table2[Sales]</f>
        <v>-6.25E-2</v>
      </c>
    </row>
    <row r="2987" spans="1:23" x14ac:dyDescent="0.25">
      <c r="A2987">
        <v>2986</v>
      </c>
      <c r="B2987" t="s">
        <v>8405</v>
      </c>
      <c r="C2987" s="1">
        <v>41983</v>
      </c>
      <c r="D2987" s="1">
        <v>41987</v>
      </c>
      <c r="E2987" t="s">
        <v>49</v>
      </c>
      <c r="F2987" t="s">
        <v>578</v>
      </c>
      <c r="G2987" t="s">
        <v>579</v>
      </c>
      <c r="H2987" t="s">
        <v>40</v>
      </c>
      <c r="I2987" t="s">
        <v>26</v>
      </c>
      <c r="J2987" t="s">
        <v>8406</v>
      </c>
      <c r="K2987" t="s">
        <v>6119</v>
      </c>
      <c r="L2987">
        <v>83605</v>
      </c>
      <c r="M2987" t="s">
        <v>43</v>
      </c>
      <c r="N2987" t="s">
        <v>3426</v>
      </c>
      <c r="O2987" t="s">
        <v>31</v>
      </c>
      <c r="P2987" t="s">
        <v>35</v>
      </c>
      <c r="Q2987" t="s">
        <v>3427</v>
      </c>
      <c r="R2987">
        <v>338.35199999999998</v>
      </c>
      <c r="S2987">
        <v>3</v>
      </c>
      <c r="T2987">
        <v>0.2</v>
      </c>
      <c r="U2987">
        <v>4.2294</v>
      </c>
      <c r="V2987" t="str">
        <f t="shared" si="46"/>
        <v>Sally Hughsby</v>
      </c>
      <c r="W2987">
        <f>Table2[Profit]/Table2[Sales]</f>
        <v>1.2500000000000001E-2</v>
      </c>
    </row>
    <row r="2988" spans="1:23" x14ac:dyDescent="0.25">
      <c r="A2988">
        <v>2987</v>
      </c>
      <c r="B2988" t="s">
        <v>8407</v>
      </c>
      <c r="C2988" s="1">
        <v>41986</v>
      </c>
      <c r="D2988" s="1">
        <v>41990</v>
      </c>
      <c r="E2988" t="s">
        <v>49</v>
      </c>
      <c r="F2988" t="s">
        <v>4941</v>
      </c>
      <c r="G2988" t="s">
        <v>4942</v>
      </c>
      <c r="H2988" t="s">
        <v>40</v>
      </c>
      <c r="I2988" t="s">
        <v>26</v>
      </c>
      <c r="J2988" t="s">
        <v>537</v>
      </c>
      <c r="K2988" t="s">
        <v>303</v>
      </c>
      <c r="L2988">
        <v>85023</v>
      </c>
      <c r="M2988" t="s">
        <v>43</v>
      </c>
      <c r="N2988" t="s">
        <v>4478</v>
      </c>
      <c r="O2988" t="s">
        <v>31</v>
      </c>
      <c r="P2988" t="s">
        <v>64</v>
      </c>
      <c r="Q2988" t="s">
        <v>4479</v>
      </c>
      <c r="R2988">
        <v>87.96</v>
      </c>
      <c r="S2988">
        <v>3</v>
      </c>
      <c r="T2988">
        <v>0.2</v>
      </c>
      <c r="U2988">
        <v>7.6965000000000003</v>
      </c>
      <c r="V2988" t="str">
        <f t="shared" si="46"/>
        <v>Randy Ferguson</v>
      </c>
      <c r="W2988">
        <f>Table2[Profit]/Table2[Sales]</f>
        <v>8.7500000000000008E-2</v>
      </c>
    </row>
    <row r="2989" spans="1:23" x14ac:dyDescent="0.25">
      <c r="A2989">
        <v>2988</v>
      </c>
      <c r="B2989" t="s">
        <v>8408</v>
      </c>
      <c r="C2989" s="1">
        <v>42999</v>
      </c>
      <c r="D2989" s="1">
        <v>43005</v>
      </c>
      <c r="E2989" t="s">
        <v>49</v>
      </c>
      <c r="F2989" t="s">
        <v>2419</v>
      </c>
      <c r="G2989" t="s">
        <v>2420</v>
      </c>
      <c r="H2989" t="s">
        <v>25</v>
      </c>
      <c r="I2989" t="s">
        <v>26</v>
      </c>
      <c r="J2989" t="s">
        <v>1406</v>
      </c>
      <c r="K2989" t="s">
        <v>53</v>
      </c>
      <c r="L2989">
        <v>33142</v>
      </c>
      <c r="M2989" t="s">
        <v>29</v>
      </c>
      <c r="N2989" t="s">
        <v>455</v>
      </c>
      <c r="O2989" t="s">
        <v>45</v>
      </c>
      <c r="P2989" t="s">
        <v>74</v>
      </c>
      <c r="Q2989" t="s">
        <v>456</v>
      </c>
      <c r="R2989">
        <v>12.294</v>
      </c>
      <c r="S2989">
        <v>1</v>
      </c>
      <c r="T2989">
        <v>0.7</v>
      </c>
      <c r="U2989">
        <v>-8.6058000000000003</v>
      </c>
      <c r="V2989" t="str">
        <f t="shared" si="46"/>
        <v>Dan Lawera</v>
      </c>
      <c r="W2989">
        <f>Table2[Profit]/Table2[Sales]</f>
        <v>-0.7</v>
      </c>
    </row>
    <row r="2990" spans="1:23" x14ac:dyDescent="0.25">
      <c r="A2990">
        <v>2989</v>
      </c>
      <c r="B2990" t="s">
        <v>8409</v>
      </c>
      <c r="C2990" s="1">
        <v>42985</v>
      </c>
      <c r="D2990" s="1">
        <v>42989</v>
      </c>
      <c r="E2990" t="s">
        <v>49</v>
      </c>
      <c r="F2990" t="s">
        <v>3014</v>
      </c>
      <c r="G2990" t="s">
        <v>3015</v>
      </c>
      <c r="H2990" t="s">
        <v>25</v>
      </c>
      <c r="I2990" t="s">
        <v>26</v>
      </c>
      <c r="J2990" t="s">
        <v>41</v>
      </c>
      <c r="K2990" t="s">
        <v>42</v>
      </c>
      <c r="L2990">
        <v>90004</v>
      </c>
      <c r="M2990" t="s">
        <v>43</v>
      </c>
      <c r="N2990" t="s">
        <v>2416</v>
      </c>
      <c r="O2990" t="s">
        <v>31</v>
      </c>
      <c r="P2990" t="s">
        <v>64</v>
      </c>
      <c r="Q2990" t="s">
        <v>2417</v>
      </c>
      <c r="R2990">
        <v>19.760000000000002</v>
      </c>
      <c r="S2990">
        <v>4</v>
      </c>
      <c r="T2990">
        <v>0</v>
      </c>
      <c r="U2990">
        <v>8.2992000000000008</v>
      </c>
      <c r="V2990" t="str">
        <f t="shared" si="46"/>
        <v>Allen Goldenen</v>
      </c>
      <c r="W2990">
        <f>Table2[Profit]/Table2[Sales]</f>
        <v>0.42</v>
      </c>
    </row>
    <row r="2991" spans="1:23" x14ac:dyDescent="0.25">
      <c r="A2991">
        <v>2990</v>
      </c>
      <c r="B2991" t="s">
        <v>8410</v>
      </c>
      <c r="C2991" s="1">
        <v>42310</v>
      </c>
      <c r="D2991" s="1">
        <v>42315</v>
      </c>
      <c r="E2991" t="s">
        <v>49</v>
      </c>
      <c r="F2991" t="s">
        <v>4920</v>
      </c>
      <c r="G2991" t="s">
        <v>4921</v>
      </c>
      <c r="H2991" t="s">
        <v>25</v>
      </c>
      <c r="I2991" t="s">
        <v>26</v>
      </c>
      <c r="J2991" t="s">
        <v>271</v>
      </c>
      <c r="K2991" t="s">
        <v>264</v>
      </c>
      <c r="L2991">
        <v>12180</v>
      </c>
      <c r="M2991" t="s">
        <v>145</v>
      </c>
      <c r="N2991" t="s">
        <v>6442</v>
      </c>
      <c r="O2991" t="s">
        <v>31</v>
      </c>
      <c r="P2991" t="s">
        <v>35</v>
      </c>
      <c r="Q2991" t="s">
        <v>6443</v>
      </c>
      <c r="R2991">
        <v>109.764</v>
      </c>
      <c r="S2991">
        <v>2</v>
      </c>
      <c r="T2991">
        <v>0.1</v>
      </c>
      <c r="U2991">
        <v>8.5372000000000003</v>
      </c>
      <c r="V2991" t="str">
        <f t="shared" si="46"/>
        <v>Scot Wooten</v>
      </c>
      <c r="W2991">
        <f>Table2[Profit]/Table2[Sales]</f>
        <v>7.7777777777777779E-2</v>
      </c>
    </row>
    <row r="2992" spans="1:23" x14ac:dyDescent="0.25">
      <c r="A2992">
        <v>2991</v>
      </c>
      <c r="B2992" t="s">
        <v>8411</v>
      </c>
      <c r="C2992" s="1">
        <v>43080</v>
      </c>
      <c r="D2992" s="1">
        <v>43087</v>
      </c>
      <c r="E2992" t="s">
        <v>49</v>
      </c>
      <c r="F2992" t="s">
        <v>3869</v>
      </c>
      <c r="G2992" t="s">
        <v>3870</v>
      </c>
      <c r="H2992" t="s">
        <v>40</v>
      </c>
      <c r="I2992" t="s">
        <v>26</v>
      </c>
      <c r="J2992" t="s">
        <v>3840</v>
      </c>
      <c r="K2992" t="s">
        <v>1233</v>
      </c>
      <c r="L2992">
        <v>2740</v>
      </c>
      <c r="M2992" t="s">
        <v>145</v>
      </c>
      <c r="N2992" t="s">
        <v>5198</v>
      </c>
      <c r="O2992" t="s">
        <v>70</v>
      </c>
      <c r="P2992" t="s">
        <v>71</v>
      </c>
      <c r="Q2992" t="s">
        <v>5199</v>
      </c>
      <c r="R2992">
        <v>128.85</v>
      </c>
      <c r="S2992">
        <v>3</v>
      </c>
      <c r="T2992">
        <v>0</v>
      </c>
      <c r="U2992">
        <v>3.8654999999999999</v>
      </c>
      <c r="V2992" t="str">
        <f t="shared" si="46"/>
        <v>Katherine Nockton</v>
      </c>
      <c r="W2992">
        <f>Table2[Profit]/Table2[Sales]</f>
        <v>3.0000000000000002E-2</v>
      </c>
    </row>
    <row r="2993" spans="1:23" x14ac:dyDescent="0.25">
      <c r="A2993">
        <v>2992</v>
      </c>
      <c r="B2993" t="s">
        <v>8412</v>
      </c>
      <c r="C2993" s="1">
        <v>42826</v>
      </c>
      <c r="D2993" s="1">
        <v>42828</v>
      </c>
      <c r="E2993" t="s">
        <v>185</v>
      </c>
      <c r="F2993" t="s">
        <v>2724</v>
      </c>
      <c r="G2993" t="s">
        <v>2725</v>
      </c>
      <c r="H2993" t="s">
        <v>40</v>
      </c>
      <c r="I2993" t="s">
        <v>26</v>
      </c>
      <c r="J2993" t="s">
        <v>2548</v>
      </c>
      <c r="K2993" t="s">
        <v>376</v>
      </c>
      <c r="L2993">
        <v>29501</v>
      </c>
      <c r="M2993" t="s">
        <v>29</v>
      </c>
      <c r="N2993" t="s">
        <v>453</v>
      </c>
      <c r="O2993" t="s">
        <v>31</v>
      </c>
      <c r="P2993" t="s">
        <v>64</v>
      </c>
      <c r="Q2993" t="s">
        <v>454</v>
      </c>
      <c r="R2993">
        <v>127.95</v>
      </c>
      <c r="S2993">
        <v>3</v>
      </c>
      <c r="T2993">
        <v>0</v>
      </c>
      <c r="U2993">
        <v>21.7515</v>
      </c>
      <c r="V2993" t="str">
        <f t="shared" si="46"/>
        <v>George Bell</v>
      </c>
      <c r="W2993">
        <f>Table2[Profit]/Table2[Sales]</f>
        <v>0.16999999999999998</v>
      </c>
    </row>
    <row r="2994" spans="1:23" x14ac:dyDescent="0.25">
      <c r="A2994">
        <v>2993</v>
      </c>
      <c r="B2994" t="s">
        <v>8413</v>
      </c>
      <c r="C2994" s="1">
        <v>42368</v>
      </c>
      <c r="D2994" s="1">
        <v>42372</v>
      </c>
      <c r="E2994" t="s">
        <v>49</v>
      </c>
      <c r="F2994" t="s">
        <v>479</v>
      </c>
      <c r="G2994" t="s">
        <v>480</v>
      </c>
      <c r="H2994" t="s">
        <v>25</v>
      </c>
      <c r="I2994" t="s">
        <v>26</v>
      </c>
      <c r="J2994" t="s">
        <v>41</v>
      </c>
      <c r="K2994" t="s">
        <v>42</v>
      </c>
      <c r="L2994">
        <v>90049</v>
      </c>
      <c r="M2994" t="s">
        <v>43</v>
      </c>
      <c r="N2994" t="s">
        <v>4460</v>
      </c>
      <c r="O2994" t="s">
        <v>45</v>
      </c>
      <c r="P2994" t="s">
        <v>89</v>
      </c>
      <c r="Q2994" t="s">
        <v>4461</v>
      </c>
      <c r="R2994">
        <v>68.52</v>
      </c>
      <c r="S2994">
        <v>3</v>
      </c>
      <c r="T2994">
        <v>0</v>
      </c>
      <c r="U2994">
        <v>31.519200000000001</v>
      </c>
      <c r="V2994" t="str">
        <f t="shared" si="46"/>
        <v>Clay Ludtke</v>
      </c>
      <c r="W2994">
        <f>Table2[Profit]/Table2[Sales]</f>
        <v>0.46</v>
      </c>
    </row>
    <row r="2995" spans="1:23" x14ac:dyDescent="0.25">
      <c r="A2995">
        <v>2994</v>
      </c>
      <c r="B2995" t="s">
        <v>8414</v>
      </c>
      <c r="C2995" s="1">
        <v>42439</v>
      </c>
      <c r="D2995" s="1">
        <v>42440</v>
      </c>
      <c r="E2995" t="s">
        <v>185</v>
      </c>
      <c r="F2995" t="s">
        <v>4995</v>
      </c>
      <c r="G2995" t="s">
        <v>4996</v>
      </c>
      <c r="H2995" t="s">
        <v>101</v>
      </c>
      <c r="I2995" t="s">
        <v>26</v>
      </c>
      <c r="J2995" t="s">
        <v>41</v>
      </c>
      <c r="K2995" t="s">
        <v>42</v>
      </c>
      <c r="L2995">
        <v>90008</v>
      </c>
      <c r="M2995" t="s">
        <v>43</v>
      </c>
      <c r="N2995" t="s">
        <v>4316</v>
      </c>
      <c r="O2995" t="s">
        <v>45</v>
      </c>
      <c r="P2995" t="s">
        <v>89</v>
      </c>
      <c r="Q2995" t="s">
        <v>4317</v>
      </c>
      <c r="R2995">
        <v>14.9</v>
      </c>
      <c r="S2995">
        <v>5</v>
      </c>
      <c r="T2995">
        <v>0</v>
      </c>
      <c r="U2995">
        <v>7.1520000000000001</v>
      </c>
      <c r="V2995" t="str">
        <f t="shared" si="46"/>
        <v>Karen Ferguson</v>
      </c>
      <c r="W2995">
        <f>Table2[Profit]/Table2[Sales]</f>
        <v>0.48</v>
      </c>
    </row>
    <row r="2996" spans="1:23" x14ac:dyDescent="0.25">
      <c r="A2996">
        <v>2995</v>
      </c>
      <c r="B2996" t="s">
        <v>8415</v>
      </c>
      <c r="C2996" s="1">
        <v>41735</v>
      </c>
      <c r="D2996" s="1">
        <v>41741</v>
      </c>
      <c r="E2996" t="s">
        <v>49</v>
      </c>
      <c r="F2996" t="s">
        <v>6021</v>
      </c>
      <c r="G2996" t="s">
        <v>6022</v>
      </c>
      <c r="H2996" t="s">
        <v>40</v>
      </c>
      <c r="I2996" t="s">
        <v>26</v>
      </c>
      <c r="J2996" t="s">
        <v>41</v>
      </c>
      <c r="K2996" t="s">
        <v>42</v>
      </c>
      <c r="L2996">
        <v>90049</v>
      </c>
      <c r="M2996" t="s">
        <v>43</v>
      </c>
      <c r="N2996" t="s">
        <v>8296</v>
      </c>
      <c r="O2996" t="s">
        <v>31</v>
      </c>
      <c r="P2996" t="s">
        <v>64</v>
      </c>
      <c r="Q2996" t="s">
        <v>8297</v>
      </c>
      <c r="R2996">
        <v>91.96</v>
      </c>
      <c r="S2996">
        <v>2</v>
      </c>
      <c r="T2996">
        <v>0</v>
      </c>
      <c r="U2996">
        <v>15.6332</v>
      </c>
      <c r="V2996" t="str">
        <f t="shared" si="46"/>
        <v>Andy Yotov</v>
      </c>
      <c r="W2996">
        <f>Table2[Profit]/Table2[Sales]</f>
        <v>0.17</v>
      </c>
    </row>
    <row r="2997" spans="1:23" x14ac:dyDescent="0.25">
      <c r="A2997">
        <v>2996</v>
      </c>
      <c r="B2997" t="s">
        <v>8416</v>
      </c>
      <c r="C2997" s="1">
        <v>41917</v>
      </c>
      <c r="D2997" s="1">
        <v>41922</v>
      </c>
      <c r="E2997" t="s">
        <v>22</v>
      </c>
      <c r="F2997" t="s">
        <v>5550</v>
      </c>
      <c r="G2997" t="s">
        <v>5551</v>
      </c>
      <c r="H2997" t="s">
        <v>25</v>
      </c>
      <c r="I2997" t="s">
        <v>26</v>
      </c>
      <c r="J2997" t="s">
        <v>490</v>
      </c>
      <c r="K2997" t="s">
        <v>491</v>
      </c>
      <c r="L2997">
        <v>43229</v>
      </c>
      <c r="M2997" t="s">
        <v>145</v>
      </c>
      <c r="N2997" t="s">
        <v>76</v>
      </c>
      <c r="O2997" t="s">
        <v>45</v>
      </c>
      <c r="P2997" t="s">
        <v>77</v>
      </c>
      <c r="Q2997" t="s">
        <v>78</v>
      </c>
      <c r="R2997">
        <v>91.92</v>
      </c>
      <c r="S2997">
        <v>5</v>
      </c>
      <c r="T2997">
        <v>0.2</v>
      </c>
      <c r="U2997">
        <v>11.49</v>
      </c>
      <c r="V2997" t="str">
        <f t="shared" si="46"/>
        <v>Brian Derr</v>
      </c>
      <c r="W2997">
        <f>Table2[Profit]/Table2[Sales]</f>
        <v>0.125</v>
      </c>
    </row>
    <row r="2998" spans="1:23" x14ac:dyDescent="0.25">
      <c r="A2998">
        <v>2997</v>
      </c>
      <c r="B2998" t="s">
        <v>8417</v>
      </c>
      <c r="C2998" s="1">
        <v>42595</v>
      </c>
      <c r="D2998" s="1">
        <v>42595</v>
      </c>
      <c r="E2998" t="s">
        <v>1278</v>
      </c>
      <c r="F2998" t="s">
        <v>5669</v>
      </c>
      <c r="G2998" t="s">
        <v>5670</v>
      </c>
      <c r="H2998" t="s">
        <v>25</v>
      </c>
      <c r="I2998" t="s">
        <v>26</v>
      </c>
      <c r="J2998" t="s">
        <v>8418</v>
      </c>
      <c r="K2998" t="s">
        <v>729</v>
      </c>
      <c r="L2998">
        <v>70065</v>
      </c>
      <c r="M2998" t="s">
        <v>29</v>
      </c>
      <c r="N2998" t="s">
        <v>5176</v>
      </c>
      <c r="O2998" t="s">
        <v>45</v>
      </c>
      <c r="P2998" t="s">
        <v>77</v>
      </c>
      <c r="Q2998" t="s">
        <v>1416</v>
      </c>
      <c r="R2998">
        <v>17.34</v>
      </c>
      <c r="S2998">
        <v>2</v>
      </c>
      <c r="T2998">
        <v>0</v>
      </c>
      <c r="U2998">
        <v>4.6818</v>
      </c>
      <c r="V2998" t="str">
        <f t="shared" si="46"/>
        <v>Hunter Glantz</v>
      </c>
      <c r="W2998">
        <f>Table2[Profit]/Table2[Sales]</f>
        <v>0.27</v>
      </c>
    </row>
    <row r="2999" spans="1:23" x14ac:dyDescent="0.25">
      <c r="A2999">
        <v>2998</v>
      </c>
      <c r="B2999" t="s">
        <v>8419</v>
      </c>
      <c r="C2999" s="1">
        <v>41960</v>
      </c>
      <c r="D2999" s="1">
        <v>41964</v>
      </c>
      <c r="E2999" t="s">
        <v>49</v>
      </c>
      <c r="F2999" t="s">
        <v>770</v>
      </c>
      <c r="G2999" t="s">
        <v>771</v>
      </c>
      <c r="H2999" t="s">
        <v>25</v>
      </c>
      <c r="I2999" t="s">
        <v>26</v>
      </c>
      <c r="J2999" t="s">
        <v>8104</v>
      </c>
      <c r="K2999" t="s">
        <v>103</v>
      </c>
      <c r="L2999">
        <v>75104</v>
      </c>
      <c r="M2999" t="s">
        <v>104</v>
      </c>
      <c r="N2999" t="s">
        <v>494</v>
      </c>
      <c r="O2999" t="s">
        <v>45</v>
      </c>
      <c r="P2999" t="s">
        <v>170</v>
      </c>
      <c r="Q2999" t="s">
        <v>495</v>
      </c>
      <c r="R2999">
        <v>7.08</v>
      </c>
      <c r="S2999">
        <v>3</v>
      </c>
      <c r="T2999">
        <v>0.2</v>
      </c>
      <c r="U2999">
        <v>2.4780000000000002</v>
      </c>
      <c r="V2999" t="str">
        <f t="shared" si="46"/>
        <v>Cassandra Brandow</v>
      </c>
      <c r="W2999">
        <f>Table2[Profit]/Table2[Sales]</f>
        <v>0.35000000000000003</v>
      </c>
    </row>
    <row r="3000" spans="1:23" x14ac:dyDescent="0.25">
      <c r="A3000">
        <v>2999</v>
      </c>
      <c r="B3000" t="s">
        <v>8420</v>
      </c>
      <c r="C3000" s="1">
        <v>42849</v>
      </c>
      <c r="D3000" s="1">
        <v>42852</v>
      </c>
      <c r="E3000" t="s">
        <v>185</v>
      </c>
      <c r="F3000" t="s">
        <v>2643</v>
      </c>
      <c r="G3000" t="s">
        <v>2644</v>
      </c>
      <c r="H3000" t="s">
        <v>40</v>
      </c>
      <c r="I3000" t="s">
        <v>26</v>
      </c>
      <c r="J3000" t="s">
        <v>3508</v>
      </c>
      <c r="K3000" t="s">
        <v>1388</v>
      </c>
      <c r="L3000">
        <v>2908</v>
      </c>
      <c r="M3000" t="s">
        <v>145</v>
      </c>
      <c r="N3000" t="s">
        <v>4156</v>
      </c>
      <c r="O3000" t="s">
        <v>70</v>
      </c>
      <c r="P3000" t="s">
        <v>158</v>
      </c>
      <c r="Q3000" t="s">
        <v>4157</v>
      </c>
      <c r="R3000">
        <v>69.98</v>
      </c>
      <c r="S3000">
        <v>2</v>
      </c>
      <c r="T3000">
        <v>0</v>
      </c>
      <c r="U3000">
        <v>4.8986000000000001</v>
      </c>
      <c r="V3000" t="str">
        <f t="shared" si="46"/>
        <v>Linda Southworth</v>
      </c>
      <c r="W3000">
        <f>Table2[Profit]/Table2[Sales]</f>
        <v>6.9999999999999993E-2</v>
      </c>
    </row>
    <row r="3001" spans="1:23" x14ac:dyDescent="0.25">
      <c r="A3001">
        <v>3000</v>
      </c>
      <c r="B3001" t="s">
        <v>8421</v>
      </c>
      <c r="C3001" s="1">
        <v>42971</v>
      </c>
      <c r="D3001" s="1">
        <v>42973</v>
      </c>
      <c r="E3001" t="s">
        <v>22</v>
      </c>
      <c r="F3001" t="s">
        <v>5868</v>
      </c>
      <c r="G3001" t="s">
        <v>5869</v>
      </c>
      <c r="H3001" t="s">
        <v>25</v>
      </c>
      <c r="I3001" t="s">
        <v>26</v>
      </c>
      <c r="J3001" t="s">
        <v>2439</v>
      </c>
      <c r="K3001" t="s">
        <v>491</v>
      </c>
      <c r="L3001">
        <v>43130</v>
      </c>
      <c r="M3001" t="s">
        <v>145</v>
      </c>
      <c r="N3001" t="s">
        <v>7872</v>
      </c>
      <c r="O3001" t="s">
        <v>45</v>
      </c>
      <c r="P3001" t="s">
        <v>77</v>
      </c>
      <c r="Q3001" t="s">
        <v>7873</v>
      </c>
      <c r="R3001">
        <v>646.27200000000005</v>
      </c>
      <c r="S3001">
        <v>8</v>
      </c>
      <c r="T3001">
        <v>0.2</v>
      </c>
      <c r="U3001">
        <v>64.627200000000002</v>
      </c>
      <c r="V3001" t="str">
        <f t="shared" si="46"/>
        <v>Darrin Martin</v>
      </c>
      <c r="W3001">
        <f>Table2[Profit]/Table2[Sales]</f>
        <v>9.9999999999999992E-2</v>
      </c>
    </row>
    <row r="3002" spans="1:23" x14ac:dyDescent="0.25">
      <c r="A3002">
        <v>3001</v>
      </c>
      <c r="B3002" t="s">
        <v>8422</v>
      </c>
      <c r="C3002" s="1">
        <v>42789</v>
      </c>
      <c r="D3002" s="1">
        <v>42796</v>
      </c>
      <c r="E3002" t="s">
        <v>49</v>
      </c>
      <c r="F3002" t="s">
        <v>4708</v>
      </c>
      <c r="G3002" t="s">
        <v>4709</v>
      </c>
      <c r="H3002" t="s">
        <v>40</v>
      </c>
      <c r="I3002" t="s">
        <v>26</v>
      </c>
      <c r="J3002" t="s">
        <v>94</v>
      </c>
      <c r="K3002" t="s">
        <v>95</v>
      </c>
      <c r="L3002">
        <v>98115</v>
      </c>
      <c r="M3002" t="s">
        <v>43</v>
      </c>
      <c r="N3002" t="s">
        <v>6079</v>
      </c>
      <c r="O3002" t="s">
        <v>45</v>
      </c>
      <c r="P3002" t="s">
        <v>266</v>
      </c>
      <c r="Q3002" t="s">
        <v>6080</v>
      </c>
      <c r="R3002">
        <v>8.4</v>
      </c>
      <c r="S3002">
        <v>5</v>
      </c>
      <c r="T3002">
        <v>0</v>
      </c>
      <c r="U3002">
        <v>0.33600000000000002</v>
      </c>
      <c r="V3002" t="str">
        <f t="shared" si="46"/>
        <v>Ann Chong</v>
      </c>
      <c r="W3002">
        <f>Table2[Profit]/Table2[Sales]</f>
        <v>0.04</v>
      </c>
    </row>
    <row r="3003" spans="1:23" x14ac:dyDescent="0.25">
      <c r="A3003">
        <v>3002</v>
      </c>
      <c r="B3003" t="s">
        <v>8423</v>
      </c>
      <c r="C3003" s="1">
        <v>42693</v>
      </c>
      <c r="D3003" s="1">
        <v>42695</v>
      </c>
      <c r="E3003" t="s">
        <v>185</v>
      </c>
      <c r="F3003" t="s">
        <v>2443</v>
      </c>
      <c r="G3003" t="s">
        <v>2444</v>
      </c>
      <c r="H3003" t="s">
        <v>25</v>
      </c>
      <c r="I3003" t="s">
        <v>26</v>
      </c>
      <c r="J3003" t="s">
        <v>1507</v>
      </c>
      <c r="K3003" t="s">
        <v>87</v>
      </c>
      <c r="L3003">
        <v>28540</v>
      </c>
      <c r="M3003" t="s">
        <v>29</v>
      </c>
      <c r="N3003" t="s">
        <v>2626</v>
      </c>
      <c r="O3003" t="s">
        <v>45</v>
      </c>
      <c r="P3003" t="s">
        <v>67</v>
      </c>
      <c r="Q3003" t="s">
        <v>2627</v>
      </c>
      <c r="R3003">
        <v>18.48</v>
      </c>
      <c r="S3003">
        <v>2</v>
      </c>
      <c r="T3003">
        <v>0.2</v>
      </c>
      <c r="U3003">
        <v>6.0060000000000002</v>
      </c>
      <c r="V3003" t="str">
        <f t="shared" si="46"/>
        <v>Liz Thompson</v>
      </c>
      <c r="W3003">
        <f>Table2[Profit]/Table2[Sales]</f>
        <v>0.32500000000000001</v>
      </c>
    </row>
    <row r="3004" spans="1:23" x14ac:dyDescent="0.25">
      <c r="A3004">
        <v>3003</v>
      </c>
      <c r="B3004" t="s">
        <v>8424</v>
      </c>
      <c r="C3004" s="1">
        <v>42688</v>
      </c>
      <c r="D3004" s="1">
        <v>42689</v>
      </c>
      <c r="E3004" t="s">
        <v>185</v>
      </c>
      <c r="F3004" t="s">
        <v>5446</v>
      </c>
      <c r="G3004" t="s">
        <v>5447</v>
      </c>
      <c r="H3004" t="s">
        <v>25</v>
      </c>
      <c r="I3004" t="s">
        <v>26</v>
      </c>
      <c r="J3004" t="s">
        <v>41</v>
      </c>
      <c r="K3004" t="s">
        <v>42</v>
      </c>
      <c r="L3004">
        <v>90049</v>
      </c>
      <c r="M3004" t="s">
        <v>43</v>
      </c>
      <c r="N3004" t="s">
        <v>3645</v>
      </c>
      <c r="O3004" t="s">
        <v>45</v>
      </c>
      <c r="P3004" t="s">
        <v>67</v>
      </c>
      <c r="Q3004" t="s">
        <v>3646</v>
      </c>
      <c r="R3004">
        <v>9.84</v>
      </c>
      <c r="S3004">
        <v>3</v>
      </c>
      <c r="T3004">
        <v>0</v>
      </c>
      <c r="U3004">
        <v>2.8536000000000001</v>
      </c>
      <c r="V3004" t="str">
        <f t="shared" si="46"/>
        <v>Tim Brockman</v>
      </c>
      <c r="W3004">
        <f>Table2[Profit]/Table2[Sales]</f>
        <v>0.29000000000000004</v>
      </c>
    </row>
    <row r="3005" spans="1:23" x14ac:dyDescent="0.25">
      <c r="A3005">
        <v>3004</v>
      </c>
      <c r="B3005" t="s">
        <v>8425</v>
      </c>
      <c r="C3005" s="1">
        <v>42922</v>
      </c>
      <c r="D3005" s="1">
        <v>42922</v>
      </c>
      <c r="E3005" t="s">
        <v>1278</v>
      </c>
      <c r="F3005" t="s">
        <v>7136</v>
      </c>
      <c r="G3005" t="s">
        <v>7137</v>
      </c>
      <c r="H3005" t="s">
        <v>25</v>
      </c>
      <c r="I3005" t="s">
        <v>26</v>
      </c>
      <c r="J3005" t="s">
        <v>1406</v>
      </c>
      <c r="K3005" t="s">
        <v>53</v>
      </c>
      <c r="L3005">
        <v>33142</v>
      </c>
      <c r="M3005" t="s">
        <v>29</v>
      </c>
      <c r="N3005" t="s">
        <v>4632</v>
      </c>
      <c r="O3005" t="s">
        <v>31</v>
      </c>
      <c r="P3005" t="s">
        <v>35</v>
      </c>
      <c r="Q3005" t="s">
        <v>4633</v>
      </c>
      <c r="R3005">
        <v>239.24</v>
      </c>
      <c r="S3005">
        <v>1</v>
      </c>
      <c r="T3005">
        <v>0.2</v>
      </c>
      <c r="U3005">
        <v>23.923999999999999</v>
      </c>
      <c r="V3005" t="str">
        <f t="shared" si="46"/>
        <v>Angele Hood</v>
      </c>
      <c r="W3005">
        <f>Table2[Profit]/Table2[Sales]</f>
        <v>9.9999999999999992E-2</v>
      </c>
    </row>
    <row r="3006" spans="1:23" x14ac:dyDescent="0.25">
      <c r="A3006">
        <v>3005</v>
      </c>
      <c r="B3006" t="s">
        <v>8426</v>
      </c>
      <c r="C3006" s="1">
        <v>42729</v>
      </c>
      <c r="D3006" s="1">
        <v>42736</v>
      </c>
      <c r="E3006" t="s">
        <v>49</v>
      </c>
      <c r="F3006" t="s">
        <v>1385</v>
      </c>
      <c r="G3006" t="s">
        <v>1386</v>
      </c>
      <c r="H3006" t="s">
        <v>40</v>
      </c>
      <c r="I3006" t="s">
        <v>26</v>
      </c>
      <c r="J3006" t="s">
        <v>8427</v>
      </c>
      <c r="K3006" t="s">
        <v>2658</v>
      </c>
      <c r="L3006">
        <v>3060</v>
      </c>
      <c r="M3006" t="s">
        <v>145</v>
      </c>
      <c r="N3006" t="s">
        <v>4827</v>
      </c>
      <c r="O3006" t="s">
        <v>31</v>
      </c>
      <c r="P3006" t="s">
        <v>64</v>
      </c>
      <c r="Q3006" t="s">
        <v>4828</v>
      </c>
      <c r="R3006">
        <v>21.12</v>
      </c>
      <c r="S3006">
        <v>4</v>
      </c>
      <c r="T3006">
        <v>0</v>
      </c>
      <c r="U3006">
        <v>6.5472000000000001</v>
      </c>
      <c r="V3006" t="str">
        <f t="shared" si="46"/>
        <v>Saphhira Shifley</v>
      </c>
      <c r="W3006">
        <f>Table2[Profit]/Table2[Sales]</f>
        <v>0.31</v>
      </c>
    </row>
    <row r="3007" spans="1:23" x14ac:dyDescent="0.25">
      <c r="A3007">
        <v>3006</v>
      </c>
      <c r="B3007" t="s">
        <v>8428</v>
      </c>
      <c r="C3007" s="1">
        <v>42848</v>
      </c>
      <c r="D3007" s="1">
        <v>42850</v>
      </c>
      <c r="E3007" t="s">
        <v>185</v>
      </c>
      <c r="F3007" t="s">
        <v>1230</v>
      </c>
      <c r="G3007" t="s">
        <v>1231</v>
      </c>
      <c r="H3007" t="s">
        <v>25</v>
      </c>
      <c r="I3007" t="s">
        <v>26</v>
      </c>
      <c r="J3007" t="s">
        <v>263</v>
      </c>
      <c r="K3007" t="s">
        <v>264</v>
      </c>
      <c r="L3007">
        <v>10011</v>
      </c>
      <c r="M3007" t="s">
        <v>145</v>
      </c>
      <c r="N3007" t="s">
        <v>571</v>
      </c>
      <c r="O3007" t="s">
        <v>45</v>
      </c>
      <c r="P3007" t="s">
        <v>572</v>
      </c>
      <c r="Q3007" t="s">
        <v>573</v>
      </c>
      <c r="R3007">
        <v>54.9</v>
      </c>
      <c r="S3007">
        <v>5</v>
      </c>
      <c r="T3007">
        <v>0</v>
      </c>
      <c r="U3007">
        <v>15.372</v>
      </c>
      <c r="V3007" t="str">
        <f t="shared" si="46"/>
        <v>Tamara Dahlen</v>
      </c>
      <c r="W3007">
        <f>Table2[Profit]/Table2[Sales]</f>
        <v>0.28000000000000003</v>
      </c>
    </row>
    <row r="3008" spans="1:23" x14ac:dyDescent="0.25">
      <c r="A3008">
        <v>3007</v>
      </c>
      <c r="B3008" t="s">
        <v>8429</v>
      </c>
      <c r="C3008" s="1">
        <v>42352</v>
      </c>
      <c r="D3008" s="1">
        <v>42356</v>
      </c>
      <c r="E3008" t="s">
        <v>49</v>
      </c>
      <c r="F3008" t="s">
        <v>3714</v>
      </c>
      <c r="G3008" t="s">
        <v>3715</v>
      </c>
      <c r="H3008" t="s">
        <v>101</v>
      </c>
      <c r="I3008" t="s">
        <v>26</v>
      </c>
      <c r="J3008" t="s">
        <v>41</v>
      </c>
      <c r="K3008" t="s">
        <v>42</v>
      </c>
      <c r="L3008">
        <v>90036</v>
      </c>
      <c r="M3008" t="s">
        <v>43</v>
      </c>
      <c r="N3008" t="s">
        <v>6388</v>
      </c>
      <c r="O3008" t="s">
        <v>31</v>
      </c>
      <c r="P3008" t="s">
        <v>64</v>
      </c>
      <c r="Q3008" t="s">
        <v>6389</v>
      </c>
      <c r="R3008">
        <v>15.24</v>
      </c>
      <c r="S3008">
        <v>3</v>
      </c>
      <c r="T3008">
        <v>0</v>
      </c>
      <c r="U3008">
        <v>5.1816000000000004</v>
      </c>
      <c r="V3008" t="str">
        <f t="shared" si="46"/>
        <v>Paul Prost</v>
      </c>
      <c r="W3008">
        <f>Table2[Profit]/Table2[Sales]</f>
        <v>0.34</v>
      </c>
    </row>
    <row r="3009" spans="1:23" x14ac:dyDescent="0.25">
      <c r="A3009">
        <v>3008</v>
      </c>
      <c r="B3009" t="s">
        <v>8430</v>
      </c>
      <c r="C3009" s="1">
        <v>42113</v>
      </c>
      <c r="D3009" s="1">
        <v>42119</v>
      </c>
      <c r="E3009" t="s">
        <v>49</v>
      </c>
      <c r="F3009" t="s">
        <v>2536</v>
      </c>
      <c r="G3009" t="s">
        <v>2537</v>
      </c>
      <c r="H3009" t="s">
        <v>25</v>
      </c>
      <c r="I3009" t="s">
        <v>26</v>
      </c>
      <c r="J3009" t="s">
        <v>4128</v>
      </c>
      <c r="K3009" t="s">
        <v>103</v>
      </c>
      <c r="L3009">
        <v>75007</v>
      </c>
      <c r="M3009" t="s">
        <v>104</v>
      </c>
      <c r="N3009" t="s">
        <v>1583</v>
      </c>
      <c r="O3009" t="s">
        <v>45</v>
      </c>
      <c r="P3009" t="s">
        <v>77</v>
      </c>
      <c r="Q3009" t="s">
        <v>1584</v>
      </c>
      <c r="R3009">
        <v>19.568000000000001</v>
      </c>
      <c r="S3009">
        <v>2</v>
      </c>
      <c r="T3009">
        <v>0.8</v>
      </c>
      <c r="U3009">
        <v>-52.833599999999997</v>
      </c>
      <c r="V3009" t="str">
        <f t="shared" si="46"/>
        <v>Patrick Gardner</v>
      </c>
      <c r="W3009">
        <f>Table2[Profit]/Table2[Sales]</f>
        <v>-2.6999999999999997</v>
      </c>
    </row>
    <row r="3010" spans="1:23" x14ac:dyDescent="0.25">
      <c r="A3010">
        <v>3009</v>
      </c>
      <c r="B3010" t="s">
        <v>8431</v>
      </c>
      <c r="C3010" s="1">
        <v>42617</v>
      </c>
      <c r="D3010" s="1">
        <v>42621</v>
      </c>
      <c r="E3010" t="s">
        <v>49</v>
      </c>
      <c r="F3010" t="s">
        <v>6992</v>
      </c>
      <c r="G3010" t="s">
        <v>6993</v>
      </c>
      <c r="H3010" t="s">
        <v>25</v>
      </c>
      <c r="I3010" t="s">
        <v>26</v>
      </c>
      <c r="J3010" t="s">
        <v>7771</v>
      </c>
      <c r="K3010" t="s">
        <v>28</v>
      </c>
      <c r="L3010">
        <v>40324</v>
      </c>
      <c r="M3010" t="s">
        <v>29</v>
      </c>
      <c r="N3010" t="s">
        <v>1478</v>
      </c>
      <c r="O3010" t="s">
        <v>31</v>
      </c>
      <c r="P3010" t="s">
        <v>64</v>
      </c>
      <c r="Q3010" t="s">
        <v>1479</v>
      </c>
      <c r="R3010">
        <v>42.6</v>
      </c>
      <c r="S3010">
        <v>3</v>
      </c>
      <c r="T3010">
        <v>0</v>
      </c>
      <c r="U3010">
        <v>16.614000000000001</v>
      </c>
      <c r="V3010" t="str">
        <f t="shared" si="46"/>
        <v>Anna Andreadi</v>
      </c>
      <c r="W3010">
        <f>Table2[Profit]/Table2[Sales]</f>
        <v>0.39</v>
      </c>
    </row>
    <row r="3011" spans="1:23" x14ac:dyDescent="0.25">
      <c r="A3011">
        <v>3010</v>
      </c>
      <c r="B3011" t="s">
        <v>8432</v>
      </c>
      <c r="C3011" s="1">
        <v>43002</v>
      </c>
      <c r="D3011" s="1">
        <v>43007</v>
      </c>
      <c r="E3011" t="s">
        <v>49</v>
      </c>
      <c r="F3011" t="s">
        <v>1159</v>
      </c>
      <c r="G3011" t="s">
        <v>1160</v>
      </c>
      <c r="H3011" t="s">
        <v>40</v>
      </c>
      <c r="I3011" t="s">
        <v>26</v>
      </c>
      <c r="J3011" t="s">
        <v>41</v>
      </c>
      <c r="K3011" t="s">
        <v>42</v>
      </c>
      <c r="L3011">
        <v>90008</v>
      </c>
      <c r="M3011" t="s">
        <v>43</v>
      </c>
      <c r="N3011" t="s">
        <v>4374</v>
      </c>
      <c r="O3011" t="s">
        <v>70</v>
      </c>
      <c r="P3011" t="s">
        <v>71</v>
      </c>
      <c r="Q3011" t="s">
        <v>4375</v>
      </c>
      <c r="R3011">
        <v>859.2</v>
      </c>
      <c r="S3011">
        <v>3</v>
      </c>
      <c r="T3011">
        <v>0.2</v>
      </c>
      <c r="U3011">
        <v>75.180000000000007</v>
      </c>
      <c r="V3011" t="str">
        <f t="shared" ref="V3011:V3074" si="47">TRIM(G3011)</f>
        <v>Frank Atkinson</v>
      </c>
      <c r="W3011">
        <f>Table2[Profit]/Table2[Sales]</f>
        <v>8.7500000000000008E-2</v>
      </c>
    </row>
    <row r="3012" spans="1:23" x14ac:dyDescent="0.25">
      <c r="A3012">
        <v>3011</v>
      </c>
      <c r="B3012" t="s">
        <v>8433</v>
      </c>
      <c r="C3012" s="1">
        <v>42404</v>
      </c>
      <c r="D3012" s="1">
        <v>42408</v>
      </c>
      <c r="E3012" t="s">
        <v>49</v>
      </c>
      <c r="F3012" t="s">
        <v>161</v>
      </c>
      <c r="G3012" t="s">
        <v>162</v>
      </c>
      <c r="H3012" t="s">
        <v>25</v>
      </c>
      <c r="I3012" t="s">
        <v>26</v>
      </c>
      <c r="J3012" t="s">
        <v>2105</v>
      </c>
      <c r="K3012" t="s">
        <v>303</v>
      </c>
      <c r="L3012">
        <v>85635</v>
      </c>
      <c r="M3012" t="s">
        <v>43</v>
      </c>
      <c r="N3012" t="s">
        <v>4324</v>
      </c>
      <c r="O3012" t="s">
        <v>31</v>
      </c>
      <c r="P3012" t="s">
        <v>64</v>
      </c>
      <c r="Q3012" t="s">
        <v>4325</v>
      </c>
      <c r="R3012">
        <v>14.368</v>
      </c>
      <c r="S3012">
        <v>2</v>
      </c>
      <c r="T3012">
        <v>0.2</v>
      </c>
      <c r="U3012">
        <v>3.9512</v>
      </c>
      <c r="V3012" t="str">
        <f t="shared" si="47"/>
        <v>Tracy Blumstein</v>
      </c>
      <c r="W3012">
        <f>Table2[Profit]/Table2[Sales]</f>
        <v>0.27500000000000002</v>
      </c>
    </row>
    <row r="3013" spans="1:23" x14ac:dyDescent="0.25">
      <c r="A3013">
        <v>3012</v>
      </c>
      <c r="B3013" t="s">
        <v>8434</v>
      </c>
      <c r="C3013" s="1">
        <v>42874</v>
      </c>
      <c r="D3013" s="1">
        <v>42879</v>
      </c>
      <c r="E3013" t="s">
        <v>22</v>
      </c>
      <c r="F3013" t="s">
        <v>2784</v>
      </c>
      <c r="G3013" t="s">
        <v>2785</v>
      </c>
      <c r="H3013" t="s">
        <v>40</v>
      </c>
      <c r="I3013" t="s">
        <v>26</v>
      </c>
      <c r="J3013" t="s">
        <v>5032</v>
      </c>
      <c r="K3013" t="s">
        <v>328</v>
      </c>
      <c r="L3013">
        <v>37918</v>
      </c>
      <c r="M3013" t="s">
        <v>29</v>
      </c>
      <c r="N3013" t="s">
        <v>2065</v>
      </c>
      <c r="O3013" t="s">
        <v>31</v>
      </c>
      <c r="P3013" t="s">
        <v>35</v>
      </c>
      <c r="Q3013" t="s">
        <v>2066</v>
      </c>
      <c r="R3013">
        <v>314.35199999999998</v>
      </c>
      <c r="S3013">
        <v>3</v>
      </c>
      <c r="T3013">
        <v>0.2</v>
      </c>
      <c r="U3013">
        <v>-35.364600000000003</v>
      </c>
      <c r="V3013" t="str">
        <f t="shared" si="47"/>
        <v>Adam Hart</v>
      </c>
      <c r="W3013">
        <f>Table2[Profit]/Table2[Sales]</f>
        <v>-0.11250000000000002</v>
      </c>
    </row>
    <row r="3014" spans="1:23" x14ac:dyDescent="0.25">
      <c r="A3014">
        <v>3013</v>
      </c>
      <c r="B3014" t="s">
        <v>8435</v>
      </c>
      <c r="C3014" s="1">
        <v>42250</v>
      </c>
      <c r="D3014" s="1">
        <v>42255</v>
      </c>
      <c r="E3014" t="s">
        <v>49</v>
      </c>
      <c r="F3014" t="s">
        <v>3594</v>
      </c>
      <c r="G3014" t="s">
        <v>3595</v>
      </c>
      <c r="H3014" t="s">
        <v>40</v>
      </c>
      <c r="I3014" t="s">
        <v>26</v>
      </c>
      <c r="J3014" t="s">
        <v>1299</v>
      </c>
      <c r="K3014" t="s">
        <v>303</v>
      </c>
      <c r="L3014">
        <v>85705</v>
      </c>
      <c r="M3014" t="s">
        <v>43</v>
      </c>
      <c r="N3014" t="s">
        <v>4170</v>
      </c>
      <c r="O3014" t="s">
        <v>31</v>
      </c>
      <c r="P3014" t="s">
        <v>64</v>
      </c>
      <c r="Q3014" t="s">
        <v>4171</v>
      </c>
      <c r="R3014">
        <v>238.15199999999999</v>
      </c>
      <c r="S3014">
        <v>3</v>
      </c>
      <c r="T3014">
        <v>0.2</v>
      </c>
      <c r="U3014">
        <v>89.307000000000002</v>
      </c>
      <c r="V3014" t="str">
        <f t="shared" si="47"/>
        <v>Cathy Prescott</v>
      </c>
      <c r="W3014">
        <f>Table2[Profit]/Table2[Sales]</f>
        <v>0.37500000000000006</v>
      </c>
    </row>
    <row r="3015" spans="1:23" x14ac:dyDescent="0.25">
      <c r="A3015">
        <v>3014</v>
      </c>
      <c r="B3015" t="s">
        <v>8436</v>
      </c>
      <c r="C3015" s="1">
        <v>42530</v>
      </c>
      <c r="D3015" s="1">
        <v>42537</v>
      </c>
      <c r="E3015" t="s">
        <v>49</v>
      </c>
      <c r="F3015" t="s">
        <v>6135</v>
      </c>
      <c r="G3015" t="s">
        <v>6136</v>
      </c>
      <c r="H3015" t="s">
        <v>101</v>
      </c>
      <c r="I3015" t="s">
        <v>26</v>
      </c>
      <c r="J3015" t="s">
        <v>402</v>
      </c>
      <c r="K3015" t="s">
        <v>226</v>
      </c>
      <c r="L3015">
        <v>55407</v>
      </c>
      <c r="M3015" t="s">
        <v>104</v>
      </c>
      <c r="N3015" t="s">
        <v>8058</v>
      </c>
      <c r="O3015" t="s">
        <v>31</v>
      </c>
      <c r="P3015" t="s">
        <v>55</v>
      </c>
      <c r="Q3015" t="s">
        <v>8059</v>
      </c>
      <c r="R3015">
        <v>692.94</v>
      </c>
      <c r="S3015">
        <v>3</v>
      </c>
      <c r="T3015">
        <v>0</v>
      </c>
      <c r="U3015">
        <v>173.23500000000001</v>
      </c>
      <c r="V3015" t="str">
        <f t="shared" si="47"/>
        <v>Benjamin Farhat</v>
      </c>
      <c r="W3015">
        <f>Table2[Profit]/Table2[Sales]</f>
        <v>0.25</v>
      </c>
    </row>
    <row r="3016" spans="1:23" x14ac:dyDescent="0.25">
      <c r="A3016">
        <v>3015</v>
      </c>
      <c r="B3016" t="s">
        <v>8437</v>
      </c>
      <c r="C3016" s="1">
        <v>42315</v>
      </c>
      <c r="D3016" s="1">
        <v>42319</v>
      </c>
      <c r="E3016" t="s">
        <v>49</v>
      </c>
      <c r="F3016" t="s">
        <v>2375</v>
      </c>
      <c r="G3016" t="s">
        <v>2376</v>
      </c>
      <c r="H3016" t="s">
        <v>40</v>
      </c>
      <c r="I3016" t="s">
        <v>26</v>
      </c>
      <c r="J3016" t="s">
        <v>1406</v>
      </c>
      <c r="K3016" t="s">
        <v>53</v>
      </c>
      <c r="L3016">
        <v>33142</v>
      </c>
      <c r="M3016" t="s">
        <v>29</v>
      </c>
      <c r="N3016" t="s">
        <v>2182</v>
      </c>
      <c r="O3016" t="s">
        <v>45</v>
      </c>
      <c r="P3016" t="s">
        <v>74</v>
      </c>
      <c r="Q3016" t="s">
        <v>2183</v>
      </c>
      <c r="R3016">
        <v>16.146000000000001</v>
      </c>
      <c r="S3016">
        <v>9</v>
      </c>
      <c r="T3016">
        <v>0.7</v>
      </c>
      <c r="U3016">
        <v>-12.9168</v>
      </c>
      <c r="V3016" t="str">
        <f t="shared" si="47"/>
        <v>Christine Phan</v>
      </c>
      <c r="W3016">
        <f>Table2[Profit]/Table2[Sales]</f>
        <v>-0.79999999999999993</v>
      </c>
    </row>
    <row r="3017" spans="1:23" x14ac:dyDescent="0.25">
      <c r="A3017">
        <v>3016</v>
      </c>
      <c r="B3017" t="s">
        <v>8438</v>
      </c>
      <c r="C3017" s="1">
        <v>42536</v>
      </c>
      <c r="D3017" s="1">
        <v>42539</v>
      </c>
      <c r="E3017" t="s">
        <v>185</v>
      </c>
      <c r="F3017" t="s">
        <v>1721</v>
      </c>
      <c r="G3017" t="s">
        <v>1722</v>
      </c>
      <c r="H3017" t="s">
        <v>25</v>
      </c>
      <c r="I3017" t="s">
        <v>26</v>
      </c>
      <c r="J3017" t="s">
        <v>181</v>
      </c>
      <c r="K3017" t="s">
        <v>103</v>
      </c>
      <c r="L3017">
        <v>77036</v>
      </c>
      <c r="M3017" t="s">
        <v>104</v>
      </c>
      <c r="N3017" t="s">
        <v>7530</v>
      </c>
      <c r="O3017" t="s">
        <v>45</v>
      </c>
      <c r="P3017" t="s">
        <v>89</v>
      </c>
      <c r="Q3017" t="s">
        <v>7531</v>
      </c>
      <c r="R3017">
        <v>173.488</v>
      </c>
      <c r="S3017">
        <v>7</v>
      </c>
      <c r="T3017">
        <v>0.2</v>
      </c>
      <c r="U3017">
        <v>54.215000000000003</v>
      </c>
      <c r="V3017" t="str">
        <f t="shared" si="47"/>
        <v>Lynn Smith</v>
      </c>
      <c r="W3017">
        <f>Table2[Profit]/Table2[Sales]</f>
        <v>0.3125</v>
      </c>
    </row>
    <row r="3018" spans="1:23" x14ac:dyDescent="0.25">
      <c r="A3018">
        <v>3017</v>
      </c>
      <c r="B3018" t="s">
        <v>8439</v>
      </c>
      <c r="C3018" s="1">
        <v>42119</v>
      </c>
      <c r="D3018" s="1">
        <v>42124</v>
      </c>
      <c r="E3018" t="s">
        <v>49</v>
      </c>
      <c r="F3018" t="s">
        <v>8440</v>
      </c>
      <c r="G3018" t="s">
        <v>8441</v>
      </c>
      <c r="H3018" t="s">
        <v>25</v>
      </c>
      <c r="I3018" t="s">
        <v>26</v>
      </c>
      <c r="J3018" t="s">
        <v>2517</v>
      </c>
      <c r="K3018" t="s">
        <v>113</v>
      </c>
      <c r="L3018">
        <v>53209</v>
      </c>
      <c r="M3018" t="s">
        <v>104</v>
      </c>
      <c r="N3018" t="s">
        <v>1302</v>
      </c>
      <c r="O3018" t="s">
        <v>45</v>
      </c>
      <c r="P3018" t="s">
        <v>67</v>
      </c>
      <c r="Q3018" t="s">
        <v>1303</v>
      </c>
      <c r="R3018">
        <v>57.75</v>
      </c>
      <c r="S3018">
        <v>5</v>
      </c>
      <c r="T3018">
        <v>0</v>
      </c>
      <c r="U3018">
        <v>16.170000000000002</v>
      </c>
      <c r="V3018" t="str">
        <f t="shared" si="47"/>
        <v>Trudy Schmidt</v>
      </c>
      <c r="W3018">
        <f>Table2[Profit]/Table2[Sales]</f>
        <v>0.28000000000000003</v>
      </c>
    </row>
    <row r="3019" spans="1:23" x14ac:dyDescent="0.25">
      <c r="A3019">
        <v>3018</v>
      </c>
      <c r="B3019" t="s">
        <v>8442</v>
      </c>
      <c r="C3019" s="1">
        <v>42636</v>
      </c>
      <c r="D3019" s="1">
        <v>42639</v>
      </c>
      <c r="E3019" t="s">
        <v>22</v>
      </c>
      <c r="F3019" t="s">
        <v>1586</v>
      </c>
      <c r="G3019" t="s">
        <v>1587</v>
      </c>
      <c r="H3019" t="s">
        <v>101</v>
      </c>
      <c r="I3019" t="s">
        <v>26</v>
      </c>
      <c r="J3019" t="s">
        <v>2439</v>
      </c>
      <c r="K3019" t="s">
        <v>491</v>
      </c>
      <c r="L3019">
        <v>43130</v>
      </c>
      <c r="M3019" t="s">
        <v>145</v>
      </c>
      <c r="N3019" t="s">
        <v>3974</v>
      </c>
      <c r="O3019" t="s">
        <v>45</v>
      </c>
      <c r="P3019" t="s">
        <v>89</v>
      </c>
      <c r="Q3019" t="s">
        <v>3975</v>
      </c>
      <c r="R3019">
        <v>11.952</v>
      </c>
      <c r="S3019">
        <v>3</v>
      </c>
      <c r="T3019">
        <v>0.2</v>
      </c>
      <c r="U3019">
        <v>4.0338000000000003</v>
      </c>
      <c r="V3019" t="str">
        <f t="shared" si="47"/>
        <v>Joni Sundaresam</v>
      </c>
      <c r="W3019">
        <f>Table2[Profit]/Table2[Sales]</f>
        <v>0.33750000000000002</v>
      </c>
    </row>
    <row r="3020" spans="1:23" x14ac:dyDescent="0.25">
      <c r="A3020">
        <v>3019</v>
      </c>
      <c r="B3020" t="s">
        <v>8443</v>
      </c>
      <c r="C3020" s="1">
        <v>42600</v>
      </c>
      <c r="D3020" s="1">
        <v>42602</v>
      </c>
      <c r="E3020" t="s">
        <v>185</v>
      </c>
      <c r="F3020" t="s">
        <v>1471</v>
      </c>
      <c r="G3020" t="s">
        <v>1472</v>
      </c>
      <c r="H3020" t="s">
        <v>25</v>
      </c>
      <c r="I3020" t="s">
        <v>26</v>
      </c>
      <c r="J3020" t="s">
        <v>6883</v>
      </c>
      <c r="K3020" t="s">
        <v>103</v>
      </c>
      <c r="L3020">
        <v>78539</v>
      </c>
      <c r="M3020" t="s">
        <v>104</v>
      </c>
      <c r="N3020" t="s">
        <v>5373</v>
      </c>
      <c r="O3020" t="s">
        <v>45</v>
      </c>
      <c r="P3020" t="s">
        <v>74</v>
      </c>
      <c r="Q3020" t="s">
        <v>5374</v>
      </c>
      <c r="R3020">
        <v>2.0680000000000001</v>
      </c>
      <c r="S3020">
        <v>1</v>
      </c>
      <c r="T3020">
        <v>0.8</v>
      </c>
      <c r="U3020">
        <v>-3.4121999999999999</v>
      </c>
      <c r="V3020" t="str">
        <f t="shared" si="47"/>
        <v>Natalie Fritzler</v>
      </c>
      <c r="W3020">
        <f>Table2[Profit]/Table2[Sales]</f>
        <v>-1.65</v>
      </c>
    </row>
    <row r="3021" spans="1:23" x14ac:dyDescent="0.25">
      <c r="A3021">
        <v>3020</v>
      </c>
      <c r="B3021" t="s">
        <v>8444</v>
      </c>
      <c r="C3021" s="1">
        <v>41700</v>
      </c>
      <c r="D3021" s="1">
        <v>41706</v>
      </c>
      <c r="E3021" t="s">
        <v>49</v>
      </c>
      <c r="F3021" t="s">
        <v>5228</v>
      </c>
      <c r="G3021" t="s">
        <v>5229</v>
      </c>
      <c r="H3021" t="s">
        <v>101</v>
      </c>
      <c r="I3021" t="s">
        <v>26</v>
      </c>
      <c r="J3021" t="s">
        <v>263</v>
      </c>
      <c r="K3021" t="s">
        <v>264</v>
      </c>
      <c r="L3021">
        <v>10009</v>
      </c>
      <c r="M3021" t="s">
        <v>145</v>
      </c>
      <c r="N3021" t="s">
        <v>661</v>
      </c>
      <c r="O3021" t="s">
        <v>45</v>
      </c>
      <c r="P3021" t="s">
        <v>170</v>
      </c>
      <c r="Q3021" t="s">
        <v>662</v>
      </c>
      <c r="R3021">
        <v>11.36</v>
      </c>
      <c r="S3021">
        <v>2</v>
      </c>
      <c r="T3021">
        <v>0</v>
      </c>
      <c r="U3021">
        <v>5.3391999999999999</v>
      </c>
      <c r="V3021" t="str">
        <f t="shared" si="47"/>
        <v>Kristina Nunn</v>
      </c>
      <c r="W3021">
        <f>Table2[Profit]/Table2[Sales]</f>
        <v>0.47000000000000003</v>
      </c>
    </row>
    <row r="3022" spans="1:23" x14ac:dyDescent="0.25">
      <c r="A3022">
        <v>3021</v>
      </c>
      <c r="B3022" t="s">
        <v>8445</v>
      </c>
      <c r="C3022" s="1">
        <v>42003</v>
      </c>
      <c r="D3022" s="1">
        <v>42007</v>
      </c>
      <c r="E3022" t="s">
        <v>49</v>
      </c>
      <c r="F3022" t="s">
        <v>2589</v>
      </c>
      <c r="G3022" t="s">
        <v>2590</v>
      </c>
      <c r="H3022" t="s">
        <v>25</v>
      </c>
      <c r="I3022" t="s">
        <v>26</v>
      </c>
      <c r="J3022" t="s">
        <v>143</v>
      </c>
      <c r="K3022" t="s">
        <v>144</v>
      </c>
      <c r="L3022">
        <v>19120</v>
      </c>
      <c r="M3022" t="s">
        <v>145</v>
      </c>
      <c r="N3022" t="s">
        <v>6661</v>
      </c>
      <c r="O3022" t="s">
        <v>70</v>
      </c>
      <c r="P3022" t="s">
        <v>158</v>
      </c>
      <c r="Q3022" t="s">
        <v>6662</v>
      </c>
      <c r="R3022">
        <v>27.968</v>
      </c>
      <c r="S3022">
        <v>2</v>
      </c>
      <c r="T3022">
        <v>0.2</v>
      </c>
      <c r="U3022">
        <v>6.992</v>
      </c>
      <c r="V3022" t="str">
        <f t="shared" si="47"/>
        <v>Guy Armstrong</v>
      </c>
      <c r="W3022">
        <f>Table2[Profit]/Table2[Sales]</f>
        <v>0.25</v>
      </c>
    </row>
    <row r="3023" spans="1:23" x14ac:dyDescent="0.25">
      <c r="A3023">
        <v>3022</v>
      </c>
      <c r="B3023" t="s">
        <v>8446</v>
      </c>
      <c r="C3023" s="1">
        <v>42104</v>
      </c>
      <c r="D3023" s="1">
        <v>42110</v>
      </c>
      <c r="E3023" t="s">
        <v>49</v>
      </c>
      <c r="F3023" t="s">
        <v>2129</v>
      </c>
      <c r="G3023" t="s">
        <v>2130</v>
      </c>
      <c r="H3023" t="s">
        <v>101</v>
      </c>
      <c r="I3023" t="s">
        <v>26</v>
      </c>
      <c r="J3023" t="s">
        <v>382</v>
      </c>
      <c r="K3023" t="s">
        <v>264</v>
      </c>
      <c r="L3023">
        <v>14609</v>
      </c>
      <c r="M3023" t="s">
        <v>145</v>
      </c>
      <c r="N3023" t="s">
        <v>3224</v>
      </c>
      <c r="O3023" t="s">
        <v>45</v>
      </c>
      <c r="P3023" t="s">
        <v>58</v>
      </c>
      <c r="Q3023" t="s">
        <v>3225</v>
      </c>
      <c r="R3023">
        <v>142.04</v>
      </c>
      <c r="S3023">
        <v>4</v>
      </c>
      <c r="T3023">
        <v>0</v>
      </c>
      <c r="U3023">
        <v>38.3508</v>
      </c>
      <c r="V3023" t="str">
        <f t="shared" si="47"/>
        <v>Eugene Hildebrand</v>
      </c>
      <c r="W3023">
        <f>Table2[Profit]/Table2[Sales]</f>
        <v>0.27</v>
      </c>
    </row>
    <row r="3024" spans="1:23" x14ac:dyDescent="0.25">
      <c r="A3024">
        <v>3023</v>
      </c>
      <c r="B3024" t="s">
        <v>8447</v>
      </c>
      <c r="C3024" s="1">
        <v>42363</v>
      </c>
      <c r="D3024" s="1">
        <v>42368</v>
      </c>
      <c r="E3024" t="s">
        <v>22</v>
      </c>
      <c r="F3024" t="s">
        <v>2198</v>
      </c>
      <c r="G3024" t="s">
        <v>2199</v>
      </c>
      <c r="H3024" t="s">
        <v>25</v>
      </c>
      <c r="I3024" t="s">
        <v>26</v>
      </c>
      <c r="J3024" t="s">
        <v>941</v>
      </c>
      <c r="K3024" t="s">
        <v>42</v>
      </c>
      <c r="L3024">
        <v>92037</v>
      </c>
      <c r="M3024" t="s">
        <v>43</v>
      </c>
      <c r="N3024" t="s">
        <v>3248</v>
      </c>
      <c r="O3024" t="s">
        <v>70</v>
      </c>
      <c r="P3024" t="s">
        <v>1204</v>
      </c>
      <c r="Q3024" t="s">
        <v>3249</v>
      </c>
      <c r="R3024">
        <v>1199.96</v>
      </c>
      <c r="S3024">
        <v>5</v>
      </c>
      <c r="T3024">
        <v>0.2</v>
      </c>
      <c r="U3024">
        <v>224.99250000000001</v>
      </c>
      <c r="V3024" t="str">
        <f t="shared" si="47"/>
        <v>Ralph Arnett</v>
      </c>
      <c r="W3024">
        <f>Table2[Profit]/Table2[Sales]</f>
        <v>0.1875</v>
      </c>
    </row>
    <row r="3025" spans="1:23" x14ac:dyDescent="0.25">
      <c r="A3025">
        <v>3024</v>
      </c>
      <c r="B3025" t="s">
        <v>8448</v>
      </c>
      <c r="C3025" s="1">
        <v>42099</v>
      </c>
      <c r="D3025" s="1">
        <v>42101</v>
      </c>
      <c r="E3025" t="s">
        <v>185</v>
      </c>
      <c r="F3025" t="s">
        <v>647</v>
      </c>
      <c r="G3025" t="s">
        <v>648</v>
      </c>
      <c r="H3025" t="s">
        <v>25</v>
      </c>
      <c r="I3025" t="s">
        <v>26</v>
      </c>
      <c r="J3025" t="s">
        <v>143</v>
      </c>
      <c r="K3025" t="s">
        <v>144</v>
      </c>
      <c r="L3025">
        <v>19120</v>
      </c>
      <c r="M3025" t="s">
        <v>145</v>
      </c>
      <c r="N3025" t="s">
        <v>2461</v>
      </c>
      <c r="O3025" t="s">
        <v>45</v>
      </c>
      <c r="P3025" t="s">
        <v>46</v>
      </c>
      <c r="Q3025" t="s">
        <v>2462</v>
      </c>
      <c r="R3025">
        <v>23.904</v>
      </c>
      <c r="S3025">
        <v>6</v>
      </c>
      <c r="T3025">
        <v>0.2</v>
      </c>
      <c r="U3025">
        <v>7.7687999999999997</v>
      </c>
      <c r="V3025" t="str">
        <f t="shared" si="47"/>
        <v>Ted Trevino</v>
      </c>
      <c r="W3025">
        <f>Table2[Profit]/Table2[Sales]</f>
        <v>0.32500000000000001</v>
      </c>
    </row>
    <row r="3026" spans="1:23" x14ac:dyDescent="0.25">
      <c r="A3026">
        <v>3025</v>
      </c>
      <c r="B3026" t="s">
        <v>8449</v>
      </c>
      <c r="C3026" s="1">
        <v>42021</v>
      </c>
      <c r="D3026" s="1">
        <v>42027</v>
      </c>
      <c r="E3026" t="s">
        <v>49</v>
      </c>
      <c r="F3026" t="s">
        <v>7089</v>
      </c>
      <c r="G3026" t="s">
        <v>7090</v>
      </c>
      <c r="H3026" t="s">
        <v>25</v>
      </c>
      <c r="I3026" t="s">
        <v>26</v>
      </c>
      <c r="J3026" t="s">
        <v>8450</v>
      </c>
      <c r="K3026" t="s">
        <v>328</v>
      </c>
      <c r="L3026">
        <v>38134</v>
      </c>
      <c r="M3026" t="s">
        <v>29</v>
      </c>
      <c r="N3026" t="s">
        <v>4725</v>
      </c>
      <c r="O3026" t="s">
        <v>45</v>
      </c>
      <c r="P3026" t="s">
        <v>572</v>
      </c>
      <c r="Q3026" t="s">
        <v>4726</v>
      </c>
      <c r="R3026">
        <v>88.96</v>
      </c>
      <c r="S3026">
        <v>8</v>
      </c>
      <c r="T3026">
        <v>0.2</v>
      </c>
      <c r="U3026">
        <v>10.007999999999999</v>
      </c>
      <c r="V3026" t="str">
        <f t="shared" si="47"/>
        <v>Amy Hunt</v>
      </c>
      <c r="W3026">
        <f>Table2[Profit]/Table2[Sales]</f>
        <v>0.1125</v>
      </c>
    </row>
    <row r="3027" spans="1:23" x14ac:dyDescent="0.25">
      <c r="A3027">
        <v>3026</v>
      </c>
      <c r="B3027" t="s">
        <v>8451</v>
      </c>
      <c r="C3027" s="1">
        <v>42875</v>
      </c>
      <c r="D3027" s="1">
        <v>42879</v>
      </c>
      <c r="E3027" t="s">
        <v>49</v>
      </c>
      <c r="F3027" t="s">
        <v>2100</v>
      </c>
      <c r="G3027" t="s">
        <v>2101</v>
      </c>
      <c r="H3027" t="s">
        <v>101</v>
      </c>
      <c r="I3027" t="s">
        <v>26</v>
      </c>
      <c r="J3027" t="s">
        <v>1111</v>
      </c>
      <c r="K3027" t="s">
        <v>42</v>
      </c>
      <c r="L3027">
        <v>90712</v>
      </c>
      <c r="M3027" t="s">
        <v>43</v>
      </c>
      <c r="N3027" t="s">
        <v>1563</v>
      </c>
      <c r="O3027" t="s">
        <v>31</v>
      </c>
      <c r="P3027" t="s">
        <v>35</v>
      </c>
      <c r="Q3027" t="s">
        <v>1564</v>
      </c>
      <c r="R3027">
        <v>518.27200000000005</v>
      </c>
      <c r="S3027">
        <v>8</v>
      </c>
      <c r="T3027">
        <v>0.2</v>
      </c>
      <c r="U3027">
        <v>-97.176000000000002</v>
      </c>
      <c r="V3027" t="str">
        <f t="shared" si="47"/>
        <v>Chuck Clark</v>
      </c>
      <c r="W3027">
        <f>Table2[Profit]/Table2[Sales]</f>
        <v>-0.1875</v>
      </c>
    </row>
    <row r="3028" spans="1:23" x14ac:dyDescent="0.25">
      <c r="A3028">
        <v>3027</v>
      </c>
      <c r="B3028" t="s">
        <v>8454</v>
      </c>
      <c r="C3028" s="1">
        <v>42960</v>
      </c>
      <c r="D3028" s="1">
        <v>42967</v>
      </c>
      <c r="E3028" t="s">
        <v>49</v>
      </c>
      <c r="F3028" t="s">
        <v>3857</v>
      </c>
      <c r="G3028" t="s">
        <v>3858</v>
      </c>
      <c r="H3028" t="s">
        <v>40</v>
      </c>
      <c r="I3028" t="s">
        <v>26</v>
      </c>
      <c r="J3028" t="s">
        <v>143</v>
      </c>
      <c r="K3028" t="s">
        <v>144</v>
      </c>
      <c r="L3028">
        <v>19120</v>
      </c>
      <c r="M3028" t="s">
        <v>145</v>
      </c>
      <c r="N3028" t="s">
        <v>2583</v>
      </c>
      <c r="O3028" t="s">
        <v>45</v>
      </c>
      <c r="P3028" t="s">
        <v>46</v>
      </c>
      <c r="Q3028" t="s">
        <v>2584</v>
      </c>
      <c r="R3028">
        <v>17.544</v>
      </c>
      <c r="S3028">
        <v>3</v>
      </c>
      <c r="T3028">
        <v>0.2</v>
      </c>
      <c r="U3028">
        <v>5.9211</v>
      </c>
      <c r="V3028" t="str">
        <f t="shared" si="47"/>
        <v>Keith Dawkins</v>
      </c>
      <c r="W3028">
        <f>Table2[Profit]/Table2[Sales]</f>
        <v>0.33749999999999997</v>
      </c>
    </row>
    <row r="3029" spans="1:23" x14ac:dyDescent="0.25">
      <c r="A3029">
        <v>3028</v>
      </c>
      <c r="B3029" t="s">
        <v>8455</v>
      </c>
      <c r="C3029" s="1">
        <v>42369</v>
      </c>
      <c r="D3029" s="1">
        <v>42373</v>
      </c>
      <c r="E3029" t="s">
        <v>49</v>
      </c>
      <c r="F3029" t="s">
        <v>8161</v>
      </c>
      <c r="G3029" t="s">
        <v>8162</v>
      </c>
      <c r="H3029" t="s">
        <v>25</v>
      </c>
      <c r="I3029" t="s">
        <v>26</v>
      </c>
      <c r="J3029" t="s">
        <v>1225</v>
      </c>
      <c r="K3029" t="s">
        <v>103</v>
      </c>
      <c r="L3029">
        <v>78745</v>
      </c>
      <c r="M3029" t="s">
        <v>104</v>
      </c>
      <c r="N3029" t="s">
        <v>2397</v>
      </c>
      <c r="O3029" t="s">
        <v>45</v>
      </c>
      <c r="P3029" t="s">
        <v>58</v>
      </c>
      <c r="Q3029" t="s">
        <v>2398</v>
      </c>
      <c r="R3029">
        <v>152.68799999999999</v>
      </c>
      <c r="S3029">
        <v>2</v>
      </c>
      <c r="T3029">
        <v>0.2</v>
      </c>
      <c r="U3029">
        <v>-26.720400000000001</v>
      </c>
      <c r="V3029" t="str">
        <f t="shared" si="47"/>
        <v>Barry Gonzalez</v>
      </c>
      <c r="W3029">
        <f>Table2[Profit]/Table2[Sales]</f>
        <v>-0.17500000000000002</v>
      </c>
    </row>
    <row r="3030" spans="1:23" x14ac:dyDescent="0.25">
      <c r="A3030">
        <v>3029</v>
      </c>
      <c r="B3030" t="s">
        <v>8456</v>
      </c>
      <c r="C3030" s="1">
        <v>43094</v>
      </c>
      <c r="D3030" s="1">
        <v>43098</v>
      </c>
      <c r="E3030" t="s">
        <v>49</v>
      </c>
      <c r="F3030" t="s">
        <v>785</v>
      </c>
      <c r="G3030" t="s">
        <v>786</v>
      </c>
      <c r="H3030" t="s">
        <v>40</v>
      </c>
      <c r="I3030" t="s">
        <v>26</v>
      </c>
      <c r="J3030" t="s">
        <v>41</v>
      </c>
      <c r="K3030" t="s">
        <v>42</v>
      </c>
      <c r="L3030">
        <v>90008</v>
      </c>
      <c r="M3030" t="s">
        <v>43</v>
      </c>
      <c r="N3030" t="s">
        <v>4891</v>
      </c>
      <c r="O3030" t="s">
        <v>45</v>
      </c>
      <c r="P3030" t="s">
        <v>74</v>
      </c>
      <c r="Q3030" t="s">
        <v>4892</v>
      </c>
      <c r="R3030">
        <v>153.55199999999999</v>
      </c>
      <c r="S3030">
        <v>3</v>
      </c>
      <c r="T3030">
        <v>0.2</v>
      </c>
      <c r="U3030">
        <v>51.823799999999999</v>
      </c>
      <c r="V3030" t="str">
        <f t="shared" si="47"/>
        <v>Fred Hopkins</v>
      </c>
      <c r="W3030">
        <f>Table2[Profit]/Table2[Sales]</f>
        <v>0.33750000000000002</v>
      </c>
    </row>
    <row r="3031" spans="1:23" x14ac:dyDescent="0.25">
      <c r="A3031">
        <v>3030</v>
      </c>
      <c r="B3031" t="s">
        <v>8457</v>
      </c>
      <c r="C3031" s="1">
        <v>42614</v>
      </c>
      <c r="D3031" s="1">
        <v>42620</v>
      </c>
      <c r="E3031" t="s">
        <v>49</v>
      </c>
      <c r="F3031" t="s">
        <v>2536</v>
      </c>
      <c r="G3031" t="s">
        <v>2537</v>
      </c>
      <c r="H3031" t="s">
        <v>25</v>
      </c>
      <c r="I3031" t="s">
        <v>26</v>
      </c>
      <c r="J3031" t="s">
        <v>263</v>
      </c>
      <c r="K3031" t="s">
        <v>264</v>
      </c>
      <c r="L3031">
        <v>10011</v>
      </c>
      <c r="M3031" t="s">
        <v>145</v>
      </c>
      <c r="N3031" t="s">
        <v>1821</v>
      </c>
      <c r="O3031" t="s">
        <v>70</v>
      </c>
      <c r="P3031" t="s">
        <v>158</v>
      </c>
      <c r="Q3031" t="s">
        <v>1822</v>
      </c>
      <c r="R3031">
        <v>468.9</v>
      </c>
      <c r="S3031">
        <v>6</v>
      </c>
      <c r="T3031">
        <v>0</v>
      </c>
      <c r="U3031">
        <v>206.316</v>
      </c>
      <c r="V3031" t="str">
        <f t="shared" si="47"/>
        <v>Patrick Gardner</v>
      </c>
      <c r="W3031">
        <f>Table2[Profit]/Table2[Sales]</f>
        <v>0.44</v>
      </c>
    </row>
    <row r="3032" spans="1:23" x14ac:dyDescent="0.25">
      <c r="A3032">
        <v>3031</v>
      </c>
      <c r="B3032" t="s">
        <v>8458</v>
      </c>
      <c r="C3032" s="1">
        <v>42952</v>
      </c>
      <c r="D3032" s="1">
        <v>42955</v>
      </c>
      <c r="E3032" t="s">
        <v>185</v>
      </c>
      <c r="F3032" t="s">
        <v>1060</v>
      </c>
      <c r="G3032" t="s">
        <v>1061</v>
      </c>
      <c r="H3032" t="s">
        <v>101</v>
      </c>
      <c r="I3032" t="s">
        <v>26</v>
      </c>
      <c r="J3032" t="s">
        <v>181</v>
      </c>
      <c r="K3032" t="s">
        <v>103</v>
      </c>
      <c r="L3032">
        <v>77070</v>
      </c>
      <c r="M3032" t="s">
        <v>104</v>
      </c>
      <c r="N3032" t="s">
        <v>4804</v>
      </c>
      <c r="O3032" t="s">
        <v>45</v>
      </c>
      <c r="P3032" t="s">
        <v>58</v>
      </c>
      <c r="Q3032" t="s">
        <v>4805</v>
      </c>
      <c r="R3032">
        <v>151.05600000000001</v>
      </c>
      <c r="S3032">
        <v>9</v>
      </c>
      <c r="T3032">
        <v>0.2</v>
      </c>
      <c r="U3032">
        <v>7.5528000000000004</v>
      </c>
      <c r="V3032" t="str">
        <f t="shared" si="47"/>
        <v>Nick Zandusky</v>
      </c>
      <c r="W3032">
        <f>Table2[Profit]/Table2[Sales]</f>
        <v>4.9999999999999996E-2</v>
      </c>
    </row>
    <row r="3033" spans="1:23" x14ac:dyDescent="0.25">
      <c r="A3033">
        <v>3032</v>
      </c>
      <c r="B3033" t="s">
        <v>8459</v>
      </c>
      <c r="C3033" s="1">
        <v>41688</v>
      </c>
      <c r="D3033" s="1">
        <v>41688</v>
      </c>
      <c r="E3033" t="s">
        <v>1278</v>
      </c>
      <c r="F3033" t="s">
        <v>1533</v>
      </c>
      <c r="G3033" t="s">
        <v>1534</v>
      </c>
      <c r="H3033" t="s">
        <v>25</v>
      </c>
      <c r="I3033" t="s">
        <v>26</v>
      </c>
      <c r="J3033" t="s">
        <v>4777</v>
      </c>
      <c r="K3033" t="s">
        <v>103</v>
      </c>
      <c r="L3033">
        <v>79424</v>
      </c>
      <c r="M3033" t="s">
        <v>104</v>
      </c>
      <c r="N3033" t="s">
        <v>6868</v>
      </c>
      <c r="O3033" t="s">
        <v>31</v>
      </c>
      <c r="P3033" t="s">
        <v>64</v>
      </c>
      <c r="Q3033" t="s">
        <v>6869</v>
      </c>
      <c r="R3033">
        <v>25.16</v>
      </c>
      <c r="S3033">
        <v>5</v>
      </c>
      <c r="T3033">
        <v>0.6</v>
      </c>
      <c r="U3033">
        <v>-11.321999999999999</v>
      </c>
      <c r="V3033" t="str">
        <f t="shared" si="47"/>
        <v>Troy Blackwell</v>
      </c>
      <c r="W3033">
        <f>Table2[Profit]/Table2[Sales]</f>
        <v>-0.44999999999999996</v>
      </c>
    </row>
    <row r="3034" spans="1:23" x14ac:dyDescent="0.25">
      <c r="A3034">
        <v>3033</v>
      </c>
      <c r="B3034" t="s">
        <v>8460</v>
      </c>
      <c r="C3034" s="1">
        <v>42696</v>
      </c>
      <c r="D3034" s="1">
        <v>42701</v>
      </c>
      <c r="E3034" t="s">
        <v>49</v>
      </c>
      <c r="F3034" t="s">
        <v>1621</v>
      </c>
      <c r="G3034" t="s">
        <v>1622</v>
      </c>
      <c r="H3034" t="s">
        <v>25</v>
      </c>
      <c r="I3034" t="s">
        <v>26</v>
      </c>
      <c r="J3034" t="s">
        <v>181</v>
      </c>
      <c r="K3034" t="s">
        <v>103</v>
      </c>
      <c r="L3034">
        <v>77095</v>
      </c>
      <c r="M3034" t="s">
        <v>104</v>
      </c>
      <c r="N3034" t="s">
        <v>6226</v>
      </c>
      <c r="O3034" t="s">
        <v>45</v>
      </c>
      <c r="P3034" t="s">
        <v>74</v>
      </c>
      <c r="Q3034" t="s">
        <v>6227</v>
      </c>
      <c r="R3034">
        <v>6.2160000000000002</v>
      </c>
      <c r="S3034">
        <v>6</v>
      </c>
      <c r="T3034">
        <v>0.8</v>
      </c>
      <c r="U3034">
        <v>-9.6348000000000003</v>
      </c>
      <c r="V3034" t="str">
        <f t="shared" si="47"/>
        <v>Jeremy Ellison</v>
      </c>
      <c r="W3034">
        <f>Table2[Profit]/Table2[Sales]</f>
        <v>-1.55</v>
      </c>
    </row>
    <row r="3035" spans="1:23" x14ac:dyDescent="0.25">
      <c r="A3035">
        <v>3034</v>
      </c>
      <c r="B3035" t="s">
        <v>8461</v>
      </c>
      <c r="C3035" s="1">
        <v>42352</v>
      </c>
      <c r="D3035" s="1">
        <v>42356</v>
      </c>
      <c r="E3035" t="s">
        <v>49</v>
      </c>
      <c r="F3035" t="s">
        <v>153</v>
      </c>
      <c r="G3035" t="s">
        <v>154</v>
      </c>
      <c r="H3035" t="s">
        <v>25</v>
      </c>
      <c r="I3035" t="s">
        <v>26</v>
      </c>
      <c r="J3035" t="s">
        <v>1687</v>
      </c>
      <c r="K3035" t="s">
        <v>42</v>
      </c>
      <c r="L3035">
        <v>92627</v>
      </c>
      <c r="M3035" t="s">
        <v>43</v>
      </c>
      <c r="N3035" t="s">
        <v>915</v>
      </c>
      <c r="O3035" t="s">
        <v>31</v>
      </c>
      <c r="P3035" t="s">
        <v>64</v>
      </c>
      <c r="Q3035" t="s">
        <v>916</v>
      </c>
      <c r="R3035">
        <v>29.22</v>
      </c>
      <c r="S3035">
        <v>3</v>
      </c>
      <c r="T3035">
        <v>0</v>
      </c>
      <c r="U3035">
        <v>12.8568</v>
      </c>
      <c r="V3035" t="str">
        <f t="shared" si="47"/>
        <v>Eric Hoffmann</v>
      </c>
      <c r="W3035">
        <f>Table2[Profit]/Table2[Sales]</f>
        <v>0.44</v>
      </c>
    </row>
    <row r="3036" spans="1:23" x14ac:dyDescent="0.25">
      <c r="A3036">
        <v>3035</v>
      </c>
      <c r="B3036" t="s">
        <v>8462</v>
      </c>
      <c r="C3036" s="1">
        <v>42168</v>
      </c>
      <c r="D3036" s="1">
        <v>42172</v>
      </c>
      <c r="E3036" t="s">
        <v>49</v>
      </c>
      <c r="F3036" t="s">
        <v>4517</v>
      </c>
      <c r="G3036" t="s">
        <v>4518</v>
      </c>
      <c r="H3036" t="s">
        <v>40</v>
      </c>
      <c r="I3036" t="s">
        <v>26</v>
      </c>
      <c r="J3036" t="s">
        <v>3203</v>
      </c>
      <c r="K3036" t="s">
        <v>1260</v>
      </c>
      <c r="L3036">
        <v>30076</v>
      </c>
      <c r="M3036" t="s">
        <v>29</v>
      </c>
      <c r="N3036" t="s">
        <v>2606</v>
      </c>
      <c r="O3036" t="s">
        <v>45</v>
      </c>
      <c r="P3036" t="s">
        <v>89</v>
      </c>
      <c r="Q3036" t="s">
        <v>2607</v>
      </c>
      <c r="R3036">
        <v>6.48</v>
      </c>
      <c r="S3036">
        <v>1</v>
      </c>
      <c r="T3036">
        <v>0</v>
      </c>
      <c r="U3036">
        <v>3.1103999999999998</v>
      </c>
      <c r="V3036" t="str">
        <f t="shared" si="47"/>
        <v>Barbara Fisher</v>
      </c>
      <c r="W3036">
        <f>Table2[Profit]/Table2[Sales]</f>
        <v>0.47999999999999993</v>
      </c>
    </row>
    <row r="3037" spans="1:23" x14ac:dyDescent="0.25">
      <c r="A3037">
        <v>3036</v>
      </c>
      <c r="B3037" t="s">
        <v>8463</v>
      </c>
      <c r="C3037" s="1">
        <v>43097</v>
      </c>
      <c r="D3037" s="1">
        <v>43100</v>
      </c>
      <c r="E3037" t="s">
        <v>22</v>
      </c>
      <c r="F3037" t="s">
        <v>2712</v>
      </c>
      <c r="G3037" t="s">
        <v>2713</v>
      </c>
      <c r="H3037" t="s">
        <v>40</v>
      </c>
      <c r="I3037" t="s">
        <v>26</v>
      </c>
      <c r="J3037" t="s">
        <v>7792</v>
      </c>
      <c r="K3037" t="s">
        <v>450</v>
      </c>
      <c r="L3037">
        <v>80538</v>
      </c>
      <c r="M3037" t="s">
        <v>43</v>
      </c>
      <c r="N3037" t="s">
        <v>3503</v>
      </c>
      <c r="O3037" t="s">
        <v>45</v>
      </c>
      <c r="P3037" t="s">
        <v>74</v>
      </c>
      <c r="Q3037" t="s">
        <v>3504</v>
      </c>
      <c r="R3037">
        <v>1.1879999999999999</v>
      </c>
      <c r="S3037">
        <v>2</v>
      </c>
      <c r="T3037">
        <v>0.7</v>
      </c>
      <c r="U3037">
        <v>-0.99</v>
      </c>
      <c r="V3037" t="str">
        <f t="shared" si="47"/>
        <v>Pamela Coakley</v>
      </c>
      <c r="W3037">
        <f>Table2[Profit]/Table2[Sales]</f>
        <v>-0.83333333333333337</v>
      </c>
    </row>
    <row r="3038" spans="1:23" x14ac:dyDescent="0.25">
      <c r="A3038">
        <v>3037</v>
      </c>
      <c r="B3038" t="s">
        <v>8464</v>
      </c>
      <c r="C3038" s="1">
        <v>42998</v>
      </c>
      <c r="D3038" s="1">
        <v>43004</v>
      </c>
      <c r="E3038" t="s">
        <v>49</v>
      </c>
      <c r="F3038" t="s">
        <v>2272</v>
      </c>
      <c r="G3038" t="s">
        <v>2273</v>
      </c>
      <c r="H3038" t="s">
        <v>25</v>
      </c>
      <c r="I3038" t="s">
        <v>26</v>
      </c>
      <c r="J3038" t="s">
        <v>263</v>
      </c>
      <c r="K3038" t="s">
        <v>264</v>
      </c>
      <c r="L3038">
        <v>10035</v>
      </c>
      <c r="M3038" t="s">
        <v>145</v>
      </c>
      <c r="N3038" t="s">
        <v>3550</v>
      </c>
      <c r="O3038" t="s">
        <v>31</v>
      </c>
      <c r="P3038" t="s">
        <v>35</v>
      </c>
      <c r="Q3038" t="s">
        <v>3551</v>
      </c>
      <c r="R3038">
        <v>272.64600000000002</v>
      </c>
      <c r="S3038">
        <v>3</v>
      </c>
      <c r="T3038">
        <v>0.1</v>
      </c>
      <c r="U3038">
        <v>18.176400000000001</v>
      </c>
      <c r="V3038" t="str">
        <f t="shared" si="47"/>
        <v>Seth Vernon</v>
      </c>
      <c r="W3038">
        <f>Table2[Profit]/Table2[Sales]</f>
        <v>6.6666666666666666E-2</v>
      </c>
    </row>
    <row r="3039" spans="1:23" x14ac:dyDescent="0.25">
      <c r="A3039">
        <v>3038</v>
      </c>
      <c r="B3039" t="s">
        <v>8465</v>
      </c>
      <c r="C3039" s="1">
        <v>42969</v>
      </c>
      <c r="D3039" s="1">
        <v>42971</v>
      </c>
      <c r="E3039" t="s">
        <v>185</v>
      </c>
      <c r="F3039" t="s">
        <v>5800</v>
      </c>
      <c r="G3039" t="s">
        <v>5801</v>
      </c>
      <c r="H3039" t="s">
        <v>101</v>
      </c>
      <c r="I3039" t="s">
        <v>26</v>
      </c>
      <c r="J3039" t="s">
        <v>143</v>
      </c>
      <c r="K3039" t="s">
        <v>144</v>
      </c>
      <c r="L3039">
        <v>19143</v>
      </c>
      <c r="M3039" t="s">
        <v>145</v>
      </c>
      <c r="N3039" t="s">
        <v>2837</v>
      </c>
      <c r="O3039" t="s">
        <v>31</v>
      </c>
      <c r="P3039" t="s">
        <v>55</v>
      </c>
      <c r="Q3039" t="s">
        <v>2838</v>
      </c>
      <c r="R3039">
        <v>314.53199999999998</v>
      </c>
      <c r="S3039">
        <v>2</v>
      </c>
      <c r="T3039">
        <v>0.4</v>
      </c>
      <c r="U3039">
        <v>-83.875200000000007</v>
      </c>
      <c r="V3039" t="str">
        <f t="shared" si="47"/>
        <v>Dean percer</v>
      </c>
      <c r="W3039">
        <f>Table2[Profit]/Table2[Sales]</f>
        <v>-0.26666666666666672</v>
      </c>
    </row>
    <row r="3040" spans="1:23" x14ac:dyDescent="0.25">
      <c r="A3040">
        <v>3039</v>
      </c>
      <c r="B3040" t="s">
        <v>8466</v>
      </c>
      <c r="C3040" s="1">
        <v>42173</v>
      </c>
      <c r="D3040" s="1">
        <v>42177</v>
      </c>
      <c r="E3040" t="s">
        <v>49</v>
      </c>
      <c r="F3040" t="s">
        <v>3326</v>
      </c>
      <c r="G3040" t="s">
        <v>3327</v>
      </c>
      <c r="H3040" t="s">
        <v>40</v>
      </c>
      <c r="I3040" t="s">
        <v>26</v>
      </c>
      <c r="J3040" t="s">
        <v>1406</v>
      </c>
      <c r="K3040" t="s">
        <v>53</v>
      </c>
      <c r="L3040">
        <v>33178</v>
      </c>
      <c r="M3040" t="s">
        <v>29</v>
      </c>
      <c r="N3040" t="s">
        <v>1252</v>
      </c>
      <c r="O3040" t="s">
        <v>45</v>
      </c>
      <c r="P3040" t="s">
        <v>67</v>
      </c>
      <c r="Q3040" t="s">
        <v>1253</v>
      </c>
      <c r="R3040">
        <v>13.632</v>
      </c>
      <c r="S3040">
        <v>4</v>
      </c>
      <c r="T3040">
        <v>0.2</v>
      </c>
      <c r="U3040">
        <v>3.5783999999999998</v>
      </c>
      <c r="V3040" t="str">
        <f t="shared" si="47"/>
        <v>Harold Ryan</v>
      </c>
      <c r="W3040">
        <f>Table2[Profit]/Table2[Sales]</f>
        <v>0.26250000000000001</v>
      </c>
    </row>
    <row r="3041" spans="1:23" x14ac:dyDescent="0.25">
      <c r="A3041">
        <v>3040</v>
      </c>
      <c r="B3041" t="s">
        <v>8467</v>
      </c>
      <c r="C3041" s="1">
        <v>41993</v>
      </c>
      <c r="D3041" s="1">
        <v>41998</v>
      </c>
      <c r="E3041" t="s">
        <v>49</v>
      </c>
      <c r="F3041" t="s">
        <v>4951</v>
      </c>
      <c r="G3041" t="s">
        <v>4952</v>
      </c>
      <c r="H3041" t="s">
        <v>25</v>
      </c>
      <c r="I3041" t="s">
        <v>26</v>
      </c>
      <c r="J3041" t="s">
        <v>751</v>
      </c>
      <c r="K3041" t="s">
        <v>103</v>
      </c>
      <c r="L3041">
        <v>75051</v>
      </c>
      <c r="M3041" t="s">
        <v>104</v>
      </c>
      <c r="N3041" t="s">
        <v>2044</v>
      </c>
      <c r="O3041" t="s">
        <v>45</v>
      </c>
      <c r="P3041" t="s">
        <v>77</v>
      </c>
      <c r="Q3041" t="s">
        <v>2045</v>
      </c>
      <c r="R3041">
        <v>19.431999999999999</v>
      </c>
      <c r="S3041">
        <v>2</v>
      </c>
      <c r="T3041">
        <v>0.8</v>
      </c>
      <c r="U3041">
        <v>-49.551600000000001</v>
      </c>
      <c r="V3041" t="str">
        <f t="shared" si="47"/>
        <v>William Brown</v>
      </c>
      <c r="W3041">
        <f>Table2[Profit]/Table2[Sales]</f>
        <v>-2.5500000000000003</v>
      </c>
    </row>
    <row r="3042" spans="1:23" x14ac:dyDescent="0.25">
      <c r="A3042">
        <v>3041</v>
      </c>
      <c r="B3042" t="s">
        <v>8468</v>
      </c>
      <c r="C3042" s="1">
        <v>42624</v>
      </c>
      <c r="D3042" s="1">
        <v>42629</v>
      </c>
      <c r="E3042" t="s">
        <v>49</v>
      </c>
      <c r="F3042" t="s">
        <v>4610</v>
      </c>
      <c r="G3042" t="s">
        <v>4611</v>
      </c>
      <c r="H3042" t="s">
        <v>25</v>
      </c>
      <c r="I3042" t="s">
        <v>26</v>
      </c>
      <c r="J3042" t="s">
        <v>296</v>
      </c>
      <c r="K3042" t="s">
        <v>208</v>
      </c>
      <c r="L3042">
        <v>60653</v>
      </c>
      <c r="M3042" t="s">
        <v>104</v>
      </c>
      <c r="N3042" t="s">
        <v>6576</v>
      </c>
      <c r="O3042" t="s">
        <v>45</v>
      </c>
      <c r="P3042" t="s">
        <v>46</v>
      </c>
      <c r="Q3042" t="s">
        <v>6577</v>
      </c>
      <c r="R3042">
        <v>6</v>
      </c>
      <c r="S3042">
        <v>2</v>
      </c>
      <c r="T3042">
        <v>0.2</v>
      </c>
      <c r="U3042">
        <v>2.1</v>
      </c>
      <c r="V3042" t="str">
        <f t="shared" si="47"/>
        <v>Adam Shillingsburg</v>
      </c>
      <c r="W3042">
        <f>Table2[Profit]/Table2[Sales]</f>
        <v>0.35000000000000003</v>
      </c>
    </row>
    <row r="3043" spans="1:23" x14ac:dyDescent="0.25">
      <c r="A3043">
        <v>3042</v>
      </c>
      <c r="B3043" t="s">
        <v>8469</v>
      </c>
      <c r="C3043" s="1">
        <v>42686</v>
      </c>
      <c r="D3043" s="1">
        <v>42690</v>
      </c>
      <c r="E3043" t="s">
        <v>49</v>
      </c>
      <c r="F3043" t="s">
        <v>6946</v>
      </c>
      <c r="G3043" t="s">
        <v>6947</v>
      </c>
      <c r="H3043" t="s">
        <v>25</v>
      </c>
      <c r="I3043" t="s">
        <v>26</v>
      </c>
      <c r="J3043" t="s">
        <v>3792</v>
      </c>
      <c r="K3043" t="s">
        <v>491</v>
      </c>
      <c r="L3043">
        <v>44134</v>
      </c>
      <c r="M3043" t="s">
        <v>145</v>
      </c>
      <c r="N3043" t="s">
        <v>6208</v>
      </c>
      <c r="O3043" t="s">
        <v>31</v>
      </c>
      <c r="P3043" t="s">
        <v>35</v>
      </c>
      <c r="Q3043" t="s">
        <v>6209</v>
      </c>
      <c r="R3043">
        <v>1474.8019999999999</v>
      </c>
      <c r="S3043">
        <v>7</v>
      </c>
      <c r="T3043">
        <v>0.3</v>
      </c>
      <c r="U3043">
        <v>-21.0686</v>
      </c>
      <c r="V3043" t="str">
        <f t="shared" si="47"/>
        <v>Susan Pistek</v>
      </c>
      <c r="W3043">
        <f>Table2[Profit]/Table2[Sales]</f>
        <v>-1.4285714285714287E-2</v>
      </c>
    </row>
    <row r="3044" spans="1:23" x14ac:dyDescent="0.25">
      <c r="A3044">
        <v>3043</v>
      </c>
      <c r="B3044" t="s">
        <v>8470</v>
      </c>
      <c r="C3044" s="1">
        <v>42443</v>
      </c>
      <c r="D3044" s="1">
        <v>42449</v>
      </c>
      <c r="E3044" t="s">
        <v>49</v>
      </c>
      <c r="F3044" t="s">
        <v>620</v>
      </c>
      <c r="G3044" t="s">
        <v>621</v>
      </c>
      <c r="H3044" t="s">
        <v>40</v>
      </c>
      <c r="I3044" t="s">
        <v>26</v>
      </c>
      <c r="J3044" t="s">
        <v>8471</v>
      </c>
      <c r="K3044" t="s">
        <v>42</v>
      </c>
      <c r="L3044">
        <v>94061</v>
      </c>
      <c r="M3044" t="s">
        <v>43</v>
      </c>
      <c r="N3044" t="s">
        <v>229</v>
      </c>
      <c r="O3044" t="s">
        <v>45</v>
      </c>
      <c r="P3044" t="s">
        <v>74</v>
      </c>
      <c r="Q3044" t="s">
        <v>230</v>
      </c>
      <c r="R3044">
        <v>41.904000000000003</v>
      </c>
      <c r="S3044">
        <v>6</v>
      </c>
      <c r="T3044">
        <v>0.2</v>
      </c>
      <c r="U3044">
        <v>14.1426</v>
      </c>
      <c r="V3044" t="str">
        <f t="shared" si="47"/>
        <v>Stephanie Phelps</v>
      </c>
      <c r="W3044">
        <f>Table2[Profit]/Table2[Sales]</f>
        <v>0.33749999999999997</v>
      </c>
    </row>
    <row r="3045" spans="1:23" x14ac:dyDescent="0.25">
      <c r="A3045">
        <v>3044</v>
      </c>
      <c r="B3045" t="s">
        <v>8472</v>
      </c>
      <c r="C3045" s="1">
        <v>42687</v>
      </c>
      <c r="D3045" s="1">
        <v>42693</v>
      </c>
      <c r="E3045" t="s">
        <v>49</v>
      </c>
      <c r="F3045" t="s">
        <v>3907</v>
      </c>
      <c r="G3045" t="s">
        <v>3908</v>
      </c>
      <c r="H3045" t="s">
        <v>101</v>
      </c>
      <c r="I3045" t="s">
        <v>26</v>
      </c>
      <c r="J3045" t="s">
        <v>263</v>
      </c>
      <c r="K3045" t="s">
        <v>264</v>
      </c>
      <c r="L3045">
        <v>10011</v>
      </c>
      <c r="M3045" t="s">
        <v>145</v>
      </c>
      <c r="N3045" t="s">
        <v>8473</v>
      </c>
      <c r="O3045" t="s">
        <v>70</v>
      </c>
      <c r="P3045" t="s">
        <v>71</v>
      </c>
      <c r="Q3045" t="s">
        <v>8474</v>
      </c>
      <c r="R3045">
        <v>2279.96</v>
      </c>
      <c r="S3045">
        <v>4</v>
      </c>
      <c r="T3045">
        <v>0</v>
      </c>
      <c r="U3045">
        <v>592.78959999999995</v>
      </c>
      <c r="V3045" t="str">
        <f t="shared" si="47"/>
        <v>Corinna Mitchell</v>
      </c>
      <c r="W3045">
        <f>Table2[Profit]/Table2[Sales]</f>
        <v>0.25999999999999995</v>
      </c>
    </row>
    <row r="3046" spans="1:23" x14ac:dyDescent="0.25">
      <c r="A3046">
        <v>3045</v>
      </c>
      <c r="B3046" t="s">
        <v>8475</v>
      </c>
      <c r="C3046" s="1">
        <v>42997</v>
      </c>
      <c r="D3046" s="1">
        <v>43003</v>
      </c>
      <c r="E3046" t="s">
        <v>49</v>
      </c>
      <c r="F3046" t="s">
        <v>2729</v>
      </c>
      <c r="G3046" t="s">
        <v>2730</v>
      </c>
      <c r="H3046" t="s">
        <v>40</v>
      </c>
      <c r="I3046" t="s">
        <v>26</v>
      </c>
      <c r="J3046" t="s">
        <v>311</v>
      </c>
      <c r="K3046" t="s">
        <v>413</v>
      </c>
      <c r="L3046">
        <v>97477</v>
      </c>
      <c r="M3046" t="s">
        <v>43</v>
      </c>
      <c r="N3046" t="s">
        <v>1976</v>
      </c>
      <c r="O3046" t="s">
        <v>70</v>
      </c>
      <c r="P3046" t="s">
        <v>71</v>
      </c>
      <c r="Q3046" t="s">
        <v>1977</v>
      </c>
      <c r="R3046">
        <v>191.976</v>
      </c>
      <c r="S3046">
        <v>3</v>
      </c>
      <c r="T3046">
        <v>0.2</v>
      </c>
      <c r="U3046">
        <v>19.197600000000001</v>
      </c>
      <c r="V3046" t="str">
        <f t="shared" si="47"/>
        <v>Justin Ritter</v>
      </c>
      <c r="W3046">
        <f>Table2[Profit]/Table2[Sales]</f>
        <v>0.1</v>
      </c>
    </row>
    <row r="3047" spans="1:23" x14ac:dyDescent="0.25">
      <c r="A3047">
        <v>3046</v>
      </c>
      <c r="B3047" t="s">
        <v>8476</v>
      </c>
      <c r="C3047" s="1">
        <v>43073</v>
      </c>
      <c r="D3047" s="1">
        <v>43078</v>
      </c>
      <c r="E3047" t="s">
        <v>49</v>
      </c>
      <c r="F3047" t="s">
        <v>4750</v>
      </c>
      <c r="G3047" t="s">
        <v>4751</v>
      </c>
      <c r="H3047" t="s">
        <v>25</v>
      </c>
      <c r="I3047" t="s">
        <v>26</v>
      </c>
      <c r="J3047" t="s">
        <v>296</v>
      </c>
      <c r="K3047" t="s">
        <v>208</v>
      </c>
      <c r="L3047">
        <v>60610</v>
      </c>
      <c r="M3047" t="s">
        <v>104</v>
      </c>
      <c r="N3047" t="s">
        <v>5789</v>
      </c>
      <c r="O3047" t="s">
        <v>45</v>
      </c>
      <c r="P3047" t="s">
        <v>58</v>
      </c>
      <c r="Q3047" t="s">
        <v>5790</v>
      </c>
      <c r="R3047">
        <v>61.567999999999998</v>
      </c>
      <c r="S3047">
        <v>2</v>
      </c>
      <c r="T3047">
        <v>0.2</v>
      </c>
      <c r="U3047">
        <v>4.6176000000000004</v>
      </c>
      <c r="V3047" t="str">
        <f t="shared" si="47"/>
        <v>Christy Brittain</v>
      </c>
      <c r="W3047">
        <f>Table2[Profit]/Table2[Sales]</f>
        <v>7.5000000000000011E-2</v>
      </c>
    </row>
    <row r="3048" spans="1:23" x14ac:dyDescent="0.25">
      <c r="A3048">
        <v>3047</v>
      </c>
      <c r="B3048" t="s">
        <v>8477</v>
      </c>
      <c r="C3048" s="1">
        <v>42247</v>
      </c>
      <c r="D3048" s="1">
        <v>42252</v>
      </c>
      <c r="E3048" t="s">
        <v>49</v>
      </c>
      <c r="F3048" t="s">
        <v>1483</v>
      </c>
      <c r="G3048" t="s">
        <v>1484</v>
      </c>
      <c r="H3048" t="s">
        <v>101</v>
      </c>
      <c r="I3048" t="s">
        <v>26</v>
      </c>
      <c r="J3048" t="s">
        <v>6998</v>
      </c>
      <c r="K3048" t="s">
        <v>103</v>
      </c>
      <c r="L3048">
        <v>76021</v>
      </c>
      <c r="M3048" t="s">
        <v>104</v>
      </c>
      <c r="N3048" t="s">
        <v>4948</v>
      </c>
      <c r="O3048" t="s">
        <v>45</v>
      </c>
      <c r="P3048" t="s">
        <v>89</v>
      </c>
      <c r="Q3048" t="s">
        <v>4949</v>
      </c>
      <c r="R3048">
        <v>20.96</v>
      </c>
      <c r="S3048">
        <v>4</v>
      </c>
      <c r="T3048">
        <v>0.2</v>
      </c>
      <c r="U3048">
        <v>6.8120000000000003</v>
      </c>
      <c r="V3048" t="str">
        <f t="shared" si="47"/>
        <v>Shirley Daniels</v>
      </c>
      <c r="W3048">
        <f>Table2[Profit]/Table2[Sales]</f>
        <v>0.32500000000000001</v>
      </c>
    </row>
    <row r="3049" spans="1:23" x14ac:dyDescent="0.25">
      <c r="A3049">
        <v>3048</v>
      </c>
      <c r="B3049" t="s">
        <v>8478</v>
      </c>
      <c r="C3049" s="1">
        <v>42889</v>
      </c>
      <c r="D3049" s="1">
        <v>42893</v>
      </c>
      <c r="E3049" t="s">
        <v>49</v>
      </c>
      <c r="F3049" t="s">
        <v>1385</v>
      </c>
      <c r="G3049" t="s">
        <v>1386</v>
      </c>
      <c r="H3049" t="s">
        <v>40</v>
      </c>
      <c r="I3049" t="s">
        <v>26</v>
      </c>
      <c r="J3049" t="s">
        <v>41</v>
      </c>
      <c r="K3049" t="s">
        <v>42</v>
      </c>
      <c r="L3049">
        <v>90036</v>
      </c>
      <c r="M3049" t="s">
        <v>43</v>
      </c>
      <c r="N3049" t="s">
        <v>4070</v>
      </c>
      <c r="O3049" t="s">
        <v>70</v>
      </c>
      <c r="P3049" t="s">
        <v>158</v>
      </c>
      <c r="Q3049" t="s">
        <v>4071</v>
      </c>
      <c r="R3049">
        <v>44.75</v>
      </c>
      <c r="S3049">
        <v>5</v>
      </c>
      <c r="T3049">
        <v>0</v>
      </c>
      <c r="U3049">
        <v>8.5024999999999995</v>
      </c>
      <c r="V3049" t="str">
        <f t="shared" si="47"/>
        <v>Saphhira Shifley</v>
      </c>
      <c r="W3049">
        <f>Table2[Profit]/Table2[Sales]</f>
        <v>0.19</v>
      </c>
    </row>
    <row r="3050" spans="1:23" x14ac:dyDescent="0.25">
      <c r="A3050">
        <v>3049</v>
      </c>
      <c r="B3050" t="s">
        <v>8481</v>
      </c>
      <c r="C3050" s="1">
        <v>42460</v>
      </c>
      <c r="D3050" s="1">
        <v>42466</v>
      </c>
      <c r="E3050" t="s">
        <v>49</v>
      </c>
      <c r="F3050" t="s">
        <v>4654</v>
      </c>
      <c r="G3050" t="s">
        <v>4655</v>
      </c>
      <c r="H3050" t="s">
        <v>25</v>
      </c>
      <c r="I3050" t="s">
        <v>26</v>
      </c>
      <c r="J3050" t="s">
        <v>263</v>
      </c>
      <c r="K3050" t="s">
        <v>264</v>
      </c>
      <c r="L3050">
        <v>10009</v>
      </c>
      <c r="M3050" t="s">
        <v>145</v>
      </c>
      <c r="N3050" t="s">
        <v>694</v>
      </c>
      <c r="O3050" t="s">
        <v>31</v>
      </c>
      <c r="P3050" t="s">
        <v>35</v>
      </c>
      <c r="Q3050" t="s">
        <v>695</v>
      </c>
      <c r="R3050">
        <v>327.99599999999998</v>
      </c>
      <c r="S3050">
        <v>6</v>
      </c>
      <c r="T3050">
        <v>0.1</v>
      </c>
      <c r="U3050">
        <v>54.665999999999997</v>
      </c>
      <c r="V3050" t="str">
        <f t="shared" si="47"/>
        <v>Erica Hackney</v>
      </c>
      <c r="W3050">
        <f>Table2[Profit]/Table2[Sales]</f>
        <v>0.16666666666666666</v>
      </c>
    </row>
    <row r="3051" spans="1:23" x14ac:dyDescent="0.25">
      <c r="A3051">
        <v>3050</v>
      </c>
      <c r="B3051" t="s">
        <v>8482</v>
      </c>
      <c r="C3051" s="1">
        <v>41937</v>
      </c>
      <c r="D3051" s="1">
        <v>41940</v>
      </c>
      <c r="E3051" t="s">
        <v>185</v>
      </c>
      <c r="F3051" t="s">
        <v>6269</v>
      </c>
      <c r="G3051" t="s">
        <v>6270</v>
      </c>
      <c r="H3051" t="s">
        <v>40</v>
      </c>
      <c r="I3051" t="s">
        <v>26</v>
      </c>
      <c r="J3051" t="s">
        <v>126</v>
      </c>
      <c r="K3051" t="s">
        <v>42</v>
      </c>
      <c r="L3051">
        <v>94109</v>
      </c>
      <c r="M3051" t="s">
        <v>43</v>
      </c>
      <c r="N3051" t="s">
        <v>4241</v>
      </c>
      <c r="O3051" t="s">
        <v>45</v>
      </c>
      <c r="P3051" t="s">
        <v>74</v>
      </c>
      <c r="Q3051" t="s">
        <v>4242</v>
      </c>
      <c r="R3051">
        <v>49.408000000000001</v>
      </c>
      <c r="S3051">
        <v>4</v>
      </c>
      <c r="T3051">
        <v>0.2</v>
      </c>
      <c r="U3051">
        <v>18.527999999999999</v>
      </c>
      <c r="V3051" t="str">
        <f t="shared" si="47"/>
        <v>Aaron Hawkins</v>
      </c>
      <c r="W3051">
        <f>Table2[Profit]/Table2[Sales]</f>
        <v>0.37499999999999994</v>
      </c>
    </row>
    <row r="3052" spans="1:23" x14ac:dyDescent="0.25">
      <c r="A3052">
        <v>3051</v>
      </c>
      <c r="B3052" t="s">
        <v>8483</v>
      </c>
      <c r="C3052" s="1">
        <v>42820</v>
      </c>
      <c r="D3052" s="1">
        <v>42827</v>
      </c>
      <c r="E3052" t="s">
        <v>49</v>
      </c>
      <c r="F3052" t="s">
        <v>8484</v>
      </c>
      <c r="G3052" t="s">
        <v>8485</v>
      </c>
      <c r="H3052" t="s">
        <v>101</v>
      </c>
      <c r="I3052" t="s">
        <v>26</v>
      </c>
      <c r="J3052" t="s">
        <v>2930</v>
      </c>
      <c r="K3052" t="s">
        <v>312</v>
      </c>
      <c r="L3052">
        <v>23464</v>
      </c>
      <c r="M3052" t="s">
        <v>29</v>
      </c>
      <c r="N3052" t="s">
        <v>3566</v>
      </c>
      <c r="O3052" t="s">
        <v>70</v>
      </c>
      <c r="P3052" t="s">
        <v>158</v>
      </c>
      <c r="Q3052" t="s">
        <v>3567</v>
      </c>
      <c r="R3052">
        <v>53.25</v>
      </c>
      <c r="S3052">
        <v>3</v>
      </c>
      <c r="T3052">
        <v>0</v>
      </c>
      <c r="U3052">
        <v>20.767499999999998</v>
      </c>
      <c r="V3052" t="str">
        <f t="shared" si="47"/>
        <v>Evan Minnotte</v>
      </c>
      <c r="W3052">
        <f>Table2[Profit]/Table2[Sales]</f>
        <v>0.38999999999999996</v>
      </c>
    </row>
    <row r="3053" spans="1:23" x14ac:dyDescent="0.25">
      <c r="A3053">
        <v>3052</v>
      </c>
      <c r="B3053" t="s">
        <v>8486</v>
      </c>
      <c r="C3053" s="1">
        <v>42000</v>
      </c>
      <c r="D3053" s="1">
        <v>42004</v>
      </c>
      <c r="E3053" t="s">
        <v>49</v>
      </c>
      <c r="F3053" t="s">
        <v>2871</v>
      </c>
      <c r="G3053" t="s">
        <v>2872</v>
      </c>
      <c r="H3053" t="s">
        <v>101</v>
      </c>
      <c r="I3053" t="s">
        <v>26</v>
      </c>
      <c r="J3053" t="s">
        <v>263</v>
      </c>
      <c r="K3053" t="s">
        <v>264</v>
      </c>
      <c r="L3053">
        <v>10011</v>
      </c>
      <c r="M3053" t="s">
        <v>145</v>
      </c>
      <c r="N3053" t="s">
        <v>885</v>
      </c>
      <c r="O3053" t="s">
        <v>31</v>
      </c>
      <c r="P3053" t="s">
        <v>35</v>
      </c>
      <c r="Q3053" t="s">
        <v>886</v>
      </c>
      <c r="R3053">
        <v>767.21400000000006</v>
      </c>
      <c r="S3053">
        <v>14</v>
      </c>
      <c r="T3053">
        <v>0.1</v>
      </c>
      <c r="U3053">
        <v>161.9674</v>
      </c>
      <c r="V3053" t="str">
        <f t="shared" si="47"/>
        <v>Thomas Brumley</v>
      </c>
      <c r="W3053">
        <f>Table2[Profit]/Table2[Sales]</f>
        <v>0.21111111111111108</v>
      </c>
    </row>
    <row r="3054" spans="1:23" x14ac:dyDescent="0.25">
      <c r="A3054">
        <v>3053</v>
      </c>
      <c r="B3054" t="s">
        <v>8487</v>
      </c>
      <c r="C3054" s="1">
        <v>42993</v>
      </c>
      <c r="D3054" s="1">
        <v>42998</v>
      </c>
      <c r="E3054" t="s">
        <v>49</v>
      </c>
      <c r="F3054" t="s">
        <v>2211</v>
      </c>
      <c r="G3054" t="s">
        <v>2212</v>
      </c>
      <c r="H3054" t="s">
        <v>25</v>
      </c>
      <c r="I3054" t="s">
        <v>26</v>
      </c>
      <c r="J3054" t="s">
        <v>8488</v>
      </c>
      <c r="K3054" t="s">
        <v>328</v>
      </c>
      <c r="L3054">
        <v>37087</v>
      </c>
      <c r="M3054" t="s">
        <v>29</v>
      </c>
      <c r="N3054" t="s">
        <v>6383</v>
      </c>
      <c r="O3054" t="s">
        <v>45</v>
      </c>
      <c r="P3054" t="s">
        <v>89</v>
      </c>
      <c r="Q3054" t="s">
        <v>6384</v>
      </c>
      <c r="R3054">
        <v>163.96</v>
      </c>
      <c r="S3054">
        <v>5</v>
      </c>
      <c r="T3054">
        <v>0.2</v>
      </c>
      <c r="U3054">
        <v>59.435499999999998</v>
      </c>
      <c r="V3054" t="str">
        <f t="shared" si="47"/>
        <v>Alan Barnes</v>
      </c>
      <c r="W3054">
        <f>Table2[Profit]/Table2[Sales]</f>
        <v>0.36249999999999999</v>
      </c>
    </row>
    <row r="3055" spans="1:23" x14ac:dyDescent="0.25">
      <c r="A3055">
        <v>3054</v>
      </c>
      <c r="B3055" t="s">
        <v>8489</v>
      </c>
      <c r="C3055" s="1">
        <v>42598</v>
      </c>
      <c r="D3055" s="1">
        <v>42601</v>
      </c>
      <c r="E3055" t="s">
        <v>185</v>
      </c>
      <c r="F3055" t="s">
        <v>8490</v>
      </c>
      <c r="G3055" t="s">
        <v>8491</v>
      </c>
      <c r="H3055" t="s">
        <v>40</v>
      </c>
      <c r="I3055" t="s">
        <v>26</v>
      </c>
      <c r="J3055" t="s">
        <v>41</v>
      </c>
      <c r="K3055" t="s">
        <v>42</v>
      </c>
      <c r="L3055">
        <v>90045</v>
      </c>
      <c r="M3055" t="s">
        <v>43</v>
      </c>
      <c r="N3055" t="s">
        <v>6409</v>
      </c>
      <c r="O3055" t="s">
        <v>31</v>
      </c>
      <c r="P3055" t="s">
        <v>55</v>
      </c>
      <c r="Q3055" t="s">
        <v>6410</v>
      </c>
      <c r="R3055">
        <v>161.28</v>
      </c>
      <c r="S3055">
        <v>2</v>
      </c>
      <c r="T3055">
        <v>0.2</v>
      </c>
      <c r="U3055">
        <v>12.096</v>
      </c>
      <c r="V3055" t="str">
        <f t="shared" si="47"/>
        <v>Anthony O'Donnell</v>
      </c>
      <c r="W3055">
        <f>Table2[Profit]/Table2[Sales]</f>
        <v>7.4999999999999997E-2</v>
      </c>
    </row>
    <row r="3056" spans="1:23" x14ac:dyDescent="0.25">
      <c r="A3056">
        <v>3055</v>
      </c>
      <c r="B3056" t="s">
        <v>8492</v>
      </c>
      <c r="C3056" s="1">
        <v>42678</v>
      </c>
      <c r="D3056" s="1">
        <v>42678</v>
      </c>
      <c r="E3056" t="s">
        <v>1278</v>
      </c>
      <c r="F3056" t="s">
        <v>5499</v>
      </c>
      <c r="G3056" t="s">
        <v>5500</v>
      </c>
      <c r="H3056" t="s">
        <v>25</v>
      </c>
      <c r="I3056" t="s">
        <v>26</v>
      </c>
      <c r="J3056" t="s">
        <v>6767</v>
      </c>
      <c r="K3056" t="s">
        <v>42</v>
      </c>
      <c r="L3056">
        <v>91911</v>
      </c>
      <c r="M3056" t="s">
        <v>43</v>
      </c>
      <c r="N3056" t="s">
        <v>1114</v>
      </c>
      <c r="O3056" t="s">
        <v>45</v>
      </c>
      <c r="P3056" t="s">
        <v>67</v>
      </c>
      <c r="Q3056" t="s">
        <v>1115</v>
      </c>
      <c r="R3056">
        <v>192.8</v>
      </c>
      <c r="S3056">
        <v>4</v>
      </c>
      <c r="T3056">
        <v>0</v>
      </c>
      <c r="U3056">
        <v>55.911999999999999</v>
      </c>
      <c r="V3056" t="str">
        <f t="shared" si="47"/>
        <v>Thomas Thornton</v>
      </c>
      <c r="W3056">
        <f>Table2[Profit]/Table2[Sales]</f>
        <v>0.28999999999999998</v>
      </c>
    </row>
    <row r="3057" spans="1:23" x14ac:dyDescent="0.25">
      <c r="A3057">
        <v>3056</v>
      </c>
      <c r="B3057" t="s">
        <v>8493</v>
      </c>
      <c r="C3057" s="1">
        <v>42295</v>
      </c>
      <c r="D3057" s="1">
        <v>42299</v>
      </c>
      <c r="E3057" t="s">
        <v>49</v>
      </c>
      <c r="F3057" t="s">
        <v>5228</v>
      </c>
      <c r="G3057" t="s">
        <v>5229</v>
      </c>
      <c r="H3057" t="s">
        <v>101</v>
      </c>
      <c r="I3057" t="s">
        <v>26</v>
      </c>
      <c r="J3057" t="s">
        <v>7117</v>
      </c>
      <c r="K3057" t="s">
        <v>103</v>
      </c>
      <c r="L3057">
        <v>78501</v>
      </c>
      <c r="M3057" t="s">
        <v>104</v>
      </c>
      <c r="N3057" t="s">
        <v>6716</v>
      </c>
      <c r="O3057" t="s">
        <v>70</v>
      </c>
      <c r="P3057" t="s">
        <v>158</v>
      </c>
      <c r="Q3057" t="s">
        <v>6717</v>
      </c>
      <c r="R3057">
        <v>27.696000000000002</v>
      </c>
      <c r="S3057">
        <v>3</v>
      </c>
      <c r="T3057">
        <v>0.2</v>
      </c>
      <c r="U3057">
        <v>3.4620000000000002</v>
      </c>
      <c r="V3057" t="str">
        <f t="shared" si="47"/>
        <v>Kristina Nunn</v>
      </c>
      <c r="W3057">
        <f>Table2[Profit]/Table2[Sales]</f>
        <v>0.125</v>
      </c>
    </row>
    <row r="3058" spans="1:23" x14ac:dyDescent="0.25">
      <c r="A3058">
        <v>3057</v>
      </c>
      <c r="B3058" t="s">
        <v>8494</v>
      </c>
      <c r="C3058" s="1">
        <v>42674</v>
      </c>
      <c r="D3058" s="1">
        <v>42678</v>
      </c>
      <c r="E3058" t="s">
        <v>22</v>
      </c>
      <c r="F3058" t="s">
        <v>3109</v>
      </c>
      <c r="G3058" t="s">
        <v>3110</v>
      </c>
      <c r="H3058" t="s">
        <v>25</v>
      </c>
      <c r="I3058" t="s">
        <v>26</v>
      </c>
      <c r="J3058" t="s">
        <v>7070</v>
      </c>
      <c r="K3058" t="s">
        <v>53</v>
      </c>
      <c r="L3058">
        <v>33021</v>
      </c>
      <c r="M3058" t="s">
        <v>29</v>
      </c>
      <c r="N3058" t="s">
        <v>1839</v>
      </c>
      <c r="O3058" t="s">
        <v>45</v>
      </c>
      <c r="P3058" t="s">
        <v>89</v>
      </c>
      <c r="Q3058" t="s">
        <v>1840</v>
      </c>
      <c r="R3058">
        <v>32.064</v>
      </c>
      <c r="S3058">
        <v>6</v>
      </c>
      <c r="T3058">
        <v>0.2</v>
      </c>
      <c r="U3058">
        <v>11.2224</v>
      </c>
      <c r="V3058" t="str">
        <f t="shared" si="47"/>
        <v>Frank Olsen</v>
      </c>
      <c r="W3058">
        <f>Table2[Profit]/Table2[Sales]</f>
        <v>0.35000000000000003</v>
      </c>
    </row>
    <row r="3059" spans="1:23" x14ac:dyDescent="0.25">
      <c r="A3059">
        <v>3058</v>
      </c>
      <c r="B3059" t="s">
        <v>8495</v>
      </c>
      <c r="C3059" s="1">
        <v>41728</v>
      </c>
      <c r="D3059" s="1">
        <v>41733</v>
      </c>
      <c r="E3059" t="s">
        <v>49</v>
      </c>
      <c r="F3059" t="s">
        <v>2589</v>
      </c>
      <c r="G3059" t="s">
        <v>2590</v>
      </c>
      <c r="H3059" t="s">
        <v>25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1645</v>
      </c>
      <c r="O3059" t="s">
        <v>31</v>
      </c>
      <c r="P3059" t="s">
        <v>32</v>
      </c>
      <c r="Q3059" t="s">
        <v>1646</v>
      </c>
      <c r="R3059">
        <v>205.666</v>
      </c>
      <c r="S3059">
        <v>2</v>
      </c>
      <c r="T3059">
        <v>0.15</v>
      </c>
      <c r="U3059">
        <v>-12.098000000000001</v>
      </c>
      <c r="V3059" t="str">
        <f t="shared" si="47"/>
        <v>Guy Armstrong</v>
      </c>
      <c r="W3059">
        <f>Table2[Profit]/Table2[Sales]</f>
        <v>-5.8823529411764712E-2</v>
      </c>
    </row>
    <row r="3060" spans="1:23" x14ac:dyDescent="0.25">
      <c r="A3060">
        <v>3059</v>
      </c>
      <c r="B3060" t="s">
        <v>8496</v>
      </c>
      <c r="C3060" s="1">
        <v>42112</v>
      </c>
      <c r="D3060" s="1">
        <v>42114</v>
      </c>
      <c r="E3060" t="s">
        <v>185</v>
      </c>
      <c r="F3060" t="s">
        <v>6795</v>
      </c>
      <c r="G3060" t="s">
        <v>6796</v>
      </c>
      <c r="H3060" t="s">
        <v>25</v>
      </c>
      <c r="I3060" t="s">
        <v>26</v>
      </c>
      <c r="J3060" t="s">
        <v>8497</v>
      </c>
      <c r="K3060" t="s">
        <v>42</v>
      </c>
      <c r="L3060">
        <v>93454</v>
      </c>
      <c r="M3060" t="s">
        <v>43</v>
      </c>
      <c r="N3060" t="s">
        <v>5789</v>
      </c>
      <c r="O3060" t="s">
        <v>45</v>
      </c>
      <c r="P3060" t="s">
        <v>58</v>
      </c>
      <c r="Q3060" t="s">
        <v>5790</v>
      </c>
      <c r="R3060">
        <v>115.44</v>
      </c>
      <c r="S3060">
        <v>3</v>
      </c>
      <c r="T3060">
        <v>0</v>
      </c>
      <c r="U3060">
        <v>30.014399999999998</v>
      </c>
      <c r="V3060" t="str">
        <f t="shared" si="47"/>
        <v>Nathan Cano</v>
      </c>
      <c r="W3060">
        <f>Table2[Profit]/Table2[Sales]</f>
        <v>0.26</v>
      </c>
    </row>
    <row r="3061" spans="1:23" x14ac:dyDescent="0.25">
      <c r="A3061">
        <v>3060</v>
      </c>
      <c r="B3061" t="s">
        <v>8498</v>
      </c>
      <c r="C3061" s="1">
        <v>42925</v>
      </c>
      <c r="D3061" s="1">
        <v>42931</v>
      </c>
      <c r="E3061" t="s">
        <v>49</v>
      </c>
      <c r="F3061" t="s">
        <v>3620</v>
      </c>
      <c r="G3061" t="s">
        <v>3621</v>
      </c>
      <c r="H3061" t="s">
        <v>25</v>
      </c>
      <c r="I3061" t="s">
        <v>26</v>
      </c>
      <c r="J3061" t="s">
        <v>1281</v>
      </c>
      <c r="K3061" t="s">
        <v>740</v>
      </c>
      <c r="L3061">
        <v>6040</v>
      </c>
      <c r="M3061" t="s">
        <v>145</v>
      </c>
      <c r="N3061" t="s">
        <v>8329</v>
      </c>
      <c r="O3061" t="s">
        <v>45</v>
      </c>
      <c r="P3061" t="s">
        <v>89</v>
      </c>
      <c r="Q3061" t="s">
        <v>8330</v>
      </c>
      <c r="R3061">
        <v>274.8</v>
      </c>
      <c r="S3061">
        <v>5</v>
      </c>
      <c r="T3061">
        <v>0</v>
      </c>
      <c r="U3061">
        <v>134.65199999999999</v>
      </c>
      <c r="V3061" t="str">
        <f t="shared" si="47"/>
        <v>Jamie Frazer</v>
      </c>
      <c r="W3061">
        <f>Table2[Profit]/Table2[Sales]</f>
        <v>0.48999999999999994</v>
      </c>
    </row>
    <row r="3062" spans="1:23" x14ac:dyDescent="0.25">
      <c r="A3062">
        <v>3061</v>
      </c>
      <c r="B3062" t="s">
        <v>8499</v>
      </c>
      <c r="C3062" s="1">
        <v>42913</v>
      </c>
      <c r="D3062" s="1">
        <v>42917</v>
      </c>
      <c r="E3062" t="s">
        <v>49</v>
      </c>
      <c r="F3062" t="s">
        <v>1852</v>
      </c>
      <c r="G3062" t="s">
        <v>1853</v>
      </c>
      <c r="H3062" t="s">
        <v>25</v>
      </c>
      <c r="I3062" t="s">
        <v>26</v>
      </c>
      <c r="J3062" t="s">
        <v>2499</v>
      </c>
      <c r="K3062" t="s">
        <v>135</v>
      </c>
      <c r="L3062">
        <v>68104</v>
      </c>
      <c r="M3062" t="s">
        <v>104</v>
      </c>
      <c r="N3062" t="s">
        <v>4164</v>
      </c>
      <c r="O3062" t="s">
        <v>45</v>
      </c>
      <c r="P3062" t="s">
        <v>89</v>
      </c>
      <c r="Q3062" t="s">
        <v>4165</v>
      </c>
      <c r="R3062">
        <v>20.07</v>
      </c>
      <c r="S3062">
        <v>3</v>
      </c>
      <c r="T3062">
        <v>0</v>
      </c>
      <c r="U3062">
        <v>9.2322000000000006</v>
      </c>
      <c r="V3062" t="str">
        <f t="shared" si="47"/>
        <v>Greg Tran</v>
      </c>
      <c r="W3062">
        <f>Table2[Profit]/Table2[Sales]</f>
        <v>0.46</v>
      </c>
    </row>
    <row r="3063" spans="1:23" x14ac:dyDescent="0.25">
      <c r="A3063">
        <v>3062</v>
      </c>
      <c r="B3063" t="s">
        <v>8500</v>
      </c>
      <c r="C3063" s="1">
        <v>41995</v>
      </c>
      <c r="D3063" s="1">
        <v>41999</v>
      </c>
      <c r="E3063" t="s">
        <v>49</v>
      </c>
      <c r="F3063" t="s">
        <v>6979</v>
      </c>
      <c r="G3063" t="s">
        <v>6980</v>
      </c>
      <c r="H3063" t="s">
        <v>25</v>
      </c>
      <c r="I3063" t="s">
        <v>26</v>
      </c>
      <c r="J3063" t="s">
        <v>622</v>
      </c>
      <c r="K3063" t="s">
        <v>42</v>
      </c>
      <c r="L3063">
        <v>95123</v>
      </c>
      <c r="M3063" t="s">
        <v>43</v>
      </c>
      <c r="N3063" t="s">
        <v>1916</v>
      </c>
      <c r="O3063" t="s">
        <v>45</v>
      </c>
      <c r="P3063" t="s">
        <v>67</v>
      </c>
      <c r="Q3063" t="s">
        <v>1917</v>
      </c>
      <c r="R3063">
        <v>11.76</v>
      </c>
      <c r="S3063">
        <v>4</v>
      </c>
      <c r="T3063">
        <v>0</v>
      </c>
      <c r="U3063">
        <v>3.1751999999999998</v>
      </c>
      <c r="V3063" t="str">
        <f t="shared" si="47"/>
        <v>Khloe Miller</v>
      </c>
      <c r="W3063">
        <f>Table2[Profit]/Table2[Sales]</f>
        <v>0.26999999999999996</v>
      </c>
    </row>
    <row r="3064" spans="1:23" x14ac:dyDescent="0.25">
      <c r="A3064">
        <v>3063</v>
      </c>
      <c r="B3064" t="s">
        <v>8501</v>
      </c>
      <c r="C3064" s="1">
        <v>43060</v>
      </c>
      <c r="D3064" s="1">
        <v>43064</v>
      </c>
      <c r="E3064" t="s">
        <v>49</v>
      </c>
      <c r="F3064" t="s">
        <v>5178</v>
      </c>
      <c r="G3064" t="s">
        <v>5179</v>
      </c>
      <c r="H3064" t="s">
        <v>40</v>
      </c>
      <c r="I3064" t="s">
        <v>26</v>
      </c>
      <c r="J3064" t="s">
        <v>126</v>
      </c>
      <c r="K3064" t="s">
        <v>42</v>
      </c>
      <c r="L3064">
        <v>94122</v>
      </c>
      <c r="M3064" t="s">
        <v>43</v>
      </c>
      <c r="N3064" t="s">
        <v>1916</v>
      </c>
      <c r="O3064" t="s">
        <v>45</v>
      </c>
      <c r="P3064" t="s">
        <v>67</v>
      </c>
      <c r="Q3064" t="s">
        <v>1917</v>
      </c>
      <c r="R3064">
        <v>11.76</v>
      </c>
      <c r="S3064">
        <v>4</v>
      </c>
      <c r="T3064">
        <v>0</v>
      </c>
      <c r="U3064">
        <v>3.1751999999999998</v>
      </c>
      <c r="V3064" t="str">
        <f t="shared" si="47"/>
        <v>Patrick Jones</v>
      </c>
      <c r="W3064">
        <f>Table2[Profit]/Table2[Sales]</f>
        <v>0.26999999999999996</v>
      </c>
    </row>
    <row r="3065" spans="1:23" x14ac:dyDescent="0.25">
      <c r="A3065">
        <v>3064</v>
      </c>
      <c r="B3065" t="s">
        <v>8502</v>
      </c>
      <c r="C3065" s="1">
        <v>42548</v>
      </c>
      <c r="D3065" s="1">
        <v>42550</v>
      </c>
      <c r="E3065" t="s">
        <v>22</v>
      </c>
      <c r="F3065" t="s">
        <v>5892</v>
      </c>
      <c r="G3065" t="s">
        <v>5893</v>
      </c>
      <c r="H3065" t="s">
        <v>25</v>
      </c>
      <c r="I3065" t="s">
        <v>26</v>
      </c>
      <c r="J3065" t="s">
        <v>126</v>
      </c>
      <c r="K3065" t="s">
        <v>42</v>
      </c>
      <c r="L3065">
        <v>94109</v>
      </c>
      <c r="M3065" t="s">
        <v>43</v>
      </c>
      <c r="N3065" t="s">
        <v>6581</v>
      </c>
      <c r="O3065" t="s">
        <v>70</v>
      </c>
      <c r="P3065" t="s">
        <v>71</v>
      </c>
      <c r="Q3065" t="s">
        <v>6582</v>
      </c>
      <c r="R3065">
        <v>201.584</v>
      </c>
      <c r="S3065">
        <v>2</v>
      </c>
      <c r="T3065">
        <v>0.2</v>
      </c>
      <c r="U3065">
        <v>12.599</v>
      </c>
      <c r="V3065" t="str">
        <f t="shared" si="47"/>
        <v>Anna Chung</v>
      </c>
      <c r="W3065">
        <f>Table2[Profit]/Table2[Sales]</f>
        <v>6.25E-2</v>
      </c>
    </row>
    <row r="3066" spans="1:23" x14ac:dyDescent="0.25">
      <c r="A3066">
        <v>3065</v>
      </c>
      <c r="B3066" t="s">
        <v>8503</v>
      </c>
      <c r="C3066" s="1">
        <v>43097</v>
      </c>
      <c r="D3066" s="1">
        <v>43100</v>
      </c>
      <c r="E3066" t="s">
        <v>185</v>
      </c>
      <c r="F3066" t="s">
        <v>6162</v>
      </c>
      <c r="G3066" t="s">
        <v>6163</v>
      </c>
      <c r="H3066" t="s">
        <v>40</v>
      </c>
      <c r="I3066" t="s">
        <v>26</v>
      </c>
      <c r="J3066" t="s">
        <v>1161</v>
      </c>
      <c r="K3066" t="s">
        <v>42</v>
      </c>
      <c r="L3066">
        <v>90805</v>
      </c>
      <c r="M3066" t="s">
        <v>43</v>
      </c>
      <c r="N3066" t="s">
        <v>274</v>
      </c>
      <c r="O3066" t="s">
        <v>31</v>
      </c>
      <c r="P3066" t="s">
        <v>35</v>
      </c>
      <c r="Q3066" t="s">
        <v>275</v>
      </c>
      <c r="R3066">
        <v>340.70400000000001</v>
      </c>
      <c r="S3066">
        <v>6</v>
      </c>
      <c r="T3066">
        <v>0.2</v>
      </c>
      <c r="U3066">
        <v>-34.070399999999999</v>
      </c>
      <c r="V3066" t="str">
        <f t="shared" si="47"/>
        <v>Jason Gross</v>
      </c>
      <c r="W3066">
        <f>Table2[Profit]/Table2[Sales]</f>
        <v>-9.9999999999999992E-2</v>
      </c>
    </row>
    <row r="3067" spans="1:23" x14ac:dyDescent="0.25">
      <c r="A3067">
        <v>3066</v>
      </c>
      <c r="B3067" t="s">
        <v>8504</v>
      </c>
      <c r="C3067" s="1">
        <v>42468</v>
      </c>
      <c r="D3067" s="1">
        <v>42471</v>
      </c>
      <c r="E3067" t="s">
        <v>185</v>
      </c>
      <c r="F3067" t="s">
        <v>4378</v>
      </c>
      <c r="G3067" t="s">
        <v>4379</v>
      </c>
      <c r="H3067" t="s">
        <v>25</v>
      </c>
      <c r="I3067" t="s">
        <v>26</v>
      </c>
      <c r="J3067" t="s">
        <v>490</v>
      </c>
      <c r="K3067" t="s">
        <v>1260</v>
      </c>
      <c r="L3067">
        <v>31907</v>
      </c>
      <c r="M3067" t="s">
        <v>29</v>
      </c>
      <c r="N3067" t="s">
        <v>6543</v>
      </c>
      <c r="O3067" t="s">
        <v>31</v>
      </c>
      <c r="P3067" t="s">
        <v>32</v>
      </c>
      <c r="Q3067" t="s">
        <v>6544</v>
      </c>
      <c r="R3067">
        <v>354.9</v>
      </c>
      <c r="S3067">
        <v>5</v>
      </c>
      <c r="T3067">
        <v>0</v>
      </c>
      <c r="U3067">
        <v>88.724999999999994</v>
      </c>
      <c r="V3067" t="str">
        <f t="shared" si="47"/>
        <v>Raymond Messe</v>
      </c>
      <c r="W3067">
        <f>Table2[Profit]/Table2[Sales]</f>
        <v>0.25</v>
      </c>
    </row>
    <row r="3068" spans="1:23" x14ac:dyDescent="0.25">
      <c r="A3068">
        <v>3067</v>
      </c>
      <c r="B3068" t="s">
        <v>8505</v>
      </c>
      <c r="C3068" s="1">
        <v>41716</v>
      </c>
      <c r="D3068" s="1">
        <v>41719</v>
      </c>
      <c r="E3068" t="s">
        <v>22</v>
      </c>
      <c r="F3068" t="s">
        <v>7101</v>
      </c>
      <c r="G3068" t="s">
        <v>7102</v>
      </c>
      <c r="H3068" t="s">
        <v>101</v>
      </c>
      <c r="I3068" t="s">
        <v>26</v>
      </c>
      <c r="J3068" t="s">
        <v>126</v>
      </c>
      <c r="K3068" t="s">
        <v>42</v>
      </c>
      <c r="L3068">
        <v>94110</v>
      </c>
      <c r="M3068" t="s">
        <v>43</v>
      </c>
      <c r="N3068" t="s">
        <v>6894</v>
      </c>
      <c r="O3068" t="s">
        <v>31</v>
      </c>
      <c r="P3068" t="s">
        <v>32</v>
      </c>
      <c r="Q3068" t="s">
        <v>6895</v>
      </c>
      <c r="R3068">
        <v>1198.33</v>
      </c>
      <c r="S3068">
        <v>10</v>
      </c>
      <c r="T3068">
        <v>0.15</v>
      </c>
      <c r="U3068">
        <v>70.489999999999995</v>
      </c>
      <c r="V3068" t="str">
        <f t="shared" si="47"/>
        <v>Eileen Kiefer</v>
      </c>
      <c r="W3068">
        <f>Table2[Profit]/Table2[Sales]</f>
        <v>5.8823529411764705E-2</v>
      </c>
    </row>
    <row r="3069" spans="1:23" x14ac:dyDescent="0.25">
      <c r="A3069">
        <v>3068</v>
      </c>
      <c r="B3069" t="s">
        <v>8506</v>
      </c>
      <c r="C3069" s="1">
        <v>42919</v>
      </c>
      <c r="D3069" s="1">
        <v>42924</v>
      </c>
      <c r="E3069" t="s">
        <v>49</v>
      </c>
      <c r="F3069" t="s">
        <v>2935</v>
      </c>
      <c r="G3069" t="s">
        <v>2936</v>
      </c>
      <c r="H3069" t="s">
        <v>25</v>
      </c>
      <c r="I3069" t="s">
        <v>26</v>
      </c>
      <c r="J3069" t="s">
        <v>41</v>
      </c>
      <c r="K3069" t="s">
        <v>42</v>
      </c>
      <c r="L3069">
        <v>90004</v>
      </c>
      <c r="M3069" t="s">
        <v>43</v>
      </c>
      <c r="N3069" t="s">
        <v>878</v>
      </c>
      <c r="O3069" t="s">
        <v>45</v>
      </c>
      <c r="P3069" t="s">
        <v>58</v>
      </c>
      <c r="Q3069" t="s">
        <v>879</v>
      </c>
      <c r="R3069">
        <v>87.92</v>
      </c>
      <c r="S3069">
        <v>4</v>
      </c>
      <c r="T3069">
        <v>0</v>
      </c>
      <c r="U3069">
        <v>0.87919999999999998</v>
      </c>
      <c r="V3069" t="str">
        <f t="shared" si="47"/>
        <v>Rob Dowd</v>
      </c>
      <c r="W3069">
        <f>Table2[Profit]/Table2[Sales]</f>
        <v>0.01</v>
      </c>
    </row>
    <row r="3070" spans="1:23" x14ac:dyDescent="0.25">
      <c r="A3070">
        <v>3069</v>
      </c>
      <c r="B3070" t="s">
        <v>8507</v>
      </c>
      <c r="C3070" s="1">
        <v>42845</v>
      </c>
      <c r="D3070" s="1">
        <v>42848</v>
      </c>
      <c r="E3070" t="s">
        <v>185</v>
      </c>
      <c r="F3070" t="s">
        <v>474</v>
      </c>
      <c r="G3070" t="s">
        <v>475</v>
      </c>
      <c r="H3070" t="s">
        <v>40</v>
      </c>
      <c r="I3070" t="s">
        <v>26</v>
      </c>
      <c r="J3070" t="s">
        <v>143</v>
      </c>
      <c r="K3070" t="s">
        <v>144</v>
      </c>
      <c r="L3070">
        <v>19120</v>
      </c>
      <c r="M3070" t="s">
        <v>145</v>
      </c>
      <c r="N3070" t="s">
        <v>5729</v>
      </c>
      <c r="O3070" t="s">
        <v>31</v>
      </c>
      <c r="P3070" t="s">
        <v>64</v>
      </c>
      <c r="Q3070" t="s">
        <v>5730</v>
      </c>
      <c r="R3070">
        <v>51.968000000000004</v>
      </c>
      <c r="S3070">
        <v>2</v>
      </c>
      <c r="T3070">
        <v>0.2</v>
      </c>
      <c r="U3070">
        <v>10.393599999999999</v>
      </c>
      <c r="V3070" t="str">
        <f t="shared" si="47"/>
        <v>Cynthia Voltz</v>
      </c>
      <c r="W3070">
        <f>Table2[Profit]/Table2[Sales]</f>
        <v>0.19999999999999998</v>
      </c>
    </row>
    <row r="3071" spans="1:23" x14ac:dyDescent="0.25">
      <c r="A3071">
        <v>3070</v>
      </c>
      <c r="B3071" t="s">
        <v>8508</v>
      </c>
      <c r="C3071" s="1">
        <v>42585</v>
      </c>
      <c r="D3071" s="1">
        <v>42587</v>
      </c>
      <c r="E3071" t="s">
        <v>22</v>
      </c>
      <c r="F3071" t="s">
        <v>7263</v>
      </c>
      <c r="G3071" t="s">
        <v>7264</v>
      </c>
      <c r="H3071" t="s">
        <v>25</v>
      </c>
      <c r="I3071" t="s">
        <v>26</v>
      </c>
      <c r="J3071" t="s">
        <v>4454</v>
      </c>
      <c r="K3071" t="s">
        <v>641</v>
      </c>
      <c r="L3071">
        <v>74133</v>
      </c>
      <c r="M3071" t="s">
        <v>104</v>
      </c>
      <c r="N3071" t="s">
        <v>498</v>
      </c>
      <c r="O3071" t="s">
        <v>45</v>
      </c>
      <c r="P3071" t="s">
        <v>170</v>
      </c>
      <c r="Q3071" t="s">
        <v>499</v>
      </c>
      <c r="R3071">
        <v>81.540000000000006</v>
      </c>
      <c r="S3071">
        <v>3</v>
      </c>
      <c r="T3071">
        <v>0</v>
      </c>
      <c r="U3071">
        <v>38.323799999999999</v>
      </c>
      <c r="V3071" t="str">
        <f t="shared" si="47"/>
        <v>Alex Grayson</v>
      </c>
      <c r="W3071">
        <f>Table2[Profit]/Table2[Sales]</f>
        <v>0.47</v>
      </c>
    </row>
    <row r="3072" spans="1:23" x14ac:dyDescent="0.25">
      <c r="A3072">
        <v>3071</v>
      </c>
      <c r="B3072" t="s">
        <v>8511</v>
      </c>
      <c r="C3072" s="1">
        <v>42707</v>
      </c>
      <c r="D3072" s="1">
        <v>42713</v>
      </c>
      <c r="E3072" t="s">
        <v>49</v>
      </c>
      <c r="F3072" t="s">
        <v>2489</v>
      </c>
      <c r="G3072" t="s">
        <v>2490</v>
      </c>
      <c r="H3072" t="s">
        <v>25</v>
      </c>
      <c r="I3072" t="s">
        <v>26</v>
      </c>
      <c r="J3072" t="s">
        <v>41</v>
      </c>
      <c r="K3072" t="s">
        <v>42</v>
      </c>
      <c r="L3072">
        <v>90049</v>
      </c>
      <c r="M3072" t="s">
        <v>43</v>
      </c>
      <c r="N3072" t="s">
        <v>7326</v>
      </c>
      <c r="O3072" t="s">
        <v>45</v>
      </c>
      <c r="P3072" t="s">
        <v>58</v>
      </c>
      <c r="Q3072" t="s">
        <v>7327</v>
      </c>
      <c r="R3072">
        <v>772.68</v>
      </c>
      <c r="S3072">
        <v>4</v>
      </c>
      <c r="T3072">
        <v>0</v>
      </c>
      <c r="U3072">
        <v>108.1752</v>
      </c>
      <c r="V3072" t="str">
        <f t="shared" si="47"/>
        <v>Gary McGarr</v>
      </c>
      <c r="W3072">
        <f>Table2[Profit]/Table2[Sales]</f>
        <v>0.14000000000000001</v>
      </c>
    </row>
    <row r="3073" spans="1:23" x14ac:dyDescent="0.25">
      <c r="A3073">
        <v>3072</v>
      </c>
      <c r="B3073" t="s">
        <v>8512</v>
      </c>
      <c r="C3073" s="1">
        <v>41717</v>
      </c>
      <c r="D3073" s="1">
        <v>41719</v>
      </c>
      <c r="E3073" t="s">
        <v>185</v>
      </c>
      <c r="F3073" t="s">
        <v>1755</v>
      </c>
      <c r="G3073" t="s">
        <v>1756</v>
      </c>
      <c r="H3073" t="s">
        <v>40</v>
      </c>
      <c r="I3073" t="s">
        <v>26</v>
      </c>
      <c r="J3073" t="s">
        <v>1768</v>
      </c>
      <c r="K3073" t="s">
        <v>53</v>
      </c>
      <c r="L3073">
        <v>33801</v>
      </c>
      <c r="M3073" t="s">
        <v>29</v>
      </c>
      <c r="N3073" t="s">
        <v>2002</v>
      </c>
      <c r="O3073" t="s">
        <v>70</v>
      </c>
      <c r="P3073" t="s">
        <v>71</v>
      </c>
      <c r="Q3073" t="s">
        <v>2003</v>
      </c>
      <c r="R3073">
        <v>323.976</v>
      </c>
      <c r="S3073">
        <v>3</v>
      </c>
      <c r="T3073">
        <v>0.2</v>
      </c>
      <c r="U3073">
        <v>28.347899999999999</v>
      </c>
      <c r="V3073" t="str">
        <f t="shared" si="47"/>
        <v>Matt Connell</v>
      </c>
      <c r="W3073">
        <f>Table2[Profit]/Table2[Sales]</f>
        <v>8.7499999999999994E-2</v>
      </c>
    </row>
    <row r="3074" spans="1:23" x14ac:dyDescent="0.25">
      <c r="A3074">
        <v>3073</v>
      </c>
      <c r="B3074" t="s">
        <v>8513</v>
      </c>
      <c r="C3074" s="1">
        <v>42114</v>
      </c>
      <c r="D3074" s="1">
        <v>42119</v>
      </c>
      <c r="E3074" t="s">
        <v>49</v>
      </c>
      <c r="F3074" t="s">
        <v>2459</v>
      </c>
      <c r="G3074" t="s">
        <v>2460</v>
      </c>
      <c r="H3074" t="s">
        <v>25</v>
      </c>
      <c r="I3074" t="s">
        <v>26</v>
      </c>
      <c r="J3074" t="s">
        <v>181</v>
      </c>
      <c r="K3074" t="s">
        <v>103</v>
      </c>
      <c r="L3074">
        <v>77036</v>
      </c>
      <c r="M3074" t="s">
        <v>104</v>
      </c>
      <c r="N3074" t="s">
        <v>553</v>
      </c>
      <c r="O3074" t="s">
        <v>45</v>
      </c>
      <c r="P3074" t="s">
        <v>89</v>
      </c>
      <c r="Q3074" t="s">
        <v>554</v>
      </c>
      <c r="R3074">
        <v>117.456</v>
      </c>
      <c r="S3074">
        <v>3</v>
      </c>
      <c r="T3074">
        <v>0.2</v>
      </c>
      <c r="U3074">
        <v>44.045999999999999</v>
      </c>
      <c r="V3074" t="str">
        <f t="shared" si="47"/>
        <v>Erica Smith</v>
      </c>
      <c r="W3074">
        <f>Table2[Profit]/Table2[Sales]</f>
        <v>0.375</v>
      </c>
    </row>
    <row r="3075" spans="1:23" x14ac:dyDescent="0.25">
      <c r="A3075">
        <v>3074</v>
      </c>
      <c r="B3075" t="s">
        <v>8514</v>
      </c>
      <c r="C3075" s="1">
        <v>42266</v>
      </c>
      <c r="D3075" s="1">
        <v>42269</v>
      </c>
      <c r="E3075" t="s">
        <v>22</v>
      </c>
      <c r="F3075" t="s">
        <v>3769</v>
      </c>
      <c r="G3075" t="s">
        <v>3770</v>
      </c>
      <c r="H3075" t="s">
        <v>40</v>
      </c>
      <c r="I3075" t="s">
        <v>26</v>
      </c>
      <c r="J3075" t="s">
        <v>41</v>
      </c>
      <c r="K3075" t="s">
        <v>42</v>
      </c>
      <c r="L3075">
        <v>90008</v>
      </c>
      <c r="M3075" t="s">
        <v>43</v>
      </c>
      <c r="N3075" t="s">
        <v>1899</v>
      </c>
      <c r="O3075" t="s">
        <v>45</v>
      </c>
      <c r="P3075" t="s">
        <v>89</v>
      </c>
      <c r="Q3075" t="s">
        <v>1900</v>
      </c>
      <c r="R3075">
        <v>22.96</v>
      </c>
      <c r="S3075">
        <v>2</v>
      </c>
      <c r="T3075">
        <v>0</v>
      </c>
      <c r="U3075">
        <v>11.250400000000001</v>
      </c>
      <c r="V3075" t="str">
        <f t="shared" ref="V3075:V3138" si="48">TRIM(G3075)</f>
        <v>Rick Wilson</v>
      </c>
      <c r="W3075">
        <f>Table2[Profit]/Table2[Sales]</f>
        <v>0.49</v>
      </c>
    </row>
    <row r="3076" spans="1:23" x14ac:dyDescent="0.25">
      <c r="A3076">
        <v>3075</v>
      </c>
      <c r="B3076" t="s">
        <v>8515</v>
      </c>
      <c r="C3076" s="1">
        <v>41878</v>
      </c>
      <c r="D3076" s="1">
        <v>41881</v>
      </c>
      <c r="E3076" t="s">
        <v>22</v>
      </c>
      <c r="F3076" t="s">
        <v>3801</v>
      </c>
      <c r="G3076" t="s">
        <v>3802</v>
      </c>
      <c r="H3076" t="s">
        <v>25</v>
      </c>
      <c r="I3076" t="s">
        <v>26</v>
      </c>
      <c r="J3076" t="s">
        <v>311</v>
      </c>
      <c r="K3076" t="s">
        <v>312</v>
      </c>
      <c r="L3076">
        <v>22153</v>
      </c>
      <c r="M3076" t="s">
        <v>29</v>
      </c>
      <c r="N3076" t="s">
        <v>1839</v>
      </c>
      <c r="O3076" t="s">
        <v>45</v>
      </c>
      <c r="P3076" t="s">
        <v>89</v>
      </c>
      <c r="Q3076" t="s">
        <v>1840</v>
      </c>
      <c r="R3076">
        <v>13.36</v>
      </c>
      <c r="S3076">
        <v>2</v>
      </c>
      <c r="T3076">
        <v>0</v>
      </c>
      <c r="U3076">
        <v>6.4127999999999998</v>
      </c>
      <c r="V3076" t="str">
        <f t="shared" si="48"/>
        <v>Michael Moore</v>
      </c>
      <c r="W3076">
        <f>Table2[Profit]/Table2[Sales]</f>
        <v>0.48</v>
      </c>
    </row>
    <row r="3077" spans="1:23" x14ac:dyDescent="0.25">
      <c r="A3077">
        <v>3076</v>
      </c>
      <c r="B3077" t="s">
        <v>8516</v>
      </c>
      <c r="C3077" s="1">
        <v>42723</v>
      </c>
      <c r="D3077" s="1">
        <v>42728</v>
      </c>
      <c r="E3077" t="s">
        <v>22</v>
      </c>
      <c r="F3077" t="s">
        <v>8517</v>
      </c>
      <c r="G3077" t="s">
        <v>8518</v>
      </c>
      <c r="H3077" t="s">
        <v>40</v>
      </c>
      <c r="I3077" t="s">
        <v>26</v>
      </c>
      <c r="J3077" t="s">
        <v>263</v>
      </c>
      <c r="K3077" t="s">
        <v>264</v>
      </c>
      <c r="L3077">
        <v>10035</v>
      </c>
      <c r="M3077" t="s">
        <v>145</v>
      </c>
      <c r="N3077" t="s">
        <v>5649</v>
      </c>
      <c r="O3077" t="s">
        <v>45</v>
      </c>
      <c r="P3077" t="s">
        <v>74</v>
      </c>
      <c r="Q3077" t="s">
        <v>5650</v>
      </c>
      <c r="R3077">
        <v>34.247999999999998</v>
      </c>
      <c r="S3077">
        <v>3</v>
      </c>
      <c r="T3077">
        <v>0.2</v>
      </c>
      <c r="U3077">
        <v>11.5587</v>
      </c>
      <c r="V3077" t="str">
        <f t="shared" si="48"/>
        <v>Mark Haberlin</v>
      </c>
      <c r="W3077">
        <f>Table2[Profit]/Table2[Sales]</f>
        <v>0.33750000000000002</v>
      </c>
    </row>
    <row r="3078" spans="1:23" x14ac:dyDescent="0.25">
      <c r="A3078">
        <v>3077</v>
      </c>
      <c r="B3078" t="s">
        <v>8519</v>
      </c>
      <c r="C3078" s="1">
        <v>41853</v>
      </c>
      <c r="D3078" s="1">
        <v>41859</v>
      </c>
      <c r="E3078" t="s">
        <v>49</v>
      </c>
      <c r="F3078" t="s">
        <v>1060</v>
      </c>
      <c r="G3078" t="s">
        <v>1061</v>
      </c>
      <c r="H3078" t="s">
        <v>101</v>
      </c>
      <c r="I3078" t="s">
        <v>26</v>
      </c>
      <c r="J3078" t="s">
        <v>311</v>
      </c>
      <c r="K3078" t="s">
        <v>590</v>
      </c>
      <c r="L3078">
        <v>65807</v>
      </c>
      <c r="M3078" t="s">
        <v>104</v>
      </c>
      <c r="N3078" t="s">
        <v>3647</v>
      </c>
      <c r="O3078" t="s">
        <v>45</v>
      </c>
      <c r="P3078" t="s">
        <v>74</v>
      </c>
      <c r="Q3078" t="s">
        <v>3648</v>
      </c>
      <c r="R3078">
        <v>26.7</v>
      </c>
      <c r="S3078">
        <v>5</v>
      </c>
      <c r="T3078">
        <v>0</v>
      </c>
      <c r="U3078">
        <v>12.548999999999999</v>
      </c>
      <c r="V3078" t="str">
        <f t="shared" si="48"/>
        <v>Nick Zandusky</v>
      </c>
      <c r="W3078">
        <f>Table2[Profit]/Table2[Sales]</f>
        <v>0.47</v>
      </c>
    </row>
    <row r="3079" spans="1:23" x14ac:dyDescent="0.25">
      <c r="A3079">
        <v>3078</v>
      </c>
      <c r="B3079" t="s">
        <v>8520</v>
      </c>
      <c r="C3079" s="1">
        <v>42268</v>
      </c>
      <c r="D3079" s="1">
        <v>42273</v>
      </c>
      <c r="E3079" t="s">
        <v>49</v>
      </c>
      <c r="F3079" t="s">
        <v>6036</v>
      </c>
      <c r="G3079" t="s">
        <v>6037</v>
      </c>
      <c r="H3079" t="s">
        <v>25</v>
      </c>
      <c r="I3079" t="s">
        <v>26</v>
      </c>
      <c r="J3079" t="s">
        <v>375</v>
      </c>
      <c r="K3079" t="s">
        <v>376</v>
      </c>
      <c r="L3079">
        <v>29203</v>
      </c>
      <c r="M3079" t="s">
        <v>29</v>
      </c>
      <c r="N3079" t="s">
        <v>2989</v>
      </c>
      <c r="O3079" t="s">
        <v>31</v>
      </c>
      <c r="P3079" t="s">
        <v>35</v>
      </c>
      <c r="Q3079" t="s">
        <v>2990</v>
      </c>
      <c r="R3079">
        <v>1690.04</v>
      </c>
      <c r="S3079">
        <v>4</v>
      </c>
      <c r="T3079">
        <v>0</v>
      </c>
      <c r="U3079">
        <v>422.51</v>
      </c>
      <c r="V3079" t="str">
        <f t="shared" si="48"/>
        <v>Giulietta Baptist</v>
      </c>
      <c r="W3079">
        <f>Table2[Profit]/Table2[Sales]</f>
        <v>0.25</v>
      </c>
    </row>
    <row r="3080" spans="1:23" x14ac:dyDescent="0.25">
      <c r="A3080">
        <v>3079</v>
      </c>
      <c r="B3080" t="s">
        <v>8521</v>
      </c>
      <c r="C3080" s="1">
        <v>42715</v>
      </c>
      <c r="D3080" s="1">
        <v>42717</v>
      </c>
      <c r="E3080" t="s">
        <v>185</v>
      </c>
      <c r="F3080" t="s">
        <v>4014</v>
      </c>
      <c r="G3080" t="s">
        <v>4015</v>
      </c>
      <c r="H3080" t="s">
        <v>101</v>
      </c>
      <c r="I3080" t="s">
        <v>26</v>
      </c>
      <c r="J3080" t="s">
        <v>412</v>
      </c>
      <c r="K3080" t="s">
        <v>413</v>
      </c>
      <c r="L3080">
        <v>97206</v>
      </c>
      <c r="M3080" t="s">
        <v>43</v>
      </c>
      <c r="N3080" t="s">
        <v>200</v>
      </c>
      <c r="O3080" t="s">
        <v>31</v>
      </c>
      <c r="P3080" t="s">
        <v>35</v>
      </c>
      <c r="Q3080" t="s">
        <v>201</v>
      </c>
      <c r="R3080">
        <v>403.92</v>
      </c>
      <c r="S3080">
        <v>5</v>
      </c>
      <c r="T3080">
        <v>0.2</v>
      </c>
      <c r="U3080">
        <v>25.245000000000001</v>
      </c>
      <c r="V3080" t="str">
        <f t="shared" si="48"/>
        <v>Deborah Brumfield</v>
      </c>
      <c r="W3080">
        <f>Table2[Profit]/Table2[Sales]</f>
        <v>6.25E-2</v>
      </c>
    </row>
    <row r="3081" spans="1:23" x14ac:dyDescent="0.25">
      <c r="A3081">
        <v>3080</v>
      </c>
      <c r="B3081" t="s">
        <v>8522</v>
      </c>
      <c r="C3081" s="1">
        <v>42223</v>
      </c>
      <c r="D3081" s="1">
        <v>42228</v>
      </c>
      <c r="E3081" t="s">
        <v>49</v>
      </c>
      <c r="F3081" t="s">
        <v>5171</v>
      </c>
      <c r="G3081" t="s">
        <v>5172</v>
      </c>
      <c r="H3081" t="s">
        <v>25</v>
      </c>
      <c r="I3081" t="s">
        <v>26</v>
      </c>
      <c r="J3081" t="s">
        <v>143</v>
      </c>
      <c r="K3081" t="s">
        <v>144</v>
      </c>
      <c r="L3081">
        <v>19120</v>
      </c>
      <c r="M3081" t="s">
        <v>145</v>
      </c>
      <c r="N3081" t="s">
        <v>3152</v>
      </c>
      <c r="O3081" t="s">
        <v>45</v>
      </c>
      <c r="P3081" t="s">
        <v>67</v>
      </c>
      <c r="Q3081" t="s">
        <v>3153</v>
      </c>
      <c r="R3081">
        <v>106.8</v>
      </c>
      <c r="S3081">
        <v>10</v>
      </c>
      <c r="T3081">
        <v>0.2</v>
      </c>
      <c r="U3081">
        <v>10.68</v>
      </c>
      <c r="V3081" t="str">
        <f t="shared" si="48"/>
        <v>Jim Karlsson</v>
      </c>
      <c r="W3081">
        <f>Table2[Profit]/Table2[Sales]</f>
        <v>0.1</v>
      </c>
    </row>
    <row r="3082" spans="1:23" x14ac:dyDescent="0.25">
      <c r="A3082">
        <v>3081</v>
      </c>
      <c r="B3082" t="s">
        <v>8523</v>
      </c>
      <c r="C3082" s="1">
        <v>42323</v>
      </c>
      <c r="D3082" s="1">
        <v>42325</v>
      </c>
      <c r="E3082" t="s">
        <v>185</v>
      </c>
      <c r="F3082" t="s">
        <v>1597</v>
      </c>
      <c r="G3082" t="s">
        <v>1598</v>
      </c>
      <c r="H3082" t="s">
        <v>40</v>
      </c>
      <c r="I3082" t="s">
        <v>26</v>
      </c>
      <c r="J3082" t="s">
        <v>263</v>
      </c>
      <c r="K3082" t="s">
        <v>264</v>
      </c>
      <c r="L3082">
        <v>10035</v>
      </c>
      <c r="M3082" t="s">
        <v>145</v>
      </c>
      <c r="N3082" t="s">
        <v>1526</v>
      </c>
      <c r="O3082" t="s">
        <v>45</v>
      </c>
      <c r="P3082" t="s">
        <v>58</v>
      </c>
      <c r="Q3082" t="s">
        <v>1527</v>
      </c>
      <c r="R3082">
        <v>70.95</v>
      </c>
      <c r="S3082">
        <v>3</v>
      </c>
      <c r="T3082">
        <v>0</v>
      </c>
      <c r="U3082">
        <v>20.575500000000002</v>
      </c>
      <c r="V3082" t="str">
        <f t="shared" si="48"/>
        <v>Maya Herman</v>
      </c>
      <c r="W3082">
        <f>Table2[Profit]/Table2[Sales]</f>
        <v>0.29000000000000004</v>
      </c>
    </row>
    <row r="3083" spans="1:23" x14ac:dyDescent="0.25">
      <c r="A3083">
        <v>3082</v>
      </c>
      <c r="B3083" t="s">
        <v>8524</v>
      </c>
      <c r="C3083" s="1">
        <v>42829</v>
      </c>
      <c r="D3083" s="1">
        <v>42833</v>
      </c>
      <c r="E3083" t="s">
        <v>49</v>
      </c>
      <c r="F3083" t="s">
        <v>4790</v>
      </c>
      <c r="G3083" t="s">
        <v>4791</v>
      </c>
      <c r="H3083" t="s">
        <v>25</v>
      </c>
      <c r="I3083" t="s">
        <v>26</v>
      </c>
      <c r="J3083" t="s">
        <v>8525</v>
      </c>
      <c r="K3083" t="s">
        <v>208</v>
      </c>
      <c r="L3083">
        <v>60016</v>
      </c>
      <c r="M3083" t="s">
        <v>104</v>
      </c>
      <c r="N3083" t="s">
        <v>4676</v>
      </c>
      <c r="O3083" t="s">
        <v>70</v>
      </c>
      <c r="P3083" t="s">
        <v>71</v>
      </c>
      <c r="Q3083" t="s">
        <v>4677</v>
      </c>
      <c r="R3083">
        <v>383.84</v>
      </c>
      <c r="S3083">
        <v>4</v>
      </c>
      <c r="T3083">
        <v>0.2</v>
      </c>
      <c r="U3083">
        <v>47.98</v>
      </c>
      <c r="V3083" t="str">
        <f t="shared" si="48"/>
        <v>Anne McFarland</v>
      </c>
      <c r="W3083">
        <f>Table2[Profit]/Table2[Sales]</f>
        <v>0.125</v>
      </c>
    </row>
    <row r="3084" spans="1:23" x14ac:dyDescent="0.25">
      <c r="A3084">
        <v>3083</v>
      </c>
      <c r="B3084" t="s">
        <v>8526</v>
      </c>
      <c r="C3084" s="1">
        <v>42728</v>
      </c>
      <c r="D3084" s="1">
        <v>42732</v>
      </c>
      <c r="E3084" t="s">
        <v>49</v>
      </c>
      <c r="F3084" t="s">
        <v>2787</v>
      </c>
      <c r="G3084" t="s">
        <v>2788</v>
      </c>
      <c r="H3084" t="s">
        <v>25</v>
      </c>
      <c r="I3084" t="s">
        <v>26</v>
      </c>
      <c r="J3084" t="s">
        <v>263</v>
      </c>
      <c r="K3084" t="s">
        <v>264</v>
      </c>
      <c r="L3084">
        <v>10035</v>
      </c>
      <c r="M3084" t="s">
        <v>145</v>
      </c>
      <c r="N3084" t="s">
        <v>8037</v>
      </c>
      <c r="O3084" t="s">
        <v>31</v>
      </c>
      <c r="P3084" t="s">
        <v>64</v>
      </c>
      <c r="Q3084" t="s">
        <v>8038</v>
      </c>
      <c r="R3084">
        <v>799.56</v>
      </c>
      <c r="S3084">
        <v>9</v>
      </c>
      <c r="T3084">
        <v>0</v>
      </c>
      <c r="U3084">
        <v>207.88560000000001</v>
      </c>
      <c r="V3084" t="str">
        <f t="shared" si="48"/>
        <v>Jessica Myrick</v>
      </c>
      <c r="W3084">
        <f>Table2[Profit]/Table2[Sales]</f>
        <v>0.26</v>
      </c>
    </row>
    <row r="3085" spans="1:23" x14ac:dyDescent="0.25">
      <c r="A3085">
        <v>3084</v>
      </c>
      <c r="B3085" t="s">
        <v>8527</v>
      </c>
      <c r="C3085" s="1">
        <v>43082</v>
      </c>
      <c r="D3085" s="1">
        <v>43082</v>
      </c>
      <c r="E3085" t="s">
        <v>1278</v>
      </c>
      <c r="F3085" t="s">
        <v>5137</v>
      </c>
      <c r="G3085" t="s">
        <v>5138</v>
      </c>
      <c r="H3085" t="s">
        <v>25</v>
      </c>
      <c r="I3085" t="s">
        <v>26</v>
      </c>
      <c r="J3085" t="s">
        <v>94</v>
      </c>
      <c r="K3085" t="s">
        <v>95</v>
      </c>
      <c r="L3085">
        <v>98103</v>
      </c>
      <c r="M3085" t="s">
        <v>43</v>
      </c>
      <c r="N3085" t="s">
        <v>1800</v>
      </c>
      <c r="O3085" t="s">
        <v>45</v>
      </c>
      <c r="P3085" t="s">
        <v>58</v>
      </c>
      <c r="Q3085" t="s">
        <v>1801</v>
      </c>
      <c r="R3085">
        <v>31.44</v>
      </c>
      <c r="S3085">
        <v>3</v>
      </c>
      <c r="T3085">
        <v>0</v>
      </c>
      <c r="U3085">
        <v>8.4887999999999995</v>
      </c>
      <c r="V3085" t="str">
        <f t="shared" si="48"/>
        <v>Mitch Webber</v>
      </c>
      <c r="W3085">
        <f>Table2[Profit]/Table2[Sales]</f>
        <v>0.26999999999999996</v>
      </c>
    </row>
    <row r="3086" spans="1:23" x14ac:dyDescent="0.25">
      <c r="A3086">
        <v>3085</v>
      </c>
      <c r="B3086" t="s">
        <v>8528</v>
      </c>
      <c r="C3086" s="1">
        <v>43091</v>
      </c>
      <c r="D3086" s="1">
        <v>43095</v>
      </c>
      <c r="E3086" t="s">
        <v>49</v>
      </c>
      <c r="F3086" t="s">
        <v>7263</v>
      </c>
      <c r="G3086" t="s">
        <v>7264</v>
      </c>
      <c r="H3086" t="s">
        <v>25</v>
      </c>
      <c r="I3086" t="s">
        <v>26</v>
      </c>
      <c r="J3086" t="s">
        <v>181</v>
      </c>
      <c r="K3086" t="s">
        <v>103</v>
      </c>
      <c r="L3086">
        <v>77095</v>
      </c>
      <c r="M3086" t="s">
        <v>104</v>
      </c>
      <c r="N3086" t="s">
        <v>2743</v>
      </c>
      <c r="O3086" t="s">
        <v>45</v>
      </c>
      <c r="P3086" t="s">
        <v>89</v>
      </c>
      <c r="Q3086" t="s">
        <v>2744</v>
      </c>
      <c r="R3086">
        <v>25.92</v>
      </c>
      <c r="S3086">
        <v>5</v>
      </c>
      <c r="T3086">
        <v>0.2</v>
      </c>
      <c r="U3086">
        <v>9.0719999999999992</v>
      </c>
      <c r="V3086" t="str">
        <f t="shared" si="48"/>
        <v>Alex Grayson</v>
      </c>
      <c r="W3086">
        <f>Table2[Profit]/Table2[Sales]</f>
        <v>0.34999999999999992</v>
      </c>
    </row>
    <row r="3087" spans="1:23" x14ac:dyDescent="0.25">
      <c r="A3087">
        <v>3086</v>
      </c>
      <c r="B3087" t="s">
        <v>8529</v>
      </c>
      <c r="C3087" s="1">
        <v>43029</v>
      </c>
      <c r="D3087" s="1">
        <v>43036</v>
      </c>
      <c r="E3087" t="s">
        <v>49</v>
      </c>
      <c r="F3087" t="s">
        <v>3098</v>
      </c>
      <c r="G3087" t="s">
        <v>3099</v>
      </c>
      <c r="H3087" t="s">
        <v>25</v>
      </c>
      <c r="I3087" t="s">
        <v>26</v>
      </c>
      <c r="J3087" t="s">
        <v>143</v>
      </c>
      <c r="K3087" t="s">
        <v>144</v>
      </c>
      <c r="L3087">
        <v>19143</v>
      </c>
      <c r="M3087" t="s">
        <v>145</v>
      </c>
      <c r="N3087" t="s">
        <v>3431</v>
      </c>
      <c r="O3087" t="s">
        <v>70</v>
      </c>
      <c r="P3087" t="s">
        <v>71</v>
      </c>
      <c r="Q3087" t="s">
        <v>3432</v>
      </c>
      <c r="R3087">
        <v>329.988</v>
      </c>
      <c r="S3087">
        <v>2</v>
      </c>
      <c r="T3087">
        <v>0.4</v>
      </c>
      <c r="U3087">
        <v>-76.997200000000007</v>
      </c>
      <c r="V3087" t="str">
        <f t="shared" si="48"/>
        <v>Charles McCrossin</v>
      </c>
      <c r="W3087">
        <f>Table2[Profit]/Table2[Sales]</f>
        <v>-0.23333333333333336</v>
      </c>
    </row>
    <row r="3088" spans="1:23" x14ac:dyDescent="0.25">
      <c r="A3088">
        <v>3087</v>
      </c>
      <c r="B3088" t="s">
        <v>8530</v>
      </c>
      <c r="C3088" s="1">
        <v>42321</v>
      </c>
      <c r="D3088" s="1">
        <v>42325</v>
      </c>
      <c r="E3088" t="s">
        <v>49</v>
      </c>
      <c r="F3088" t="s">
        <v>1318</v>
      </c>
      <c r="G3088" t="s">
        <v>1319</v>
      </c>
      <c r="H3088" t="s">
        <v>25</v>
      </c>
      <c r="I3088" t="s">
        <v>26</v>
      </c>
      <c r="J3088" t="s">
        <v>490</v>
      </c>
      <c r="K3088" t="s">
        <v>251</v>
      </c>
      <c r="L3088">
        <v>47201</v>
      </c>
      <c r="M3088" t="s">
        <v>104</v>
      </c>
      <c r="N3088" t="s">
        <v>5412</v>
      </c>
      <c r="O3088" t="s">
        <v>45</v>
      </c>
      <c r="P3088" t="s">
        <v>89</v>
      </c>
      <c r="Q3088" t="s">
        <v>5413</v>
      </c>
      <c r="R3088">
        <v>63.77</v>
      </c>
      <c r="S3088">
        <v>7</v>
      </c>
      <c r="T3088">
        <v>0</v>
      </c>
      <c r="U3088">
        <v>28.6965</v>
      </c>
      <c r="V3088" t="str">
        <f t="shared" si="48"/>
        <v>Russell Applegate</v>
      </c>
      <c r="W3088">
        <f>Table2[Profit]/Table2[Sales]</f>
        <v>0.44999999999999996</v>
      </c>
    </row>
    <row r="3089" spans="1:23" x14ac:dyDescent="0.25">
      <c r="A3089">
        <v>3088</v>
      </c>
      <c r="B3089" t="s">
        <v>8531</v>
      </c>
      <c r="C3089" s="1">
        <v>42110</v>
      </c>
      <c r="D3089" s="1">
        <v>42114</v>
      </c>
      <c r="E3089" t="s">
        <v>49</v>
      </c>
      <c r="F3089" t="s">
        <v>8147</v>
      </c>
      <c r="G3089" t="s">
        <v>8148</v>
      </c>
      <c r="H3089" t="s">
        <v>25</v>
      </c>
      <c r="I3089" t="s">
        <v>26</v>
      </c>
      <c r="J3089" t="s">
        <v>2348</v>
      </c>
      <c r="K3089" t="s">
        <v>208</v>
      </c>
      <c r="L3089">
        <v>60201</v>
      </c>
      <c r="M3089" t="s">
        <v>104</v>
      </c>
      <c r="N3089" t="s">
        <v>4205</v>
      </c>
      <c r="O3089" t="s">
        <v>70</v>
      </c>
      <c r="P3089" t="s">
        <v>1204</v>
      </c>
      <c r="Q3089" t="s">
        <v>4206</v>
      </c>
      <c r="R3089">
        <v>1439.9680000000001</v>
      </c>
      <c r="S3089">
        <v>4</v>
      </c>
      <c r="T3089">
        <v>0.2</v>
      </c>
      <c r="U3089">
        <v>485.98919999999998</v>
      </c>
      <c r="V3089" t="str">
        <f t="shared" si="48"/>
        <v>Sarah Brown</v>
      </c>
      <c r="W3089">
        <f>Table2[Profit]/Table2[Sales]</f>
        <v>0.33749999999999997</v>
      </c>
    </row>
    <row r="3090" spans="1:23" x14ac:dyDescent="0.25">
      <c r="A3090">
        <v>3089</v>
      </c>
      <c r="B3090" t="s">
        <v>8532</v>
      </c>
      <c r="C3090" s="1">
        <v>42720</v>
      </c>
      <c r="D3090" s="1">
        <v>42727</v>
      </c>
      <c r="E3090" t="s">
        <v>49</v>
      </c>
      <c r="F3090" t="s">
        <v>110</v>
      </c>
      <c r="G3090" t="s">
        <v>111</v>
      </c>
      <c r="H3090" t="s">
        <v>25</v>
      </c>
      <c r="I3090" t="s">
        <v>26</v>
      </c>
      <c r="J3090" t="s">
        <v>5989</v>
      </c>
      <c r="K3090" t="s">
        <v>42</v>
      </c>
      <c r="L3090">
        <v>92307</v>
      </c>
      <c r="M3090" t="s">
        <v>43</v>
      </c>
      <c r="N3090" t="s">
        <v>3426</v>
      </c>
      <c r="O3090" t="s">
        <v>31</v>
      </c>
      <c r="P3090" t="s">
        <v>35</v>
      </c>
      <c r="Q3090" t="s">
        <v>3427</v>
      </c>
      <c r="R3090">
        <v>563.91999999999996</v>
      </c>
      <c r="S3090">
        <v>5</v>
      </c>
      <c r="T3090">
        <v>0.2</v>
      </c>
      <c r="U3090">
        <v>7.0490000000000004</v>
      </c>
      <c r="V3090" t="str">
        <f t="shared" si="48"/>
        <v>Pete Kriz</v>
      </c>
      <c r="W3090">
        <f>Table2[Profit]/Table2[Sales]</f>
        <v>1.2500000000000002E-2</v>
      </c>
    </row>
    <row r="3091" spans="1:23" x14ac:dyDescent="0.25">
      <c r="A3091">
        <v>3090</v>
      </c>
      <c r="B3091" t="s">
        <v>8533</v>
      </c>
      <c r="C3091" s="1">
        <v>42664</v>
      </c>
      <c r="D3091" s="1">
        <v>42670</v>
      </c>
      <c r="E3091" t="s">
        <v>49</v>
      </c>
      <c r="F3091" t="s">
        <v>5207</v>
      </c>
      <c r="G3091" t="s">
        <v>5208</v>
      </c>
      <c r="H3091" t="s">
        <v>25</v>
      </c>
      <c r="I3091" t="s">
        <v>26</v>
      </c>
      <c r="J3091" t="s">
        <v>490</v>
      </c>
      <c r="K3091" t="s">
        <v>491</v>
      </c>
      <c r="L3091">
        <v>43229</v>
      </c>
      <c r="M3091" t="s">
        <v>145</v>
      </c>
      <c r="N3091" t="s">
        <v>7512</v>
      </c>
      <c r="O3091" t="s">
        <v>70</v>
      </c>
      <c r="P3091" t="s">
        <v>71</v>
      </c>
      <c r="Q3091" t="s">
        <v>7513</v>
      </c>
      <c r="R3091">
        <v>235.15199999999999</v>
      </c>
      <c r="S3091">
        <v>8</v>
      </c>
      <c r="T3091">
        <v>0.4</v>
      </c>
      <c r="U3091">
        <v>-47.0304</v>
      </c>
      <c r="V3091" t="str">
        <f t="shared" si="48"/>
        <v>Susan Vittorini</v>
      </c>
      <c r="W3091">
        <f>Table2[Profit]/Table2[Sales]</f>
        <v>-0.2</v>
      </c>
    </row>
    <row r="3092" spans="1:23" x14ac:dyDescent="0.25">
      <c r="A3092">
        <v>3091</v>
      </c>
      <c r="B3092" t="s">
        <v>8534</v>
      </c>
      <c r="C3092" s="1">
        <v>43070</v>
      </c>
      <c r="D3092" s="1">
        <v>43072</v>
      </c>
      <c r="E3092" t="s">
        <v>185</v>
      </c>
      <c r="F3092" t="s">
        <v>3078</v>
      </c>
      <c r="G3092" t="s">
        <v>3079</v>
      </c>
      <c r="H3092" t="s">
        <v>101</v>
      </c>
      <c r="I3092" t="s">
        <v>26</v>
      </c>
      <c r="J3092" t="s">
        <v>5073</v>
      </c>
      <c r="K3092" t="s">
        <v>491</v>
      </c>
      <c r="L3092">
        <v>43302</v>
      </c>
      <c r="M3092" t="s">
        <v>145</v>
      </c>
      <c r="N3092" t="s">
        <v>2941</v>
      </c>
      <c r="O3092" t="s">
        <v>31</v>
      </c>
      <c r="P3092" t="s">
        <v>64</v>
      </c>
      <c r="Q3092" t="s">
        <v>2942</v>
      </c>
      <c r="R3092">
        <v>7.7119999999999997</v>
      </c>
      <c r="S3092">
        <v>2</v>
      </c>
      <c r="T3092">
        <v>0.2</v>
      </c>
      <c r="U3092">
        <v>1.7352000000000001</v>
      </c>
      <c r="V3092" t="str">
        <f t="shared" si="48"/>
        <v>Matthew Grinstein</v>
      </c>
      <c r="W3092">
        <f>Table2[Profit]/Table2[Sales]</f>
        <v>0.22500000000000001</v>
      </c>
    </row>
    <row r="3093" spans="1:23" x14ac:dyDescent="0.25">
      <c r="A3093">
        <v>3092</v>
      </c>
      <c r="B3093" t="s">
        <v>8535</v>
      </c>
      <c r="C3093" s="1">
        <v>42663</v>
      </c>
      <c r="D3093" s="1">
        <v>42667</v>
      </c>
      <c r="E3093" t="s">
        <v>22</v>
      </c>
      <c r="F3093" t="s">
        <v>2624</v>
      </c>
      <c r="G3093" t="s">
        <v>2625</v>
      </c>
      <c r="H3093" t="s">
        <v>25</v>
      </c>
      <c r="I3093" t="s">
        <v>26</v>
      </c>
      <c r="J3093" t="s">
        <v>181</v>
      </c>
      <c r="K3093" t="s">
        <v>103</v>
      </c>
      <c r="L3093">
        <v>77095</v>
      </c>
      <c r="M3093" t="s">
        <v>104</v>
      </c>
      <c r="N3093" t="s">
        <v>5412</v>
      </c>
      <c r="O3093" t="s">
        <v>45</v>
      </c>
      <c r="P3093" t="s">
        <v>89</v>
      </c>
      <c r="Q3093" t="s">
        <v>5413</v>
      </c>
      <c r="R3093">
        <v>51.015999999999998</v>
      </c>
      <c r="S3093">
        <v>7</v>
      </c>
      <c r="T3093">
        <v>0.2</v>
      </c>
      <c r="U3093">
        <v>15.942500000000001</v>
      </c>
      <c r="V3093" t="str">
        <f t="shared" si="48"/>
        <v>Chuck Magee</v>
      </c>
      <c r="W3093">
        <f>Table2[Profit]/Table2[Sales]</f>
        <v>0.3125</v>
      </c>
    </row>
    <row r="3094" spans="1:23" x14ac:dyDescent="0.25">
      <c r="A3094">
        <v>3093</v>
      </c>
      <c r="B3094" t="s">
        <v>8536</v>
      </c>
      <c r="C3094" s="1">
        <v>43007</v>
      </c>
      <c r="D3094" s="1">
        <v>43011</v>
      </c>
      <c r="E3094" t="s">
        <v>49</v>
      </c>
      <c r="F3094" t="s">
        <v>4571</v>
      </c>
      <c r="G3094" t="s">
        <v>4572</v>
      </c>
      <c r="H3094" t="s">
        <v>40</v>
      </c>
      <c r="I3094" t="s">
        <v>26</v>
      </c>
      <c r="J3094" t="s">
        <v>5073</v>
      </c>
      <c r="K3094" t="s">
        <v>491</v>
      </c>
      <c r="L3094">
        <v>43302</v>
      </c>
      <c r="M3094" t="s">
        <v>145</v>
      </c>
      <c r="N3094" t="s">
        <v>3471</v>
      </c>
      <c r="O3094" t="s">
        <v>45</v>
      </c>
      <c r="P3094" t="s">
        <v>58</v>
      </c>
      <c r="Q3094" t="s">
        <v>3472</v>
      </c>
      <c r="R3094">
        <v>51.167999999999999</v>
      </c>
      <c r="S3094">
        <v>2</v>
      </c>
      <c r="T3094">
        <v>0.2</v>
      </c>
      <c r="U3094">
        <v>-6.3959999999999999</v>
      </c>
      <c r="V3094" t="str">
        <f t="shared" si="48"/>
        <v>Michelle Ellison</v>
      </c>
      <c r="W3094">
        <f>Table2[Profit]/Table2[Sales]</f>
        <v>-0.125</v>
      </c>
    </row>
    <row r="3095" spans="1:23" x14ac:dyDescent="0.25">
      <c r="A3095">
        <v>3094</v>
      </c>
      <c r="B3095" t="s">
        <v>8537</v>
      </c>
      <c r="C3095" s="1">
        <v>42965</v>
      </c>
      <c r="D3095" s="1">
        <v>42972</v>
      </c>
      <c r="E3095" t="s">
        <v>49</v>
      </c>
      <c r="F3095" t="s">
        <v>3725</v>
      </c>
      <c r="G3095" t="s">
        <v>3726</v>
      </c>
      <c r="H3095" t="s">
        <v>40</v>
      </c>
      <c r="I3095" t="s">
        <v>26</v>
      </c>
      <c r="J3095" t="s">
        <v>94</v>
      </c>
      <c r="K3095" t="s">
        <v>95</v>
      </c>
      <c r="L3095">
        <v>98103</v>
      </c>
      <c r="M3095" t="s">
        <v>43</v>
      </c>
      <c r="N3095" t="s">
        <v>2931</v>
      </c>
      <c r="O3095" t="s">
        <v>45</v>
      </c>
      <c r="P3095" t="s">
        <v>74</v>
      </c>
      <c r="Q3095" t="s">
        <v>2932</v>
      </c>
      <c r="R3095">
        <v>2793.5279999999998</v>
      </c>
      <c r="S3095">
        <v>9</v>
      </c>
      <c r="T3095">
        <v>0.2</v>
      </c>
      <c r="U3095">
        <v>942.81569999999999</v>
      </c>
      <c r="V3095" t="str">
        <f t="shared" si="48"/>
        <v>Yana Sorensen</v>
      </c>
      <c r="W3095">
        <f>Table2[Profit]/Table2[Sales]</f>
        <v>0.33750000000000002</v>
      </c>
    </row>
    <row r="3096" spans="1:23" x14ac:dyDescent="0.25">
      <c r="A3096">
        <v>3095</v>
      </c>
      <c r="B3096" t="s">
        <v>8538</v>
      </c>
      <c r="C3096" s="1">
        <v>43051</v>
      </c>
      <c r="D3096" s="1">
        <v>43055</v>
      </c>
      <c r="E3096" t="s">
        <v>22</v>
      </c>
      <c r="F3096" t="s">
        <v>792</v>
      </c>
      <c r="G3096" t="s">
        <v>793</v>
      </c>
      <c r="H3096" t="s">
        <v>25</v>
      </c>
      <c r="I3096" t="s">
        <v>26</v>
      </c>
      <c r="J3096" t="s">
        <v>8539</v>
      </c>
      <c r="K3096" t="s">
        <v>95</v>
      </c>
      <c r="L3096">
        <v>98632</v>
      </c>
      <c r="M3096" t="s">
        <v>43</v>
      </c>
      <c r="N3096" t="s">
        <v>3190</v>
      </c>
      <c r="O3096" t="s">
        <v>45</v>
      </c>
      <c r="P3096" t="s">
        <v>266</v>
      </c>
      <c r="Q3096" t="s">
        <v>556</v>
      </c>
      <c r="R3096">
        <v>18.239999999999998</v>
      </c>
      <c r="S3096">
        <v>3</v>
      </c>
      <c r="T3096">
        <v>0</v>
      </c>
      <c r="U3096">
        <v>9.1199999999999992</v>
      </c>
      <c r="V3096" t="str">
        <f t="shared" si="48"/>
        <v>Maria Bertelson</v>
      </c>
      <c r="W3096">
        <f>Table2[Profit]/Table2[Sales]</f>
        <v>0.5</v>
      </c>
    </row>
    <row r="3097" spans="1:23" x14ac:dyDescent="0.25">
      <c r="A3097">
        <v>3096</v>
      </c>
      <c r="B3097" t="s">
        <v>8540</v>
      </c>
      <c r="C3097" s="1">
        <v>41923</v>
      </c>
      <c r="D3097" s="1">
        <v>41927</v>
      </c>
      <c r="E3097" t="s">
        <v>49</v>
      </c>
      <c r="F3097" t="s">
        <v>1979</v>
      </c>
      <c r="G3097" t="s">
        <v>1980</v>
      </c>
      <c r="H3097" t="s">
        <v>25</v>
      </c>
      <c r="I3097" t="s">
        <v>26</v>
      </c>
      <c r="J3097" t="s">
        <v>5845</v>
      </c>
      <c r="K3097" t="s">
        <v>42</v>
      </c>
      <c r="L3097">
        <v>90278</v>
      </c>
      <c r="M3097" t="s">
        <v>43</v>
      </c>
      <c r="N3097" t="s">
        <v>2258</v>
      </c>
      <c r="O3097" t="s">
        <v>45</v>
      </c>
      <c r="P3097" t="s">
        <v>170</v>
      </c>
      <c r="Q3097" t="s">
        <v>2259</v>
      </c>
      <c r="R3097">
        <v>7.64</v>
      </c>
      <c r="S3097">
        <v>1</v>
      </c>
      <c r="T3097">
        <v>0</v>
      </c>
      <c r="U3097">
        <v>3.7435999999999998</v>
      </c>
      <c r="V3097" t="str">
        <f t="shared" si="48"/>
        <v>Alan Shonely</v>
      </c>
      <c r="W3097">
        <f>Table2[Profit]/Table2[Sales]</f>
        <v>0.49</v>
      </c>
    </row>
    <row r="3098" spans="1:23" x14ac:dyDescent="0.25">
      <c r="A3098">
        <v>3097</v>
      </c>
      <c r="B3098" t="s">
        <v>8541</v>
      </c>
      <c r="C3098" s="1">
        <v>42336</v>
      </c>
      <c r="D3098" s="1">
        <v>42341</v>
      </c>
      <c r="E3098" t="s">
        <v>49</v>
      </c>
      <c r="F3098" t="s">
        <v>3827</v>
      </c>
      <c r="G3098" t="s">
        <v>3828</v>
      </c>
      <c r="H3098" t="s">
        <v>40</v>
      </c>
      <c r="I3098" t="s">
        <v>26</v>
      </c>
      <c r="J3098" t="s">
        <v>263</v>
      </c>
      <c r="K3098" t="s">
        <v>264</v>
      </c>
      <c r="L3098">
        <v>10035</v>
      </c>
      <c r="M3098" t="s">
        <v>145</v>
      </c>
      <c r="N3098" t="s">
        <v>864</v>
      </c>
      <c r="O3098" t="s">
        <v>31</v>
      </c>
      <c r="P3098" t="s">
        <v>64</v>
      </c>
      <c r="Q3098" t="s">
        <v>865</v>
      </c>
      <c r="R3098">
        <v>68.16</v>
      </c>
      <c r="S3098">
        <v>3</v>
      </c>
      <c r="T3098">
        <v>0</v>
      </c>
      <c r="U3098">
        <v>27.945599999999999</v>
      </c>
      <c r="V3098" t="str">
        <f t="shared" si="48"/>
        <v>Mark Cousins</v>
      </c>
      <c r="W3098">
        <f>Table2[Profit]/Table2[Sales]</f>
        <v>0.41000000000000003</v>
      </c>
    </row>
    <row r="3099" spans="1:23" x14ac:dyDescent="0.25">
      <c r="A3099">
        <v>3098</v>
      </c>
      <c r="B3099" t="s">
        <v>8542</v>
      </c>
      <c r="C3099" s="1">
        <v>42212</v>
      </c>
      <c r="D3099" s="1">
        <v>42218</v>
      </c>
      <c r="E3099" t="s">
        <v>49</v>
      </c>
      <c r="F3099" t="s">
        <v>2536</v>
      </c>
      <c r="G3099" t="s">
        <v>2537</v>
      </c>
      <c r="H3099" t="s">
        <v>25</v>
      </c>
      <c r="I3099" t="s">
        <v>26</v>
      </c>
      <c r="J3099" t="s">
        <v>1459</v>
      </c>
      <c r="K3099" t="s">
        <v>28</v>
      </c>
      <c r="L3099">
        <v>40214</v>
      </c>
      <c r="M3099" t="s">
        <v>29</v>
      </c>
      <c r="N3099" t="s">
        <v>4455</v>
      </c>
      <c r="O3099" t="s">
        <v>70</v>
      </c>
      <c r="P3099" t="s">
        <v>71</v>
      </c>
      <c r="Q3099" t="s">
        <v>4456</v>
      </c>
      <c r="R3099">
        <v>29.97</v>
      </c>
      <c r="S3099">
        <v>3</v>
      </c>
      <c r="T3099">
        <v>0</v>
      </c>
      <c r="U3099">
        <v>0.29970000000000002</v>
      </c>
      <c r="V3099" t="str">
        <f t="shared" si="48"/>
        <v>Patrick Gardner</v>
      </c>
      <c r="W3099">
        <f>Table2[Profit]/Table2[Sales]</f>
        <v>1.0000000000000002E-2</v>
      </c>
    </row>
    <row r="3100" spans="1:23" x14ac:dyDescent="0.25">
      <c r="A3100">
        <v>3099</v>
      </c>
      <c r="B3100" t="s">
        <v>8543</v>
      </c>
      <c r="C3100" s="1">
        <v>42663</v>
      </c>
      <c r="D3100" s="1">
        <v>42669</v>
      </c>
      <c r="E3100" t="s">
        <v>49</v>
      </c>
      <c r="F3100" t="s">
        <v>4766</v>
      </c>
      <c r="G3100" t="s">
        <v>4767</v>
      </c>
      <c r="H3100" t="s">
        <v>25</v>
      </c>
      <c r="I3100" t="s">
        <v>26</v>
      </c>
      <c r="J3100" t="s">
        <v>2354</v>
      </c>
      <c r="K3100" t="s">
        <v>235</v>
      </c>
      <c r="L3100">
        <v>48183</v>
      </c>
      <c r="M3100" t="s">
        <v>104</v>
      </c>
      <c r="N3100" t="s">
        <v>3937</v>
      </c>
      <c r="O3100" t="s">
        <v>70</v>
      </c>
      <c r="P3100" t="s">
        <v>71</v>
      </c>
      <c r="Q3100" t="s">
        <v>3938</v>
      </c>
      <c r="R3100">
        <v>125.7</v>
      </c>
      <c r="S3100">
        <v>6</v>
      </c>
      <c r="T3100">
        <v>0</v>
      </c>
      <c r="U3100">
        <v>35.195999999999998</v>
      </c>
      <c r="V3100" t="str">
        <f t="shared" si="48"/>
        <v>Joy Smith</v>
      </c>
      <c r="W3100">
        <f>Table2[Profit]/Table2[Sales]</f>
        <v>0.27999999999999997</v>
      </c>
    </row>
    <row r="3101" spans="1:23" x14ac:dyDescent="0.25">
      <c r="A3101">
        <v>3100</v>
      </c>
      <c r="B3101" t="s">
        <v>8544</v>
      </c>
      <c r="C3101" s="1">
        <v>42992</v>
      </c>
      <c r="D3101" s="1">
        <v>42996</v>
      </c>
      <c r="E3101" t="s">
        <v>22</v>
      </c>
      <c r="F3101" t="s">
        <v>6082</v>
      </c>
      <c r="G3101" t="s">
        <v>6083</v>
      </c>
      <c r="H3101" t="s">
        <v>25</v>
      </c>
      <c r="I3101" t="s">
        <v>26</v>
      </c>
      <c r="J3101" t="s">
        <v>41</v>
      </c>
      <c r="K3101" t="s">
        <v>42</v>
      </c>
      <c r="L3101">
        <v>90045</v>
      </c>
      <c r="M3101" t="s">
        <v>43</v>
      </c>
      <c r="N3101" t="s">
        <v>3496</v>
      </c>
      <c r="O3101" t="s">
        <v>45</v>
      </c>
      <c r="P3101" t="s">
        <v>46</v>
      </c>
      <c r="Q3101" t="s">
        <v>3497</v>
      </c>
      <c r="R3101">
        <v>56.7</v>
      </c>
      <c r="S3101">
        <v>9</v>
      </c>
      <c r="T3101">
        <v>0</v>
      </c>
      <c r="U3101">
        <v>26.082000000000001</v>
      </c>
      <c r="V3101" t="str">
        <f t="shared" si="48"/>
        <v>Joy Bell-</v>
      </c>
      <c r="W3101">
        <f>Table2[Profit]/Table2[Sales]</f>
        <v>0.45999999999999996</v>
      </c>
    </row>
    <row r="3102" spans="1:23" x14ac:dyDescent="0.25">
      <c r="A3102">
        <v>3101</v>
      </c>
      <c r="B3102" t="s">
        <v>8545</v>
      </c>
      <c r="C3102" s="1">
        <v>43092</v>
      </c>
      <c r="D3102" s="1">
        <v>43096</v>
      </c>
      <c r="E3102" t="s">
        <v>49</v>
      </c>
      <c r="F3102" t="s">
        <v>1811</v>
      </c>
      <c r="G3102" t="s">
        <v>1812</v>
      </c>
      <c r="H3102" t="s">
        <v>25</v>
      </c>
      <c r="I3102" t="s">
        <v>26</v>
      </c>
      <c r="J3102" t="s">
        <v>8546</v>
      </c>
      <c r="K3102" t="s">
        <v>328</v>
      </c>
      <c r="L3102">
        <v>37075</v>
      </c>
      <c r="M3102" t="s">
        <v>29</v>
      </c>
      <c r="N3102" t="s">
        <v>864</v>
      </c>
      <c r="O3102" t="s">
        <v>31</v>
      </c>
      <c r="P3102" t="s">
        <v>64</v>
      </c>
      <c r="Q3102" t="s">
        <v>865</v>
      </c>
      <c r="R3102">
        <v>72.703999999999994</v>
      </c>
      <c r="S3102">
        <v>4</v>
      </c>
      <c r="T3102">
        <v>0.2</v>
      </c>
      <c r="U3102">
        <v>19.084800000000001</v>
      </c>
      <c r="V3102" t="str">
        <f t="shared" si="48"/>
        <v>Darren Koutras</v>
      </c>
      <c r="W3102">
        <f>Table2[Profit]/Table2[Sales]</f>
        <v>0.26250000000000007</v>
      </c>
    </row>
    <row r="3103" spans="1:23" x14ac:dyDescent="0.25">
      <c r="A3103">
        <v>3102</v>
      </c>
      <c r="B3103" t="s">
        <v>8547</v>
      </c>
      <c r="C3103" s="1">
        <v>42282</v>
      </c>
      <c r="D3103" s="1">
        <v>42286</v>
      </c>
      <c r="E3103" t="s">
        <v>49</v>
      </c>
      <c r="F3103" t="s">
        <v>1887</v>
      </c>
      <c r="G3103" t="s">
        <v>1888</v>
      </c>
      <c r="H3103" t="s">
        <v>25</v>
      </c>
      <c r="I3103" t="s">
        <v>26</v>
      </c>
      <c r="J3103" t="s">
        <v>412</v>
      </c>
      <c r="K3103" t="s">
        <v>413</v>
      </c>
      <c r="L3103">
        <v>97206</v>
      </c>
      <c r="M3103" t="s">
        <v>43</v>
      </c>
      <c r="N3103" t="s">
        <v>6164</v>
      </c>
      <c r="O3103" t="s">
        <v>31</v>
      </c>
      <c r="P3103" t="s">
        <v>32</v>
      </c>
      <c r="Q3103" t="s">
        <v>6165</v>
      </c>
      <c r="R3103">
        <v>66.293999999999997</v>
      </c>
      <c r="S3103">
        <v>1</v>
      </c>
      <c r="T3103">
        <v>0.7</v>
      </c>
      <c r="U3103">
        <v>-103.86060000000001</v>
      </c>
      <c r="V3103" t="str">
        <f t="shared" si="48"/>
        <v>Jeremy Farry</v>
      </c>
      <c r="W3103">
        <f>Table2[Profit]/Table2[Sales]</f>
        <v>-1.5666666666666669</v>
      </c>
    </row>
    <row r="3104" spans="1:23" x14ac:dyDescent="0.25">
      <c r="A3104">
        <v>3103</v>
      </c>
      <c r="B3104" t="s">
        <v>8548</v>
      </c>
      <c r="C3104" s="1">
        <v>41945</v>
      </c>
      <c r="D3104" s="1">
        <v>41950</v>
      </c>
      <c r="E3104" t="s">
        <v>49</v>
      </c>
      <c r="F3104" t="s">
        <v>1177</v>
      </c>
      <c r="G3104" t="s">
        <v>1178</v>
      </c>
      <c r="H3104" t="s">
        <v>25</v>
      </c>
      <c r="I3104" t="s">
        <v>26</v>
      </c>
      <c r="J3104" t="s">
        <v>3844</v>
      </c>
      <c r="K3104" t="s">
        <v>103</v>
      </c>
      <c r="L3104">
        <v>75061</v>
      </c>
      <c r="M3104" t="s">
        <v>104</v>
      </c>
      <c r="N3104" t="s">
        <v>2633</v>
      </c>
      <c r="O3104" t="s">
        <v>70</v>
      </c>
      <c r="P3104" t="s">
        <v>71</v>
      </c>
      <c r="Q3104" t="s">
        <v>2634</v>
      </c>
      <c r="R3104">
        <v>88.775999999999996</v>
      </c>
      <c r="S3104">
        <v>3</v>
      </c>
      <c r="T3104">
        <v>0.2</v>
      </c>
      <c r="U3104">
        <v>7.7679</v>
      </c>
      <c r="V3104" t="str">
        <f t="shared" si="48"/>
        <v>Patrick O'Brill</v>
      </c>
      <c r="W3104">
        <f>Table2[Profit]/Table2[Sales]</f>
        <v>8.7500000000000008E-2</v>
      </c>
    </row>
    <row r="3105" spans="1:23" x14ac:dyDescent="0.25">
      <c r="A3105">
        <v>3104</v>
      </c>
      <c r="B3105" t="s">
        <v>8549</v>
      </c>
      <c r="C3105" s="1">
        <v>42391</v>
      </c>
      <c r="D3105" s="1">
        <v>42396</v>
      </c>
      <c r="E3105" t="s">
        <v>49</v>
      </c>
      <c r="F3105" t="s">
        <v>3333</v>
      </c>
      <c r="G3105" t="s">
        <v>3334</v>
      </c>
      <c r="H3105" t="s">
        <v>101</v>
      </c>
      <c r="I3105" t="s">
        <v>26</v>
      </c>
      <c r="J3105" t="s">
        <v>2148</v>
      </c>
      <c r="K3105" t="s">
        <v>491</v>
      </c>
      <c r="L3105">
        <v>44105</v>
      </c>
      <c r="M3105" t="s">
        <v>145</v>
      </c>
      <c r="N3105" t="s">
        <v>209</v>
      </c>
      <c r="O3105" t="s">
        <v>70</v>
      </c>
      <c r="P3105" t="s">
        <v>71</v>
      </c>
      <c r="Q3105" t="s">
        <v>210</v>
      </c>
      <c r="R3105">
        <v>110.376</v>
      </c>
      <c r="S3105">
        <v>4</v>
      </c>
      <c r="T3105">
        <v>0.4</v>
      </c>
      <c r="U3105">
        <v>-20.235600000000002</v>
      </c>
      <c r="V3105" t="str">
        <f t="shared" si="48"/>
        <v>Bradley Talbott</v>
      </c>
      <c r="W3105">
        <f>Table2[Profit]/Table2[Sales]</f>
        <v>-0.18333333333333335</v>
      </c>
    </row>
    <row r="3106" spans="1:23" x14ac:dyDescent="0.25">
      <c r="A3106">
        <v>3105</v>
      </c>
      <c r="B3106" t="s">
        <v>8550</v>
      </c>
      <c r="C3106" s="1">
        <v>42927</v>
      </c>
      <c r="D3106" s="1">
        <v>42933</v>
      </c>
      <c r="E3106" t="s">
        <v>49</v>
      </c>
      <c r="F3106" t="s">
        <v>4190</v>
      </c>
      <c r="G3106" t="s">
        <v>4191</v>
      </c>
      <c r="H3106" t="s">
        <v>25</v>
      </c>
      <c r="I3106" t="s">
        <v>26</v>
      </c>
      <c r="J3106" t="s">
        <v>8551</v>
      </c>
      <c r="K3106" t="s">
        <v>482</v>
      </c>
      <c r="L3106">
        <v>50701</v>
      </c>
      <c r="M3106" t="s">
        <v>104</v>
      </c>
      <c r="N3106" t="s">
        <v>2987</v>
      </c>
      <c r="O3106" t="s">
        <v>45</v>
      </c>
      <c r="P3106" t="s">
        <v>67</v>
      </c>
      <c r="Q3106" t="s">
        <v>2988</v>
      </c>
      <c r="R3106">
        <v>30.32</v>
      </c>
      <c r="S3106">
        <v>4</v>
      </c>
      <c r="T3106">
        <v>0</v>
      </c>
      <c r="U3106">
        <v>11.8248</v>
      </c>
      <c r="V3106" t="str">
        <f t="shared" si="48"/>
        <v>Natalie Webber</v>
      </c>
      <c r="W3106">
        <f>Table2[Profit]/Table2[Sales]</f>
        <v>0.39</v>
      </c>
    </row>
    <row r="3107" spans="1:23" x14ac:dyDescent="0.25">
      <c r="A3107">
        <v>3106</v>
      </c>
      <c r="B3107" t="s">
        <v>8552</v>
      </c>
      <c r="C3107" s="1">
        <v>42989</v>
      </c>
      <c r="D3107" s="1">
        <v>42989</v>
      </c>
      <c r="E3107" t="s">
        <v>1278</v>
      </c>
      <c r="F3107" t="s">
        <v>1908</v>
      </c>
      <c r="G3107" t="s">
        <v>1909</v>
      </c>
      <c r="H3107" t="s">
        <v>25</v>
      </c>
      <c r="I3107" t="s">
        <v>26</v>
      </c>
      <c r="J3107" t="s">
        <v>94</v>
      </c>
      <c r="K3107" t="s">
        <v>95</v>
      </c>
      <c r="L3107">
        <v>98105</v>
      </c>
      <c r="M3107" t="s">
        <v>43</v>
      </c>
      <c r="N3107" t="s">
        <v>2450</v>
      </c>
      <c r="O3107" t="s">
        <v>31</v>
      </c>
      <c r="P3107" t="s">
        <v>35</v>
      </c>
      <c r="Q3107" t="s">
        <v>2451</v>
      </c>
      <c r="R3107">
        <v>177.56800000000001</v>
      </c>
      <c r="S3107">
        <v>2</v>
      </c>
      <c r="T3107">
        <v>0.2</v>
      </c>
      <c r="U3107">
        <v>8.8783999999999992</v>
      </c>
      <c r="V3107" t="str">
        <f t="shared" si="48"/>
        <v>Jennifer Ferguson</v>
      </c>
      <c r="W3107">
        <f>Table2[Profit]/Table2[Sales]</f>
        <v>4.9999999999999989E-2</v>
      </c>
    </row>
    <row r="3108" spans="1:23" x14ac:dyDescent="0.25">
      <c r="A3108">
        <v>3107</v>
      </c>
      <c r="B3108" t="s">
        <v>8553</v>
      </c>
      <c r="C3108" s="1">
        <v>42423</v>
      </c>
      <c r="D3108" s="1">
        <v>42427</v>
      </c>
      <c r="E3108" t="s">
        <v>49</v>
      </c>
      <c r="F3108" t="s">
        <v>1209</v>
      </c>
      <c r="G3108" t="s">
        <v>1210</v>
      </c>
      <c r="H3108" t="s">
        <v>40</v>
      </c>
      <c r="I3108" t="s">
        <v>26</v>
      </c>
      <c r="J3108" t="s">
        <v>143</v>
      </c>
      <c r="K3108" t="s">
        <v>144</v>
      </c>
      <c r="L3108">
        <v>19120</v>
      </c>
      <c r="M3108" t="s">
        <v>145</v>
      </c>
      <c r="N3108" t="s">
        <v>1002</v>
      </c>
      <c r="O3108" t="s">
        <v>45</v>
      </c>
      <c r="P3108" t="s">
        <v>170</v>
      </c>
      <c r="Q3108" t="s">
        <v>1003</v>
      </c>
      <c r="R3108">
        <v>57.576000000000001</v>
      </c>
      <c r="S3108">
        <v>3</v>
      </c>
      <c r="T3108">
        <v>0.2</v>
      </c>
      <c r="U3108">
        <v>21.591000000000001</v>
      </c>
      <c r="V3108" t="str">
        <f t="shared" si="48"/>
        <v>Alyssa Crouse</v>
      </c>
      <c r="W3108">
        <f>Table2[Profit]/Table2[Sales]</f>
        <v>0.375</v>
      </c>
    </row>
    <row r="3109" spans="1:23" x14ac:dyDescent="0.25">
      <c r="A3109">
        <v>3108</v>
      </c>
      <c r="B3109" t="s">
        <v>8554</v>
      </c>
      <c r="C3109" s="1">
        <v>42391</v>
      </c>
      <c r="D3109" s="1">
        <v>42398</v>
      </c>
      <c r="E3109" t="s">
        <v>49</v>
      </c>
      <c r="F3109" t="s">
        <v>4196</v>
      </c>
      <c r="G3109" t="s">
        <v>4197</v>
      </c>
      <c r="H3109" t="s">
        <v>25</v>
      </c>
      <c r="I3109" t="s">
        <v>26</v>
      </c>
      <c r="J3109" t="s">
        <v>263</v>
      </c>
      <c r="K3109" t="s">
        <v>264</v>
      </c>
      <c r="L3109">
        <v>10009</v>
      </c>
      <c r="M3109" t="s">
        <v>145</v>
      </c>
      <c r="N3109" t="s">
        <v>5009</v>
      </c>
      <c r="O3109" t="s">
        <v>45</v>
      </c>
      <c r="P3109" t="s">
        <v>74</v>
      </c>
      <c r="Q3109" t="s">
        <v>5010</v>
      </c>
      <c r="R3109">
        <v>26.335999999999999</v>
      </c>
      <c r="S3109">
        <v>4</v>
      </c>
      <c r="T3109">
        <v>0.2</v>
      </c>
      <c r="U3109">
        <v>9.2175999999999991</v>
      </c>
      <c r="V3109" t="str">
        <f t="shared" si="48"/>
        <v>Toby Braunhardt</v>
      </c>
      <c r="W3109">
        <f>Table2[Profit]/Table2[Sales]</f>
        <v>0.35</v>
      </c>
    </row>
    <row r="3110" spans="1:23" x14ac:dyDescent="0.25">
      <c r="A3110">
        <v>3109</v>
      </c>
      <c r="B3110" t="s">
        <v>8555</v>
      </c>
      <c r="C3110" s="1">
        <v>42350</v>
      </c>
      <c r="D3110" s="1">
        <v>42354</v>
      </c>
      <c r="E3110" t="s">
        <v>49</v>
      </c>
      <c r="F3110" t="s">
        <v>3756</v>
      </c>
      <c r="G3110" t="s">
        <v>3757</v>
      </c>
      <c r="H3110" t="s">
        <v>25</v>
      </c>
      <c r="I3110" t="s">
        <v>26</v>
      </c>
      <c r="J3110" t="s">
        <v>622</v>
      </c>
      <c r="K3110" t="s">
        <v>42</v>
      </c>
      <c r="L3110">
        <v>95123</v>
      </c>
      <c r="M3110" t="s">
        <v>43</v>
      </c>
      <c r="N3110" t="s">
        <v>5106</v>
      </c>
      <c r="O3110" t="s">
        <v>31</v>
      </c>
      <c r="P3110" t="s">
        <v>64</v>
      </c>
      <c r="Q3110" t="s">
        <v>5107</v>
      </c>
      <c r="R3110">
        <v>166.5</v>
      </c>
      <c r="S3110">
        <v>3</v>
      </c>
      <c r="T3110">
        <v>0</v>
      </c>
      <c r="U3110">
        <v>21.645</v>
      </c>
      <c r="V3110" t="str">
        <f t="shared" si="48"/>
        <v>Helen Abelman</v>
      </c>
      <c r="W3110">
        <f>Table2[Profit]/Table2[Sales]</f>
        <v>0.13</v>
      </c>
    </row>
    <row r="3111" spans="1:23" x14ac:dyDescent="0.25">
      <c r="A3111">
        <v>3110</v>
      </c>
      <c r="B3111" t="s">
        <v>8556</v>
      </c>
      <c r="C3111" s="1">
        <v>42672</v>
      </c>
      <c r="D3111" s="1">
        <v>42675</v>
      </c>
      <c r="E3111" t="s">
        <v>22</v>
      </c>
      <c r="F3111" t="s">
        <v>934</v>
      </c>
      <c r="G3111" t="s">
        <v>935</v>
      </c>
      <c r="H3111" t="s">
        <v>25</v>
      </c>
      <c r="I3111" t="s">
        <v>26</v>
      </c>
      <c r="J3111" t="s">
        <v>41</v>
      </c>
      <c r="K3111" t="s">
        <v>42</v>
      </c>
      <c r="L3111">
        <v>90008</v>
      </c>
      <c r="M3111" t="s">
        <v>43</v>
      </c>
      <c r="N3111" t="s">
        <v>3452</v>
      </c>
      <c r="O3111" t="s">
        <v>45</v>
      </c>
      <c r="P3111" t="s">
        <v>74</v>
      </c>
      <c r="Q3111" t="s">
        <v>3453</v>
      </c>
      <c r="R3111">
        <v>11.744</v>
      </c>
      <c r="S3111">
        <v>1</v>
      </c>
      <c r="T3111">
        <v>0.2</v>
      </c>
      <c r="U3111">
        <v>3.8168000000000002</v>
      </c>
      <c r="V3111" t="str">
        <f t="shared" si="48"/>
        <v>Logan Haushalter</v>
      </c>
      <c r="W3111">
        <f>Table2[Profit]/Table2[Sales]</f>
        <v>0.32500000000000001</v>
      </c>
    </row>
    <row r="3112" spans="1:23" x14ac:dyDescent="0.25">
      <c r="A3112">
        <v>3111</v>
      </c>
      <c r="B3112" t="s">
        <v>8557</v>
      </c>
      <c r="C3112" s="1">
        <v>42883</v>
      </c>
      <c r="D3112" s="1">
        <v>42886</v>
      </c>
      <c r="E3112" t="s">
        <v>22</v>
      </c>
      <c r="F3112" t="s">
        <v>5508</v>
      </c>
      <c r="G3112" t="s">
        <v>5509</v>
      </c>
      <c r="H3112" t="s">
        <v>40</v>
      </c>
      <c r="I3112" t="s">
        <v>26</v>
      </c>
      <c r="J3112" t="s">
        <v>86</v>
      </c>
      <c r="K3112" t="s">
        <v>2658</v>
      </c>
      <c r="L3112">
        <v>3301</v>
      </c>
      <c r="M3112" t="s">
        <v>145</v>
      </c>
      <c r="N3112" t="s">
        <v>5862</v>
      </c>
      <c r="O3112" t="s">
        <v>31</v>
      </c>
      <c r="P3112" t="s">
        <v>64</v>
      </c>
      <c r="Q3112" t="s">
        <v>5863</v>
      </c>
      <c r="R3112">
        <v>247.44</v>
      </c>
      <c r="S3112">
        <v>8</v>
      </c>
      <c r="T3112">
        <v>0</v>
      </c>
      <c r="U3112">
        <v>101.4504</v>
      </c>
      <c r="V3112" t="str">
        <f t="shared" si="48"/>
        <v>Lori Olson</v>
      </c>
      <c r="W3112">
        <f>Table2[Profit]/Table2[Sales]</f>
        <v>0.41000000000000003</v>
      </c>
    </row>
    <row r="3113" spans="1:23" x14ac:dyDescent="0.25">
      <c r="A3113">
        <v>3112</v>
      </c>
      <c r="B3113" t="s">
        <v>8558</v>
      </c>
      <c r="C3113" s="1">
        <v>41994</v>
      </c>
      <c r="D3113" s="1">
        <v>42001</v>
      </c>
      <c r="E3113" t="s">
        <v>49</v>
      </c>
      <c r="F3113" t="s">
        <v>4121</v>
      </c>
      <c r="G3113" t="s">
        <v>4122</v>
      </c>
      <c r="H3113" t="s">
        <v>101</v>
      </c>
      <c r="I3113" t="s">
        <v>26</v>
      </c>
      <c r="J3113" t="s">
        <v>375</v>
      </c>
      <c r="K3113" t="s">
        <v>328</v>
      </c>
      <c r="L3113">
        <v>38401</v>
      </c>
      <c r="M3113" t="s">
        <v>29</v>
      </c>
      <c r="N3113" t="s">
        <v>3835</v>
      </c>
      <c r="O3113" t="s">
        <v>45</v>
      </c>
      <c r="P3113" t="s">
        <v>74</v>
      </c>
      <c r="Q3113" t="s">
        <v>3836</v>
      </c>
      <c r="R3113">
        <v>18.239999999999998</v>
      </c>
      <c r="S3113">
        <v>2</v>
      </c>
      <c r="T3113">
        <v>0.7</v>
      </c>
      <c r="U3113">
        <v>-14.592000000000001</v>
      </c>
      <c r="V3113" t="str">
        <f t="shared" si="48"/>
        <v>Dennis Pardue</v>
      </c>
      <c r="W3113">
        <f>Table2[Profit]/Table2[Sales]</f>
        <v>-0.8</v>
      </c>
    </row>
    <row r="3114" spans="1:23" x14ac:dyDescent="0.25">
      <c r="A3114">
        <v>3113</v>
      </c>
      <c r="B3114" t="s">
        <v>8559</v>
      </c>
      <c r="C3114" s="1">
        <v>42698</v>
      </c>
      <c r="D3114" s="1">
        <v>42702</v>
      </c>
      <c r="E3114" t="s">
        <v>49</v>
      </c>
      <c r="F3114" t="s">
        <v>5364</v>
      </c>
      <c r="G3114" t="s">
        <v>5365</v>
      </c>
      <c r="H3114" t="s">
        <v>101</v>
      </c>
      <c r="I3114" t="s">
        <v>26</v>
      </c>
      <c r="J3114" t="s">
        <v>4036</v>
      </c>
      <c r="K3114" t="s">
        <v>95</v>
      </c>
      <c r="L3114">
        <v>98006</v>
      </c>
      <c r="M3114" t="s">
        <v>43</v>
      </c>
      <c r="N3114" t="s">
        <v>6673</v>
      </c>
      <c r="O3114" t="s">
        <v>45</v>
      </c>
      <c r="P3114" t="s">
        <v>572</v>
      </c>
      <c r="Q3114" t="s">
        <v>6674</v>
      </c>
      <c r="R3114">
        <v>25.35</v>
      </c>
      <c r="S3114">
        <v>3</v>
      </c>
      <c r="T3114">
        <v>0</v>
      </c>
      <c r="U3114">
        <v>7.6050000000000004</v>
      </c>
      <c r="V3114" t="str">
        <f t="shared" si="48"/>
        <v>Clay Rozendal</v>
      </c>
      <c r="W3114">
        <f>Table2[Profit]/Table2[Sales]</f>
        <v>0.3</v>
      </c>
    </row>
    <row r="3115" spans="1:23" x14ac:dyDescent="0.25">
      <c r="A3115">
        <v>3114</v>
      </c>
      <c r="B3115" t="s">
        <v>8560</v>
      </c>
      <c r="C3115" s="1">
        <v>42328</v>
      </c>
      <c r="D3115" s="1">
        <v>42333</v>
      </c>
      <c r="E3115" t="s">
        <v>49</v>
      </c>
      <c r="F3115" t="s">
        <v>6146</v>
      </c>
      <c r="G3115" t="s">
        <v>6147</v>
      </c>
      <c r="H3115" t="s">
        <v>101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4573</v>
      </c>
      <c r="O3115" t="s">
        <v>45</v>
      </c>
      <c r="P3115" t="s">
        <v>67</v>
      </c>
      <c r="Q3115" t="s">
        <v>4574</v>
      </c>
      <c r="R3115">
        <v>119.04</v>
      </c>
      <c r="S3115">
        <v>6</v>
      </c>
      <c r="T3115">
        <v>0</v>
      </c>
      <c r="U3115">
        <v>30.950399999999998</v>
      </c>
      <c r="V3115" t="str">
        <f t="shared" si="48"/>
        <v>Katrina Bavinger</v>
      </c>
      <c r="W3115">
        <f>Table2[Profit]/Table2[Sales]</f>
        <v>0.25999999999999995</v>
      </c>
    </row>
    <row r="3116" spans="1:23" x14ac:dyDescent="0.25">
      <c r="A3116">
        <v>3115</v>
      </c>
      <c r="B3116" t="s">
        <v>8561</v>
      </c>
      <c r="C3116" s="1">
        <v>42884</v>
      </c>
      <c r="D3116" s="1">
        <v>42890</v>
      </c>
      <c r="E3116" t="s">
        <v>49</v>
      </c>
      <c r="F3116" t="s">
        <v>5050</v>
      </c>
      <c r="G3116" t="s">
        <v>5051</v>
      </c>
      <c r="H3116" t="s">
        <v>25</v>
      </c>
      <c r="I3116" t="s">
        <v>26</v>
      </c>
      <c r="J3116" t="s">
        <v>490</v>
      </c>
      <c r="K3116" t="s">
        <v>251</v>
      </c>
      <c r="L3116">
        <v>47201</v>
      </c>
      <c r="M3116" t="s">
        <v>104</v>
      </c>
      <c r="N3116" t="s">
        <v>5264</v>
      </c>
      <c r="O3116" t="s">
        <v>45</v>
      </c>
      <c r="P3116" t="s">
        <v>74</v>
      </c>
      <c r="Q3116" t="s">
        <v>5265</v>
      </c>
      <c r="R3116">
        <v>43.41</v>
      </c>
      <c r="S3116">
        <v>1</v>
      </c>
      <c r="T3116">
        <v>0</v>
      </c>
      <c r="U3116">
        <v>19.968599999999999</v>
      </c>
      <c r="V3116" t="str">
        <f t="shared" si="48"/>
        <v>Maris LaWare</v>
      </c>
      <c r="W3116">
        <f>Table2[Profit]/Table2[Sales]</f>
        <v>0.46</v>
      </c>
    </row>
    <row r="3117" spans="1:23" x14ac:dyDescent="0.25">
      <c r="A3117">
        <v>3116</v>
      </c>
      <c r="B3117" t="s">
        <v>8564</v>
      </c>
      <c r="C3117" s="1">
        <v>41975</v>
      </c>
      <c r="D3117" s="1">
        <v>41977</v>
      </c>
      <c r="E3117" t="s">
        <v>185</v>
      </c>
      <c r="F3117" t="s">
        <v>3573</v>
      </c>
      <c r="G3117" t="s">
        <v>3574</v>
      </c>
      <c r="H3117" t="s">
        <v>25</v>
      </c>
      <c r="I3117" t="s">
        <v>26</v>
      </c>
      <c r="J3117" t="s">
        <v>296</v>
      </c>
      <c r="K3117" t="s">
        <v>208</v>
      </c>
      <c r="L3117">
        <v>60623</v>
      </c>
      <c r="M3117" t="s">
        <v>104</v>
      </c>
      <c r="N3117" t="s">
        <v>1415</v>
      </c>
      <c r="O3117" t="s">
        <v>45</v>
      </c>
      <c r="P3117" t="s">
        <v>77</v>
      </c>
      <c r="Q3117" t="s">
        <v>1416</v>
      </c>
      <c r="R3117">
        <v>2.3940000000000001</v>
      </c>
      <c r="S3117">
        <v>1</v>
      </c>
      <c r="T3117">
        <v>0.8</v>
      </c>
      <c r="U3117">
        <v>-6.3441000000000001</v>
      </c>
      <c r="V3117" t="str">
        <f t="shared" si="48"/>
        <v>Matt Collins</v>
      </c>
      <c r="W3117">
        <f>Table2[Profit]/Table2[Sales]</f>
        <v>-2.65</v>
      </c>
    </row>
    <row r="3118" spans="1:23" x14ac:dyDescent="0.25">
      <c r="A3118">
        <v>3117</v>
      </c>
      <c r="B3118" t="s">
        <v>8565</v>
      </c>
      <c r="C3118" s="1">
        <v>41736</v>
      </c>
      <c r="D3118" s="1">
        <v>41736</v>
      </c>
      <c r="E3118" t="s">
        <v>1278</v>
      </c>
      <c r="F3118" t="s">
        <v>778</v>
      </c>
      <c r="G3118" t="s">
        <v>779</v>
      </c>
      <c r="H3118" t="s">
        <v>101</v>
      </c>
      <c r="I3118" t="s">
        <v>26</v>
      </c>
      <c r="J3118" t="s">
        <v>7594</v>
      </c>
      <c r="K3118" t="s">
        <v>1260</v>
      </c>
      <c r="L3118">
        <v>30062</v>
      </c>
      <c r="M3118" t="s">
        <v>29</v>
      </c>
      <c r="N3118" t="s">
        <v>1872</v>
      </c>
      <c r="O3118" t="s">
        <v>45</v>
      </c>
      <c r="P3118" t="s">
        <v>89</v>
      </c>
      <c r="Q3118" t="s">
        <v>1873</v>
      </c>
      <c r="R3118">
        <v>58.32</v>
      </c>
      <c r="S3118">
        <v>9</v>
      </c>
      <c r="T3118">
        <v>0</v>
      </c>
      <c r="U3118">
        <v>27.993600000000001</v>
      </c>
      <c r="V3118" t="str">
        <f t="shared" si="48"/>
        <v>Valerie Mitchum</v>
      </c>
      <c r="W3118">
        <f>Table2[Profit]/Table2[Sales]</f>
        <v>0.48</v>
      </c>
    </row>
    <row r="3119" spans="1:23" x14ac:dyDescent="0.25">
      <c r="A3119">
        <v>3118</v>
      </c>
      <c r="B3119" t="s">
        <v>8566</v>
      </c>
      <c r="C3119" s="1">
        <v>42255</v>
      </c>
      <c r="D3119" s="1">
        <v>42261</v>
      </c>
      <c r="E3119" t="s">
        <v>49</v>
      </c>
      <c r="F3119" t="s">
        <v>840</v>
      </c>
      <c r="G3119" t="s">
        <v>841</v>
      </c>
      <c r="H3119" t="s">
        <v>40</v>
      </c>
      <c r="I3119" t="s">
        <v>26</v>
      </c>
      <c r="J3119" t="s">
        <v>1793</v>
      </c>
      <c r="K3119" t="s">
        <v>351</v>
      </c>
      <c r="L3119">
        <v>36116</v>
      </c>
      <c r="M3119" t="s">
        <v>29</v>
      </c>
      <c r="N3119" t="s">
        <v>6670</v>
      </c>
      <c r="O3119" t="s">
        <v>31</v>
      </c>
      <c r="P3119" t="s">
        <v>64</v>
      </c>
      <c r="Q3119" t="s">
        <v>6671</v>
      </c>
      <c r="R3119">
        <v>21.36</v>
      </c>
      <c r="S3119">
        <v>8</v>
      </c>
      <c r="T3119">
        <v>0</v>
      </c>
      <c r="U3119">
        <v>8.1167999999999996</v>
      </c>
      <c r="V3119" t="str">
        <f t="shared" si="48"/>
        <v>Victoria Wilson</v>
      </c>
      <c r="W3119">
        <f>Table2[Profit]/Table2[Sales]</f>
        <v>0.38</v>
      </c>
    </row>
    <row r="3120" spans="1:23" x14ac:dyDescent="0.25">
      <c r="A3120">
        <v>3119</v>
      </c>
      <c r="B3120" t="s">
        <v>8567</v>
      </c>
      <c r="C3120" s="1">
        <v>42987</v>
      </c>
      <c r="D3120" s="1">
        <v>42993</v>
      </c>
      <c r="E3120" t="s">
        <v>49</v>
      </c>
      <c r="F3120" t="s">
        <v>1165</v>
      </c>
      <c r="G3120" t="s">
        <v>1166</v>
      </c>
      <c r="H3120" t="s">
        <v>40</v>
      </c>
      <c r="I3120" t="s">
        <v>26</v>
      </c>
      <c r="J3120" t="s">
        <v>4260</v>
      </c>
      <c r="K3120" t="s">
        <v>103</v>
      </c>
      <c r="L3120">
        <v>75023</v>
      </c>
      <c r="M3120" t="s">
        <v>104</v>
      </c>
      <c r="N3120" t="s">
        <v>385</v>
      </c>
      <c r="O3120" t="s">
        <v>45</v>
      </c>
      <c r="P3120" t="s">
        <v>46</v>
      </c>
      <c r="Q3120" t="s">
        <v>386</v>
      </c>
      <c r="R3120">
        <v>9.8559999999999999</v>
      </c>
      <c r="S3120">
        <v>4</v>
      </c>
      <c r="T3120">
        <v>0.2</v>
      </c>
      <c r="U3120">
        <v>3.4496000000000002</v>
      </c>
      <c r="V3120" t="str">
        <f t="shared" si="48"/>
        <v>Grace Kelly</v>
      </c>
      <c r="W3120">
        <f>Table2[Profit]/Table2[Sales]</f>
        <v>0.35000000000000003</v>
      </c>
    </row>
    <row r="3121" spans="1:23" x14ac:dyDescent="0.25">
      <c r="A3121">
        <v>3120</v>
      </c>
      <c r="B3121" t="s">
        <v>8568</v>
      </c>
      <c r="C3121" s="1">
        <v>42253</v>
      </c>
      <c r="D3121" s="1">
        <v>42255</v>
      </c>
      <c r="E3121" t="s">
        <v>22</v>
      </c>
      <c r="F3121" t="s">
        <v>3306</v>
      </c>
      <c r="G3121" t="s">
        <v>3307</v>
      </c>
      <c r="H3121" t="s">
        <v>101</v>
      </c>
      <c r="I3121" t="s">
        <v>26</v>
      </c>
      <c r="J3121" t="s">
        <v>1054</v>
      </c>
      <c r="K3121" t="s">
        <v>53</v>
      </c>
      <c r="L3121">
        <v>33319</v>
      </c>
      <c r="M3121" t="s">
        <v>29</v>
      </c>
      <c r="N3121" t="s">
        <v>5806</v>
      </c>
      <c r="O3121" t="s">
        <v>45</v>
      </c>
      <c r="P3121" t="s">
        <v>74</v>
      </c>
      <c r="Q3121" t="s">
        <v>5807</v>
      </c>
      <c r="R3121">
        <v>3.444</v>
      </c>
      <c r="S3121">
        <v>1</v>
      </c>
      <c r="T3121">
        <v>0.7</v>
      </c>
      <c r="U3121">
        <v>-2.5255999999999998</v>
      </c>
      <c r="V3121" t="str">
        <f t="shared" si="48"/>
        <v>Alyssa Tate</v>
      </c>
      <c r="W3121">
        <f>Table2[Profit]/Table2[Sales]</f>
        <v>-0.73333333333333328</v>
      </c>
    </row>
    <row r="3122" spans="1:23" x14ac:dyDescent="0.25">
      <c r="A3122">
        <v>3121</v>
      </c>
      <c r="B3122" t="s">
        <v>8569</v>
      </c>
      <c r="C3122" s="1">
        <v>43041</v>
      </c>
      <c r="D3122" s="1">
        <v>43045</v>
      </c>
      <c r="E3122" t="s">
        <v>22</v>
      </c>
      <c r="F3122" t="s">
        <v>2110</v>
      </c>
      <c r="G3122" t="s">
        <v>2111</v>
      </c>
      <c r="H3122" t="s">
        <v>40</v>
      </c>
      <c r="I3122" t="s">
        <v>26</v>
      </c>
      <c r="J3122" t="s">
        <v>490</v>
      </c>
      <c r="K3122" t="s">
        <v>491</v>
      </c>
      <c r="L3122">
        <v>43229</v>
      </c>
      <c r="M3122" t="s">
        <v>145</v>
      </c>
      <c r="N3122" t="s">
        <v>1057</v>
      </c>
      <c r="O3122" t="s">
        <v>45</v>
      </c>
      <c r="P3122" t="s">
        <v>572</v>
      </c>
      <c r="Q3122" t="s">
        <v>1058</v>
      </c>
      <c r="R3122">
        <v>384.59199999999998</v>
      </c>
      <c r="S3122">
        <v>2</v>
      </c>
      <c r="T3122">
        <v>0.2</v>
      </c>
      <c r="U3122">
        <v>-81.725800000000007</v>
      </c>
      <c r="V3122" t="str">
        <f t="shared" si="48"/>
        <v>Anthony Rawles</v>
      </c>
      <c r="W3122">
        <f>Table2[Profit]/Table2[Sales]</f>
        <v>-0.21250000000000002</v>
      </c>
    </row>
    <row r="3123" spans="1:23" x14ac:dyDescent="0.25">
      <c r="A3123">
        <v>3122</v>
      </c>
      <c r="B3123" t="s">
        <v>8570</v>
      </c>
      <c r="C3123" s="1">
        <v>42091</v>
      </c>
      <c r="D3123" s="1">
        <v>42093</v>
      </c>
      <c r="E3123" t="s">
        <v>22</v>
      </c>
      <c r="F3123" t="s">
        <v>5002</v>
      </c>
      <c r="G3123" t="s">
        <v>5003</v>
      </c>
      <c r="H3123" t="s">
        <v>25</v>
      </c>
      <c r="I3123" t="s">
        <v>26</v>
      </c>
      <c r="J3123" t="s">
        <v>263</v>
      </c>
      <c r="K3123" t="s">
        <v>264</v>
      </c>
      <c r="L3123">
        <v>10009</v>
      </c>
      <c r="M3123" t="s">
        <v>145</v>
      </c>
      <c r="N3123" t="s">
        <v>2545</v>
      </c>
      <c r="O3123" t="s">
        <v>45</v>
      </c>
      <c r="P3123" t="s">
        <v>170</v>
      </c>
      <c r="Q3123" t="s">
        <v>2546</v>
      </c>
      <c r="R3123">
        <v>22.92</v>
      </c>
      <c r="S3123">
        <v>3</v>
      </c>
      <c r="T3123">
        <v>0</v>
      </c>
      <c r="U3123">
        <v>11.2308</v>
      </c>
      <c r="V3123" t="str">
        <f t="shared" si="48"/>
        <v>John Huston</v>
      </c>
      <c r="W3123">
        <f>Table2[Profit]/Table2[Sales]</f>
        <v>0.49</v>
      </c>
    </row>
    <row r="3124" spans="1:23" x14ac:dyDescent="0.25">
      <c r="A3124">
        <v>3123</v>
      </c>
      <c r="B3124" t="s">
        <v>8571</v>
      </c>
      <c r="C3124" s="1">
        <v>42229</v>
      </c>
      <c r="D3124" s="1">
        <v>42233</v>
      </c>
      <c r="E3124" t="s">
        <v>22</v>
      </c>
      <c r="F3124" t="s">
        <v>2198</v>
      </c>
      <c r="G3124" t="s">
        <v>2199</v>
      </c>
      <c r="H3124" t="s">
        <v>25</v>
      </c>
      <c r="I3124" t="s">
        <v>26</v>
      </c>
      <c r="J3124" t="s">
        <v>1450</v>
      </c>
      <c r="K3124" t="s">
        <v>251</v>
      </c>
      <c r="L3124">
        <v>47374</v>
      </c>
      <c r="M3124" t="s">
        <v>104</v>
      </c>
      <c r="N3124" t="s">
        <v>3070</v>
      </c>
      <c r="O3124" t="s">
        <v>45</v>
      </c>
      <c r="P3124" t="s">
        <v>74</v>
      </c>
      <c r="Q3124" t="s">
        <v>3071</v>
      </c>
      <c r="R3124">
        <v>11.36</v>
      </c>
      <c r="S3124">
        <v>4</v>
      </c>
      <c r="T3124">
        <v>0</v>
      </c>
      <c r="U3124">
        <v>5.5663999999999998</v>
      </c>
      <c r="V3124" t="str">
        <f t="shared" si="48"/>
        <v>Ralph Arnett</v>
      </c>
      <c r="W3124">
        <f>Table2[Profit]/Table2[Sales]</f>
        <v>0.49</v>
      </c>
    </row>
    <row r="3125" spans="1:23" x14ac:dyDescent="0.25">
      <c r="A3125">
        <v>3124</v>
      </c>
      <c r="B3125" t="s">
        <v>8572</v>
      </c>
      <c r="C3125" s="1">
        <v>42136</v>
      </c>
      <c r="D3125" s="1">
        <v>42142</v>
      </c>
      <c r="E3125" t="s">
        <v>49</v>
      </c>
      <c r="F3125" t="s">
        <v>1675</v>
      </c>
      <c r="G3125" t="s">
        <v>1676</v>
      </c>
      <c r="H3125" t="s">
        <v>25</v>
      </c>
      <c r="I3125" t="s">
        <v>26</v>
      </c>
      <c r="J3125" t="s">
        <v>94</v>
      </c>
      <c r="K3125" t="s">
        <v>95</v>
      </c>
      <c r="L3125">
        <v>98115</v>
      </c>
      <c r="M3125" t="s">
        <v>43</v>
      </c>
      <c r="N3125" t="s">
        <v>2008</v>
      </c>
      <c r="O3125" t="s">
        <v>45</v>
      </c>
      <c r="P3125" t="s">
        <v>74</v>
      </c>
      <c r="Q3125" t="s">
        <v>2009</v>
      </c>
      <c r="R3125">
        <v>14.592000000000001</v>
      </c>
      <c r="S3125">
        <v>3</v>
      </c>
      <c r="T3125">
        <v>0.2</v>
      </c>
      <c r="U3125">
        <v>4.9248000000000003</v>
      </c>
      <c r="V3125" t="str">
        <f t="shared" si="48"/>
        <v>Rose O'Brian</v>
      </c>
      <c r="W3125">
        <f>Table2[Profit]/Table2[Sales]</f>
        <v>0.33750000000000002</v>
      </c>
    </row>
    <row r="3126" spans="1:23" x14ac:dyDescent="0.25">
      <c r="A3126">
        <v>3125</v>
      </c>
      <c r="B3126" t="s">
        <v>8573</v>
      </c>
      <c r="C3126" s="1">
        <v>42939</v>
      </c>
      <c r="D3126" s="1">
        <v>42943</v>
      </c>
      <c r="E3126" t="s">
        <v>49</v>
      </c>
      <c r="F3126" t="s">
        <v>7739</v>
      </c>
      <c r="G3126" t="s">
        <v>7740</v>
      </c>
      <c r="H3126" t="s">
        <v>40</v>
      </c>
      <c r="I3126" t="s">
        <v>26</v>
      </c>
      <c r="J3126" t="s">
        <v>1161</v>
      </c>
      <c r="K3126" t="s">
        <v>264</v>
      </c>
      <c r="L3126">
        <v>11561</v>
      </c>
      <c r="M3126" t="s">
        <v>145</v>
      </c>
      <c r="N3126" t="s">
        <v>1263</v>
      </c>
      <c r="O3126" t="s">
        <v>45</v>
      </c>
      <c r="P3126" t="s">
        <v>46</v>
      </c>
      <c r="Q3126" t="s">
        <v>1264</v>
      </c>
      <c r="R3126">
        <v>41.4</v>
      </c>
      <c r="S3126">
        <v>4</v>
      </c>
      <c r="T3126">
        <v>0</v>
      </c>
      <c r="U3126">
        <v>19.872</v>
      </c>
      <c r="V3126" t="str">
        <f t="shared" si="48"/>
        <v>Lisa Ryan</v>
      </c>
      <c r="W3126">
        <f>Table2[Profit]/Table2[Sales]</f>
        <v>0.48000000000000004</v>
      </c>
    </row>
    <row r="3127" spans="1:23" x14ac:dyDescent="0.25">
      <c r="A3127">
        <v>3126</v>
      </c>
      <c r="B3127" t="s">
        <v>8574</v>
      </c>
      <c r="C3127" s="1">
        <v>42637</v>
      </c>
      <c r="D3127" s="1">
        <v>42639</v>
      </c>
      <c r="E3127" t="s">
        <v>185</v>
      </c>
      <c r="F3127" t="s">
        <v>1279</v>
      </c>
      <c r="G3127" t="s">
        <v>1280</v>
      </c>
      <c r="H3127" t="s">
        <v>40</v>
      </c>
      <c r="I3127" t="s">
        <v>26</v>
      </c>
      <c r="J3127" t="s">
        <v>3049</v>
      </c>
      <c r="K3127" t="s">
        <v>208</v>
      </c>
      <c r="L3127">
        <v>61107</v>
      </c>
      <c r="M3127" t="s">
        <v>104</v>
      </c>
      <c r="N3127" t="s">
        <v>1497</v>
      </c>
      <c r="O3127" t="s">
        <v>45</v>
      </c>
      <c r="P3127" t="s">
        <v>74</v>
      </c>
      <c r="Q3127" t="s">
        <v>1498</v>
      </c>
      <c r="R3127">
        <v>442.37200000000001</v>
      </c>
      <c r="S3127">
        <v>7</v>
      </c>
      <c r="T3127">
        <v>0.8</v>
      </c>
      <c r="U3127">
        <v>-729.91380000000004</v>
      </c>
      <c r="V3127" t="str">
        <f t="shared" si="48"/>
        <v>Michael Kennedy</v>
      </c>
      <c r="W3127">
        <f>Table2[Profit]/Table2[Sales]</f>
        <v>-1.6500000000000001</v>
      </c>
    </row>
    <row r="3128" spans="1:23" x14ac:dyDescent="0.25">
      <c r="A3128">
        <v>3127</v>
      </c>
      <c r="B3128" t="s">
        <v>8575</v>
      </c>
      <c r="C3128" s="1">
        <v>42860</v>
      </c>
      <c r="D3128" s="1">
        <v>42865</v>
      </c>
      <c r="E3128" t="s">
        <v>49</v>
      </c>
      <c r="F3128" t="s">
        <v>3725</v>
      </c>
      <c r="G3128" t="s">
        <v>3726</v>
      </c>
      <c r="H3128" t="s">
        <v>40</v>
      </c>
      <c r="I3128" t="s">
        <v>26</v>
      </c>
      <c r="J3128" t="s">
        <v>490</v>
      </c>
      <c r="K3128" t="s">
        <v>1260</v>
      </c>
      <c r="L3128">
        <v>31907</v>
      </c>
      <c r="M3128" t="s">
        <v>29</v>
      </c>
      <c r="N3128" t="s">
        <v>3951</v>
      </c>
      <c r="O3128" t="s">
        <v>45</v>
      </c>
      <c r="P3128" t="s">
        <v>74</v>
      </c>
      <c r="Q3128" t="s">
        <v>3952</v>
      </c>
      <c r="R3128">
        <v>34.5</v>
      </c>
      <c r="S3128">
        <v>3</v>
      </c>
      <c r="T3128">
        <v>0</v>
      </c>
      <c r="U3128">
        <v>15.525</v>
      </c>
      <c r="V3128" t="str">
        <f t="shared" si="48"/>
        <v>Yana Sorensen</v>
      </c>
      <c r="W3128">
        <f>Table2[Profit]/Table2[Sales]</f>
        <v>0.45</v>
      </c>
    </row>
    <row r="3129" spans="1:23" x14ac:dyDescent="0.25">
      <c r="A3129">
        <v>3128</v>
      </c>
      <c r="B3129" t="s">
        <v>8576</v>
      </c>
      <c r="C3129" s="1">
        <v>42649</v>
      </c>
      <c r="D3129" s="1">
        <v>42649</v>
      </c>
      <c r="E3129" t="s">
        <v>1278</v>
      </c>
      <c r="F3129" t="s">
        <v>852</v>
      </c>
      <c r="G3129" t="s">
        <v>853</v>
      </c>
      <c r="H3129" t="s">
        <v>25</v>
      </c>
      <c r="I3129" t="s">
        <v>26</v>
      </c>
      <c r="J3129" t="s">
        <v>4454</v>
      </c>
      <c r="K3129" t="s">
        <v>641</v>
      </c>
      <c r="L3129">
        <v>74133</v>
      </c>
      <c r="M3129" t="s">
        <v>104</v>
      </c>
      <c r="N3129" t="s">
        <v>318</v>
      </c>
      <c r="O3129" t="s">
        <v>45</v>
      </c>
      <c r="P3129" t="s">
        <v>74</v>
      </c>
      <c r="Q3129" t="s">
        <v>319</v>
      </c>
      <c r="R3129">
        <v>28.85</v>
      </c>
      <c r="S3129">
        <v>5</v>
      </c>
      <c r="T3129">
        <v>0</v>
      </c>
      <c r="U3129">
        <v>14.425000000000001</v>
      </c>
      <c r="V3129" t="str">
        <f t="shared" si="48"/>
        <v>Jonathan Howell</v>
      </c>
      <c r="W3129">
        <f>Table2[Profit]/Table2[Sales]</f>
        <v>0.5</v>
      </c>
    </row>
    <row r="3130" spans="1:23" x14ac:dyDescent="0.25">
      <c r="A3130">
        <v>3129</v>
      </c>
      <c r="B3130" t="s">
        <v>8577</v>
      </c>
      <c r="C3130" s="1">
        <v>41946</v>
      </c>
      <c r="D3130" s="1">
        <v>41951</v>
      </c>
      <c r="E3130" t="s">
        <v>49</v>
      </c>
      <c r="F3130" t="s">
        <v>2042</v>
      </c>
      <c r="G3130" t="s">
        <v>2043</v>
      </c>
      <c r="H3130" t="s">
        <v>25</v>
      </c>
      <c r="I3130" t="s">
        <v>26</v>
      </c>
      <c r="J3130" t="s">
        <v>5545</v>
      </c>
      <c r="K3130" t="s">
        <v>328</v>
      </c>
      <c r="L3130">
        <v>37211</v>
      </c>
      <c r="M3130" t="s">
        <v>29</v>
      </c>
      <c r="N3130" t="s">
        <v>3204</v>
      </c>
      <c r="O3130" t="s">
        <v>45</v>
      </c>
      <c r="P3130" t="s">
        <v>89</v>
      </c>
      <c r="Q3130" t="s">
        <v>3205</v>
      </c>
      <c r="R3130">
        <v>3.488</v>
      </c>
      <c r="S3130">
        <v>2</v>
      </c>
      <c r="T3130">
        <v>0.2</v>
      </c>
      <c r="U3130">
        <v>1.1772</v>
      </c>
      <c r="V3130" t="str">
        <f t="shared" si="48"/>
        <v>Annie Thurman</v>
      </c>
      <c r="W3130">
        <f>Table2[Profit]/Table2[Sales]</f>
        <v>0.33750000000000002</v>
      </c>
    </row>
    <row r="3131" spans="1:23" x14ac:dyDescent="0.25">
      <c r="A3131">
        <v>3130</v>
      </c>
      <c r="B3131" t="s">
        <v>8578</v>
      </c>
      <c r="C3131" s="1">
        <v>42278</v>
      </c>
      <c r="D3131" s="1">
        <v>42281</v>
      </c>
      <c r="E3131" t="s">
        <v>22</v>
      </c>
      <c r="F3131" t="s">
        <v>726</v>
      </c>
      <c r="G3131" t="s">
        <v>727</v>
      </c>
      <c r="H3131" t="s">
        <v>101</v>
      </c>
      <c r="I3131" t="s">
        <v>26</v>
      </c>
      <c r="J3131" t="s">
        <v>8579</v>
      </c>
      <c r="K3131" t="s">
        <v>1233</v>
      </c>
      <c r="L3131">
        <v>2138</v>
      </c>
      <c r="M3131" t="s">
        <v>145</v>
      </c>
      <c r="N3131" t="s">
        <v>1894</v>
      </c>
      <c r="O3131" t="s">
        <v>70</v>
      </c>
      <c r="P3131" t="s">
        <v>71</v>
      </c>
      <c r="Q3131" t="s">
        <v>1895</v>
      </c>
      <c r="R3131">
        <v>311.98</v>
      </c>
      <c r="S3131">
        <v>2</v>
      </c>
      <c r="T3131">
        <v>0</v>
      </c>
      <c r="U3131">
        <v>93.593999999999994</v>
      </c>
      <c r="V3131" t="str">
        <f t="shared" si="48"/>
        <v>Robert Marley</v>
      </c>
      <c r="W3131">
        <f>Table2[Profit]/Table2[Sales]</f>
        <v>0.3</v>
      </c>
    </row>
    <row r="3132" spans="1:23" x14ac:dyDescent="0.25">
      <c r="A3132">
        <v>3131</v>
      </c>
      <c r="B3132" t="s">
        <v>8580</v>
      </c>
      <c r="C3132" s="1">
        <v>43071</v>
      </c>
      <c r="D3132" s="1">
        <v>43075</v>
      </c>
      <c r="E3132" t="s">
        <v>49</v>
      </c>
      <c r="F3132" t="s">
        <v>1516</v>
      </c>
      <c r="G3132" t="s">
        <v>1517</v>
      </c>
      <c r="H3132" t="s">
        <v>40</v>
      </c>
      <c r="I3132" t="s">
        <v>26</v>
      </c>
      <c r="J3132" t="s">
        <v>3145</v>
      </c>
      <c r="K3132" t="s">
        <v>42</v>
      </c>
      <c r="L3132">
        <v>94601</v>
      </c>
      <c r="M3132" t="s">
        <v>43</v>
      </c>
      <c r="N3132" t="s">
        <v>609</v>
      </c>
      <c r="O3132" t="s">
        <v>70</v>
      </c>
      <c r="P3132" t="s">
        <v>71</v>
      </c>
      <c r="Q3132" t="s">
        <v>610</v>
      </c>
      <c r="R3132">
        <v>39.991999999999997</v>
      </c>
      <c r="S3132">
        <v>1</v>
      </c>
      <c r="T3132">
        <v>0.2</v>
      </c>
      <c r="U3132">
        <v>-7.9984000000000002</v>
      </c>
      <c r="V3132" t="str">
        <f t="shared" si="48"/>
        <v>Brenda Bowman</v>
      </c>
      <c r="W3132">
        <f>Table2[Profit]/Table2[Sales]</f>
        <v>-0.2</v>
      </c>
    </row>
    <row r="3133" spans="1:23" x14ac:dyDescent="0.25">
      <c r="A3133">
        <v>3132</v>
      </c>
      <c r="B3133" t="s">
        <v>8581</v>
      </c>
      <c r="C3133" s="1">
        <v>43080</v>
      </c>
      <c r="D3133" s="1">
        <v>43081</v>
      </c>
      <c r="E3133" t="s">
        <v>185</v>
      </c>
      <c r="F3133" t="s">
        <v>1327</v>
      </c>
      <c r="G3133" t="s">
        <v>1328</v>
      </c>
      <c r="H3133" t="s">
        <v>40</v>
      </c>
      <c r="I3133" t="s">
        <v>26</v>
      </c>
      <c r="J3133" t="s">
        <v>8582</v>
      </c>
      <c r="K3133" t="s">
        <v>208</v>
      </c>
      <c r="L3133">
        <v>60067</v>
      </c>
      <c r="M3133" t="s">
        <v>104</v>
      </c>
      <c r="N3133" t="s">
        <v>4694</v>
      </c>
      <c r="O3133" t="s">
        <v>70</v>
      </c>
      <c r="P3133" t="s">
        <v>158</v>
      </c>
      <c r="Q3133" t="s">
        <v>4695</v>
      </c>
      <c r="R3133">
        <v>116.312</v>
      </c>
      <c r="S3133">
        <v>7</v>
      </c>
      <c r="T3133">
        <v>0.2</v>
      </c>
      <c r="U3133">
        <v>23.2624</v>
      </c>
      <c r="V3133" t="str">
        <f t="shared" si="48"/>
        <v>Alejandro Savely</v>
      </c>
      <c r="W3133">
        <f>Table2[Profit]/Table2[Sales]</f>
        <v>0.2</v>
      </c>
    </row>
    <row r="3134" spans="1:23" x14ac:dyDescent="0.25">
      <c r="A3134">
        <v>3133</v>
      </c>
      <c r="B3134" t="s">
        <v>8583</v>
      </c>
      <c r="C3134" s="1">
        <v>42568</v>
      </c>
      <c r="D3134" s="1">
        <v>42573</v>
      </c>
      <c r="E3134" t="s">
        <v>22</v>
      </c>
      <c r="F3134" t="s">
        <v>5071</v>
      </c>
      <c r="G3134" t="s">
        <v>5072</v>
      </c>
      <c r="H3134" t="s">
        <v>25</v>
      </c>
      <c r="I3134" t="s">
        <v>26</v>
      </c>
      <c r="J3134" t="s">
        <v>94</v>
      </c>
      <c r="K3134" t="s">
        <v>95</v>
      </c>
      <c r="L3134">
        <v>98105</v>
      </c>
      <c r="M3134" t="s">
        <v>43</v>
      </c>
      <c r="N3134" t="s">
        <v>5570</v>
      </c>
      <c r="O3134" t="s">
        <v>31</v>
      </c>
      <c r="P3134" t="s">
        <v>64</v>
      </c>
      <c r="Q3134" t="s">
        <v>5571</v>
      </c>
      <c r="R3134">
        <v>12.42</v>
      </c>
      <c r="S3134">
        <v>3</v>
      </c>
      <c r="T3134">
        <v>0</v>
      </c>
      <c r="U3134">
        <v>4.4711999999999996</v>
      </c>
      <c r="V3134" t="str">
        <f t="shared" si="48"/>
        <v>Dennis Kane</v>
      </c>
      <c r="W3134">
        <f>Table2[Profit]/Table2[Sales]</f>
        <v>0.36</v>
      </c>
    </row>
    <row r="3135" spans="1:23" x14ac:dyDescent="0.25">
      <c r="A3135">
        <v>3134</v>
      </c>
      <c r="B3135" t="s">
        <v>8584</v>
      </c>
      <c r="C3135" s="1">
        <v>42867</v>
      </c>
      <c r="D3135" s="1">
        <v>42871</v>
      </c>
      <c r="E3135" t="s">
        <v>49</v>
      </c>
      <c r="F3135" t="s">
        <v>852</v>
      </c>
      <c r="G3135" t="s">
        <v>853</v>
      </c>
      <c r="H3135" t="s">
        <v>25</v>
      </c>
      <c r="I3135" t="s">
        <v>26</v>
      </c>
      <c r="J3135" t="s">
        <v>999</v>
      </c>
      <c r="K3135" t="s">
        <v>491</v>
      </c>
      <c r="L3135">
        <v>45231</v>
      </c>
      <c r="M3135" t="s">
        <v>145</v>
      </c>
      <c r="N3135" t="s">
        <v>4468</v>
      </c>
      <c r="O3135" t="s">
        <v>45</v>
      </c>
      <c r="P3135" t="s">
        <v>46</v>
      </c>
      <c r="Q3135" t="s">
        <v>4469</v>
      </c>
      <c r="R3135">
        <v>5.9039999999999999</v>
      </c>
      <c r="S3135">
        <v>2</v>
      </c>
      <c r="T3135">
        <v>0.2</v>
      </c>
      <c r="U3135">
        <v>1.9925999999999999</v>
      </c>
      <c r="V3135" t="str">
        <f t="shared" si="48"/>
        <v>Jonathan Howell</v>
      </c>
      <c r="W3135">
        <f>Table2[Profit]/Table2[Sales]</f>
        <v>0.33749999999999997</v>
      </c>
    </row>
    <row r="3136" spans="1:23" x14ac:dyDescent="0.25">
      <c r="A3136">
        <v>3135</v>
      </c>
      <c r="B3136" t="s">
        <v>8585</v>
      </c>
      <c r="C3136" s="1">
        <v>42328</v>
      </c>
      <c r="D3136" s="1">
        <v>42334</v>
      </c>
      <c r="E3136" t="s">
        <v>49</v>
      </c>
      <c r="F3136" t="s">
        <v>4309</v>
      </c>
      <c r="G3136" t="s">
        <v>4310</v>
      </c>
      <c r="H3136" t="s">
        <v>25</v>
      </c>
      <c r="I3136" t="s">
        <v>26</v>
      </c>
      <c r="J3136" t="s">
        <v>5073</v>
      </c>
      <c r="K3136" t="s">
        <v>491</v>
      </c>
      <c r="L3136">
        <v>43302</v>
      </c>
      <c r="M3136" t="s">
        <v>145</v>
      </c>
      <c r="N3136" t="s">
        <v>8586</v>
      </c>
      <c r="O3136" t="s">
        <v>31</v>
      </c>
      <c r="P3136" t="s">
        <v>64</v>
      </c>
      <c r="Q3136" t="s">
        <v>8587</v>
      </c>
      <c r="R3136">
        <v>63.823999999999998</v>
      </c>
      <c r="S3136">
        <v>2</v>
      </c>
      <c r="T3136">
        <v>0.2</v>
      </c>
      <c r="U3136">
        <v>9.5736000000000008</v>
      </c>
      <c r="V3136" t="str">
        <f t="shared" si="48"/>
        <v>Jamie Kunitz</v>
      </c>
      <c r="W3136">
        <f>Table2[Profit]/Table2[Sales]</f>
        <v>0.15000000000000002</v>
      </c>
    </row>
    <row r="3137" spans="1:23" x14ac:dyDescent="0.25">
      <c r="A3137">
        <v>3136</v>
      </c>
      <c r="B3137" t="s">
        <v>8588</v>
      </c>
      <c r="C3137" s="1">
        <v>42637</v>
      </c>
      <c r="D3137" s="1">
        <v>42641</v>
      </c>
      <c r="E3137" t="s">
        <v>49</v>
      </c>
      <c r="F3137" t="s">
        <v>4664</v>
      </c>
      <c r="G3137" t="s">
        <v>4665</v>
      </c>
      <c r="H3137" t="s">
        <v>40</v>
      </c>
      <c r="I3137" t="s">
        <v>26</v>
      </c>
      <c r="J3137" t="s">
        <v>41</v>
      </c>
      <c r="K3137" t="s">
        <v>42</v>
      </c>
      <c r="L3137">
        <v>90049</v>
      </c>
      <c r="M3137" t="s">
        <v>43</v>
      </c>
      <c r="N3137" t="s">
        <v>7566</v>
      </c>
      <c r="O3137" t="s">
        <v>45</v>
      </c>
      <c r="P3137" t="s">
        <v>170</v>
      </c>
      <c r="Q3137" t="s">
        <v>7567</v>
      </c>
      <c r="R3137">
        <v>304.89999999999998</v>
      </c>
      <c r="S3137">
        <v>5</v>
      </c>
      <c r="T3137">
        <v>0</v>
      </c>
      <c r="U3137">
        <v>143.303</v>
      </c>
      <c r="V3137" t="str">
        <f t="shared" si="48"/>
        <v>Edward Hooks</v>
      </c>
      <c r="W3137">
        <f>Table2[Profit]/Table2[Sales]</f>
        <v>0.47000000000000003</v>
      </c>
    </row>
    <row r="3138" spans="1:23" x14ac:dyDescent="0.25">
      <c r="A3138">
        <v>3137</v>
      </c>
      <c r="B3138" t="s">
        <v>8589</v>
      </c>
      <c r="C3138" s="1">
        <v>42664</v>
      </c>
      <c r="D3138" s="1">
        <v>42669</v>
      </c>
      <c r="E3138" t="s">
        <v>49</v>
      </c>
      <c r="F3138" t="s">
        <v>840</v>
      </c>
      <c r="G3138" t="s">
        <v>841</v>
      </c>
      <c r="H3138" t="s">
        <v>40</v>
      </c>
      <c r="I3138" t="s">
        <v>26</v>
      </c>
      <c r="J3138" t="s">
        <v>1111</v>
      </c>
      <c r="K3138" t="s">
        <v>491</v>
      </c>
      <c r="L3138">
        <v>44107</v>
      </c>
      <c r="M3138" t="s">
        <v>145</v>
      </c>
      <c r="N3138" t="s">
        <v>4964</v>
      </c>
      <c r="O3138" t="s">
        <v>31</v>
      </c>
      <c r="P3138" t="s">
        <v>55</v>
      </c>
      <c r="Q3138" t="s">
        <v>4965</v>
      </c>
      <c r="R3138">
        <v>661.17600000000004</v>
      </c>
      <c r="S3138">
        <v>2</v>
      </c>
      <c r="T3138">
        <v>0.4</v>
      </c>
      <c r="U3138">
        <v>-231.41159999999999</v>
      </c>
      <c r="V3138" t="str">
        <f t="shared" si="48"/>
        <v>Victoria Wilson</v>
      </c>
      <c r="W3138">
        <f>Table2[Profit]/Table2[Sales]</f>
        <v>-0.35</v>
      </c>
    </row>
    <row r="3139" spans="1:23" x14ac:dyDescent="0.25">
      <c r="A3139">
        <v>3138</v>
      </c>
      <c r="B3139" t="s">
        <v>8590</v>
      </c>
      <c r="C3139" s="1">
        <v>42667</v>
      </c>
      <c r="D3139" s="1">
        <v>42674</v>
      </c>
      <c r="E3139" t="s">
        <v>49</v>
      </c>
      <c r="F3139" t="s">
        <v>2806</v>
      </c>
      <c r="G3139" t="s">
        <v>2807</v>
      </c>
      <c r="H3139" t="s">
        <v>101</v>
      </c>
      <c r="I3139" t="s">
        <v>26</v>
      </c>
      <c r="J3139" t="s">
        <v>8488</v>
      </c>
      <c r="K3139" t="s">
        <v>328</v>
      </c>
      <c r="L3139">
        <v>37087</v>
      </c>
      <c r="M3139" t="s">
        <v>29</v>
      </c>
      <c r="N3139" t="s">
        <v>3208</v>
      </c>
      <c r="O3139" t="s">
        <v>70</v>
      </c>
      <c r="P3139" t="s">
        <v>71</v>
      </c>
      <c r="Q3139" t="s">
        <v>3209</v>
      </c>
      <c r="R3139">
        <v>239.976</v>
      </c>
      <c r="S3139">
        <v>3</v>
      </c>
      <c r="T3139">
        <v>0.2</v>
      </c>
      <c r="U3139">
        <v>17.998200000000001</v>
      </c>
      <c r="V3139" t="str">
        <f t="shared" ref="V3139:V3202" si="49">TRIM(G3139)</f>
        <v>Catherine Glotzbach</v>
      </c>
      <c r="W3139">
        <f>Table2[Profit]/Table2[Sales]</f>
        <v>7.4999999999999997E-2</v>
      </c>
    </row>
    <row r="3140" spans="1:23" x14ac:dyDescent="0.25">
      <c r="A3140">
        <v>3139</v>
      </c>
      <c r="B3140" t="s">
        <v>8591</v>
      </c>
      <c r="C3140" s="1">
        <v>41828</v>
      </c>
      <c r="D3140" s="1">
        <v>41832</v>
      </c>
      <c r="E3140" t="s">
        <v>49</v>
      </c>
      <c r="F3140" t="s">
        <v>1552</v>
      </c>
      <c r="G3140" t="s">
        <v>1553</v>
      </c>
      <c r="H3140" t="s">
        <v>40</v>
      </c>
      <c r="I3140" t="s">
        <v>26</v>
      </c>
      <c r="J3140" t="s">
        <v>126</v>
      </c>
      <c r="K3140" t="s">
        <v>42</v>
      </c>
      <c r="L3140">
        <v>94122</v>
      </c>
      <c r="M3140" t="s">
        <v>43</v>
      </c>
      <c r="N3140" t="s">
        <v>3942</v>
      </c>
      <c r="O3140" t="s">
        <v>31</v>
      </c>
      <c r="P3140" t="s">
        <v>55</v>
      </c>
      <c r="Q3140" t="s">
        <v>3943</v>
      </c>
      <c r="R3140">
        <v>502.488</v>
      </c>
      <c r="S3140">
        <v>3</v>
      </c>
      <c r="T3140">
        <v>0.2</v>
      </c>
      <c r="U3140">
        <v>-87.935400000000001</v>
      </c>
      <c r="V3140" t="str">
        <f t="shared" si="49"/>
        <v>Ed Braxton</v>
      </c>
      <c r="W3140">
        <f>Table2[Profit]/Table2[Sales]</f>
        <v>-0.17500000000000002</v>
      </c>
    </row>
    <row r="3141" spans="1:23" x14ac:dyDescent="0.25">
      <c r="A3141">
        <v>3140</v>
      </c>
      <c r="B3141" t="s">
        <v>8592</v>
      </c>
      <c r="C3141" s="1">
        <v>42076</v>
      </c>
      <c r="D3141" s="1">
        <v>42081</v>
      </c>
      <c r="E3141" t="s">
        <v>22</v>
      </c>
      <c r="F3141" t="s">
        <v>3064</v>
      </c>
      <c r="G3141" t="s">
        <v>3065</v>
      </c>
      <c r="H3141" t="s">
        <v>101</v>
      </c>
      <c r="I3141" t="s">
        <v>26</v>
      </c>
      <c r="J3141" t="s">
        <v>8281</v>
      </c>
      <c r="K3141" t="s">
        <v>42</v>
      </c>
      <c r="L3141">
        <v>95928</v>
      </c>
      <c r="M3141" t="s">
        <v>43</v>
      </c>
      <c r="N3141" t="s">
        <v>526</v>
      </c>
      <c r="O3141" t="s">
        <v>31</v>
      </c>
      <c r="P3141" t="s">
        <v>35</v>
      </c>
      <c r="Q3141" t="s">
        <v>527</v>
      </c>
      <c r="R3141">
        <v>915.13599999999997</v>
      </c>
      <c r="S3141">
        <v>4</v>
      </c>
      <c r="T3141">
        <v>0.2</v>
      </c>
      <c r="U3141">
        <v>102.9528</v>
      </c>
      <c r="V3141" t="str">
        <f t="shared" si="49"/>
        <v>Nicole Fjeld</v>
      </c>
      <c r="W3141">
        <f>Table2[Profit]/Table2[Sales]</f>
        <v>0.1125</v>
      </c>
    </row>
    <row r="3142" spans="1:23" x14ac:dyDescent="0.25">
      <c r="A3142">
        <v>3141</v>
      </c>
      <c r="B3142" t="s">
        <v>8593</v>
      </c>
      <c r="C3142" s="1">
        <v>43071</v>
      </c>
      <c r="D3142" s="1">
        <v>43074</v>
      </c>
      <c r="E3142" t="s">
        <v>185</v>
      </c>
      <c r="F3142" t="s">
        <v>2068</v>
      </c>
      <c r="G3142" t="s">
        <v>2069</v>
      </c>
      <c r="H3142" t="s">
        <v>25</v>
      </c>
      <c r="I3142" t="s">
        <v>26</v>
      </c>
      <c r="J3142" t="s">
        <v>1948</v>
      </c>
      <c r="K3142" t="s">
        <v>312</v>
      </c>
      <c r="L3142">
        <v>24153</v>
      </c>
      <c r="M3142" t="s">
        <v>29</v>
      </c>
      <c r="N3142" t="s">
        <v>4427</v>
      </c>
      <c r="O3142" t="s">
        <v>31</v>
      </c>
      <c r="P3142" t="s">
        <v>35</v>
      </c>
      <c r="Q3142" t="s">
        <v>4428</v>
      </c>
      <c r="R3142">
        <v>701.96</v>
      </c>
      <c r="S3142">
        <v>2</v>
      </c>
      <c r="T3142">
        <v>0</v>
      </c>
      <c r="U3142">
        <v>168.47040000000001</v>
      </c>
      <c r="V3142" t="str">
        <f t="shared" si="49"/>
        <v>Max Engle</v>
      </c>
      <c r="W3142">
        <f>Table2[Profit]/Table2[Sales]</f>
        <v>0.24</v>
      </c>
    </row>
    <row r="3143" spans="1:23" x14ac:dyDescent="0.25">
      <c r="A3143">
        <v>3142</v>
      </c>
      <c r="B3143" t="s">
        <v>8594</v>
      </c>
      <c r="C3143" s="1">
        <v>42116</v>
      </c>
      <c r="D3143" s="1">
        <v>42120</v>
      </c>
      <c r="E3143" t="s">
        <v>49</v>
      </c>
      <c r="F3143" t="s">
        <v>5378</v>
      </c>
      <c r="G3143" t="s">
        <v>5379</v>
      </c>
      <c r="H3143" t="s">
        <v>25</v>
      </c>
      <c r="I3143" t="s">
        <v>26</v>
      </c>
      <c r="J3143" t="s">
        <v>41</v>
      </c>
      <c r="K3143" t="s">
        <v>42</v>
      </c>
      <c r="L3143">
        <v>90008</v>
      </c>
      <c r="M3143" t="s">
        <v>43</v>
      </c>
      <c r="N3143" t="s">
        <v>2633</v>
      </c>
      <c r="O3143" t="s">
        <v>70</v>
      </c>
      <c r="P3143" t="s">
        <v>71</v>
      </c>
      <c r="Q3143" t="s">
        <v>2634</v>
      </c>
      <c r="R3143">
        <v>88.775999999999996</v>
      </c>
      <c r="S3143">
        <v>3</v>
      </c>
      <c r="T3143">
        <v>0.2</v>
      </c>
      <c r="U3143">
        <v>7.7679</v>
      </c>
      <c r="V3143" t="str">
        <f t="shared" si="49"/>
        <v>Annie Zypern</v>
      </c>
      <c r="W3143">
        <f>Table2[Profit]/Table2[Sales]</f>
        <v>8.7500000000000008E-2</v>
      </c>
    </row>
    <row r="3144" spans="1:23" x14ac:dyDescent="0.25">
      <c r="A3144">
        <v>3143</v>
      </c>
      <c r="B3144" t="s">
        <v>8595</v>
      </c>
      <c r="C3144" s="1">
        <v>41898</v>
      </c>
      <c r="D3144" s="1">
        <v>41901</v>
      </c>
      <c r="E3144" t="s">
        <v>185</v>
      </c>
      <c r="F3144" t="s">
        <v>4941</v>
      </c>
      <c r="G3144" t="s">
        <v>4942</v>
      </c>
      <c r="H3144" t="s">
        <v>40</v>
      </c>
      <c r="I3144" t="s">
        <v>26</v>
      </c>
      <c r="J3144" t="s">
        <v>263</v>
      </c>
      <c r="K3144" t="s">
        <v>264</v>
      </c>
      <c r="L3144">
        <v>10024</v>
      </c>
      <c r="M3144" t="s">
        <v>145</v>
      </c>
      <c r="N3144" t="s">
        <v>2834</v>
      </c>
      <c r="O3144" t="s">
        <v>45</v>
      </c>
      <c r="P3144" t="s">
        <v>74</v>
      </c>
      <c r="Q3144" t="s">
        <v>2835</v>
      </c>
      <c r="R3144">
        <v>33.552</v>
      </c>
      <c r="S3144">
        <v>1</v>
      </c>
      <c r="T3144">
        <v>0.2</v>
      </c>
      <c r="U3144">
        <v>12.582000000000001</v>
      </c>
      <c r="V3144" t="str">
        <f t="shared" si="49"/>
        <v>Randy Ferguson</v>
      </c>
      <c r="W3144">
        <f>Table2[Profit]/Table2[Sales]</f>
        <v>0.375</v>
      </c>
    </row>
    <row r="3145" spans="1:23" x14ac:dyDescent="0.25">
      <c r="A3145">
        <v>3144</v>
      </c>
      <c r="B3145" t="s">
        <v>8596</v>
      </c>
      <c r="C3145" s="1">
        <v>42001</v>
      </c>
      <c r="D3145" s="1">
        <v>42005</v>
      </c>
      <c r="E3145" t="s">
        <v>49</v>
      </c>
      <c r="F3145" t="s">
        <v>2636</v>
      </c>
      <c r="G3145" t="s">
        <v>2637</v>
      </c>
      <c r="H3145" t="s">
        <v>40</v>
      </c>
      <c r="I3145" t="s">
        <v>26</v>
      </c>
      <c r="J3145" t="s">
        <v>8597</v>
      </c>
      <c r="K3145" t="s">
        <v>1233</v>
      </c>
      <c r="L3145">
        <v>1915</v>
      </c>
      <c r="M3145" t="s">
        <v>145</v>
      </c>
      <c r="N3145" t="s">
        <v>5496</v>
      </c>
      <c r="O3145" t="s">
        <v>45</v>
      </c>
      <c r="P3145" t="s">
        <v>77</v>
      </c>
      <c r="Q3145" t="s">
        <v>5497</v>
      </c>
      <c r="R3145">
        <v>1737.18</v>
      </c>
      <c r="S3145">
        <v>6</v>
      </c>
      <c r="T3145">
        <v>0</v>
      </c>
      <c r="U3145">
        <v>503.78219999999999</v>
      </c>
      <c r="V3145" t="str">
        <f t="shared" si="49"/>
        <v>Anthony Jacobs</v>
      </c>
      <c r="W3145">
        <f>Table2[Profit]/Table2[Sales]</f>
        <v>0.28999999999999998</v>
      </c>
    </row>
    <row r="3146" spans="1:23" x14ac:dyDescent="0.25">
      <c r="A3146">
        <v>3145</v>
      </c>
      <c r="B3146" t="s">
        <v>8598</v>
      </c>
      <c r="C3146" s="1">
        <v>41933</v>
      </c>
      <c r="D3146" s="1">
        <v>41938</v>
      </c>
      <c r="E3146" t="s">
        <v>49</v>
      </c>
      <c r="F3146" t="s">
        <v>2027</v>
      </c>
      <c r="G3146" t="s">
        <v>2028</v>
      </c>
      <c r="H3146" t="s">
        <v>40</v>
      </c>
      <c r="I3146" t="s">
        <v>26</v>
      </c>
      <c r="J3146" t="s">
        <v>941</v>
      </c>
      <c r="K3146" t="s">
        <v>42</v>
      </c>
      <c r="L3146">
        <v>92024</v>
      </c>
      <c r="M3146" t="s">
        <v>43</v>
      </c>
      <c r="N3146" t="s">
        <v>278</v>
      </c>
      <c r="O3146" t="s">
        <v>45</v>
      </c>
      <c r="P3146" t="s">
        <v>74</v>
      </c>
      <c r="Q3146" t="s">
        <v>279</v>
      </c>
      <c r="R3146">
        <v>36.36</v>
      </c>
      <c r="S3146">
        <v>3</v>
      </c>
      <c r="T3146">
        <v>0.2</v>
      </c>
      <c r="U3146">
        <v>12.2715</v>
      </c>
      <c r="V3146" t="str">
        <f t="shared" si="49"/>
        <v>Sylvia Foulston</v>
      </c>
      <c r="W3146">
        <f>Table2[Profit]/Table2[Sales]</f>
        <v>0.33750000000000002</v>
      </c>
    </row>
    <row r="3147" spans="1:23" x14ac:dyDescent="0.25">
      <c r="A3147">
        <v>3146</v>
      </c>
      <c r="B3147" t="s">
        <v>8599</v>
      </c>
      <c r="C3147" s="1">
        <v>43069</v>
      </c>
      <c r="D3147" s="1">
        <v>43072</v>
      </c>
      <c r="E3147" t="s">
        <v>185</v>
      </c>
      <c r="F3147" t="s">
        <v>5134</v>
      </c>
      <c r="G3147" t="s">
        <v>5135</v>
      </c>
      <c r="H3147" t="s">
        <v>101</v>
      </c>
      <c r="I3147" t="s">
        <v>26</v>
      </c>
      <c r="J3147" t="s">
        <v>126</v>
      </c>
      <c r="K3147" t="s">
        <v>42</v>
      </c>
      <c r="L3147">
        <v>94109</v>
      </c>
      <c r="M3147" t="s">
        <v>43</v>
      </c>
      <c r="N3147" t="s">
        <v>8600</v>
      </c>
      <c r="O3147" t="s">
        <v>31</v>
      </c>
      <c r="P3147" t="s">
        <v>64</v>
      </c>
      <c r="Q3147" t="s">
        <v>8601</v>
      </c>
      <c r="R3147">
        <v>25.83</v>
      </c>
      <c r="S3147">
        <v>3</v>
      </c>
      <c r="T3147">
        <v>0</v>
      </c>
      <c r="U3147">
        <v>9.5571000000000002</v>
      </c>
      <c r="V3147" t="str">
        <f t="shared" si="49"/>
        <v>Maria Zettner</v>
      </c>
      <c r="W3147">
        <f>Table2[Profit]/Table2[Sales]</f>
        <v>0.37000000000000005</v>
      </c>
    </row>
    <row r="3148" spans="1:23" x14ac:dyDescent="0.25">
      <c r="A3148">
        <v>3147</v>
      </c>
      <c r="B3148" t="s">
        <v>8602</v>
      </c>
      <c r="C3148" s="1">
        <v>41796</v>
      </c>
      <c r="D3148" s="1">
        <v>41802</v>
      </c>
      <c r="E3148" t="s">
        <v>49</v>
      </c>
      <c r="F3148" t="s">
        <v>5639</v>
      </c>
      <c r="G3148" t="s">
        <v>5640</v>
      </c>
      <c r="H3148" t="s">
        <v>25</v>
      </c>
      <c r="I3148" t="s">
        <v>26</v>
      </c>
      <c r="J3148" t="s">
        <v>296</v>
      </c>
      <c r="K3148" t="s">
        <v>208</v>
      </c>
      <c r="L3148">
        <v>60623</v>
      </c>
      <c r="M3148" t="s">
        <v>104</v>
      </c>
      <c r="N3148" t="s">
        <v>455</v>
      </c>
      <c r="O3148" t="s">
        <v>45</v>
      </c>
      <c r="P3148" t="s">
        <v>74</v>
      </c>
      <c r="Q3148" t="s">
        <v>456</v>
      </c>
      <c r="R3148">
        <v>24.588000000000001</v>
      </c>
      <c r="S3148">
        <v>3</v>
      </c>
      <c r="T3148">
        <v>0.8</v>
      </c>
      <c r="U3148">
        <v>-38.111400000000003</v>
      </c>
      <c r="V3148" t="str">
        <f t="shared" si="49"/>
        <v>Sarah Bern</v>
      </c>
      <c r="W3148">
        <f>Table2[Profit]/Table2[Sales]</f>
        <v>-1.55</v>
      </c>
    </row>
    <row r="3149" spans="1:23" x14ac:dyDescent="0.25">
      <c r="A3149">
        <v>3148</v>
      </c>
      <c r="B3149" t="s">
        <v>8603</v>
      </c>
      <c r="C3149" s="1">
        <v>43062</v>
      </c>
      <c r="D3149" s="1">
        <v>43066</v>
      </c>
      <c r="E3149" t="s">
        <v>49</v>
      </c>
      <c r="F3149" t="s">
        <v>981</v>
      </c>
      <c r="G3149" t="s">
        <v>982</v>
      </c>
      <c r="H3149" t="s">
        <v>25</v>
      </c>
      <c r="I3149" t="s">
        <v>26</v>
      </c>
      <c r="J3149" t="s">
        <v>808</v>
      </c>
      <c r="K3149" t="s">
        <v>103</v>
      </c>
      <c r="L3149">
        <v>75220</v>
      </c>
      <c r="M3149" t="s">
        <v>104</v>
      </c>
      <c r="N3149" t="s">
        <v>7512</v>
      </c>
      <c r="O3149" t="s">
        <v>70</v>
      </c>
      <c r="P3149" t="s">
        <v>71</v>
      </c>
      <c r="Q3149" t="s">
        <v>7513</v>
      </c>
      <c r="R3149">
        <v>195.96</v>
      </c>
      <c r="S3149">
        <v>5</v>
      </c>
      <c r="T3149">
        <v>0.2</v>
      </c>
      <c r="U3149">
        <v>19.596</v>
      </c>
      <c r="V3149" t="str">
        <f t="shared" si="49"/>
        <v>Alan Hwang</v>
      </c>
      <c r="W3149">
        <f>Table2[Profit]/Table2[Sales]</f>
        <v>9.9999999999999992E-2</v>
      </c>
    </row>
    <row r="3150" spans="1:23" x14ac:dyDescent="0.25">
      <c r="A3150">
        <v>3149</v>
      </c>
      <c r="B3150" t="s">
        <v>8604</v>
      </c>
      <c r="C3150" s="1">
        <v>42904</v>
      </c>
      <c r="D3150" s="1">
        <v>42906</v>
      </c>
      <c r="E3150" t="s">
        <v>22</v>
      </c>
      <c r="F3150" t="s">
        <v>630</v>
      </c>
      <c r="G3150" t="s">
        <v>631</v>
      </c>
      <c r="H3150" t="s">
        <v>101</v>
      </c>
      <c r="I3150" t="s">
        <v>26</v>
      </c>
      <c r="J3150" t="s">
        <v>5842</v>
      </c>
      <c r="K3150" t="s">
        <v>103</v>
      </c>
      <c r="L3150">
        <v>78415</v>
      </c>
      <c r="M3150" t="s">
        <v>104</v>
      </c>
      <c r="N3150" t="s">
        <v>4250</v>
      </c>
      <c r="O3150" t="s">
        <v>45</v>
      </c>
      <c r="P3150" t="s">
        <v>89</v>
      </c>
      <c r="Q3150" t="s">
        <v>4251</v>
      </c>
      <c r="R3150">
        <v>74.352000000000004</v>
      </c>
      <c r="S3150">
        <v>3</v>
      </c>
      <c r="T3150">
        <v>0.2</v>
      </c>
      <c r="U3150">
        <v>23.234999999999999</v>
      </c>
      <c r="V3150" t="str">
        <f t="shared" si="49"/>
        <v>Neil Knudson</v>
      </c>
      <c r="W3150">
        <f>Table2[Profit]/Table2[Sales]</f>
        <v>0.3125</v>
      </c>
    </row>
    <row r="3151" spans="1:23" x14ac:dyDescent="0.25">
      <c r="A3151">
        <v>3150</v>
      </c>
      <c r="B3151" t="s">
        <v>8605</v>
      </c>
      <c r="C3151" s="1">
        <v>42860</v>
      </c>
      <c r="D3151" s="1">
        <v>42860</v>
      </c>
      <c r="E3151" t="s">
        <v>1278</v>
      </c>
      <c r="F3151" t="s">
        <v>3958</v>
      </c>
      <c r="G3151" t="s">
        <v>3959</v>
      </c>
      <c r="H3151" t="s">
        <v>25</v>
      </c>
      <c r="I3151" t="s">
        <v>26</v>
      </c>
      <c r="J3151" t="s">
        <v>263</v>
      </c>
      <c r="K3151" t="s">
        <v>264</v>
      </c>
      <c r="L3151">
        <v>10035</v>
      </c>
      <c r="M3151" t="s">
        <v>145</v>
      </c>
      <c r="N3151" t="s">
        <v>2741</v>
      </c>
      <c r="O3151" t="s">
        <v>45</v>
      </c>
      <c r="P3151" t="s">
        <v>89</v>
      </c>
      <c r="Q3151" t="s">
        <v>2742</v>
      </c>
      <c r="R3151">
        <v>6.68</v>
      </c>
      <c r="S3151">
        <v>1</v>
      </c>
      <c r="T3151">
        <v>0</v>
      </c>
      <c r="U3151">
        <v>3.2063999999999999</v>
      </c>
      <c r="V3151" t="str">
        <f t="shared" si="49"/>
        <v>Arianne Irving</v>
      </c>
      <c r="W3151">
        <f>Table2[Profit]/Table2[Sales]</f>
        <v>0.48</v>
      </c>
    </row>
    <row r="3152" spans="1:23" x14ac:dyDescent="0.25">
      <c r="A3152">
        <v>3151</v>
      </c>
      <c r="B3152" t="s">
        <v>8606</v>
      </c>
      <c r="C3152" s="1">
        <v>42678</v>
      </c>
      <c r="D3152" s="1">
        <v>42680</v>
      </c>
      <c r="E3152" t="s">
        <v>22</v>
      </c>
      <c r="F3152" t="s">
        <v>7093</v>
      </c>
      <c r="G3152" t="s">
        <v>7094</v>
      </c>
      <c r="H3152" t="s">
        <v>40</v>
      </c>
      <c r="I3152" t="s">
        <v>26</v>
      </c>
      <c r="J3152" t="s">
        <v>8607</v>
      </c>
      <c r="K3152" t="s">
        <v>413</v>
      </c>
      <c r="L3152">
        <v>97405</v>
      </c>
      <c r="M3152" t="s">
        <v>43</v>
      </c>
      <c r="N3152" t="s">
        <v>6827</v>
      </c>
      <c r="O3152" t="s">
        <v>45</v>
      </c>
      <c r="P3152" t="s">
        <v>572</v>
      </c>
      <c r="Q3152" t="s">
        <v>6828</v>
      </c>
      <c r="R3152">
        <v>17.584</v>
      </c>
      <c r="S3152">
        <v>7</v>
      </c>
      <c r="T3152">
        <v>0.2</v>
      </c>
      <c r="U3152">
        <v>-4.1761999999999997</v>
      </c>
      <c r="V3152" t="str">
        <f t="shared" si="49"/>
        <v>Tracy Poddar</v>
      </c>
      <c r="W3152">
        <f>Table2[Profit]/Table2[Sales]</f>
        <v>-0.23749999999999999</v>
      </c>
    </row>
    <row r="3153" spans="1:23" x14ac:dyDescent="0.25">
      <c r="A3153">
        <v>3152</v>
      </c>
      <c r="B3153" t="s">
        <v>8608</v>
      </c>
      <c r="C3153" s="1">
        <v>41893</v>
      </c>
      <c r="D3153" s="1">
        <v>41898</v>
      </c>
      <c r="E3153" t="s">
        <v>49</v>
      </c>
      <c r="F3153" t="s">
        <v>7608</v>
      </c>
      <c r="G3153" t="s">
        <v>7609</v>
      </c>
      <c r="H3153" t="s">
        <v>25</v>
      </c>
      <c r="I3153" t="s">
        <v>26</v>
      </c>
      <c r="J3153" t="s">
        <v>8609</v>
      </c>
      <c r="K3153" t="s">
        <v>42</v>
      </c>
      <c r="L3153">
        <v>93030</v>
      </c>
      <c r="M3153" t="s">
        <v>43</v>
      </c>
      <c r="N3153" t="s">
        <v>453</v>
      </c>
      <c r="O3153" t="s">
        <v>31</v>
      </c>
      <c r="P3153" t="s">
        <v>64</v>
      </c>
      <c r="Q3153" t="s">
        <v>454</v>
      </c>
      <c r="R3153">
        <v>127.95</v>
      </c>
      <c r="S3153">
        <v>3</v>
      </c>
      <c r="T3153">
        <v>0</v>
      </c>
      <c r="U3153">
        <v>21.7515</v>
      </c>
      <c r="V3153" t="str">
        <f t="shared" si="49"/>
        <v>Liz Willingham</v>
      </c>
      <c r="W3153">
        <f>Table2[Profit]/Table2[Sales]</f>
        <v>0.16999999999999998</v>
      </c>
    </row>
    <row r="3154" spans="1:23" x14ac:dyDescent="0.25">
      <c r="A3154">
        <v>3153</v>
      </c>
      <c r="B3154" t="s">
        <v>8610</v>
      </c>
      <c r="C3154" s="1">
        <v>42782</v>
      </c>
      <c r="D3154" s="1">
        <v>42787</v>
      </c>
      <c r="E3154" t="s">
        <v>49</v>
      </c>
      <c r="F3154" t="s">
        <v>2011</v>
      </c>
      <c r="G3154" t="s">
        <v>2012</v>
      </c>
      <c r="H3154" t="s">
        <v>40</v>
      </c>
      <c r="I3154" t="s">
        <v>26</v>
      </c>
      <c r="J3154" t="s">
        <v>739</v>
      </c>
      <c r="K3154" t="s">
        <v>740</v>
      </c>
      <c r="L3154">
        <v>6824</v>
      </c>
      <c r="M3154" t="s">
        <v>145</v>
      </c>
      <c r="N3154" t="s">
        <v>7326</v>
      </c>
      <c r="O3154" t="s">
        <v>45</v>
      </c>
      <c r="P3154" t="s">
        <v>58</v>
      </c>
      <c r="Q3154" t="s">
        <v>7327</v>
      </c>
      <c r="R3154">
        <v>579.51</v>
      </c>
      <c r="S3154">
        <v>3</v>
      </c>
      <c r="T3154">
        <v>0</v>
      </c>
      <c r="U3154">
        <v>81.131399999999999</v>
      </c>
      <c r="V3154" t="str">
        <f t="shared" si="49"/>
        <v>Nat Gilpin</v>
      </c>
      <c r="W3154">
        <f>Table2[Profit]/Table2[Sales]</f>
        <v>0.14000000000000001</v>
      </c>
    </row>
    <row r="3155" spans="1:23" x14ac:dyDescent="0.25">
      <c r="A3155">
        <v>3154</v>
      </c>
      <c r="B3155" t="s">
        <v>8611</v>
      </c>
      <c r="C3155" s="1">
        <v>41967</v>
      </c>
      <c r="D3155" s="1">
        <v>41972</v>
      </c>
      <c r="E3155" t="s">
        <v>49</v>
      </c>
      <c r="F3155" t="s">
        <v>2011</v>
      </c>
      <c r="G3155" t="s">
        <v>2012</v>
      </c>
      <c r="H3155" t="s">
        <v>40</v>
      </c>
      <c r="I3155" t="s">
        <v>26</v>
      </c>
      <c r="J3155" t="s">
        <v>321</v>
      </c>
      <c r="K3155" t="s">
        <v>235</v>
      </c>
      <c r="L3155">
        <v>49201</v>
      </c>
      <c r="M3155" t="s">
        <v>104</v>
      </c>
      <c r="N3155" t="s">
        <v>483</v>
      </c>
      <c r="O3155" t="s">
        <v>45</v>
      </c>
      <c r="P3155" t="s">
        <v>67</v>
      </c>
      <c r="Q3155" t="s">
        <v>484</v>
      </c>
      <c r="R3155">
        <v>151.91999999999999</v>
      </c>
      <c r="S3155">
        <v>4</v>
      </c>
      <c r="T3155">
        <v>0</v>
      </c>
      <c r="U3155">
        <v>45.576000000000001</v>
      </c>
      <c r="V3155" t="str">
        <f t="shared" si="49"/>
        <v>Nat Gilpin</v>
      </c>
      <c r="W3155">
        <f>Table2[Profit]/Table2[Sales]</f>
        <v>0.30000000000000004</v>
      </c>
    </row>
    <row r="3156" spans="1:23" x14ac:dyDescent="0.25">
      <c r="A3156">
        <v>3155</v>
      </c>
      <c r="B3156" t="s">
        <v>8612</v>
      </c>
      <c r="C3156" s="1">
        <v>43064</v>
      </c>
      <c r="D3156" s="1">
        <v>43068</v>
      </c>
      <c r="E3156" t="s">
        <v>22</v>
      </c>
      <c r="F3156" t="s">
        <v>4050</v>
      </c>
      <c r="G3156" t="s">
        <v>4051</v>
      </c>
      <c r="H3156" t="s">
        <v>40</v>
      </c>
      <c r="I3156" t="s">
        <v>26</v>
      </c>
      <c r="J3156" t="s">
        <v>3998</v>
      </c>
      <c r="K3156" t="s">
        <v>42</v>
      </c>
      <c r="L3156">
        <v>92677</v>
      </c>
      <c r="M3156" t="s">
        <v>43</v>
      </c>
      <c r="N3156" t="s">
        <v>6635</v>
      </c>
      <c r="O3156" t="s">
        <v>70</v>
      </c>
      <c r="P3156" t="s">
        <v>71</v>
      </c>
      <c r="Q3156" t="s">
        <v>6636</v>
      </c>
      <c r="R3156">
        <v>39.96</v>
      </c>
      <c r="S3156">
        <v>5</v>
      </c>
      <c r="T3156">
        <v>0.2</v>
      </c>
      <c r="U3156">
        <v>3.4965000000000002</v>
      </c>
      <c r="V3156" t="str">
        <f t="shared" si="49"/>
        <v>Edward Becker</v>
      </c>
      <c r="W3156">
        <f>Table2[Profit]/Table2[Sales]</f>
        <v>8.7500000000000008E-2</v>
      </c>
    </row>
    <row r="3157" spans="1:23" x14ac:dyDescent="0.25">
      <c r="A3157">
        <v>3156</v>
      </c>
      <c r="B3157" t="s">
        <v>8613</v>
      </c>
      <c r="C3157" s="1">
        <v>43006</v>
      </c>
      <c r="D3157" s="1">
        <v>43010</v>
      </c>
      <c r="E3157" t="s">
        <v>49</v>
      </c>
      <c r="F3157" t="s">
        <v>1147</v>
      </c>
      <c r="G3157" t="s">
        <v>1148</v>
      </c>
      <c r="H3157" t="s">
        <v>40</v>
      </c>
      <c r="I3157" t="s">
        <v>26</v>
      </c>
      <c r="J3157" t="s">
        <v>1507</v>
      </c>
      <c r="K3157" t="s">
        <v>53</v>
      </c>
      <c r="L3157">
        <v>32216</v>
      </c>
      <c r="M3157" t="s">
        <v>29</v>
      </c>
      <c r="N3157" t="s">
        <v>2242</v>
      </c>
      <c r="O3157" t="s">
        <v>45</v>
      </c>
      <c r="P3157" t="s">
        <v>89</v>
      </c>
      <c r="Q3157" t="s">
        <v>2243</v>
      </c>
      <c r="R3157">
        <v>10.368</v>
      </c>
      <c r="S3157">
        <v>2</v>
      </c>
      <c r="T3157">
        <v>0.2</v>
      </c>
      <c r="U3157">
        <v>3.6288</v>
      </c>
      <c r="V3157" t="str">
        <f t="shared" si="49"/>
        <v>Sung Pak</v>
      </c>
      <c r="W3157">
        <f>Table2[Profit]/Table2[Sales]</f>
        <v>0.35</v>
      </c>
    </row>
    <row r="3158" spans="1:23" x14ac:dyDescent="0.25">
      <c r="A3158">
        <v>3157</v>
      </c>
      <c r="B3158" t="s">
        <v>8614</v>
      </c>
      <c r="C3158" s="1">
        <v>41925</v>
      </c>
      <c r="D3158" s="1">
        <v>41929</v>
      </c>
      <c r="E3158" t="s">
        <v>49</v>
      </c>
      <c r="F3158" t="s">
        <v>2135</v>
      </c>
      <c r="G3158" t="s">
        <v>2136</v>
      </c>
      <c r="H3158" t="s">
        <v>40</v>
      </c>
      <c r="I3158" t="s">
        <v>26</v>
      </c>
      <c r="J3158" t="s">
        <v>2263</v>
      </c>
      <c r="K3158" t="s">
        <v>264</v>
      </c>
      <c r="L3158">
        <v>10550</v>
      </c>
      <c r="M3158" t="s">
        <v>145</v>
      </c>
      <c r="N3158" t="s">
        <v>1938</v>
      </c>
      <c r="O3158" t="s">
        <v>45</v>
      </c>
      <c r="P3158" t="s">
        <v>74</v>
      </c>
      <c r="Q3158" t="s">
        <v>1939</v>
      </c>
      <c r="R3158">
        <v>7.7519999999999998</v>
      </c>
      <c r="S3158">
        <v>3</v>
      </c>
      <c r="T3158">
        <v>0.2</v>
      </c>
      <c r="U3158">
        <v>2.8100999999999998</v>
      </c>
      <c r="V3158" t="str">
        <f t="shared" si="49"/>
        <v>Sibella Parks</v>
      </c>
      <c r="W3158">
        <f>Table2[Profit]/Table2[Sales]</f>
        <v>0.36249999999999999</v>
      </c>
    </row>
    <row r="3159" spans="1:23" x14ac:dyDescent="0.25">
      <c r="A3159">
        <v>3158</v>
      </c>
      <c r="B3159" t="s">
        <v>8615</v>
      </c>
      <c r="C3159" s="1">
        <v>41793</v>
      </c>
      <c r="D3159" s="1">
        <v>41797</v>
      </c>
      <c r="E3159" t="s">
        <v>22</v>
      </c>
      <c r="F3159" t="s">
        <v>1494</v>
      </c>
      <c r="G3159" t="s">
        <v>1495</v>
      </c>
      <c r="H3159" t="s">
        <v>101</v>
      </c>
      <c r="I3159" t="s">
        <v>26</v>
      </c>
      <c r="J3159" t="s">
        <v>5201</v>
      </c>
      <c r="K3159" t="s">
        <v>235</v>
      </c>
      <c r="L3159">
        <v>48640</v>
      </c>
      <c r="M3159" t="s">
        <v>104</v>
      </c>
      <c r="N3159" t="s">
        <v>2545</v>
      </c>
      <c r="O3159" t="s">
        <v>45</v>
      </c>
      <c r="P3159" t="s">
        <v>170</v>
      </c>
      <c r="Q3159" t="s">
        <v>2546</v>
      </c>
      <c r="R3159">
        <v>15.28</v>
      </c>
      <c r="S3159">
        <v>2</v>
      </c>
      <c r="T3159">
        <v>0</v>
      </c>
      <c r="U3159">
        <v>7.4871999999999996</v>
      </c>
      <c r="V3159" t="str">
        <f t="shared" si="49"/>
        <v>Ross Baird</v>
      </c>
      <c r="W3159">
        <f>Table2[Profit]/Table2[Sales]</f>
        <v>0.49</v>
      </c>
    </row>
    <row r="3160" spans="1:23" x14ac:dyDescent="0.25">
      <c r="A3160">
        <v>3159</v>
      </c>
      <c r="B3160" t="s">
        <v>8616</v>
      </c>
      <c r="C3160" s="1">
        <v>41807</v>
      </c>
      <c r="D3160" s="1">
        <v>41813</v>
      </c>
      <c r="E3160" t="s">
        <v>49</v>
      </c>
      <c r="F3160" t="s">
        <v>4645</v>
      </c>
      <c r="G3160" t="s">
        <v>4646</v>
      </c>
      <c r="H3160" t="s">
        <v>25</v>
      </c>
      <c r="I3160" t="s">
        <v>26</v>
      </c>
      <c r="J3160" t="s">
        <v>600</v>
      </c>
      <c r="K3160" t="s">
        <v>242</v>
      </c>
      <c r="L3160">
        <v>19711</v>
      </c>
      <c r="M3160" t="s">
        <v>145</v>
      </c>
      <c r="N3160" t="s">
        <v>7984</v>
      </c>
      <c r="O3160" t="s">
        <v>70</v>
      </c>
      <c r="P3160" t="s">
        <v>675</v>
      </c>
      <c r="Q3160" t="s">
        <v>7985</v>
      </c>
      <c r="R3160">
        <v>65.97</v>
      </c>
      <c r="S3160">
        <v>3</v>
      </c>
      <c r="T3160">
        <v>0</v>
      </c>
      <c r="U3160">
        <v>31.0059</v>
      </c>
      <c r="V3160" t="str">
        <f t="shared" si="49"/>
        <v>Duane Benoit</v>
      </c>
      <c r="W3160">
        <f>Table2[Profit]/Table2[Sales]</f>
        <v>0.47000000000000003</v>
      </c>
    </row>
    <row r="3161" spans="1:23" x14ac:dyDescent="0.25">
      <c r="A3161">
        <v>3160</v>
      </c>
      <c r="B3161" t="s">
        <v>8617</v>
      </c>
      <c r="C3161" s="1">
        <v>42306</v>
      </c>
      <c r="D3161" s="1">
        <v>42310</v>
      </c>
      <c r="E3161" t="s">
        <v>49</v>
      </c>
      <c r="F3161" t="s">
        <v>1993</v>
      </c>
      <c r="G3161" t="s">
        <v>1994</v>
      </c>
      <c r="H3161" t="s">
        <v>40</v>
      </c>
      <c r="I3161" t="s">
        <v>26</v>
      </c>
      <c r="J3161" t="s">
        <v>126</v>
      </c>
      <c r="K3161" t="s">
        <v>42</v>
      </c>
      <c r="L3161">
        <v>94109</v>
      </c>
      <c r="M3161" t="s">
        <v>43</v>
      </c>
      <c r="N3161" t="s">
        <v>1839</v>
      </c>
      <c r="O3161" t="s">
        <v>45</v>
      </c>
      <c r="P3161" t="s">
        <v>89</v>
      </c>
      <c r="Q3161" t="s">
        <v>1840</v>
      </c>
      <c r="R3161">
        <v>33.4</v>
      </c>
      <c r="S3161">
        <v>5</v>
      </c>
      <c r="T3161">
        <v>0</v>
      </c>
      <c r="U3161">
        <v>16.032</v>
      </c>
      <c r="V3161" t="str">
        <f t="shared" si="49"/>
        <v>Nona Balk</v>
      </c>
      <c r="W3161">
        <f>Table2[Profit]/Table2[Sales]</f>
        <v>0.48000000000000004</v>
      </c>
    </row>
    <row r="3162" spans="1:23" x14ac:dyDescent="0.25">
      <c r="A3162">
        <v>3161</v>
      </c>
      <c r="B3162" t="s">
        <v>8618</v>
      </c>
      <c r="C3162" s="1">
        <v>41659</v>
      </c>
      <c r="D3162" s="1">
        <v>41665</v>
      </c>
      <c r="E3162" t="s">
        <v>49</v>
      </c>
      <c r="F3162" t="s">
        <v>1631</v>
      </c>
      <c r="G3162" t="s">
        <v>1632</v>
      </c>
      <c r="H3162" t="s">
        <v>25</v>
      </c>
      <c r="I3162" t="s">
        <v>26</v>
      </c>
      <c r="J3162" t="s">
        <v>234</v>
      </c>
      <c r="K3162" t="s">
        <v>235</v>
      </c>
      <c r="L3162">
        <v>48185</v>
      </c>
      <c r="M3162" t="s">
        <v>104</v>
      </c>
      <c r="N3162" t="s">
        <v>57</v>
      </c>
      <c r="O3162" t="s">
        <v>45</v>
      </c>
      <c r="P3162" t="s">
        <v>58</v>
      </c>
      <c r="Q3162" t="s">
        <v>59</v>
      </c>
      <c r="R3162">
        <v>13.98</v>
      </c>
      <c r="S3162">
        <v>1</v>
      </c>
      <c r="T3162">
        <v>0</v>
      </c>
      <c r="U3162">
        <v>4.0541999999999998</v>
      </c>
      <c r="V3162" t="str">
        <f t="shared" si="49"/>
        <v>Xylona Preis</v>
      </c>
      <c r="W3162">
        <f>Table2[Profit]/Table2[Sales]</f>
        <v>0.28999999999999998</v>
      </c>
    </row>
    <row r="3163" spans="1:23" x14ac:dyDescent="0.25">
      <c r="A3163">
        <v>3162</v>
      </c>
      <c r="B3163" t="s">
        <v>8619</v>
      </c>
      <c r="C3163" s="1">
        <v>41831</v>
      </c>
      <c r="D3163" s="1">
        <v>41835</v>
      </c>
      <c r="E3163" t="s">
        <v>49</v>
      </c>
      <c r="F3163" t="s">
        <v>6508</v>
      </c>
      <c r="G3163" t="s">
        <v>6509</v>
      </c>
      <c r="H3163" t="s">
        <v>25</v>
      </c>
      <c r="I3163" t="s">
        <v>26</v>
      </c>
      <c r="J3163" t="s">
        <v>263</v>
      </c>
      <c r="K3163" t="s">
        <v>264</v>
      </c>
      <c r="L3163">
        <v>10011</v>
      </c>
      <c r="M3163" t="s">
        <v>145</v>
      </c>
      <c r="N3163" t="s">
        <v>1239</v>
      </c>
      <c r="O3163" t="s">
        <v>45</v>
      </c>
      <c r="P3163" t="s">
        <v>89</v>
      </c>
      <c r="Q3163" t="s">
        <v>1240</v>
      </c>
      <c r="R3163">
        <v>49.12</v>
      </c>
      <c r="S3163">
        <v>4</v>
      </c>
      <c r="T3163">
        <v>0</v>
      </c>
      <c r="U3163">
        <v>23.086400000000001</v>
      </c>
      <c r="V3163" t="str">
        <f t="shared" si="49"/>
        <v>Mark Hamilton</v>
      </c>
      <c r="W3163">
        <f>Table2[Profit]/Table2[Sales]</f>
        <v>0.47000000000000003</v>
      </c>
    </row>
    <row r="3164" spans="1:23" x14ac:dyDescent="0.25">
      <c r="A3164">
        <v>3163</v>
      </c>
      <c r="B3164" t="s">
        <v>8620</v>
      </c>
      <c r="C3164" s="1">
        <v>42612</v>
      </c>
      <c r="D3164" s="1">
        <v>42619</v>
      </c>
      <c r="E3164" t="s">
        <v>49</v>
      </c>
      <c r="F3164" t="s">
        <v>6319</v>
      </c>
      <c r="G3164" t="s">
        <v>6320</v>
      </c>
      <c r="H3164" t="s">
        <v>25</v>
      </c>
      <c r="I3164" t="s">
        <v>26</v>
      </c>
      <c r="J3164" t="s">
        <v>41</v>
      </c>
      <c r="K3164" t="s">
        <v>42</v>
      </c>
      <c r="L3164">
        <v>90008</v>
      </c>
      <c r="M3164" t="s">
        <v>43</v>
      </c>
      <c r="N3164" t="s">
        <v>6414</v>
      </c>
      <c r="O3164" t="s">
        <v>31</v>
      </c>
      <c r="P3164" t="s">
        <v>64</v>
      </c>
      <c r="Q3164" t="s">
        <v>6415</v>
      </c>
      <c r="R3164">
        <v>47.04</v>
      </c>
      <c r="S3164">
        <v>4</v>
      </c>
      <c r="T3164">
        <v>0</v>
      </c>
      <c r="U3164">
        <v>15.993600000000001</v>
      </c>
      <c r="V3164" t="str">
        <f t="shared" si="49"/>
        <v>Bruce Geld</v>
      </c>
      <c r="W3164">
        <f>Table2[Profit]/Table2[Sales]</f>
        <v>0.34</v>
      </c>
    </row>
    <row r="3165" spans="1:23" x14ac:dyDescent="0.25">
      <c r="A3165">
        <v>3164</v>
      </c>
      <c r="B3165" t="s">
        <v>8621</v>
      </c>
      <c r="C3165" s="1">
        <v>43013</v>
      </c>
      <c r="D3165" s="1">
        <v>43017</v>
      </c>
      <c r="E3165" t="s">
        <v>49</v>
      </c>
      <c r="F3165" t="s">
        <v>3918</v>
      </c>
      <c r="G3165" t="s">
        <v>3919</v>
      </c>
      <c r="H3165" t="s">
        <v>40</v>
      </c>
      <c r="I3165" t="s">
        <v>26</v>
      </c>
      <c r="J3165" t="s">
        <v>263</v>
      </c>
      <c r="K3165" t="s">
        <v>264</v>
      </c>
      <c r="L3165">
        <v>10035</v>
      </c>
      <c r="M3165" t="s">
        <v>145</v>
      </c>
      <c r="N3165" t="s">
        <v>6303</v>
      </c>
      <c r="O3165" t="s">
        <v>70</v>
      </c>
      <c r="P3165" t="s">
        <v>71</v>
      </c>
      <c r="Q3165" t="s">
        <v>6304</v>
      </c>
      <c r="R3165">
        <v>87.8</v>
      </c>
      <c r="S3165">
        <v>4</v>
      </c>
      <c r="T3165">
        <v>0</v>
      </c>
      <c r="U3165">
        <v>43.9</v>
      </c>
      <c r="V3165" t="str">
        <f t="shared" si="49"/>
        <v>Todd Sumrall</v>
      </c>
      <c r="W3165">
        <f>Table2[Profit]/Table2[Sales]</f>
        <v>0.5</v>
      </c>
    </row>
    <row r="3166" spans="1:23" x14ac:dyDescent="0.25">
      <c r="A3166">
        <v>3165</v>
      </c>
      <c r="B3166" t="s">
        <v>8622</v>
      </c>
      <c r="C3166" s="1">
        <v>42735</v>
      </c>
      <c r="D3166" s="1">
        <v>42737</v>
      </c>
      <c r="E3166" t="s">
        <v>185</v>
      </c>
      <c r="F3166" t="s">
        <v>4645</v>
      </c>
      <c r="G3166" t="s">
        <v>4646</v>
      </c>
      <c r="H3166" t="s">
        <v>25</v>
      </c>
      <c r="I3166" t="s">
        <v>26</v>
      </c>
      <c r="J3166" t="s">
        <v>2439</v>
      </c>
      <c r="K3166" t="s">
        <v>491</v>
      </c>
      <c r="L3166">
        <v>43130</v>
      </c>
      <c r="M3166" t="s">
        <v>145</v>
      </c>
      <c r="N3166" t="s">
        <v>4567</v>
      </c>
      <c r="O3166" t="s">
        <v>45</v>
      </c>
      <c r="P3166" t="s">
        <v>58</v>
      </c>
      <c r="Q3166" t="s">
        <v>4568</v>
      </c>
      <c r="R3166">
        <v>156.512</v>
      </c>
      <c r="S3166">
        <v>4</v>
      </c>
      <c r="T3166">
        <v>0.2</v>
      </c>
      <c r="U3166">
        <v>-35.215200000000003</v>
      </c>
      <c r="V3166" t="str">
        <f t="shared" si="49"/>
        <v>Duane Benoit</v>
      </c>
      <c r="W3166">
        <f>Table2[Profit]/Table2[Sales]</f>
        <v>-0.22500000000000001</v>
      </c>
    </row>
    <row r="3167" spans="1:23" x14ac:dyDescent="0.25">
      <c r="A3167">
        <v>3166</v>
      </c>
      <c r="B3167" t="s">
        <v>8623</v>
      </c>
      <c r="C3167" s="1">
        <v>42070</v>
      </c>
      <c r="D3167" s="1">
        <v>42073</v>
      </c>
      <c r="E3167" t="s">
        <v>185</v>
      </c>
      <c r="F3167" t="s">
        <v>6005</v>
      </c>
      <c r="G3167" t="s">
        <v>6006</v>
      </c>
      <c r="H3167" t="s">
        <v>101</v>
      </c>
      <c r="I3167" t="s">
        <v>26</v>
      </c>
      <c r="J3167" t="s">
        <v>600</v>
      </c>
      <c r="K3167" t="s">
        <v>242</v>
      </c>
      <c r="L3167">
        <v>19711</v>
      </c>
      <c r="M3167" t="s">
        <v>145</v>
      </c>
      <c r="N3167" t="s">
        <v>984</v>
      </c>
      <c r="O3167" t="s">
        <v>70</v>
      </c>
      <c r="P3167" t="s">
        <v>158</v>
      </c>
      <c r="Q3167" t="s">
        <v>985</v>
      </c>
      <c r="R3167">
        <v>119.85</v>
      </c>
      <c r="S3167">
        <v>3</v>
      </c>
      <c r="T3167">
        <v>0</v>
      </c>
      <c r="U3167">
        <v>52.734000000000002</v>
      </c>
      <c r="V3167" t="str">
        <f t="shared" si="49"/>
        <v>Eugene Moren</v>
      </c>
      <c r="W3167">
        <f>Table2[Profit]/Table2[Sales]</f>
        <v>0.44000000000000006</v>
      </c>
    </row>
    <row r="3168" spans="1:23" x14ac:dyDescent="0.25">
      <c r="A3168">
        <v>3167</v>
      </c>
      <c r="B3168" t="s">
        <v>8624</v>
      </c>
      <c r="C3168" s="1">
        <v>43028</v>
      </c>
      <c r="D3168" s="1">
        <v>43028</v>
      </c>
      <c r="E3168" t="s">
        <v>1278</v>
      </c>
      <c r="F3168" t="s">
        <v>433</v>
      </c>
      <c r="G3168" t="s">
        <v>434</v>
      </c>
      <c r="H3168" t="s">
        <v>101</v>
      </c>
      <c r="I3168" t="s">
        <v>26</v>
      </c>
      <c r="J3168" t="s">
        <v>263</v>
      </c>
      <c r="K3168" t="s">
        <v>264</v>
      </c>
      <c r="L3168">
        <v>10024</v>
      </c>
      <c r="M3168" t="s">
        <v>145</v>
      </c>
      <c r="N3168" t="s">
        <v>4391</v>
      </c>
      <c r="O3168" t="s">
        <v>45</v>
      </c>
      <c r="P3168" t="s">
        <v>46</v>
      </c>
      <c r="Q3168" t="s">
        <v>4392</v>
      </c>
      <c r="R3168">
        <v>24.55</v>
      </c>
      <c r="S3168">
        <v>5</v>
      </c>
      <c r="T3168">
        <v>0</v>
      </c>
      <c r="U3168">
        <v>12.029500000000001</v>
      </c>
      <c r="V3168" t="str">
        <f t="shared" si="49"/>
        <v>Rick Bensley</v>
      </c>
      <c r="W3168">
        <f>Table2[Profit]/Table2[Sales]</f>
        <v>0.49</v>
      </c>
    </row>
    <row r="3169" spans="1:23" x14ac:dyDescent="0.25">
      <c r="A3169">
        <v>3168</v>
      </c>
      <c r="B3169" t="s">
        <v>8625</v>
      </c>
      <c r="C3169" s="1">
        <v>42125</v>
      </c>
      <c r="D3169" s="1">
        <v>42130</v>
      </c>
      <c r="E3169" t="s">
        <v>49</v>
      </c>
      <c r="F3169" t="s">
        <v>1177</v>
      </c>
      <c r="G3169" t="s">
        <v>1178</v>
      </c>
      <c r="H3169" t="s">
        <v>25</v>
      </c>
      <c r="I3169" t="s">
        <v>26</v>
      </c>
      <c r="J3169" t="s">
        <v>126</v>
      </c>
      <c r="K3169" t="s">
        <v>42</v>
      </c>
      <c r="L3169">
        <v>94109</v>
      </c>
      <c r="M3169" t="s">
        <v>43</v>
      </c>
      <c r="N3169" t="s">
        <v>1324</v>
      </c>
      <c r="O3169" t="s">
        <v>45</v>
      </c>
      <c r="P3169" t="s">
        <v>74</v>
      </c>
      <c r="Q3169" t="s">
        <v>1325</v>
      </c>
      <c r="R3169">
        <v>12.176</v>
      </c>
      <c r="S3169">
        <v>1</v>
      </c>
      <c r="T3169">
        <v>0.2</v>
      </c>
      <c r="U3169">
        <v>4.4138000000000002</v>
      </c>
      <c r="V3169" t="str">
        <f t="shared" si="49"/>
        <v>Patrick O'Brill</v>
      </c>
      <c r="W3169">
        <f>Table2[Profit]/Table2[Sales]</f>
        <v>0.36249999999999999</v>
      </c>
    </row>
    <row r="3170" spans="1:23" x14ac:dyDescent="0.25">
      <c r="A3170">
        <v>3169</v>
      </c>
      <c r="B3170" t="s">
        <v>8626</v>
      </c>
      <c r="C3170" s="1">
        <v>42981</v>
      </c>
      <c r="D3170" s="1">
        <v>42986</v>
      </c>
      <c r="E3170" t="s">
        <v>49</v>
      </c>
      <c r="F3170" t="s">
        <v>1297</v>
      </c>
      <c r="G3170" t="s">
        <v>1298</v>
      </c>
      <c r="H3170" t="s">
        <v>25</v>
      </c>
      <c r="I3170" t="s">
        <v>26</v>
      </c>
      <c r="J3170" t="s">
        <v>808</v>
      </c>
      <c r="K3170" t="s">
        <v>103</v>
      </c>
      <c r="L3170">
        <v>75217</v>
      </c>
      <c r="M3170" t="s">
        <v>104</v>
      </c>
      <c r="N3170" t="s">
        <v>3068</v>
      </c>
      <c r="O3170" t="s">
        <v>31</v>
      </c>
      <c r="P3170" t="s">
        <v>64</v>
      </c>
      <c r="Q3170" t="s">
        <v>3069</v>
      </c>
      <c r="R3170">
        <v>108.4</v>
      </c>
      <c r="S3170">
        <v>5</v>
      </c>
      <c r="T3170">
        <v>0.6</v>
      </c>
      <c r="U3170">
        <v>-105.69</v>
      </c>
      <c r="V3170" t="str">
        <f t="shared" si="49"/>
        <v>Arthur Gainer</v>
      </c>
      <c r="W3170">
        <f>Table2[Profit]/Table2[Sales]</f>
        <v>-0.97499999999999998</v>
      </c>
    </row>
    <row r="3171" spans="1:23" x14ac:dyDescent="0.25">
      <c r="A3171">
        <v>3170</v>
      </c>
      <c r="B3171" t="s">
        <v>8627</v>
      </c>
      <c r="C3171" s="1">
        <v>43042</v>
      </c>
      <c r="D3171" s="1">
        <v>43047</v>
      </c>
      <c r="E3171" t="s">
        <v>49</v>
      </c>
      <c r="F3171" t="s">
        <v>5928</v>
      </c>
      <c r="G3171" t="s">
        <v>5929</v>
      </c>
      <c r="H3171" t="s">
        <v>40</v>
      </c>
      <c r="I3171" t="s">
        <v>26</v>
      </c>
      <c r="J3171" t="s">
        <v>1406</v>
      </c>
      <c r="K3171" t="s">
        <v>53</v>
      </c>
      <c r="L3171">
        <v>33178</v>
      </c>
      <c r="M3171" t="s">
        <v>29</v>
      </c>
      <c r="N3171" t="s">
        <v>3627</v>
      </c>
      <c r="O3171" t="s">
        <v>70</v>
      </c>
      <c r="P3171" t="s">
        <v>71</v>
      </c>
      <c r="Q3171" t="s">
        <v>3628</v>
      </c>
      <c r="R3171">
        <v>361.37599999999998</v>
      </c>
      <c r="S3171">
        <v>2</v>
      </c>
      <c r="T3171">
        <v>0.2</v>
      </c>
      <c r="U3171">
        <v>27.103200000000001</v>
      </c>
      <c r="V3171" t="str">
        <f t="shared" si="49"/>
        <v>Beth Fritzler</v>
      </c>
      <c r="W3171">
        <f>Table2[Profit]/Table2[Sales]</f>
        <v>7.5000000000000011E-2</v>
      </c>
    </row>
    <row r="3172" spans="1:23" x14ac:dyDescent="0.25">
      <c r="A3172">
        <v>3171</v>
      </c>
      <c r="B3172" t="s">
        <v>8628</v>
      </c>
      <c r="C3172" s="1">
        <v>42260</v>
      </c>
      <c r="D3172" s="1">
        <v>42266</v>
      </c>
      <c r="E3172" t="s">
        <v>49</v>
      </c>
      <c r="F3172" t="s">
        <v>5946</v>
      </c>
      <c r="G3172" t="s">
        <v>5947</v>
      </c>
      <c r="H3172" t="s">
        <v>25</v>
      </c>
      <c r="I3172" t="s">
        <v>26</v>
      </c>
      <c r="J3172" t="s">
        <v>143</v>
      </c>
      <c r="K3172" t="s">
        <v>144</v>
      </c>
      <c r="L3172">
        <v>19120</v>
      </c>
      <c r="M3172" t="s">
        <v>145</v>
      </c>
      <c r="N3172" t="s">
        <v>4841</v>
      </c>
      <c r="O3172" t="s">
        <v>45</v>
      </c>
      <c r="P3172" t="s">
        <v>74</v>
      </c>
      <c r="Q3172" t="s">
        <v>4842</v>
      </c>
      <c r="R3172">
        <v>2.4119999999999999</v>
      </c>
      <c r="S3172">
        <v>1</v>
      </c>
      <c r="T3172">
        <v>0.7</v>
      </c>
      <c r="U3172">
        <v>-2.0099999999999998</v>
      </c>
      <c r="V3172" t="str">
        <f t="shared" si="49"/>
        <v>Harry Greene</v>
      </c>
      <c r="W3172">
        <f>Table2[Profit]/Table2[Sales]</f>
        <v>-0.83333333333333326</v>
      </c>
    </row>
    <row r="3173" spans="1:23" x14ac:dyDescent="0.25">
      <c r="A3173">
        <v>3172</v>
      </c>
      <c r="B3173" t="s">
        <v>8629</v>
      </c>
      <c r="C3173" s="1">
        <v>42253</v>
      </c>
      <c r="D3173" s="1">
        <v>42259</v>
      </c>
      <c r="E3173" t="s">
        <v>49</v>
      </c>
      <c r="F3173" t="s">
        <v>300</v>
      </c>
      <c r="G3173" t="s">
        <v>301</v>
      </c>
      <c r="H3173" t="s">
        <v>40</v>
      </c>
      <c r="I3173" t="s">
        <v>26</v>
      </c>
      <c r="J3173" t="s">
        <v>263</v>
      </c>
      <c r="K3173" t="s">
        <v>264</v>
      </c>
      <c r="L3173">
        <v>10011</v>
      </c>
      <c r="M3173" t="s">
        <v>145</v>
      </c>
      <c r="N3173" t="s">
        <v>6959</v>
      </c>
      <c r="O3173" t="s">
        <v>45</v>
      </c>
      <c r="P3173" t="s">
        <v>77</v>
      </c>
      <c r="Q3173" t="s">
        <v>6960</v>
      </c>
      <c r="R3173">
        <v>8.39</v>
      </c>
      <c r="S3173">
        <v>1</v>
      </c>
      <c r="T3173">
        <v>0</v>
      </c>
      <c r="U3173">
        <v>2.0975000000000001</v>
      </c>
      <c r="V3173" t="str">
        <f t="shared" si="49"/>
        <v>Brendan Sweed</v>
      </c>
      <c r="W3173">
        <f>Table2[Profit]/Table2[Sales]</f>
        <v>0.25</v>
      </c>
    </row>
    <row r="3174" spans="1:23" x14ac:dyDescent="0.25">
      <c r="A3174">
        <v>3173</v>
      </c>
      <c r="B3174" t="s">
        <v>8630</v>
      </c>
      <c r="C3174" s="1">
        <v>41918</v>
      </c>
      <c r="D3174" s="1">
        <v>41925</v>
      </c>
      <c r="E3174" t="s">
        <v>49</v>
      </c>
      <c r="F3174" t="s">
        <v>4730</v>
      </c>
      <c r="G3174" t="s">
        <v>4731</v>
      </c>
      <c r="H3174" t="s">
        <v>25</v>
      </c>
      <c r="I3174" t="s">
        <v>26</v>
      </c>
      <c r="J3174" t="s">
        <v>143</v>
      </c>
      <c r="K3174" t="s">
        <v>144</v>
      </c>
      <c r="L3174">
        <v>19120</v>
      </c>
      <c r="M3174" t="s">
        <v>145</v>
      </c>
      <c r="N3174" t="s">
        <v>826</v>
      </c>
      <c r="O3174" t="s">
        <v>45</v>
      </c>
      <c r="P3174" t="s">
        <v>58</v>
      </c>
      <c r="Q3174" t="s">
        <v>827</v>
      </c>
      <c r="R3174">
        <v>83.92</v>
      </c>
      <c r="S3174">
        <v>5</v>
      </c>
      <c r="T3174">
        <v>0.2</v>
      </c>
      <c r="U3174">
        <v>-13.637</v>
      </c>
      <c r="V3174" t="str">
        <f t="shared" si="49"/>
        <v>Joy Daniels</v>
      </c>
      <c r="W3174">
        <f>Table2[Profit]/Table2[Sales]</f>
        <v>-0.16250000000000001</v>
      </c>
    </row>
    <row r="3175" spans="1:23" x14ac:dyDescent="0.25">
      <c r="A3175">
        <v>3174</v>
      </c>
      <c r="B3175" t="s">
        <v>8631</v>
      </c>
      <c r="C3175" s="1">
        <v>42758</v>
      </c>
      <c r="D3175" s="1">
        <v>42763</v>
      </c>
      <c r="E3175" t="s">
        <v>49</v>
      </c>
      <c r="F3175" t="s">
        <v>2388</v>
      </c>
      <c r="G3175" t="s">
        <v>2389</v>
      </c>
      <c r="H3175" t="s">
        <v>40</v>
      </c>
      <c r="I3175" t="s">
        <v>26</v>
      </c>
      <c r="J3175" t="s">
        <v>94</v>
      </c>
      <c r="K3175" t="s">
        <v>95</v>
      </c>
      <c r="L3175">
        <v>98103</v>
      </c>
      <c r="M3175" t="s">
        <v>43</v>
      </c>
      <c r="N3175" t="s">
        <v>4639</v>
      </c>
      <c r="O3175" t="s">
        <v>45</v>
      </c>
      <c r="P3175" t="s">
        <v>74</v>
      </c>
      <c r="Q3175" t="s">
        <v>4640</v>
      </c>
      <c r="R3175">
        <v>19.68</v>
      </c>
      <c r="S3175">
        <v>5</v>
      </c>
      <c r="T3175">
        <v>0.2</v>
      </c>
      <c r="U3175">
        <v>6.8879999999999999</v>
      </c>
      <c r="V3175" t="str">
        <f t="shared" si="49"/>
        <v>Chris Selesnick</v>
      </c>
      <c r="W3175">
        <f>Table2[Profit]/Table2[Sales]</f>
        <v>0.35</v>
      </c>
    </row>
    <row r="3176" spans="1:23" x14ac:dyDescent="0.25">
      <c r="A3176">
        <v>3175</v>
      </c>
      <c r="B3176" t="s">
        <v>8632</v>
      </c>
      <c r="C3176" s="1">
        <v>42348</v>
      </c>
      <c r="D3176" s="1">
        <v>42353</v>
      </c>
      <c r="E3176" t="s">
        <v>49</v>
      </c>
      <c r="F3176" t="s">
        <v>8030</v>
      </c>
      <c r="G3176" t="s">
        <v>8031</v>
      </c>
      <c r="H3176" t="s">
        <v>101</v>
      </c>
      <c r="I3176" t="s">
        <v>26</v>
      </c>
      <c r="J3176" t="s">
        <v>41</v>
      </c>
      <c r="K3176" t="s">
        <v>42</v>
      </c>
      <c r="L3176">
        <v>90032</v>
      </c>
      <c r="M3176" t="s">
        <v>43</v>
      </c>
      <c r="N3176" t="s">
        <v>6099</v>
      </c>
      <c r="O3176" t="s">
        <v>45</v>
      </c>
      <c r="P3176" t="s">
        <v>67</v>
      </c>
      <c r="Q3176" t="s">
        <v>6100</v>
      </c>
      <c r="R3176">
        <v>56.3</v>
      </c>
      <c r="S3176">
        <v>2</v>
      </c>
      <c r="T3176">
        <v>0</v>
      </c>
      <c r="U3176">
        <v>15.763999999999999</v>
      </c>
      <c r="V3176" t="str">
        <f t="shared" si="49"/>
        <v>Frank Carlisle</v>
      </c>
      <c r="W3176">
        <f>Table2[Profit]/Table2[Sales]</f>
        <v>0.28000000000000003</v>
      </c>
    </row>
    <row r="3177" spans="1:23" x14ac:dyDescent="0.25">
      <c r="A3177">
        <v>3176</v>
      </c>
      <c r="B3177" t="s">
        <v>8633</v>
      </c>
      <c r="C3177" s="1">
        <v>41968</v>
      </c>
      <c r="D3177" s="1">
        <v>41973</v>
      </c>
      <c r="E3177" t="s">
        <v>49</v>
      </c>
      <c r="F3177" t="s">
        <v>2775</v>
      </c>
      <c r="G3177" t="s">
        <v>2776</v>
      </c>
      <c r="H3177" t="s">
        <v>25</v>
      </c>
      <c r="I3177" t="s">
        <v>26</v>
      </c>
      <c r="J3177" t="s">
        <v>311</v>
      </c>
      <c r="K3177" t="s">
        <v>413</v>
      </c>
      <c r="L3177">
        <v>97477</v>
      </c>
      <c r="M3177" t="s">
        <v>43</v>
      </c>
      <c r="N3177" t="s">
        <v>6790</v>
      </c>
      <c r="O3177" t="s">
        <v>45</v>
      </c>
      <c r="P3177" t="s">
        <v>67</v>
      </c>
      <c r="Q3177" t="s">
        <v>6791</v>
      </c>
      <c r="R3177">
        <v>51.015999999999998</v>
      </c>
      <c r="S3177">
        <v>7</v>
      </c>
      <c r="T3177">
        <v>0.2</v>
      </c>
      <c r="U3177">
        <v>8.2901000000000007</v>
      </c>
      <c r="V3177" t="str">
        <f t="shared" si="49"/>
        <v>Sanjit Engle</v>
      </c>
      <c r="W3177">
        <f>Table2[Profit]/Table2[Sales]</f>
        <v>0.16250000000000001</v>
      </c>
    </row>
    <row r="3178" spans="1:23" x14ac:dyDescent="0.25">
      <c r="A3178">
        <v>3177</v>
      </c>
      <c r="B3178" t="s">
        <v>8634</v>
      </c>
      <c r="C3178" s="1">
        <v>43060</v>
      </c>
      <c r="D3178" s="1">
        <v>43064</v>
      </c>
      <c r="E3178" t="s">
        <v>49</v>
      </c>
      <c r="F3178" t="s">
        <v>1974</v>
      </c>
      <c r="G3178" t="s">
        <v>1975</v>
      </c>
      <c r="H3178" t="s">
        <v>25</v>
      </c>
      <c r="I3178" t="s">
        <v>26</v>
      </c>
      <c r="J3178" t="s">
        <v>8635</v>
      </c>
      <c r="K3178" t="s">
        <v>95</v>
      </c>
      <c r="L3178">
        <v>98059</v>
      </c>
      <c r="M3178" t="s">
        <v>43</v>
      </c>
      <c r="N3178" t="s">
        <v>1698</v>
      </c>
      <c r="O3178" t="s">
        <v>45</v>
      </c>
      <c r="P3178" t="s">
        <v>74</v>
      </c>
      <c r="Q3178" t="s">
        <v>1699</v>
      </c>
      <c r="R3178">
        <v>150.80000000000001</v>
      </c>
      <c r="S3178">
        <v>5</v>
      </c>
      <c r="T3178">
        <v>0.2</v>
      </c>
      <c r="U3178">
        <v>56.55</v>
      </c>
      <c r="V3178" t="str">
        <f t="shared" si="49"/>
        <v>Chloris Kastensmidt</v>
      </c>
      <c r="W3178">
        <f>Table2[Profit]/Table2[Sales]</f>
        <v>0.37499999999999994</v>
      </c>
    </row>
    <row r="3179" spans="1:23" x14ac:dyDescent="0.25">
      <c r="A3179">
        <v>3178</v>
      </c>
      <c r="B3179" t="s">
        <v>8638</v>
      </c>
      <c r="C3179" s="1">
        <v>42829</v>
      </c>
      <c r="D3179" s="1">
        <v>42830</v>
      </c>
      <c r="E3179" t="s">
        <v>185</v>
      </c>
      <c r="F3179" t="s">
        <v>2319</v>
      </c>
      <c r="G3179" t="s">
        <v>2320</v>
      </c>
      <c r="H3179" t="s">
        <v>101</v>
      </c>
      <c r="I3179" t="s">
        <v>26</v>
      </c>
      <c r="J3179" t="s">
        <v>263</v>
      </c>
      <c r="K3179" t="s">
        <v>264</v>
      </c>
      <c r="L3179">
        <v>10009</v>
      </c>
      <c r="M3179" t="s">
        <v>145</v>
      </c>
      <c r="N3179" t="s">
        <v>8639</v>
      </c>
      <c r="O3179" t="s">
        <v>70</v>
      </c>
      <c r="P3179" t="s">
        <v>71</v>
      </c>
      <c r="Q3179" t="s">
        <v>8640</v>
      </c>
      <c r="R3179">
        <v>41.22</v>
      </c>
      <c r="S3179">
        <v>1</v>
      </c>
      <c r="T3179">
        <v>0</v>
      </c>
      <c r="U3179">
        <v>11.1294</v>
      </c>
      <c r="V3179" t="str">
        <f t="shared" si="49"/>
        <v>Darrin Sayre</v>
      </c>
      <c r="W3179">
        <f>Table2[Profit]/Table2[Sales]</f>
        <v>0.27</v>
      </c>
    </row>
    <row r="3180" spans="1:23" x14ac:dyDescent="0.25">
      <c r="A3180">
        <v>3179</v>
      </c>
      <c r="B3180" t="s">
        <v>8641</v>
      </c>
      <c r="C3180" s="1">
        <v>42874</v>
      </c>
      <c r="D3180" s="1">
        <v>42879</v>
      </c>
      <c r="E3180" t="s">
        <v>49</v>
      </c>
      <c r="F3180" t="s">
        <v>1650</v>
      </c>
      <c r="G3180" t="s">
        <v>1651</v>
      </c>
      <c r="H3180" t="s">
        <v>25</v>
      </c>
      <c r="I3180" t="s">
        <v>26</v>
      </c>
      <c r="J3180" t="s">
        <v>622</v>
      </c>
      <c r="K3180" t="s">
        <v>42</v>
      </c>
      <c r="L3180">
        <v>95123</v>
      </c>
      <c r="M3180" t="s">
        <v>43</v>
      </c>
      <c r="N3180" t="s">
        <v>4701</v>
      </c>
      <c r="O3180" t="s">
        <v>45</v>
      </c>
      <c r="P3180" t="s">
        <v>74</v>
      </c>
      <c r="Q3180" t="s">
        <v>4702</v>
      </c>
      <c r="R3180">
        <v>133.12</v>
      </c>
      <c r="S3180">
        <v>5</v>
      </c>
      <c r="T3180">
        <v>0.2</v>
      </c>
      <c r="U3180">
        <v>49.92</v>
      </c>
      <c r="V3180" t="str">
        <f t="shared" si="49"/>
        <v>Sue Ann Reed</v>
      </c>
      <c r="W3180">
        <f>Table2[Profit]/Table2[Sales]</f>
        <v>0.375</v>
      </c>
    </row>
    <row r="3181" spans="1:23" x14ac:dyDescent="0.25">
      <c r="A3181">
        <v>3180</v>
      </c>
      <c r="B3181" t="s">
        <v>8642</v>
      </c>
      <c r="C3181" s="1">
        <v>42646</v>
      </c>
      <c r="D3181" s="1">
        <v>42650</v>
      </c>
      <c r="E3181" t="s">
        <v>49</v>
      </c>
      <c r="F3181" t="s">
        <v>7093</v>
      </c>
      <c r="G3181" t="s">
        <v>7094</v>
      </c>
      <c r="H3181" t="s">
        <v>40</v>
      </c>
      <c r="I3181" t="s">
        <v>26</v>
      </c>
      <c r="J3181" t="s">
        <v>751</v>
      </c>
      <c r="K3181" t="s">
        <v>103</v>
      </c>
      <c r="L3181">
        <v>75051</v>
      </c>
      <c r="M3181" t="s">
        <v>104</v>
      </c>
      <c r="N3181" t="s">
        <v>1130</v>
      </c>
      <c r="O3181" t="s">
        <v>31</v>
      </c>
      <c r="P3181" t="s">
        <v>64</v>
      </c>
      <c r="Q3181" t="s">
        <v>1131</v>
      </c>
      <c r="R3181">
        <v>38.08</v>
      </c>
      <c r="S3181">
        <v>5</v>
      </c>
      <c r="T3181">
        <v>0.6</v>
      </c>
      <c r="U3181">
        <v>-29.512</v>
      </c>
      <c r="V3181" t="str">
        <f t="shared" si="49"/>
        <v>Tracy Poddar</v>
      </c>
      <c r="W3181">
        <f>Table2[Profit]/Table2[Sales]</f>
        <v>-0.77500000000000002</v>
      </c>
    </row>
    <row r="3182" spans="1:23" x14ac:dyDescent="0.25">
      <c r="A3182">
        <v>3181</v>
      </c>
      <c r="B3182" t="s">
        <v>8643</v>
      </c>
      <c r="C3182" s="1">
        <v>42695</v>
      </c>
      <c r="D3182" s="1">
        <v>42695</v>
      </c>
      <c r="E3182" t="s">
        <v>1278</v>
      </c>
      <c r="F3182" t="s">
        <v>3711</v>
      </c>
      <c r="G3182" t="s">
        <v>3712</v>
      </c>
      <c r="H3182" t="s">
        <v>101</v>
      </c>
      <c r="I3182" t="s">
        <v>26</v>
      </c>
      <c r="J3182" t="s">
        <v>263</v>
      </c>
      <c r="K3182" t="s">
        <v>264</v>
      </c>
      <c r="L3182">
        <v>10009</v>
      </c>
      <c r="M3182" t="s">
        <v>145</v>
      </c>
      <c r="N3182" t="s">
        <v>6424</v>
      </c>
      <c r="O3182" t="s">
        <v>31</v>
      </c>
      <c r="P3182" t="s">
        <v>32</v>
      </c>
      <c r="Q3182" t="s">
        <v>6425</v>
      </c>
      <c r="R3182">
        <v>113.568</v>
      </c>
      <c r="S3182">
        <v>2</v>
      </c>
      <c r="T3182">
        <v>0.2</v>
      </c>
      <c r="U3182">
        <v>12.776400000000001</v>
      </c>
      <c r="V3182" t="str">
        <f t="shared" si="49"/>
        <v>Julie Kriz</v>
      </c>
      <c r="W3182">
        <f>Table2[Profit]/Table2[Sales]</f>
        <v>0.1125</v>
      </c>
    </row>
    <row r="3183" spans="1:23" x14ac:dyDescent="0.25">
      <c r="A3183">
        <v>3182</v>
      </c>
      <c r="B3183" t="s">
        <v>8644</v>
      </c>
      <c r="C3183" s="1">
        <v>43011</v>
      </c>
      <c r="D3183" s="1">
        <v>43013</v>
      </c>
      <c r="E3183" t="s">
        <v>22</v>
      </c>
      <c r="F3183" t="s">
        <v>2100</v>
      </c>
      <c r="G3183" t="s">
        <v>2101</v>
      </c>
      <c r="H3183" t="s">
        <v>101</v>
      </c>
      <c r="I3183" t="s">
        <v>26</v>
      </c>
      <c r="J3183" t="s">
        <v>263</v>
      </c>
      <c r="K3183" t="s">
        <v>264</v>
      </c>
      <c r="L3183">
        <v>10009</v>
      </c>
      <c r="M3183" t="s">
        <v>145</v>
      </c>
      <c r="N3183" t="s">
        <v>476</v>
      </c>
      <c r="O3183" t="s">
        <v>31</v>
      </c>
      <c r="P3183" t="s">
        <v>64</v>
      </c>
      <c r="Q3183" t="s">
        <v>477</v>
      </c>
      <c r="R3183">
        <v>83.92</v>
      </c>
      <c r="S3183">
        <v>4</v>
      </c>
      <c r="T3183">
        <v>0</v>
      </c>
      <c r="U3183">
        <v>21.819199999999999</v>
      </c>
      <c r="V3183" t="str">
        <f t="shared" si="49"/>
        <v>Chuck Clark</v>
      </c>
      <c r="W3183">
        <f>Table2[Profit]/Table2[Sales]</f>
        <v>0.25999999999999995</v>
      </c>
    </row>
    <row r="3184" spans="1:23" x14ac:dyDescent="0.25">
      <c r="A3184">
        <v>3183</v>
      </c>
      <c r="B3184" t="s">
        <v>8645</v>
      </c>
      <c r="C3184" s="1">
        <v>41758</v>
      </c>
      <c r="D3184" s="1">
        <v>41762</v>
      </c>
      <c r="E3184" t="s">
        <v>49</v>
      </c>
      <c r="F3184" t="s">
        <v>1334</v>
      </c>
      <c r="G3184" t="s">
        <v>1335</v>
      </c>
      <c r="H3184" t="s">
        <v>40</v>
      </c>
      <c r="I3184" t="s">
        <v>26</v>
      </c>
      <c r="J3184" t="s">
        <v>327</v>
      </c>
      <c r="K3184" t="s">
        <v>328</v>
      </c>
      <c r="L3184">
        <v>38109</v>
      </c>
      <c r="M3184" t="s">
        <v>29</v>
      </c>
      <c r="N3184" t="s">
        <v>2524</v>
      </c>
      <c r="O3184" t="s">
        <v>31</v>
      </c>
      <c r="P3184" t="s">
        <v>35</v>
      </c>
      <c r="Q3184" t="s">
        <v>2525</v>
      </c>
      <c r="R3184">
        <v>561.58399999999995</v>
      </c>
      <c r="S3184">
        <v>2</v>
      </c>
      <c r="T3184">
        <v>0.2</v>
      </c>
      <c r="U3184">
        <v>70.197999999999993</v>
      </c>
      <c r="V3184" t="str">
        <f t="shared" si="49"/>
        <v>Laura Armstrong</v>
      </c>
      <c r="W3184">
        <f>Table2[Profit]/Table2[Sales]</f>
        <v>0.125</v>
      </c>
    </row>
    <row r="3185" spans="1:23" x14ac:dyDescent="0.25">
      <c r="A3185">
        <v>3184</v>
      </c>
      <c r="B3185" t="s">
        <v>8646</v>
      </c>
      <c r="C3185" s="1">
        <v>42650</v>
      </c>
      <c r="D3185" s="1">
        <v>42653</v>
      </c>
      <c r="E3185" t="s">
        <v>185</v>
      </c>
      <c r="F3185" t="s">
        <v>5046</v>
      </c>
      <c r="G3185" t="s">
        <v>5047</v>
      </c>
      <c r="H3185" t="s">
        <v>101</v>
      </c>
      <c r="I3185" t="s">
        <v>26</v>
      </c>
      <c r="J3185" t="s">
        <v>143</v>
      </c>
      <c r="K3185" t="s">
        <v>144</v>
      </c>
      <c r="L3185">
        <v>19143</v>
      </c>
      <c r="M3185" t="s">
        <v>145</v>
      </c>
      <c r="N3185" t="s">
        <v>385</v>
      </c>
      <c r="O3185" t="s">
        <v>45</v>
      </c>
      <c r="P3185" t="s">
        <v>46</v>
      </c>
      <c r="Q3185" t="s">
        <v>386</v>
      </c>
      <c r="R3185">
        <v>4.9279999999999999</v>
      </c>
      <c r="S3185">
        <v>2</v>
      </c>
      <c r="T3185">
        <v>0.2</v>
      </c>
      <c r="U3185">
        <v>1.7248000000000001</v>
      </c>
      <c r="V3185" t="str">
        <f t="shared" si="49"/>
        <v>Arthur Wiediger</v>
      </c>
      <c r="W3185">
        <f>Table2[Profit]/Table2[Sales]</f>
        <v>0.35000000000000003</v>
      </c>
    </row>
    <row r="3186" spans="1:23" x14ac:dyDescent="0.25">
      <c r="A3186">
        <v>3185</v>
      </c>
      <c r="B3186" t="s">
        <v>8647</v>
      </c>
      <c r="C3186" s="1">
        <v>42719</v>
      </c>
      <c r="D3186" s="1">
        <v>42726</v>
      </c>
      <c r="E3186" t="s">
        <v>49</v>
      </c>
      <c r="F3186" t="s">
        <v>4576</v>
      </c>
      <c r="G3186" t="s">
        <v>4577</v>
      </c>
      <c r="H3186" t="s">
        <v>25</v>
      </c>
      <c r="I3186" t="s">
        <v>26</v>
      </c>
      <c r="J3186" t="s">
        <v>41</v>
      </c>
      <c r="K3186" t="s">
        <v>42</v>
      </c>
      <c r="L3186">
        <v>90004</v>
      </c>
      <c r="M3186" t="s">
        <v>43</v>
      </c>
      <c r="N3186" t="s">
        <v>4958</v>
      </c>
      <c r="O3186" t="s">
        <v>31</v>
      </c>
      <c r="P3186" t="s">
        <v>64</v>
      </c>
      <c r="Q3186" t="s">
        <v>4959</v>
      </c>
      <c r="R3186">
        <v>14.76</v>
      </c>
      <c r="S3186">
        <v>2</v>
      </c>
      <c r="T3186">
        <v>0</v>
      </c>
      <c r="U3186">
        <v>4.2804000000000002</v>
      </c>
      <c r="V3186" t="str">
        <f t="shared" si="49"/>
        <v>Benjamin Patterson</v>
      </c>
      <c r="W3186">
        <f>Table2[Profit]/Table2[Sales]</f>
        <v>0.29000000000000004</v>
      </c>
    </row>
    <row r="3187" spans="1:23" x14ac:dyDescent="0.25">
      <c r="A3187">
        <v>3186</v>
      </c>
      <c r="B3187" t="s">
        <v>8648</v>
      </c>
      <c r="C3187" s="1">
        <v>42835</v>
      </c>
      <c r="D3187" s="1">
        <v>42839</v>
      </c>
      <c r="E3187" t="s">
        <v>49</v>
      </c>
      <c r="F3187" t="s">
        <v>7488</v>
      </c>
      <c r="G3187" t="s">
        <v>7489</v>
      </c>
      <c r="H3187" t="s">
        <v>101</v>
      </c>
      <c r="I3187" t="s">
        <v>26</v>
      </c>
      <c r="J3187" t="s">
        <v>7520</v>
      </c>
      <c r="K3187" t="s">
        <v>740</v>
      </c>
      <c r="L3187">
        <v>6708</v>
      </c>
      <c r="M3187" t="s">
        <v>145</v>
      </c>
      <c r="N3187" t="s">
        <v>1572</v>
      </c>
      <c r="O3187" t="s">
        <v>70</v>
      </c>
      <c r="P3187" t="s">
        <v>158</v>
      </c>
      <c r="Q3187" t="s">
        <v>1573</v>
      </c>
      <c r="R3187">
        <v>99.99</v>
      </c>
      <c r="S3187">
        <v>1</v>
      </c>
      <c r="T3187">
        <v>0</v>
      </c>
      <c r="U3187">
        <v>41.995800000000003</v>
      </c>
      <c r="V3187" t="str">
        <f t="shared" si="49"/>
        <v>Dennis Bolton</v>
      </c>
      <c r="W3187">
        <f>Table2[Profit]/Table2[Sales]</f>
        <v>0.42000000000000004</v>
      </c>
    </row>
    <row r="3188" spans="1:23" x14ac:dyDescent="0.25">
      <c r="A3188">
        <v>3187</v>
      </c>
      <c r="B3188" t="s">
        <v>8649</v>
      </c>
      <c r="C3188" s="1">
        <v>41737</v>
      </c>
      <c r="D3188" s="1">
        <v>41742</v>
      </c>
      <c r="E3188" t="s">
        <v>49</v>
      </c>
      <c r="F3188" t="s">
        <v>3940</v>
      </c>
      <c r="G3188" t="s">
        <v>3941</v>
      </c>
      <c r="H3188" t="s">
        <v>101</v>
      </c>
      <c r="I3188" t="s">
        <v>26</v>
      </c>
      <c r="J3188" t="s">
        <v>7828</v>
      </c>
      <c r="K3188" t="s">
        <v>303</v>
      </c>
      <c r="L3188">
        <v>85224</v>
      </c>
      <c r="M3188" t="s">
        <v>43</v>
      </c>
      <c r="N3188" t="s">
        <v>6261</v>
      </c>
      <c r="O3188" t="s">
        <v>45</v>
      </c>
      <c r="P3188" t="s">
        <v>266</v>
      </c>
      <c r="Q3188" t="s">
        <v>6262</v>
      </c>
      <c r="R3188">
        <v>49.792000000000002</v>
      </c>
      <c r="S3188">
        <v>8</v>
      </c>
      <c r="T3188">
        <v>0.2</v>
      </c>
      <c r="U3188">
        <v>-11.8256</v>
      </c>
      <c r="V3188" t="str">
        <f t="shared" si="49"/>
        <v>Pauline Chand</v>
      </c>
      <c r="W3188">
        <f>Table2[Profit]/Table2[Sales]</f>
        <v>-0.23749999999999999</v>
      </c>
    </row>
    <row r="3189" spans="1:23" x14ac:dyDescent="0.25">
      <c r="A3189">
        <v>3188</v>
      </c>
      <c r="B3189" t="s">
        <v>8650</v>
      </c>
      <c r="C3189" s="1">
        <v>42458</v>
      </c>
      <c r="D3189" s="1">
        <v>42462</v>
      </c>
      <c r="E3189" t="s">
        <v>49</v>
      </c>
      <c r="F3189" t="s">
        <v>1533</v>
      </c>
      <c r="G3189" t="s">
        <v>1534</v>
      </c>
      <c r="H3189" t="s">
        <v>25</v>
      </c>
      <c r="I3189" t="s">
        <v>26</v>
      </c>
      <c r="J3189" t="s">
        <v>311</v>
      </c>
      <c r="K3189" t="s">
        <v>491</v>
      </c>
      <c r="L3189">
        <v>45503</v>
      </c>
      <c r="M3189" t="s">
        <v>145</v>
      </c>
      <c r="N3189" t="s">
        <v>2200</v>
      </c>
      <c r="O3189" t="s">
        <v>31</v>
      </c>
      <c r="P3189" t="s">
        <v>32</v>
      </c>
      <c r="Q3189" t="s">
        <v>2201</v>
      </c>
      <c r="R3189">
        <v>299.97500000000002</v>
      </c>
      <c r="S3189">
        <v>5</v>
      </c>
      <c r="T3189">
        <v>0.5</v>
      </c>
      <c r="U3189">
        <v>-167.98599999999999</v>
      </c>
      <c r="V3189" t="str">
        <f t="shared" si="49"/>
        <v>Troy Blackwell</v>
      </c>
      <c r="W3189">
        <f>Table2[Profit]/Table2[Sales]</f>
        <v>-0.55999999999999994</v>
      </c>
    </row>
    <row r="3190" spans="1:23" x14ac:dyDescent="0.25">
      <c r="A3190">
        <v>3189</v>
      </c>
      <c r="B3190" t="s">
        <v>8651</v>
      </c>
      <c r="C3190" s="1">
        <v>42750</v>
      </c>
      <c r="D3190" s="1">
        <v>42753</v>
      </c>
      <c r="E3190" t="s">
        <v>185</v>
      </c>
      <c r="F3190" t="s">
        <v>5446</v>
      </c>
      <c r="G3190" t="s">
        <v>5447</v>
      </c>
      <c r="H3190" t="s">
        <v>25</v>
      </c>
      <c r="I3190" t="s">
        <v>26</v>
      </c>
      <c r="J3190" t="s">
        <v>1225</v>
      </c>
      <c r="K3190" t="s">
        <v>103</v>
      </c>
      <c r="L3190">
        <v>78745</v>
      </c>
      <c r="M3190" t="s">
        <v>104</v>
      </c>
      <c r="N3190" t="s">
        <v>3075</v>
      </c>
      <c r="O3190" t="s">
        <v>45</v>
      </c>
      <c r="P3190" t="s">
        <v>74</v>
      </c>
      <c r="Q3190" t="s">
        <v>3076</v>
      </c>
      <c r="R3190">
        <v>32.783999999999999</v>
      </c>
      <c r="S3190">
        <v>4</v>
      </c>
      <c r="T3190">
        <v>0.8</v>
      </c>
      <c r="U3190">
        <v>-52.4544</v>
      </c>
      <c r="V3190" t="str">
        <f t="shared" si="49"/>
        <v>Tim Brockman</v>
      </c>
      <c r="W3190">
        <f>Table2[Profit]/Table2[Sales]</f>
        <v>-1.6</v>
      </c>
    </row>
    <row r="3191" spans="1:23" x14ac:dyDescent="0.25">
      <c r="A3191">
        <v>3190</v>
      </c>
      <c r="B3191" t="s">
        <v>8652</v>
      </c>
      <c r="C3191" s="1">
        <v>41669</v>
      </c>
      <c r="D3191" s="1">
        <v>41674</v>
      </c>
      <c r="E3191" t="s">
        <v>49</v>
      </c>
      <c r="F3191" t="s">
        <v>1359</v>
      </c>
      <c r="G3191" t="s">
        <v>1360</v>
      </c>
      <c r="H3191" t="s">
        <v>25</v>
      </c>
      <c r="I3191" t="s">
        <v>26</v>
      </c>
      <c r="J3191" t="s">
        <v>873</v>
      </c>
      <c r="K3191" t="s">
        <v>235</v>
      </c>
      <c r="L3191">
        <v>48234</v>
      </c>
      <c r="M3191" t="s">
        <v>104</v>
      </c>
      <c r="N3191" t="s">
        <v>2000</v>
      </c>
      <c r="O3191" t="s">
        <v>45</v>
      </c>
      <c r="P3191" t="s">
        <v>89</v>
      </c>
      <c r="Q3191" t="s">
        <v>2001</v>
      </c>
      <c r="R3191">
        <v>10.56</v>
      </c>
      <c r="S3191">
        <v>2</v>
      </c>
      <c r="T3191">
        <v>0</v>
      </c>
      <c r="U3191">
        <v>4.7519999999999998</v>
      </c>
      <c r="V3191" t="str">
        <f t="shared" si="49"/>
        <v>Mike Vittorini</v>
      </c>
      <c r="W3191">
        <f>Table2[Profit]/Table2[Sales]</f>
        <v>0.44999999999999996</v>
      </c>
    </row>
    <row r="3192" spans="1:23" x14ac:dyDescent="0.25">
      <c r="A3192">
        <v>3191</v>
      </c>
      <c r="B3192" t="s">
        <v>8653</v>
      </c>
      <c r="C3192" s="1">
        <v>42042</v>
      </c>
      <c r="D3192" s="1">
        <v>42046</v>
      </c>
      <c r="E3192" t="s">
        <v>49</v>
      </c>
      <c r="F3192" t="s">
        <v>3778</v>
      </c>
      <c r="G3192" t="s">
        <v>3779</v>
      </c>
      <c r="H3192" t="s">
        <v>40</v>
      </c>
      <c r="I3192" t="s">
        <v>26</v>
      </c>
      <c r="J3192" t="s">
        <v>311</v>
      </c>
      <c r="K3192" t="s">
        <v>312</v>
      </c>
      <c r="L3192">
        <v>22153</v>
      </c>
      <c r="M3192" t="s">
        <v>29</v>
      </c>
      <c r="N3192" t="s">
        <v>2436</v>
      </c>
      <c r="O3192" t="s">
        <v>45</v>
      </c>
      <c r="P3192" t="s">
        <v>170</v>
      </c>
      <c r="Q3192" t="s">
        <v>2437</v>
      </c>
      <c r="R3192">
        <v>311.14999999999998</v>
      </c>
      <c r="S3192">
        <v>5</v>
      </c>
      <c r="T3192">
        <v>0</v>
      </c>
      <c r="U3192">
        <v>146.2405</v>
      </c>
      <c r="V3192" t="str">
        <f t="shared" si="49"/>
        <v>Damala Kotsonis</v>
      </c>
      <c r="W3192">
        <f>Table2[Profit]/Table2[Sales]</f>
        <v>0.47000000000000003</v>
      </c>
    </row>
    <row r="3193" spans="1:23" x14ac:dyDescent="0.25">
      <c r="A3193">
        <v>3192</v>
      </c>
      <c r="B3193" t="s">
        <v>8654</v>
      </c>
      <c r="C3193" s="1">
        <v>42718</v>
      </c>
      <c r="D3193" s="1">
        <v>42723</v>
      </c>
      <c r="E3193" t="s">
        <v>49</v>
      </c>
      <c r="F3193" t="s">
        <v>110</v>
      </c>
      <c r="G3193" t="s">
        <v>111</v>
      </c>
      <c r="H3193" t="s">
        <v>25</v>
      </c>
      <c r="I3193" t="s">
        <v>26</v>
      </c>
      <c r="J3193" t="s">
        <v>263</v>
      </c>
      <c r="K3193" t="s">
        <v>264</v>
      </c>
      <c r="L3193">
        <v>10011</v>
      </c>
      <c r="M3193" t="s">
        <v>145</v>
      </c>
      <c r="N3193" t="s">
        <v>6177</v>
      </c>
      <c r="O3193" t="s">
        <v>45</v>
      </c>
      <c r="P3193" t="s">
        <v>89</v>
      </c>
      <c r="Q3193" t="s">
        <v>6178</v>
      </c>
      <c r="R3193">
        <v>14.62</v>
      </c>
      <c r="S3193">
        <v>2</v>
      </c>
      <c r="T3193">
        <v>0</v>
      </c>
      <c r="U3193">
        <v>6.7252000000000001</v>
      </c>
      <c r="V3193" t="str">
        <f t="shared" si="49"/>
        <v>Pete Kriz</v>
      </c>
      <c r="W3193">
        <f>Table2[Profit]/Table2[Sales]</f>
        <v>0.46</v>
      </c>
    </row>
    <row r="3194" spans="1:23" x14ac:dyDescent="0.25">
      <c r="A3194">
        <v>3193</v>
      </c>
      <c r="B3194" t="s">
        <v>8657</v>
      </c>
      <c r="C3194" s="1">
        <v>43039</v>
      </c>
      <c r="D3194" s="1">
        <v>43043</v>
      </c>
      <c r="E3194" t="s">
        <v>49</v>
      </c>
      <c r="F3194" t="s">
        <v>4900</v>
      </c>
      <c r="G3194" t="s">
        <v>4901</v>
      </c>
      <c r="H3194" t="s">
        <v>101</v>
      </c>
      <c r="I3194" t="s">
        <v>26</v>
      </c>
      <c r="J3194" t="s">
        <v>808</v>
      </c>
      <c r="K3194" t="s">
        <v>103</v>
      </c>
      <c r="L3194">
        <v>75217</v>
      </c>
      <c r="M3194" t="s">
        <v>104</v>
      </c>
      <c r="N3194" t="s">
        <v>1106</v>
      </c>
      <c r="O3194" t="s">
        <v>45</v>
      </c>
      <c r="P3194" t="s">
        <v>67</v>
      </c>
      <c r="Q3194" t="s">
        <v>1107</v>
      </c>
      <c r="R3194">
        <v>5.2480000000000002</v>
      </c>
      <c r="S3194">
        <v>2</v>
      </c>
      <c r="T3194">
        <v>0.2</v>
      </c>
      <c r="U3194">
        <v>0.59040000000000004</v>
      </c>
      <c r="V3194" t="str">
        <f t="shared" si="49"/>
        <v>Adrian Hane</v>
      </c>
      <c r="W3194">
        <f>Table2[Profit]/Table2[Sales]</f>
        <v>0.1125</v>
      </c>
    </row>
    <row r="3195" spans="1:23" x14ac:dyDescent="0.25">
      <c r="A3195">
        <v>3194</v>
      </c>
      <c r="B3195" t="s">
        <v>8658</v>
      </c>
      <c r="C3195" s="1">
        <v>42953</v>
      </c>
      <c r="D3195" s="1">
        <v>42959</v>
      </c>
      <c r="E3195" t="s">
        <v>49</v>
      </c>
      <c r="F3195" t="s">
        <v>388</v>
      </c>
      <c r="G3195" t="s">
        <v>389</v>
      </c>
      <c r="H3195" t="s">
        <v>101</v>
      </c>
      <c r="I3195" t="s">
        <v>26</v>
      </c>
      <c r="J3195" t="s">
        <v>86</v>
      </c>
      <c r="K3195" t="s">
        <v>2658</v>
      </c>
      <c r="L3195">
        <v>3301</v>
      </c>
      <c r="M3195" t="s">
        <v>145</v>
      </c>
      <c r="N3195" t="s">
        <v>5691</v>
      </c>
      <c r="O3195" t="s">
        <v>70</v>
      </c>
      <c r="P3195" t="s">
        <v>71</v>
      </c>
      <c r="Q3195" t="s">
        <v>5692</v>
      </c>
      <c r="R3195">
        <v>824.95</v>
      </c>
      <c r="S3195">
        <v>5</v>
      </c>
      <c r="T3195">
        <v>0</v>
      </c>
      <c r="U3195">
        <v>247.48500000000001</v>
      </c>
      <c r="V3195" t="str">
        <f t="shared" si="49"/>
        <v>Gary Mitchum</v>
      </c>
      <c r="W3195">
        <f>Table2[Profit]/Table2[Sales]</f>
        <v>0.3</v>
      </c>
    </row>
    <row r="3196" spans="1:23" x14ac:dyDescent="0.25">
      <c r="A3196">
        <v>3195</v>
      </c>
      <c r="B3196" t="s">
        <v>8659</v>
      </c>
      <c r="C3196" s="1">
        <v>42885</v>
      </c>
      <c r="D3196" s="1">
        <v>42886</v>
      </c>
      <c r="E3196" t="s">
        <v>185</v>
      </c>
      <c r="F3196" t="s">
        <v>1941</v>
      </c>
      <c r="G3196" t="s">
        <v>1942</v>
      </c>
      <c r="H3196" t="s">
        <v>25</v>
      </c>
      <c r="I3196" t="s">
        <v>26</v>
      </c>
      <c r="J3196" t="s">
        <v>4182</v>
      </c>
      <c r="K3196" t="s">
        <v>729</v>
      </c>
      <c r="L3196">
        <v>70506</v>
      </c>
      <c r="M3196" t="s">
        <v>29</v>
      </c>
      <c r="N3196" t="s">
        <v>4382</v>
      </c>
      <c r="O3196" t="s">
        <v>31</v>
      </c>
      <c r="P3196" t="s">
        <v>32</v>
      </c>
      <c r="Q3196" t="s">
        <v>4383</v>
      </c>
      <c r="R3196">
        <v>241.96</v>
      </c>
      <c r="S3196">
        <v>2</v>
      </c>
      <c r="T3196">
        <v>0</v>
      </c>
      <c r="U3196">
        <v>33.874400000000001</v>
      </c>
      <c r="V3196" t="str">
        <f t="shared" si="49"/>
        <v>Bruce Degenhardt</v>
      </c>
      <c r="W3196">
        <f>Table2[Profit]/Table2[Sales]</f>
        <v>0.14000000000000001</v>
      </c>
    </row>
    <row r="3197" spans="1:23" x14ac:dyDescent="0.25">
      <c r="A3197">
        <v>3196</v>
      </c>
      <c r="B3197" t="s">
        <v>8660</v>
      </c>
      <c r="C3197" s="1">
        <v>42338</v>
      </c>
      <c r="D3197" s="1">
        <v>42343</v>
      </c>
      <c r="E3197" t="s">
        <v>49</v>
      </c>
      <c r="F3197" t="s">
        <v>4378</v>
      </c>
      <c r="G3197" t="s">
        <v>4379</v>
      </c>
      <c r="H3197" t="s">
        <v>25</v>
      </c>
      <c r="I3197" t="s">
        <v>26</v>
      </c>
      <c r="J3197" t="s">
        <v>4494</v>
      </c>
      <c r="K3197" t="s">
        <v>87</v>
      </c>
      <c r="L3197">
        <v>27604</v>
      </c>
      <c r="M3197" t="s">
        <v>29</v>
      </c>
      <c r="N3197" t="s">
        <v>4681</v>
      </c>
      <c r="O3197" t="s">
        <v>70</v>
      </c>
      <c r="P3197" t="s">
        <v>71</v>
      </c>
      <c r="Q3197" t="s">
        <v>4682</v>
      </c>
      <c r="R3197">
        <v>177.48</v>
      </c>
      <c r="S3197">
        <v>3</v>
      </c>
      <c r="T3197">
        <v>0.2</v>
      </c>
      <c r="U3197">
        <v>19.9665</v>
      </c>
      <c r="V3197" t="str">
        <f t="shared" si="49"/>
        <v>Raymond Messe</v>
      </c>
      <c r="W3197">
        <f>Table2[Profit]/Table2[Sales]</f>
        <v>0.1125</v>
      </c>
    </row>
    <row r="3198" spans="1:23" x14ac:dyDescent="0.25">
      <c r="A3198">
        <v>3197</v>
      </c>
      <c r="B3198" t="s">
        <v>8661</v>
      </c>
      <c r="C3198" s="1">
        <v>42978</v>
      </c>
      <c r="D3198" s="1">
        <v>42980</v>
      </c>
      <c r="E3198" t="s">
        <v>22</v>
      </c>
      <c r="F3198" t="s">
        <v>2515</v>
      </c>
      <c r="G3198" t="s">
        <v>2516</v>
      </c>
      <c r="H3198" t="s">
        <v>40</v>
      </c>
      <c r="I3198" t="s">
        <v>26</v>
      </c>
      <c r="J3198" t="s">
        <v>4578</v>
      </c>
      <c r="K3198" t="s">
        <v>95</v>
      </c>
      <c r="L3198">
        <v>99207</v>
      </c>
      <c r="M3198" t="s">
        <v>43</v>
      </c>
      <c r="N3198" t="s">
        <v>1566</v>
      </c>
      <c r="O3198" t="s">
        <v>31</v>
      </c>
      <c r="P3198" t="s">
        <v>35</v>
      </c>
      <c r="Q3198" t="s">
        <v>1567</v>
      </c>
      <c r="R3198">
        <v>569.56799999999998</v>
      </c>
      <c r="S3198">
        <v>2</v>
      </c>
      <c r="T3198">
        <v>0.2</v>
      </c>
      <c r="U3198">
        <v>7.1196000000000002</v>
      </c>
      <c r="V3198" t="str">
        <f t="shared" si="49"/>
        <v>Bart Watters</v>
      </c>
      <c r="W3198">
        <f>Table2[Profit]/Table2[Sales]</f>
        <v>1.2500000000000001E-2</v>
      </c>
    </row>
    <row r="3199" spans="1:23" x14ac:dyDescent="0.25">
      <c r="A3199">
        <v>3198</v>
      </c>
      <c r="B3199" t="s">
        <v>8662</v>
      </c>
      <c r="C3199" s="1">
        <v>42869</v>
      </c>
      <c r="D3199" s="1">
        <v>42870</v>
      </c>
      <c r="E3199" t="s">
        <v>185</v>
      </c>
      <c r="F3199" t="s">
        <v>1852</v>
      </c>
      <c r="G3199" t="s">
        <v>1853</v>
      </c>
      <c r="H3199" t="s">
        <v>25</v>
      </c>
      <c r="I3199" t="s">
        <v>26</v>
      </c>
      <c r="J3199" t="s">
        <v>181</v>
      </c>
      <c r="K3199" t="s">
        <v>103</v>
      </c>
      <c r="L3199">
        <v>77041</v>
      </c>
      <c r="M3199" t="s">
        <v>104</v>
      </c>
      <c r="N3199" t="s">
        <v>4668</v>
      </c>
      <c r="O3199" t="s">
        <v>31</v>
      </c>
      <c r="P3199" t="s">
        <v>35</v>
      </c>
      <c r="Q3199" t="s">
        <v>4669</v>
      </c>
      <c r="R3199">
        <v>899.43</v>
      </c>
      <c r="S3199">
        <v>5</v>
      </c>
      <c r="T3199">
        <v>0.3</v>
      </c>
      <c r="U3199">
        <v>-12.849</v>
      </c>
      <c r="V3199" t="str">
        <f t="shared" si="49"/>
        <v>Greg Tran</v>
      </c>
      <c r="W3199">
        <f>Table2[Profit]/Table2[Sales]</f>
        <v>-1.4285714285714287E-2</v>
      </c>
    </row>
    <row r="3200" spans="1:23" x14ac:dyDescent="0.25">
      <c r="A3200">
        <v>3199</v>
      </c>
      <c r="B3200" t="s">
        <v>8663</v>
      </c>
      <c r="C3200" s="1">
        <v>42964</v>
      </c>
      <c r="D3200" s="1">
        <v>42970</v>
      </c>
      <c r="E3200" t="s">
        <v>49</v>
      </c>
      <c r="F3200" t="s">
        <v>4900</v>
      </c>
      <c r="G3200" t="s">
        <v>4901</v>
      </c>
      <c r="H3200" t="s">
        <v>101</v>
      </c>
      <c r="I3200" t="s">
        <v>26</v>
      </c>
      <c r="J3200" t="s">
        <v>1459</v>
      </c>
      <c r="K3200" t="s">
        <v>28</v>
      </c>
      <c r="L3200">
        <v>40214</v>
      </c>
      <c r="M3200" t="s">
        <v>29</v>
      </c>
      <c r="N3200" t="s">
        <v>611</v>
      </c>
      <c r="O3200" t="s">
        <v>45</v>
      </c>
      <c r="P3200" t="s">
        <v>74</v>
      </c>
      <c r="Q3200" t="s">
        <v>612</v>
      </c>
      <c r="R3200">
        <v>102.93</v>
      </c>
      <c r="S3200">
        <v>3</v>
      </c>
      <c r="T3200">
        <v>0</v>
      </c>
      <c r="U3200">
        <v>48.377099999999999</v>
      </c>
      <c r="V3200" t="str">
        <f t="shared" si="49"/>
        <v>Adrian Hane</v>
      </c>
      <c r="W3200">
        <f>Table2[Profit]/Table2[Sales]</f>
        <v>0.47</v>
      </c>
    </row>
    <row r="3201" spans="1:23" x14ac:dyDescent="0.25">
      <c r="A3201">
        <v>3200</v>
      </c>
      <c r="B3201" t="s">
        <v>8664</v>
      </c>
      <c r="C3201" s="1">
        <v>43049</v>
      </c>
      <c r="D3201" s="1">
        <v>43053</v>
      </c>
      <c r="E3201" t="s">
        <v>22</v>
      </c>
      <c r="F3201" t="s">
        <v>5865</v>
      </c>
      <c r="G3201" t="s">
        <v>5866</v>
      </c>
      <c r="H3201" t="s">
        <v>101</v>
      </c>
      <c r="I3201" t="s">
        <v>26</v>
      </c>
      <c r="J3201" t="s">
        <v>7070</v>
      </c>
      <c r="K3201" t="s">
        <v>53</v>
      </c>
      <c r="L3201">
        <v>33021</v>
      </c>
      <c r="M3201" t="s">
        <v>29</v>
      </c>
      <c r="N3201" t="s">
        <v>8012</v>
      </c>
      <c r="O3201" t="s">
        <v>45</v>
      </c>
      <c r="P3201" t="s">
        <v>74</v>
      </c>
      <c r="Q3201" t="s">
        <v>8013</v>
      </c>
      <c r="R3201">
        <v>11.52</v>
      </c>
      <c r="S3201">
        <v>5</v>
      </c>
      <c r="T3201">
        <v>0.7</v>
      </c>
      <c r="U3201">
        <v>-7.68</v>
      </c>
      <c r="V3201" t="str">
        <f t="shared" si="49"/>
        <v>Daniel Raglin</v>
      </c>
      <c r="W3201">
        <f>Table2[Profit]/Table2[Sales]</f>
        <v>-0.66666666666666663</v>
      </c>
    </row>
    <row r="3202" spans="1:23" x14ac:dyDescent="0.25">
      <c r="A3202">
        <v>3201</v>
      </c>
      <c r="B3202" t="s">
        <v>8665</v>
      </c>
      <c r="C3202" s="1">
        <v>42968</v>
      </c>
      <c r="D3202" s="1">
        <v>42968</v>
      </c>
      <c r="E3202" t="s">
        <v>1278</v>
      </c>
      <c r="F3202" t="s">
        <v>3198</v>
      </c>
      <c r="G3202" t="s">
        <v>3199</v>
      </c>
      <c r="H3202" t="s">
        <v>40</v>
      </c>
      <c r="I3202" t="s">
        <v>26</v>
      </c>
      <c r="J3202" t="s">
        <v>7828</v>
      </c>
      <c r="K3202" t="s">
        <v>303</v>
      </c>
      <c r="L3202">
        <v>85224</v>
      </c>
      <c r="M3202" t="s">
        <v>43</v>
      </c>
      <c r="N3202" t="s">
        <v>2528</v>
      </c>
      <c r="O3202" t="s">
        <v>45</v>
      </c>
      <c r="P3202" t="s">
        <v>89</v>
      </c>
      <c r="Q3202" t="s">
        <v>2529</v>
      </c>
      <c r="R3202">
        <v>83.88</v>
      </c>
      <c r="S3202">
        <v>1</v>
      </c>
      <c r="T3202">
        <v>0.2</v>
      </c>
      <c r="U3202">
        <v>29.358000000000001</v>
      </c>
      <c r="V3202" t="str">
        <f t="shared" si="49"/>
        <v>Dionis Lloyd</v>
      </c>
      <c r="W3202">
        <f>Table2[Profit]/Table2[Sales]</f>
        <v>0.35000000000000003</v>
      </c>
    </row>
    <row r="3203" spans="1:23" x14ac:dyDescent="0.25">
      <c r="A3203">
        <v>3202</v>
      </c>
      <c r="B3203" t="s">
        <v>8666</v>
      </c>
      <c r="C3203" s="1">
        <v>42437</v>
      </c>
      <c r="D3203" s="1">
        <v>42441</v>
      </c>
      <c r="E3203" t="s">
        <v>49</v>
      </c>
      <c r="F3203" t="s">
        <v>3095</v>
      </c>
      <c r="G3203" t="s">
        <v>3096</v>
      </c>
      <c r="H3203" t="s">
        <v>25</v>
      </c>
      <c r="I3203" t="s">
        <v>26</v>
      </c>
      <c r="J3203" t="s">
        <v>143</v>
      </c>
      <c r="K3203" t="s">
        <v>144</v>
      </c>
      <c r="L3203">
        <v>19120</v>
      </c>
      <c r="M3203" t="s">
        <v>145</v>
      </c>
      <c r="N3203" t="s">
        <v>5707</v>
      </c>
      <c r="O3203" t="s">
        <v>70</v>
      </c>
      <c r="P3203" t="s">
        <v>71</v>
      </c>
      <c r="Q3203" t="s">
        <v>5708</v>
      </c>
      <c r="R3203">
        <v>108.57599999999999</v>
      </c>
      <c r="S3203">
        <v>4</v>
      </c>
      <c r="T3203">
        <v>0.4</v>
      </c>
      <c r="U3203">
        <v>-25.334399999999999</v>
      </c>
      <c r="V3203" t="str">
        <f t="shared" ref="V3203:V3266" si="50">TRIM(G3203)</f>
        <v>Brian DeCherney</v>
      </c>
      <c r="W3203">
        <f>Table2[Profit]/Table2[Sales]</f>
        <v>-0.23333333333333334</v>
      </c>
    </row>
    <row r="3204" spans="1:23" x14ac:dyDescent="0.25">
      <c r="A3204">
        <v>3203</v>
      </c>
      <c r="B3204" t="s">
        <v>8667</v>
      </c>
      <c r="C3204" s="1">
        <v>42674</v>
      </c>
      <c r="D3204" s="1">
        <v>42679</v>
      </c>
      <c r="E3204" t="s">
        <v>49</v>
      </c>
      <c r="F3204" t="s">
        <v>2476</v>
      </c>
      <c r="G3204" t="s">
        <v>2477</v>
      </c>
      <c r="H3204" t="s">
        <v>40</v>
      </c>
      <c r="I3204" t="s">
        <v>26</v>
      </c>
      <c r="J3204" t="s">
        <v>4454</v>
      </c>
      <c r="K3204" t="s">
        <v>641</v>
      </c>
      <c r="L3204">
        <v>74133</v>
      </c>
      <c r="M3204" t="s">
        <v>104</v>
      </c>
      <c r="N3204" t="s">
        <v>571</v>
      </c>
      <c r="O3204" t="s">
        <v>45</v>
      </c>
      <c r="P3204" t="s">
        <v>572</v>
      </c>
      <c r="Q3204" t="s">
        <v>573</v>
      </c>
      <c r="R3204">
        <v>21.96</v>
      </c>
      <c r="S3204">
        <v>2</v>
      </c>
      <c r="T3204">
        <v>0</v>
      </c>
      <c r="U3204">
        <v>6.1487999999999996</v>
      </c>
      <c r="V3204" t="str">
        <f t="shared" si="50"/>
        <v>Helen Wasserman</v>
      </c>
      <c r="W3204">
        <f>Table2[Profit]/Table2[Sales]</f>
        <v>0.27999999999999997</v>
      </c>
    </row>
    <row r="3205" spans="1:23" x14ac:dyDescent="0.25">
      <c r="A3205">
        <v>3204</v>
      </c>
      <c r="B3205" t="s">
        <v>8668</v>
      </c>
      <c r="C3205" s="1">
        <v>41846</v>
      </c>
      <c r="D3205" s="1">
        <v>41852</v>
      </c>
      <c r="E3205" t="s">
        <v>49</v>
      </c>
      <c r="F3205" t="s">
        <v>6479</v>
      </c>
      <c r="G3205" t="s">
        <v>6480</v>
      </c>
      <c r="H3205" t="s">
        <v>40</v>
      </c>
      <c r="I3205" t="s">
        <v>26</v>
      </c>
      <c r="J3205" t="s">
        <v>8117</v>
      </c>
      <c r="K3205" t="s">
        <v>120</v>
      </c>
      <c r="L3205">
        <v>84020</v>
      </c>
      <c r="M3205" t="s">
        <v>43</v>
      </c>
      <c r="N3205" t="s">
        <v>4297</v>
      </c>
      <c r="O3205" t="s">
        <v>70</v>
      </c>
      <c r="P3205" t="s">
        <v>158</v>
      </c>
      <c r="Q3205" t="s">
        <v>4298</v>
      </c>
      <c r="R3205">
        <v>111.93</v>
      </c>
      <c r="S3205">
        <v>7</v>
      </c>
      <c r="T3205">
        <v>0</v>
      </c>
      <c r="U3205">
        <v>34.698300000000003</v>
      </c>
      <c r="V3205" t="str">
        <f t="shared" si="50"/>
        <v>Jack O'Briant</v>
      </c>
      <c r="W3205">
        <f>Table2[Profit]/Table2[Sales]</f>
        <v>0.31</v>
      </c>
    </row>
    <row r="3206" spans="1:23" x14ac:dyDescent="0.25">
      <c r="A3206">
        <v>3205</v>
      </c>
      <c r="B3206" t="s">
        <v>8669</v>
      </c>
      <c r="C3206" s="1">
        <v>42301</v>
      </c>
      <c r="D3206" s="1">
        <v>42304</v>
      </c>
      <c r="E3206" t="s">
        <v>185</v>
      </c>
      <c r="F3206" t="s">
        <v>3033</v>
      </c>
      <c r="G3206" t="s">
        <v>3034</v>
      </c>
      <c r="H3206" t="s">
        <v>101</v>
      </c>
      <c r="I3206" t="s">
        <v>26</v>
      </c>
      <c r="J3206" t="s">
        <v>3145</v>
      </c>
      <c r="K3206" t="s">
        <v>42</v>
      </c>
      <c r="L3206">
        <v>94601</v>
      </c>
      <c r="M3206" t="s">
        <v>43</v>
      </c>
      <c r="N3206" t="s">
        <v>1431</v>
      </c>
      <c r="O3206" t="s">
        <v>31</v>
      </c>
      <c r="P3206" t="s">
        <v>35</v>
      </c>
      <c r="Q3206" t="s">
        <v>1432</v>
      </c>
      <c r="R3206">
        <v>454.27199999999999</v>
      </c>
      <c r="S3206">
        <v>8</v>
      </c>
      <c r="T3206">
        <v>0.2</v>
      </c>
      <c r="U3206">
        <v>-73.819199999999995</v>
      </c>
      <c r="V3206" t="str">
        <f t="shared" si="50"/>
        <v>Robert Dilbeck</v>
      </c>
      <c r="W3206">
        <f>Table2[Profit]/Table2[Sales]</f>
        <v>-0.16250000000000001</v>
      </c>
    </row>
    <row r="3207" spans="1:23" x14ac:dyDescent="0.25">
      <c r="A3207">
        <v>3206</v>
      </c>
      <c r="B3207" t="s">
        <v>8670</v>
      </c>
      <c r="C3207" s="1">
        <v>42966</v>
      </c>
      <c r="D3207" s="1">
        <v>42971</v>
      </c>
      <c r="E3207" t="s">
        <v>49</v>
      </c>
      <c r="F3207" t="s">
        <v>8310</v>
      </c>
      <c r="G3207" t="s">
        <v>8311</v>
      </c>
      <c r="H3207" t="s">
        <v>25</v>
      </c>
      <c r="I3207" t="s">
        <v>26</v>
      </c>
      <c r="J3207" t="s">
        <v>1465</v>
      </c>
      <c r="K3207" t="s">
        <v>1233</v>
      </c>
      <c r="L3207">
        <v>1841</v>
      </c>
      <c r="M3207" t="s">
        <v>145</v>
      </c>
      <c r="N3207" t="s">
        <v>6589</v>
      </c>
      <c r="O3207" t="s">
        <v>45</v>
      </c>
      <c r="P3207" t="s">
        <v>89</v>
      </c>
      <c r="Q3207" t="s">
        <v>6590</v>
      </c>
      <c r="R3207">
        <v>19.440000000000001</v>
      </c>
      <c r="S3207">
        <v>3</v>
      </c>
      <c r="T3207">
        <v>0</v>
      </c>
      <c r="U3207">
        <v>9.3312000000000008</v>
      </c>
      <c r="V3207" t="str">
        <f t="shared" si="50"/>
        <v>Doug O'Connell</v>
      </c>
      <c r="W3207">
        <f>Table2[Profit]/Table2[Sales]</f>
        <v>0.48000000000000004</v>
      </c>
    </row>
    <row r="3208" spans="1:23" x14ac:dyDescent="0.25">
      <c r="A3208">
        <v>3207</v>
      </c>
      <c r="B3208" t="s">
        <v>8671</v>
      </c>
      <c r="C3208" s="1">
        <v>42513</v>
      </c>
      <c r="D3208" s="1">
        <v>42517</v>
      </c>
      <c r="E3208" t="s">
        <v>49</v>
      </c>
      <c r="F3208" t="s">
        <v>5915</v>
      </c>
      <c r="G3208" t="s">
        <v>5916</v>
      </c>
      <c r="H3208" t="s">
        <v>25</v>
      </c>
      <c r="I3208" t="s">
        <v>26</v>
      </c>
      <c r="J3208" t="s">
        <v>143</v>
      </c>
      <c r="K3208" t="s">
        <v>144</v>
      </c>
      <c r="L3208">
        <v>19120</v>
      </c>
      <c r="M3208" t="s">
        <v>145</v>
      </c>
      <c r="N3208" t="s">
        <v>5619</v>
      </c>
      <c r="O3208" t="s">
        <v>70</v>
      </c>
      <c r="P3208" t="s">
        <v>1204</v>
      </c>
      <c r="Q3208" t="s">
        <v>5620</v>
      </c>
      <c r="R3208">
        <v>8399.9760000000006</v>
      </c>
      <c r="S3208">
        <v>4</v>
      </c>
      <c r="T3208">
        <v>0.4</v>
      </c>
      <c r="U3208">
        <v>1119.9967999999999</v>
      </c>
      <c r="V3208" t="str">
        <f t="shared" si="50"/>
        <v>Christopher Conant</v>
      </c>
      <c r="W3208">
        <f>Table2[Profit]/Table2[Sales]</f>
        <v>0.1333333333333333</v>
      </c>
    </row>
    <row r="3209" spans="1:23" x14ac:dyDescent="0.25">
      <c r="A3209">
        <v>3208</v>
      </c>
      <c r="B3209" t="s">
        <v>8676</v>
      </c>
      <c r="C3209" s="1">
        <v>41946</v>
      </c>
      <c r="D3209" s="1">
        <v>41950</v>
      </c>
      <c r="E3209" t="s">
        <v>49</v>
      </c>
      <c r="F3209" t="s">
        <v>1117</v>
      </c>
      <c r="G3209" t="s">
        <v>1118</v>
      </c>
      <c r="H3209" t="s">
        <v>25</v>
      </c>
      <c r="I3209" t="s">
        <v>26</v>
      </c>
      <c r="J3209" t="s">
        <v>1507</v>
      </c>
      <c r="K3209" t="s">
        <v>87</v>
      </c>
      <c r="L3209">
        <v>28540</v>
      </c>
      <c r="M3209" t="s">
        <v>29</v>
      </c>
      <c r="N3209" t="s">
        <v>2770</v>
      </c>
      <c r="O3209" t="s">
        <v>45</v>
      </c>
      <c r="P3209" t="s">
        <v>58</v>
      </c>
      <c r="Q3209" t="s">
        <v>2771</v>
      </c>
      <c r="R3209">
        <v>25.984000000000002</v>
      </c>
      <c r="S3209">
        <v>2</v>
      </c>
      <c r="T3209">
        <v>0.2</v>
      </c>
      <c r="U3209">
        <v>-1.6240000000000001</v>
      </c>
      <c r="V3209" t="str">
        <f t="shared" si="50"/>
        <v>Shahid Hopkins</v>
      </c>
      <c r="W3209">
        <f>Table2[Profit]/Table2[Sales]</f>
        <v>-6.25E-2</v>
      </c>
    </row>
    <row r="3210" spans="1:23" x14ac:dyDescent="0.25">
      <c r="A3210">
        <v>3209</v>
      </c>
      <c r="B3210" t="s">
        <v>8677</v>
      </c>
      <c r="C3210" s="1">
        <v>42093</v>
      </c>
      <c r="D3210" s="1">
        <v>42098</v>
      </c>
      <c r="E3210" t="s">
        <v>49</v>
      </c>
      <c r="F3210" t="s">
        <v>6595</v>
      </c>
      <c r="G3210" t="s">
        <v>6596</v>
      </c>
      <c r="H3210" t="s">
        <v>40</v>
      </c>
      <c r="I3210" t="s">
        <v>26</v>
      </c>
      <c r="J3210" t="s">
        <v>296</v>
      </c>
      <c r="K3210" t="s">
        <v>208</v>
      </c>
      <c r="L3210">
        <v>60610</v>
      </c>
      <c r="M3210" t="s">
        <v>104</v>
      </c>
      <c r="N3210" t="s">
        <v>3920</v>
      </c>
      <c r="O3210" t="s">
        <v>45</v>
      </c>
      <c r="P3210" t="s">
        <v>89</v>
      </c>
      <c r="Q3210" t="s">
        <v>3921</v>
      </c>
      <c r="R3210">
        <v>23.52</v>
      </c>
      <c r="S3210">
        <v>5</v>
      </c>
      <c r="T3210">
        <v>0.2</v>
      </c>
      <c r="U3210">
        <v>8.5259999999999998</v>
      </c>
      <c r="V3210" t="str">
        <f t="shared" si="50"/>
        <v>Fred Chung</v>
      </c>
      <c r="W3210">
        <f>Table2[Profit]/Table2[Sales]</f>
        <v>0.36249999999999999</v>
      </c>
    </row>
    <row r="3211" spans="1:23" x14ac:dyDescent="0.25">
      <c r="A3211">
        <v>3210</v>
      </c>
      <c r="B3211" t="s">
        <v>8678</v>
      </c>
      <c r="C3211" s="1">
        <v>42882</v>
      </c>
      <c r="D3211" s="1">
        <v>42884</v>
      </c>
      <c r="E3211" t="s">
        <v>185</v>
      </c>
      <c r="F3211" t="s">
        <v>4175</v>
      </c>
      <c r="G3211" t="s">
        <v>4176</v>
      </c>
      <c r="H3211" t="s">
        <v>25</v>
      </c>
      <c r="I3211" t="s">
        <v>26</v>
      </c>
      <c r="J3211" t="s">
        <v>8207</v>
      </c>
      <c r="K3211" t="s">
        <v>6119</v>
      </c>
      <c r="L3211">
        <v>83201</v>
      </c>
      <c r="M3211" t="s">
        <v>43</v>
      </c>
      <c r="N3211" t="s">
        <v>6000</v>
      </c>
      <c r="O3211" t="s">
        <v>31</v>
      </c>
      <c r="P3211" t="s">
        <v>64</v>
      </c>
      <c r="Q3211" t="s">
        <v>6001</v>
      </c>
      <c r="R3211">
        <v>35</v>
      </c>
      <c r="S3211">
        <v>4</v>
      </c>
      <c r="T3211">
        <v>0</v>
      </c>
      <c r="U3211">
        <v>14.7</v>
      </c>
      <c r="V3211" t="str">
        <f t="shared" si="50"/>
        <v>James Galang</v>
      </c>
      <c r="W3211">
        <f>Table2[Profit]/Table2[Sales]</f>
        <v>0.42</v>
      </c>
    </row>
    <row r="3212" spans="1:23" x14ac:dyDescent="0.25">
      <c r="A3212">
        <v>3211</v>
      </c>
      <c r="B3212" t="s">
        <v>8679</v>
      </c>
      <c r="C3212" s="1">
        <v>43083</v>
      </c>
      <c r="D3212" s="1">
        <v>43088</v>
      </c>
      <c r="E3212" t="s">
        <v>49</v>
      </c>
      <c r="F3212" t="s">
        <v>558</v>
      </c>
      <c r="G3212" t="s">
        <v>559</v>
      </c>
      <c r="H3212" t="s">
        <v>25</v>
      </c>
      <c r="I3212" t="s">
        <v>26</v>
      </c>
      <c r="J3212" t="s">
        <v>4260</v>
      </c>
      <c r="K3212" t="s">
        <v>103</v>
      </c>
      <c r="L3212">
        <v>75023</v>
      </c>
      <c r="M3212" t="s">
        <v>104</v>
      </c>
      <c r="N3212" t="s">
        <v>54</v>
      </c>
      <c r="O3212" t="s">
        <v>31</v>
      </c>
      <c r="P3212" t="s">
        <v>55</v>
      </c>
      <c r="Q3212" t="s">
        <v>56</v>
      </c>
      <c r="R3212">
        <v>974.98800000000006</v>
      </c>
      <c r="S3212">
        <v>4</v>
      </c>
      <c r="T3212">
        <v>0.3</v>
      </c>
      <c r="U3212">
        <v>-97.498800000000003</v>
      </c>
      <c r="V3212" t="str">
        <f t="shared" si="50"/>
        <v>Lena Creighton</v>
      </c>
      <c r="W3212">
        <f>Table2[Profit]/Table2[Sales]</f>
        <v>-9.9999999999999992E-2</v>
      </c>
    </row>
    <row r="3213" spans="1:23" x14ac:dyDescent="0.25">
      <c r="A3213">
        <v>3212</v>
      </c>
      <c r="B3213" t="s">
        <v>8680</v>
      </c>
      <c r="C3213" s="1">
        <v>41916</v>
      </c>
      <c r="D3213" s="1">
        <v>41918</v>
      </c>
      <c r="E3213" t="s">
        <v>185</v>
      </c>
      <c r="F3213" t="s">
        <v>3456</v>
      </c>
      <c r="G3213" t="s">
        <v>3457</v>
      </c>
      <c r="H3213" t="s">
        <v>25</v>
      </c>
      <c r="I3213" t="s">
        <v>26</v>
      </c>
      <c r="J3213" t="s">
        <v>263</v>
      </c>
      <c r="K3213" t="s">
        <v>264</v>
      </c>
      <c r="L3213">
        <v>10024</v>
      </c>
      <c r="M3213" t="s">
        <v>145</v>
      </c>
      <c r="N3213" t="s">
        <v>6800</v>
      </c>
      <c r="O3213" t="s">
        <v>31</v>
      </c>
      <c r="P3213" t="s">
        <v>35</v>
      </c>
      <c r="Q3213" t="s">
        <v>6801</v>
      </c>
      <c r="R3213">
        <v>589.41</v>
      </c>
      <c r="S3213">
        <v>5</v>
      </c>
      <c r="T3213">
        <v>0.1</v>
      </c>
      <c r="U3213">
        <v>-6.5490000000000004</v>
      </c>
      <c r="V3213" t="str">
        <f t="shared" si="50"/>
        <v>Chris Cortes</v>
      </c>
      <c r="W3213">
        <f>Table2[Profit]/Table2[Sales]</f>
        <v>-1.1111111111111112E-2</v>
      </c>
    </row>
    <row r="3214" spans="1:23" x14ac:dyDescent="0.25">
      <c r="A3214">
        <v>3213</v>
      </c>
      <c r="B3214" t="s">
        <v>8681</v>
      </c>
      <c r="C3214" s="1">
        <v>42656</v>
      </c>
      <c r="D3214" s="1">
        <v>42663</v>
      </c>
      <c r="E3214" t="s">
        <v>49</v>
      </c>
      <c r="F3214" t="s">
        <v>2515</v>
      </c>
      <c r="G3214" t="s">
        <v>2516</v>
      </c>
      <c r="H3214" t="s">
        <v>40</v>
      </c>
      <c r="I3214" t="s">
        <v>26</v>
      </c>
      <c r="J3214" t="s">
        <v>263</v>
      </c>
      <c r="K3214" t="s">
        <v>264</v>
      </c>
      <c r="L3214">
        <v>10024</v>
      </c>
      <c r="M3214" t="s">
        <v>145</v>
      </c>
      <c r="N3214" t="s">
        <v>3515</v>
      </c>
      <c r="O3214" t="s">
        <v>45</v>
      </c>
      <c r="P3214" t="s">
        <v>67</v>
      </c>
      <c r="Q3214" t="s">
        <v>3516</v>
      </c>
      <c r="R3214">
        <v>34.700000000000003</v>
      </c>
      <c r="S3214">
        <v>5</v>
      </c>
      <c r="T3214">
        <v>0</v>
      </c>
      <c r="U3214">
        <v>12.492000000000001</v>
      </c>
      <c r="V3214" t="str">
        <f t="shared" si="50"/>
        <v>Bart Watters</v>
      </c>
      <c r="W3214">
        <f>Table2[Profit]/Table2[Sales]</f>
        <v>0.36</v>
      </c>
    </row>
    <row r="3215" spans="1:23" x14ac:dyDescent="0.25">
      <c r="A3215">
        <v>3214</v>
      </c>
      <c r="B3215" t="s">
        <v>8682</v>
      </c>
      <c r="C3215" s="1">
        <v>42068</v>
      </c>
      <c r="D3215" s="1">
        <v>42073</v>
      </c>
      <c r="E3215" t="s">
        <v>49</v>
      </c>
      <c r="F3215" t="s">
        <v>3023</v>
      </c>
      <c r="G3215" t="s">
        <v>3024</v>
      </c>
      <c r="H3215" t="s">
        <v>25</v>
      </c>
      <c r="I3215" t="s">
        <v>26</v>
      </c>
      <c r="J3215" t="s">
        <v>296</v>
      </c>
      <c r="K3215" t="s">
        <v>208</v>
      </c>
      <c r="L3215">
        <v>60623</v>
      </c>
      <c r="M3215" t="s">
        <v>104</v>
      </c>
      <c r="N3215" t="s">
        <v>4227</v>
      </c>
      <c r="O3215" t="s">
        <v>45</v>
      </c>
      <c r="P3215" t="s">
        <v>266</v>
      </c>
      <c r="Q3215" t="s">
        <v>4228</v>
      </c>
      <c r="R3215">
        <v>7.1040000000000001</v>
      </c>
      <c r="S3215">
        <v>6</v>
      </c>
      <c r="T3215">
        <v>0.2</v>
      </c>
      <c r="U3215">
        <v>2.4864000000000002</v>
      </c>
      <c r="V3215" t="str">
        <f t="shared" si="50"/>
        <v>Jennifer Jackson</v>
      </c>
      <c r="W3215">
        <f>Table2[Profit]/Table2[Sales]</f>
        <v>0.35000000000000003</v>
      </c>
    </row>
    <row r="3216" spans="1:23" x14ac:dyDescent="0.25">
      <c r="A3216">
        <v>3215</v>
      </c>
      <c r="B3216" t="s">
        <v>8683</v>
      </c>
      <c r="C3216" s="1">
        <v>42798</v>
      </c>
      <c r="D3216" s="1">
        <v>42800</v>
      </c>
      <c r="E3216" t="s">
        <v>22</v>
      </c>
      <c r="F3216" t="s">
        <v>4090</v>
      </c>
      <c r="G3216" t="s">
        <v>4091</v>
      </c>
      <c r="H3216" t="s">
        <v>101</v>
      </c>
      <c r="I3216" t="s">
        <v>26</v>
      </c>
      <c r="J3216" t="s">
        <v>181</v>
      </c>
      <c r="K3216" t="s">
        <v>103</v>
      </c>
      <c r="L3216">
        <v>77095</v>
      </c>
      <c r="M3216" t="s">
        <v>104</v>
      </c>
      <c r="N3216" t="s">
        <v>167</v>
      </c>
      <c r="O3216" t="s">
        <v>31</v>
      </c>
      <c r="P3216" t="s">
        <v>64</v>
      </c>
      <c r="Q3216" t="s">
        <v>168</v>
      </c>
      <c r="R3216">
        <v>103.5</v>
      </c>
      <c r="S3216">
        <v>5</v>
      </c>
      <c r="T3216">
        <v>0.6</v>
      </c>
      <c r="U3216">
        <v>-77.625</v>
      </c>
      <c r="V3216" t="str">
        <f t="shared" si="50"/>
        <v>Tonja Turnell</v>
      </c>
      <c r="W3216">
        <f>Table2[Profit]/Table2[Sales]</f>
        <v>-0.75</v>
      </c>
    </row>
    <row r="3217" spans="1:23" x14ac:dyDescent="0.25">
      <c r="A3217">
        <v>3216</v>
      </c>
      <c r="B3217" t="s">
        <v>8684</v>
      </c>
      <c r="C3217" s="1">
        <v>42272</v>
      </c>
      <c r="D3217" s="1">
        <v>42276</v>
      </c>
      <c r="E3217" t="s">
        <v>49</v>
      </c>
      <c r="F3217" t="s">
        <v>4654</v>
      </c>
      <c r="G3217" t="s">
        <v>4655</v>
      </c>
      <c r="H3217" t="s">
        <v>25</v>
      </c>
      <c r="I3217" t="s">
        <v>26</v>
      </c>
      <c r="J3217" t="s">
        <v>4514</v>
      </c>
      <c r="K3217" t="s">
        <v>740</v>
      </c>
      <c r="L3217">
        <v>6450</v>
      </c>
      <c r="M3217" t="s">
        <v>145</v>
      </c>
      <c r="N3217" t="s">
        <v>3733</v>
      </c>
      <c r="O3217" t="s">
        <v>45</v>
      </c>
      <c r="P3217" t="s">
        <v>74</v>
      </c>
      <c r="Q3217" t="s">
        <v>3734</v>
      </c>
      <c r="R3217">
        <v>10.76</v>
      </c>
      <c r="S3217">
        <v>2</v>
      </c>
      <c r="T3217">
        <v>0</v>
      </c>
      <c r="U3217">
        <v>5.1647999999999996</v>
      </c>
      <c r="V3217" t="str">
        <f t="shared" si="50"/>
        <v>Erica Hackney</v>
      </c>
      <c r="W3217">
        <f>Table2[Profit]/Table2[Sales]</f>
        <v>0.48</v>
      </c>
    </row>
    <row r="3218" spans="1:23" x14ac:dyDescent="0.25">
      <c r="A3218">
        <v>3217</v>
      </c>
      <c r="B3218" t="s">
        <v>8685</v>
      </c>
      <c r="C3218" s="1">
        <v>42357</v>
      </c>
      <c r="D3218" s="1">
        <v>42361</v>
      </c>
      <c r="E3218" t="s">
        <v>22</v>
      </c>
      <c r="F3218" t="s">
        <v>6391</v>
      </c>
      <c r="G3218" t="s">
        <v>6392</v>
      </c>
      <c r="H3218" t="s">
        <v>25</v>
      </c>
      <c r="I3218" t="s">
        <v>26</v>
      </c>
      <c r="J3218" t="s">
        <v>8686</v>
      </c>
      <c r="K3218" t="s">
        <v>208</v>
      </c>
      <c r="L3218">
        <v>60025</v>
      </c>
      <c r="M3218" t="s">
        <v>104</v>
      </c>
      <c r="N3218" t="s">
        <v>3775</v>
      </c>
      <c r="O3218" t="s">
        <v>70</v>
      </c>
      <c r="P3218" t="s">
        <v>71</v>
      </c>
      <c r="Q3218" t="s">
        <v>3776</v>
      </c>
      <c r="R3218">
        <v>158.376</v>
      </c>
      <c r="S3218">
        <v>3</v>
      </c>
      <c r="T3218">
        <v>0.2</v>
      </c>
      <c r="U3218">
        <v>13.857900000000001</v>
      </c>
      <c r="V3218" t="str">
        <f t="shared" si="50"/>
        <v>Patrick Ryan</v>
      </c>
      <c r="W3218">
        <f>Table2[Profit]/Table2[Sales]</f>
        <v>8.7500000000000008E-2</v>
      </c>
    </row>
    <row r="3219" spans="1:23" x14ac:dyDescent="0.25">
      <c r="A3219">
        <v>3218</v>
      </c>
      <c r="B3219" t="s">
        <v>8687</v>
      </c>
      <c r="C3219" s="1">
        <v>42285</v>
      </c>
      <c r="D3219" s="1">
        <v>42290</v>
      </c>
      <c r="E3219" t="s">
        <v>49</v>
      </c>
      <c r="F3219" t="s">
        <v>4464</v>
      </c>
      <c r="G3219" t="s">
        <v>4465</v>
      </c>
      <c r="H3219" t="s">
        <v>25</v>
      </c>
      <c r="I3219" t="s">
        <v>26</v>
      </c>
      <c r="J3219" t="s">
        <v>181</v>
      </c>
      <c r="K3219" t="s">
        <v>103</v>
      </c>
      <c r="L3219">
        <v>77036</v>
      </c>
      <c r="M3219" t="s">
        <v>104</v>
      </c>
      <c r="N3219" t="s">
        <v>6493</v>
      </c>
      <c r="O3219" t="s">
        <v>45</v>
      </c>
      <c r="P3219" t="s">
        <v>67</v>
      </c>
      <c r="Q3219" t="s">
        <v>6494</v>
      </c>
      <c r="R3219">
        <v>3.44</v>
      </c>
      <c r="S3219">
        <v>2</v>
      </c>
      <c r="T3219">
        <v>0.2</v>
      </c>
      <c r="U3219">
        <v>0.55900000000000005</v>
      </c>
      <c r="V3219" t="str">
        <f t="shared" si="50"/>
        <v>Brian Thompson</v>
      </c>
      <c r="W3219">
        <f>Table2[Profit]/Table2[Sales]</f>
        <v>0.16250000000000001</v>
      </c>
    </row>
    <row r="3220" spans="1:23" x14ac:dyDescent="0.25">
      <c r="A3220">
        <v>3219</v>
      </c>
      <c r="B3220" t="s">
        <v>8688</v>
      </c>
      <c r="C3220" s="1">
        <v>42947</v>
      </c>
      <c r="D3220" s="1">
        <v>42950</v>
      </c>
      <c r="E3220" t="s">
        <v>185</v>
      </c>
      <c r="F3220" t="s">
        <v>6170</v>
      </c>
      <c r="G3220" t="s">
        <v>6171</v>
      </c>
      <c r="H3220" t="s">
        <v>25</v>
      </c>
      <c r="I3220" t="s">
        <v>26</v>
      </c>
      <c r="J3220" t="s">
        <v>126</v>
      </c>
      <c r="K3220" t="s">
        <v>42</v>
      </c>
      <c r="L3220">
        <v>94110</v>
      </c>
      <c r="M3220" t="s">
        <v>43</v>
      </c>
      <c r="N3220" t="s">
        <v>390</v>
      </c>
      <c r="O3220" t="s">
        <v>45</v>
      </c>
      <c r="P3220" t="s">
        <v>58</v>
      </c>
      <c r="Q3220" t="s">
        <v>391</v>
      </c>
      <c r="R3220">
        <v>56.56</v>
      </c>
      <c r="S3220">
        <v>2</v>
      </c>
      <c r="T3220">
        <v>0</v>
      </c>
      <c r="U3220">
        <v>15.2712</v>
      </c>
      <c r="V3220" t="str">
        <f t="shared" si="50"/>
        <v>Erin Creighton</v>
      </c>
      <c r="W3220">
        <f>Table2[Profit]/Table2[Sales]</f>
        <v>0.27</v>
      </c>
    </row>
    <row r="3221" spans="1:23" x14ac:dyDescent="0.25">
      <c r="A3221">
        <v>3220</v>
      </c>
      <c r="B3221" t="s">
        <v>8689</v>
      </c>
      <c r="C3221" s="1">
        <v>41856</v>
      </c>
      <c r="D3221" s="1">
        <v>41862</v>
      </c>
      <c r="E3221" t="s">
        <v>49</v>
      </c>
      <c r="F3221" t="s">
        <v>620</v>
      </c>
      <c r="G3221" t="s">
        <v>621</v>
      </c>
      <c r="H3221" t="s">
        <v>40</v>
      </c>
      <c r="I3221" t="s">
        <v>26</v>
      </c>
      <c r="J3221" t="s">
        <v>263</v>
      </c>
      <c r="K3221" t="s">
        <v>264</v>
      </c>
      <c r="L3221">
        <v>10009</v>
      </c>
      <c r="M3221" t="s">
        <v>145</v>
      </c>
      <c r="N3221" t="s">
        <v>4861</v>
      </c>
      <c r="O3221" t="s">
        <v>70</v>
      </c>
      <c r="P3221" t="s">
        <v>71</v>
      </c>
      <c r="Q3221" t="s">
        <v>4862</v>
      </c>
      <c r="R3221">
        <v>135.99</v>
      </c>
      <c r="S3221">
        <v>1</v>
      </c>
      <c r="T3221">
        <v>0</v>
      </c>
      <c r="U3221">
        <v>36.717300000000002</v>
      </c>
      <c r="V3221" t="str">
        <f t="shared" si="50"/>
        <v>Stephanie Phelps</v>
      </c>
      <c r="W3221">
        <f>Table2[Profit]/Table2[Sales]</f>
        <v>0.27</v>
      </c>
    </row>
    <row r="3222" spans="1:23" x14ac:dyDescent="0.25">
      <c r="A3222">
        <v>3221</v>
      </c>
      <c r="B3222" t="s">
        <v>8690</v>
      </c>
      <c r="C3222" s="1">
        <v>42869</v>
      </c>
      <c r="D3222" s="1">
        <v>42872</v>
      </c>
      <c r="E3222" t="s">
        <v>185</v>
      </c>
      <c r="F3222" t="s">
        <v>2636</v>
      </c>
      <c r="G3222" t="s">
        <v>2637</v>
      </c>
      <c r="H3222" t="s">
        <v>40</v>
      </c>
      <c r="I3222" t="s">
        <v>26</v>
      </c>
      <c r="J3222" t="s">
        <v>4400</v>
      </c>
      <c r="K3222" t="s">
        <v>2699</v>
      </c>
      <c r="L3222">
        <v>21215</v>
      </c>
      <c r="M3222" t="s">
        <v>145</v>
      </c>
      <c r="N3222" t="s">
        <v>3320</v>
      </c>
      <c r="O3222" t="s">
        <v>45</v>
      </c>
      <c r="P3222" t="s">
        <v>67</v>
      </c>
      <c r="Q3222" t="s">
        <v>3321</v>
      </c>
      <c r="R3222">
        <v>3.76</v>
      </c>
      <c r="S3222">
        <v>2</v>
      </c>
      <c r="T3222">
        <v>0</v>
      </c>
      <c r="U3222">
        <v>1.0904</v>
      </c>
      <c r="V3222" t="str">
        <f t="shared" si="50"/>
        <v>Anthony Jacobs</v>
      </c>
      <c r="W3222">
        <f>Table2[Profit]/Table2[Sales]</f>
        <v>0.29000000000000004</v>
      </c>
    </row>
    <row r="3223" spans="1:23" x14ac:dyDescent="0.25">
      <c r="A3223">
        <v>3222</v>
      </c>
      <c r="B3223" t="s">
        <v>8691</v>
      </c>
      <c r="C3223" s="1">
        <v>42635</v>
      </c>
      <c r="D3223" s="1">
        <v>42641</v>
      </c>
      <c r="E3223" t="s">
        <v>49</v>
      </c>
      <c r="F3223" t="s">
        <v>2912</v>
      </c>
      <c r="G3223" t="s">
        <v>2913</v>
      </c>
      <c r="H3223" t="s">
        <v>101</v>
      </c>
      <c r="I3223" t="s">
        <v>26</v>
      </c>
      <c r="J3223" t="s">
        <v>1459</v>
      </c>
      <c r="K3223" t="s">
        <v>28</v>
      </c>
      <c r="L3223">
        <v>40214</v>
      </c>
      <c r="M3223" t="s">
        <v>29</v>
      </c>
      <c r="N3223" t="s">
        <v>6196</v>
      </c>
      <c r="O3223" t="s">
        <v>31</v>
      </c>
      <c r="P3223" t="s">
        <v>64</v>
      </c>
      <c r="Q3223" t="s">
        <v>6197</v>
      </c>
      <c r="R3223">
        <v>13.28</v>
      </c>
      <c r="S3223">
        <v>2</v>
      </c>
      <c r="T3223">
        <v>0</v>
      </c>
      <c r="U3223">
        <v>6.3743999999999996</v>
      </c>
      <c r="V3223" t="str">
        <f t="shared" si="50"/>
        <v>Ann Steele</v>
      </c>
      <c r="W3223">
        <f>Table2[Profit]/Table2[Sales]</f>
        <v>0.48</v>
      </c>
    </row>
    <row r="3224" spans="1:23" x14ac:dyDescent="0.25">
      <c r="A3224">
        <v>3223</v>
      </c>
      <c r="B3224" t="s">
        <v>8692</v>
      </c>
      <c r="C3224" s="1">
        <v>42321</v>
      </c>
      <c r="D3224" s="1">
        <v>42325</v>
      </c>
      <c r="E3224" t="s">
        <v>49</v>
      </c>
      <c r="F3224" t="s">
        <v>1797</v>
      </c>
      <c r="G3224" t="s">
        <v>1798</v>
      </c>
      <c r="H3224" t="s">
        <v>25</v>
      </c>
      <c r="I3224" t="s">
        <v>26</v>
      </c>
      <c r="J3224" t="s">
        <v>8488</v>
      </c>
      <c r="K3224" t="s">
        <v>328</v>
      </c>
      <c r="L3224">
        <v>37087</v>
      </c>
      <c r="M3224" t="s">
        <v>29</v>
      </c>
      <c r="N3224" t="s">
        <v>8154</v>
      </c>
      <c r="O3224" t="s">
        <v>45</v>
      </c>
      <c r="P3224" t="s">
        <v>58</v>
      </c>
      <c r="Q3224" t="s">
        <v>8155</v>
      </c>
      <c r="R3224">
        <v>84.96</v>
      </c>
      <c r="S3224">
        <v>6</v>
      </c>
      <c r="T3224">
        <v>0.2</v>
      </c>
      <c r="U3224">
        <v>6.3719999999999999</v>
      </c>
      <c r="V3224" t="str">
        <f t="shared" si="50"/>
        <v>Allen Armold</v>
      </c>
      <c r="W3224">
        <f>Table2[Profit]/Table2[Sales]</f>
        <v>7.5000000000000011E-2</v>
      </c>
    </row>
    <row r="3225" spans="1:23" x14ac:dyDescent="0.25">
      <c r="A3225">
        <v>3224</v>
      </c>
      <c r="B3225" t="s">
        <v>8693</v>
      </c>
      <c r="C3225" s="1">
        <v>42877</v>
      </c>
      <c r="D3225" s="1">
        <v>42880</v>
      </c>
      <c r="E3225" t="s">
        <v>22</v>
      </c>
      <c r="F3225" t="s">
        <v>153</v>
      </c>
      <c r="G3225" t="s">
        <v>154</v>
      </c>
      <c r="H3225" t="s">
        <v>25</v>
      </c>
      <c r="I3225" t="s">
        <v>26</v>
      </c>
      <c r="J3225" t="s">
        <v>41</v>
      </c>
      <c r="K3225" t="s">
        <v>42</v>
      </c>
      <c r="L3225">
        <v>90008</v>
      </c>
      <c r="M3225" t="s">
        <v>43</v>
      </c>
      <c r="N3225" t="s">
        <v>6879</v>
      </c>
      <c r="O3225" t="s">
        <v>70</v>
      </c>
      <c r="P3225" t="s">
        <v>158</v>
      </c>
      <c r="Q3225" t="s">
        <v>6880</v>
      </c>
      <c r="R3225">
        <v>68.459999999999994</v>
      </c>
      <c r="S3225">
        <v>7</v>
      </c>
      <c r="T3225">
        <v>0</v>
      </c>
      <c r="U3225">
        <v>25.330200000000001</v>
      </c>
      <c r="V3225" t="str">
        <f t="shared" si="50"/>
        <v>Eric Hoffmann</v>
      </c>
      <c r="W3225">
        <f>Table2[Profit]/Table2[Sales]</f>
        <v>0.37000000000000005</v>
      </c>
    </row>
    <row r="3226" spans="1:23" x14ac:dyDescent="0.25">
      <c r="A3226">
        <v>3225</v>
      </c>
      <c r="B3226" t="s">
        <v>8694</v>
      </c>
      <c r="C3226" s="1">
        <v>42706</v>
      </c>
      <c r="D3226" s="1">
        <v>42712</v>
      </c>
      <c r="E3226" t="s">
        <v>49</v>
      </c>
      <c r="F3226" t="s">
        <v>4014</v>
      </c>
      <c r="G3226" t="s">
        <v>4015</v>
      </c>
      <c r="H3226" t="s">
        <v>101</v>
      </c>
      <c r="I3226" t="s">
        <v>26</v>
      </c>
      <c r="J3226" t="s">
        <v>3508</v>
      </c>
      <c r="K3226" t="s">
        <v>1388</v>
      </c>
      <c r="L3226">
        <v>2908</v>
      </c>
      <c r="M3226" t="s">
        <v>145</v>
      </c>
      <c r="N3226" t="s">
        <v>1554</v>
      </c>
      <c r="O3226" t="s">
        <v>45</v>
      </c>
      <c r="P3226" t="s">
        <v>58</v>
      </c>
      <c r="Q3226" t="s">
        <v>1555</v>
      </c>
      <c r="R3226">
        <v>2079.4</v>
      </c>
      <c r="S3226">
        <v>5</v>
      </c>
      <c r="T3226">
        <v>0</v>
      </c>
      <c r="U3226">
        <v>582.23199999999997</v>
      </c>
      <c r="V3226" t="str">
        <f t="shared" si="50"/>
        <v>Deborah Brumfield</v>
      </c>
      <c r="W3226">
        <f>Table2[Profit]/Table2[Sales]</f>
        <v>0.27999999999999997</v>
      </c>
    </row>
    <row r="3227" spans="1:23" x14ac:dyDescent="0.25">
      <c r="A3227">
        <v>3226</v>
      </c>
      <c r="B3227" t="s">
        <v>8695</v>
      </c>
      <c r="C3227" s="1">
        <v>42245</v>
      </c>
      <c r="D3227" s="1">
        <v>42249</v>
      </c>
      <c r="E3227" t="s">
        <v>49</v>
      </c>
      <c r="F3227" t="s">
        <v>3121</v>
      </c>
      <c r="G3227" t="s">
        <v>3122</v>
      </c>
      <c r="H3227" t="s">
        <v>101</v>
      </c>
      <c r="I3227" t="s">
        <v>26</v>
      </c>
      <c r="J3227" t="s">
        <v>873</v>
      </c>
      <c r="K3227" t="s">
        <v>235</v>
      </c>
      <c r="L3227">
        <v>48234</v>
      </c>
      <c r="M3227" t="s">
        <v>104</v>
      </c>
      <c r="N3227" t="s">
        <v>3775</v>
      </c>
      <c r="O3227" t="s">
        <v>70</v>
      </c>
      <c r="P3227" t="s">
        <v>71</v>
      </c>
      <c r="Q3227" t="s">
        <v>3776</v>
      </c>
      <c r="R3227">
        <v>131.97999999999999</v>
      </c>
      <c r="S3227">
        <v>2</v>
      </c>
      <c r="T3227">
        <v>0</v>
      </c>
      <c r="U3227">
        <v>35.634599999999999</v>
      </c>
      <c r="V3227" t="str">
        <f t="shared" si="50"/>
        <v>Chad Cunningham</v>
      </c>
      <c r="W3227">
        <f>Table2[Profit]/Table2[Sales]</f>
        <v>0.27</v>
      </c>
    </row>
    <row r="3228" spans="1:23" x14ac:dyDescent="0.25">
      <c r="A3228">
        <v>3227</v>
      </c>
      <c r="B3228" t="s">
        <v>8696</v>
      </c>
      <c r="C3228" s="1">
        <v>41796</v>
      </c>
      <c r="D3228" s="1">
        <v>41800</v>
      </c>
      <c r="E3228" t="s">
        <v>49</v>
      </c>
      <c r="F3228" t="s">
        <v>6892</v>
      </c>
      <c r="G3228" t="s">
        <v>6893</v>
      </c>
      <c r="H3228" t="s">
        <v>101</v>
      </c>
      <c r="I3228" t="s">
        <v>26</v>
      </c>
      <c r="J3228" t="s">
        <v>181</v>
      </c>
      <c r="K3228" t="s">
        <v>103</v>
      </c>
      <c r="L3228">
        <v>77070</v>
      </c>
      <c r="M3228" t="s">
        <v>104</v>
      </c>
      <c r="N3228" t="s">
        <v>1185</v>
      </c>
      <c r="O3228" t="s">
        <v>45</v>
      </c>
      <c r="P3228" t="s">
        <v>46</v>
      </c>
      <c r="Q3228" t="s">
        <v>1186</v>
      </c>
      <c r="R3228">
        <v>100.24</v>
      </c>
      <c r="S3228">
        <v>10</v>
      </c>
      <c r="T3228">
        <v>0.2</v>
      </c>
      <c r="U3228">
        <v>33.831000000000003</v>
      </c>
      <c r="V3228" t="str">
        <f t="shared" si="50"/>
        <v>Valerie Takahito</v>
      </c>
      <c r="W3228">
        <f>Table2[Profit]/Table2[Sales]</f>
        <v>0.33750000000000002</v>
      </c>
    </row>
    <row r="3229" spans="1:23" x14ac:dyDescent="0.25">
      <c r="A3229">
        <v>3228</v>
      </c>
      <c r="B3229" t="s">
        <v>8697</v>
      </c>
      <c r="C3229" s="1">
        <v>42447</v>
      </c>
      <c r="D3229" s="1">
        <v>42449</v>
      </c>
      <c r="E3229" t="s">
        <v>22</v>
      </c>
      <c r="F3229" t="s">
        <v>635</v>
      </c>
      <c r="G3229" t="s">
        <v>636</v>
      </c>
      <c r="H3229" t="s">
        <v>25</v>
      </c>
      <c r="I3229" t="s">
        <v>26</v>
      </c>
      <c r="J3229" t="s">
        <v>375</v>
      </c>
      <c r="K3229" t="s">
        <v>328</v>
      </c>
      <c r="L3229">
        <v>38401</v>
      </c>
      <c r="M3229" t="s">
        <v>29</v>
      </c>
      <c r="N3229" t="s">
        <v>3703</v>
      </c>
      <c r="O3229" t="s">
        <v>45</v>
      </c>
      <c r="P3229" t="s">
        <v>77</v>
      </c>
      <c r="Q3229" t="s">
        <v>3704</v>
      </c>
      <c r="R3229">
        <v>871.8</v>
      </c>
      <c r="S3229">
        <v>3</v>
      </c>
      <c r="T3229">
        <v>0.2</v>
      </c>
      <c r="U3229">
        <v>87.18</v>
      </c>
      <c r="V3229" t="str">
        <f t="shared" si="50"/>
        <v>Dave Brooks</v>
      </c>
      <c r="W3229">
        <f>Table2[Profit]/Table2[Sales]</f>
        <v>0.10000000000000002</v>
      </c>
    </row>
    <row r="3230" spans="1:23" x14ac:dyDescent="0.25">
      <c r="A3230">
        <v>3229</v>
      </c>
      <c r="B3230" t="s">
        <v>8698</v>
      </c>
      <c r="C3230" s="1">
        <v>41653</v>
      </c>
      <c r="D3230" s="1">
        <v>41654</v>
      </c>
      <c r="E3230" t="s">
        <v>185</v>
      </c>
      <c r="F3230" t="s">
        <v>300</v>
      </c>
      <c r="G3230" t="s">
        <v>301</v>
      </c>
      <c r="H3230" t="s">
        <v>40</v>
      </c>
      <c r="I3230" t="s">
        <v>26</v>
      </c>
      <c r="J3230" t="s">
        <v>143</v>
      </c>
      <c r="K3230" t="s">
        <v>144</v>
      </c>
      <c r="L3230">
        <v>19140</v>
      </c>
      <c r="M3230" t="s">
        <v>145</v>
      </c>
      <c r="N3230" t="s">
        <v>3537</v>
      </c>
      <c r="O3230" t="s">
        <v>31</v>
      </c>
      <c r="P3230" t="s">
        <v>32</v>
      </c>
      <c r="Q3230" t="s">
        <v>3538</v>
      </c>
      <c r="R3230">
        <v>61.96</v>
      </c>
      <c r="S3230">
        <v>4</v>
      </c>
      <c r="T3230">
        <v>0.5</v>
      </c>
      <c r="U3230">
        <v>-53.285600000000002</v>
      </c>
      <c r="V3230" t="str">
        <f t="shared" si="50"/>
        <v>Brendan Sweed</v>
      </c>
      <c r="W3230">
        <f>Table2[Profit]/Table2[Sales]</f>
        <v>-0.86</v>
      </c>
    </row>
    <row r="3231" spans="1:23" x14ac:dyDescent="0.25">
      <c r="A3231">
        <v>3230</v>
      </c>
      <c r="B3231" t="s">
        <v>8699</v>
      </c>
      <c r="C3231" s="1">
        <v>42889</v>
      </c>
      <c r="D3231" s="1">
        <v>42896</v>
      </c>
      <c r="E3231" t="s">
        <v>49</v>
      </c>
      <c r="F3231" t="s">
        <v>7533</v>
      </c>
      <c r="G3231" t="s">
        <v>7534</v>
      </c>
      <c r="H3231" t="s">
        <v>25</v>
      </c>
      <c r="I3231" t="s">
        <v>26</v>
      </c>
      <c r="J3231" t="s">
        <v>1341</v>
      </c>
      <c r="K3231" t="s">
        <v>53</v>
      </c>
      <c r="L3231">
        <v>33024</v>
      </c>
      <c r="M3231" t="s">
        <v>29</v>
      </c>
      <c r="N3231" t="s">
        <v>3362</v>
      </c>
      <c r="O3231" t="s">
        <v>45</v>
      </c>
      <c r="P3231" t="s">
        <v>74</v>
      </c>
      <c r="Q3231" t="s">
        <v>3363</v>
      </c>
      <c r="R3231">
        <v>4.5540000000000003</v>
      </c>
      <c r="S3231">
        <v>3</v>
      </c>
      <c r="T3231">
        <v>0.7</v>
      </c>
      <c r="U3231">
        <v>-3.4914000000000001</v>
      </c>
      <c r="V3231" t="str">
        <f t="shared" si="50"/>
        <v>Nick Radford</v>
      </c>
      <c r="W3231">
        <f>Table2[Profit]/Table2[Sales]</f>
        <v>-0.76666666666666661</v>
      </c>
    </row>
    <row r="3232" spans="1:23" x14ac:dyDescent="0.25">
      <c r="A3232">
        <v>3231</v>
      </c>
      <c r="B3232" t="s">
        <v>8700</v>
      </c>
      <c r="C3232" s="1">
        <v>42889</v>
      </c>
      <c r="D3232" s="1">
        <v>42895</v>
      </c>
      <c r="E3232" t="s">
        <v>49</v>
      </c>
      <c r="F3232" t="s">
        <v>3869</v>
      </c>
      <c r="G3232" t="s">
        <v>3870</v>
      </c>
      <c r="H3232" t="s">
        <v>40</v>
      </c>
      <c r="I3232" t="s">
        <v>26</v>
      </c>
      <c r="J3232" t="s">
        <v>263</v>
      </c>
      <c r="K3232" t="s">
        <v>264</v>
      </c>
      <c r="L3232">
        <v>10011</v>
      </c>
      <c r="M3232" t="s">
        <v>145</v>
      </c>
      <c r="N3232" t="s">
        <v>3262</v>
      </c>
      <c r="O3232" t="s">
        <v>31</v>
      </c>
      <c r="P3232" t="s">
        <v>55</v>
      </c>
      <c r="Q3232" t="s">
        <v>3263</v>
      </c>
      <c r="R3232">
        <v>384.76799999999997</v>
      </c>
      <c r="S3232">
        <v>2</v>
      </c>
      <c r="T3232">
        <v>0.4</v>
      </c>
      <c r="U3232">
        <v>-115.43040000000001</v>
      </c>
      <c r="V3232" t="str">
        <f t="shared" si="50"/>
        <v>Katherine Nockton</v>
      </c>
      <c r="W3232">
        <f>Table2[Profit]/Table2[Sales]</f>
        <v>-0.30000000000000004</v>
      </c>
    </row>
    <row r="3233" spans="1:23" x14ac:dyDescent="0.25">
      <c r="A3233">
        <v>3232</v>
      </c>
      <c r="B3233" t="s">
        <v>8701</v>
      </c>
      <c r="C3233" s="1">
        <v>42084</v>
      </c>
      <c r="D3233" s="1">
        <v>42089</v>
      </c>
      <c r="E3233" t="s">
        <v>49</v>
      </c>
      <c r="F3233" t="s">
        <v>4043</v>
      </c>
      <c r="G3233" t="s">
        <v>4044</v>
      </c>
      <c r="H3233" t="s">
        <v>25</v>
      </c>
      <c r="I3233" t="s">
        <v>26</v>
      </c>
      <c r="J3233" t="s">
        <v>1507</v>
      </c>
      <c r="K3233" t="s">
        <v>87</v>
      </c>
      <c r="L3233">
        <v>28540</v>
      </c>
      <c r="M3233" t="s">
        <v>29</v>
      </c>
      <c r="N3233" t="s">
        <v>931</v>
      </c>
      <c r="O3233" t="s">
        <v>45</v>
      </c>
      <c r="P3233" t="s">
        <v>77</v>
      </c>
      <c r="Q3233" t="s">
        <v>932</v>
      </c>
      <c r="R3233">
        <v>962.08</v>
      </c>
      <c r="S3233">
        <v>4</v>
      </c>
      <c r="T3233">
        <v>0.2</v>
      </c>
      <c r="U3233">
        <v>156.33799999999999</v>
      </c>
      <c r="V3233" t="str">
        <f t="shared" si="50"/>
        <v>Julia West</v>
      </c>
      <c r="W3233">
        <f>Table2[Profit]/Table2[Sales]</f>
        <v>0.16249999999999998</v>
      </c>
    </row>
    <row r="3234" spans="1:23" x14ac:dyDescent="0.25">
      <c r="A3234">
        <v>3233</v>
      </c>
      <c r="B3234" t="s">
        <v>8702</v>
      </c>
      <c r="C3234" s="1">
        <v>42997</v>
      </c>
      <c r="D3234" s="1">
        <v>43002</v>
      </c>
      <c r="E3234" t="s">
        <v>49</v>
      </c>
      <c r="F3234" t="s">
        <v>2787</v>
      </c>
      <c r="G3234" t="s">
        <v>2788</v>
      </c>
      <c r="H3234" t="s">
        <v>25</v>
      </c>
      <c r="I3234" t="s">
        <v>26</v>
      </c>
      <c r="J3234" t="s">
        <v>263</v>
      </c>
      <c r="K3234" t="s">
        <v>264</v>
      </c>
      <c r="L3234">
        <v>10011</v>
      </c>
      <c r="M3234" t="s">
        <v>145</v>
      </c>
      <c r="N3234" t="s">
        <v>5859</v>
      </c>
      <c r="O3234" t="s">
        <v>45</v>
      </c>
      <c r="P3234" t="s">
        <v>89</v>
      </c>
      <c r="Q3234" t="s">
        <v>5860</v>
      </c>
      <c r="R3234">
        <v>32.4</v>
      </c>
      <c r="S3234">
        <v>5</v>
      </c>
      <c r="T3234">
        <v>0</v>
      </c>
      <c r="U3234">
        <v>15.552</v>
      </c>
      <c r="V3234" t="str">
        <f t="shared" si="50"/>
        <v>Jessica Myrick</v>
      </c>
      <c r="W3234">
        <f>Table2[Profit]/Table2[Sales]</f>
        <v>0.48</v>
      </c>
    </row>
    <row r="3235" spans="1:23" x14ac:dyDescent="0.25">
      <c r="A3235">
        <v>3234</v>
      </c>
      <c r="B3235" t="s">
        <v>8703</v>
      </c>
      <c r="C3235" s="1">
        <v>41897</v>
      </c>
      <c r="D3235" s="1">
        <v>41901</v>
      </c>
      <c r="E3235" t="s">
        <v>49</v>
      </c>
      <c r="F3235" t="s">
        <v>7591</v>
      </c>
      <c r="G3235" t="s">
        <v>7592</v>
      </c>
      <c r="H3235" t="s">
        <v>40</v>
      </c>
      <c r="I3235" t="s">
        <v>26</v>
      </c>
      <c r="J3235" t="s">
        <v>143</v>
      </c>
      <c r="K3235" t="s">
        <v>144</v>
      </c>
      <c r="L3235">
        <v>19120</v>
      </c>
      <c r="M3235" t="s">
        <v>145</v>
      </c>
      <c r="N3235" t="s">
        <v>2293</v>
      </c>
      <c r="O3235" t="s">
        <v>31</v>
      </c>
      <c r="P3235" t="s">
        <v>64</v>
      </c>
      <c r="Q3235" t="s">
        <v>2294</v>
      </c>
      <c r="R3235">
        <v>103.93600000000001</v>
      </c>
      <c r="S3235">
        <v>4</v>
      </c>
      <c r="T3235">
        <v>0.2</v>
      </c>
      <c r="U3235">
        <v>16.889600000000002</v>
      </c>
      <c r="V3235" t="str">
        <f t="shared" si="50"/>
        <v>Monica Federle</v>
      </c>
      <c r="W3235">
        <f>Table2[Profit]/Table2[Sales]</f>
        <v>0.16250000000000001</v>
      </c>
    </row>
    <row r="3236" spans="1:23" x14ac:dyDescent="0.25">
      <c r="A3236">
        <v>3235</v>
      </c>
      <c r="B3236" t="s">
        <v>8704</v>
      </c>
      <c r="C3236" s="1">
        <v>42694</v>
      </c>
      <c r="D3236" s="1">
        <v>42699</v>
      </c>
      <c r="E3236" t="s">
        <v>49</v>
      </c>
      <c r="F3236" t="s">
        <v>1159</v>
      </c>
      <c r="G3236" t="s">
        <v>1160</v>
      </c>
      <c r="H3236" t="s">
        <v>40</v>
      </c>
      <c r="I3236" t="s">
        <v>26</v>
      </c>
      <c r="J3236" t="s">
        <v>5921</v>
      </c>
      <c r="K3236" t="s">
        <v>53</v>
      </c>
      <c r="L3236">
        <v>32839</v>
      </c>
      <c r="M3236" t="s">
        <v>29</v>
      </c>
      <c r="N3236" t="s">
        <v>845</v>
      </c>
      <c r="O3236" t="s">
        <v>31</v>
      </c>
      <c r="P3236" t="s">
        <v>32</v>
      </c>
      <c r="Q3236" t="s">
        <v>846</v>
      </c>
      <c r="R3236">
        <v>289.56799999999998</v>
      </c>
      <c r="S3236">
        <v>2</v>
      </c>
      <c r="T3236">
        <v>0.2</v>
      </c>
      <c r="U3236">
        <v>10.8588</v>
      </c>
      <c r="V3236" t="str">
        <f t="shared" si="50"/>
        <v>Frank Atkinson</v>
      </c>
      <c r="W3236">
        <f>Table2[Profit]/Table2[Sales]</f>
        <v>3.7500000000000006E-2</v>
      </c>
    </row>
    <row r="3237" spans="1:23" x14ac:dyDescent="0.25">
      <c r="A3237">
        <v>3236</v>
      </c>
      <c r="B3237" t="s">
        <v>8705</v>
      </c>
      <c r="C3237" s="1">
        <v>43036</v>
      </c>
      <c r="D3237" s="1">
        <v>43040</v>
      </c>
      <c r="E3237" t="s">
        <v>22</v>
      </c>
      <c r="F3237" t="s">
        <v>1418</v>
      </c>
      <c r="G3237" t="s">
        <v>1419</v>
      </c>
      <c r="H3237" t="s">
        <v>25</v>
      </c>
      <c r="I3237" t="s">
        <v>26</v>
      </c>
      <c r="J3237" t="s">
        <v>181</v>
      </c>
      <c r="K3237" t="s">
        <v>103</v>
      </c>
      <c r="L3237">
        <v>77095</v>
      </c>
      <c r="M3237" t="s">
        <v>104</v>
      </c>
      <c r="N3237" t="s">
        <v>243</v>
      </c>
      <c r="O3237" t="s">
        <v>70</v>
      </c>
      <c r="P3237" t="s">
        <v>158</v>
      </c>
      <c r="Q3237" t="s">
        <v>244</v>
      </c>
      <c r="R3237">
        <v>24</v>
      </c>
      <c r="S3237">
        <v>2</v>
      </c>
      <c r="T3237">
        <v>0.2</v>
      </c>
      <c r="U3237">
        <v>-2.7</v>
      </c>
      <c r="V3237" t="str">
        <f t="shared" si="50"/>
        <v>Keith Herrera</v>
      </c>
      <c r="W3237">
        <f>Table2[Profit]/Table2[Sales]</f>
        <v>-0.1125</v>
      </c>
    </row>
    <row r="3238" spans="1:23" x14ac:dyDescent="0.25">
      <c r="A3238">
        <v>3237</v>
      </c>
      <c r="B3238" t="s">
        <v>8706</v>
      </c>
      <c r="C3238" s="1">
        <v>42209</v>
      </c>
      <c r="D3238" s="1">
        <v>42213</v>
      </c>
      <c r="E3238" t="s">
        <v>49</v>
      </c>
      <c r="F3238" t="s">
        <v>8707</v>
      </c>
      <c r="G3238" t="s">
        <v>8708</v>
      </c>
      <c r="H3238" t="s">
        <v>101</v>
      </c>
      <c r="I3238" t="s">
        <v>26</v>
      </c>
      <c r="J3238" t="s">
        <v>1459</v>
      </c>
      <c r="K3238" t="s">
        <v>28</v>
      </c>
      <c r="L3238">
        <v>40214</v>
      </c>
      <c r="M3238" t="s">
        <v>29</v>
      </c>
      <c r="N3238" t="s">
        <v>63</v>
      </c>
      <c r="O3238" t="s">
        <v>31</v>
      </c>
      <c r="P3238" t="s">
        <v>64</v>
      </c>
      <c r="Q3238" t="s">
        <v>65</v>
      </c>
      <c r="R3238">
        <v>20.94</v>
      </c>
      <c r="S3238">
        <v>3</v>
      </c>
      <c r="T3238">
        <v>0</v>
      </c>
      <c r="U3238">
        <v>6.0726000000000004</v>
      </c>
      <c r="V3238" t="str">
        <f t="shared" si="50"/>
        <v>Shirley Schmidt</v>
      </c>
      <c r="W3238">
        <f>Table2[Profit]/Table2[Sales]</f>
        <v>0.28999999999999998</v>
      </c>
    </row>
    <row r="3239" spans="1:23" x14ac:dyDescent="0.25">
      <c r="A3239">
        <v>3238</v>
      </c>
      <c r="B3239" t="s">
        <v>8709</v>
      </c>
      <c r="C3239" s="1">
        <v>41945</v>
      </c>
      <c r="D3239" s="1">
        <v>41949</v>
      </c>
      <c r="E3239" t="s">
        <v>49</v>
      </c>
      <c r="F3239" t="s">
        <v>6420</v>
      </c>
      <c r="G3239" t="s">
        <v>6421</v>
      </c>
      <c r="H3239" t="s">
        <v>25</v>
      </c>
      <c r="I3239" t="s">
        <v>26</v>
      </c>
      <c r="J3239" t="s">
        <v>842</v>
      </c>
      <c r="K3239" t="s">
        <v>491</v>
      </c>
      <c r="L3239">
        <v>44256</v>
      </c>
      <c r="M3239" t="s">
        <v>145</v>
      </c>
      <c r="N3239" t="s">
        <v>6231</v>
      </c>
      <c r="O3239" t="s">
        <v>70</v>
      </c>
      <c r="P3239" t="s">
        <v>71</v>
      </c>
      <c r="Q3239" t="s">
        <v>6232</v>
      </c>
      <c r="R3239">
        <v>539.96400000000006</v>
      </c>
      <c r="S3239">
        <v>6</v>
      </c>
      <c r="T3239">
        <v>0.4</v>
      </c>
      <c r="U3239">
        <v>-107.9928</v>
      </c>
      <c r="V3239" t="str">
        <f t="shared" si="50"/>
        <v>Liz Carlisle</v>
      </c>
      <c r="W3239">
        <f>Table2[Profit]/Table2[Sales]</f>
        <v>-0.19999999999999998</v>
      </c>
    </row>
    <row r="3240" spans="1:23" x14ac:dyDescent="0.25">
      <c r="A3240">
        <v>3239</v>
      </c>
      <c r="B3240" t="s">
        <v>8710</v>
      </c>
      <c r="C3240" s="1">
        <v>43056</v>
      </c>
      <c r="D3240" s="1">
        <v>43061</v>
      </c>
      <c r="E3240" t="s">
        <v>22</v>
      </c>
      <c r="F3240" t="s">
        <v>840</v>
      </c>
      <c r="G3240" t="s">
        <v>841</v>
      </c>
      <c r="H3240" t="s">
        <v>40</v>
      </c>
      <c r="I3240" t="s">
        <v>26</v>
      </c>
      <c r="J3240" t="s">
        <v>263</v>
      </c>
      <c r="K3240" t="s">
        <v>264</v>
      </c>
      <c r="L3240">
        <v>10011</v>
      </c>
      <c r="M3240" t="s">
        <v>145</v>
      </c>
      <c r="N3240" t="s">
        <v>1554</v>
      </c>
      <c r="O3240" t="s">
        <v>45</v>
      </c>
      <c r="P3240" t="s">
        <v>58</v>
      </c>
      <c r="Q3240" t="s">
        <v>1555</v>
      </c>
      <c r="R3240">
        <v>1247.6400000000001</v>
      </c>
      <c r="S3240">
        <v>3</v>
      </c>
      <c r="T3240">
        <v>0</v>
      </c>
      <c r="U3240">
        <v>349.33920000000001</v>
      </c>
      <c r="V3240" t="str">
        <f t="shared" si="50"/>
        <v>Victoria Wilson</v>
      </c>
      <c r="W3240">
        <f>Table2[Profit]/Table2[Sales]</f>
        <v>0.27999999999999997</v>
      </c>
    </row>
    <row r="3241" spans="1:23" x14ac:dyDescent="0.25">
      <c r="A3241">
        <v>3240</v>
      </c>
      <c r="B3241" t="s">
        <v>8711</v>
      </c>
      <c r="C3241" s="1">
        <v>42547</v>
      </c>
      <c r="D3241" s="1">
        <v>42551</v>
      </c>
      <c r="E3241" t="s">
        <v>49</v>
      </c>
      <c r="F3241" t="s">
        <v>8712</v>
      </c>
      <c r="G3241" t="s">
        <v>8713</v>
      </c>
      <c r="H3241" t="s">
        <v>40</v>
      </c>
      <c r="I3241" t="s">
        <v>26</v>
      </c>
      <c r="J3241" t="s">
        <v>296</v>
      </c>
      <c r="K3241" t="s">
        <v>208</v>
      </c>
      <c r="L3241">
        <v>60653</v>
      </c>
      <c r="M3241" t="s">
        <v>104</v>
      </c>
      <c r="N3241" t="s">
        <v>632</v>
      </c>
      <c r="O3241" t="s">
        <v>45</v>
      </c>
      <c r="P3241" t="s">
        <v>67</v>
      </c>
      <c r="Q3241" t="s">
        <v>633</v>
      </c>
      <c r="R3241">
        <v>5.3040000000000003</v>
      </c>
      <c r="S3241">
        <v>3</v>
      </c>
      <c r="T3241">
        <v>0.2</v>
      </c>
      <c r="U3241">
        <v>0.46410000000000001</v>
      </c>
      <c r="V3241" t="str">
        <f t="shared" si="50"/>
        <v>Lela Donovan</v>
      </c>
      <c r="W3241">
        <f>Table2[Profit]/Table2[Sales]</f>
        <v>8.7499999999999994E-2</v>
      </c>
    </row>
    <row r="3242" spans="1:23" x14ac:dyDescent="0.25">
      <c r="A3242">
        <v>3241</v>
      </c>
      <c r="B3242" t="s">
        <v>8714</v>
      </c>
      <c r="C3242" s="1">
        <v>42652</v>
      </c>
      <c r="D3242" s="1">
        <v>42654</v>
      </c>
      <c r="E3242" t="s">
        <v>22</v>
      </c>
      <c r="F3242" t="s">
        <v>2135</v>
      </c>
      <c r="G3242" t="s">
        <v>2136</v>
      </c>
      <c r="H3242" t="s">
        <v>40</v>
      </c>
      <c r="I3242" t="s">
        <v>26</v>
      </c>
      <c r="J3242" t="s">
        <v>143</v>
      </c>
      <c r="K3242" t="s">
        <v>144</v>
      </c>
      <c r="L3242">
        <v>19143</v>
      </c>
      <c r="M3242" t="s">
        <v>145</v>
      </c>
      <c r="N3242" t="s">
        <v>8479</v>
      </c>
      <c r="O3242" t="s">
        <v>45</v>
      </c>
      <c r="P3242" t="s">
        <v>89</v>
      </c>
      <c r="Q3242" t="s">
        <v>8480</v>
      </c>
      <c r="R3242">
        <v>19.135999999999999</v>
      </c>
      <c r="S3242">
        <v>4</v>
      </c>
      <c r="T3242">
        <v>0.2</v>
      </c>
      <c r="U3242">
        <v>5.98</v>
      </c>
      <c r="V3242" t="str">
        <f t="shared" si="50"/>
        <v>Sibella Parks</v>
      </c>
      <c r="W3242">
        <f>Table2[Profit]/Table2[Sales]</f>
        <v>0.31250000000000006</v>
      </c>
    </row>
    <row r="3243" spans="1:23" x14ac:dyDescent="0.25">
      <c r="A3243">
        <v>3242</v>
      </c>
      <c r="B3243" t="s">
        <v>8715</v>
      </c>
      <c r="C3243" s="1">
        <v>43089</v>
      </c>
      <c r="D3243" s="1">
        <v>43095</v>
      </c>
      <c r="E3243" t="s">
        <v>49</v>
      </c>
      <c r="F3243" t="s">
        <v>719</v>
      </c>
      <c r="G3243" t="s">
        <v>720</v>
      </c>
      <c r="H3243" t="s">
        <v>40</v>
      </c>
      <c r="I3243" t="s">
        <v>26</v>
      </c>
      <c r="J3243" t="s">
        <v>263</v>
      </c>
      <c r="K3243" t="s">
        <v>264</v>
      </c>
      <c r="L3243">
        <v>10009</v>
      </c>
      <c r="M3243" t="s">
        <v>145</v>
      </c>
      <c r="N3243" t="s">
        <v>1239</v>
      </c>
      <c r="O3243" t="s">
        <v>45</v>
      </c>
      <c r="P3243" t="s">
        <v>89</v>
      </c>
      <c r="Q3243" t="s">
        <v>1428</v>
      </c>
      <c r="R3243">
        <v>279.89999999999998</v>
      </c>
      <c r="S3243">
        <v>5</v>
      </c>
      <c r="T3243">
        <v>0</v>
      </c>
      <c r="U3243">
        <v>137.15100000000001</v>
      </c>
      <c r="V3243" t="str">
        <f t="shared" si="50"/>
        <v>David Kendrick</v>
      </c>
      <c r="W3243">
        <f>Table2[Profit]/Table2[Sales]</f>
        <v>0.4900000000000001</v>
      </c>
    </row>
    <row r="3244" spans="1:23" x14ac:dyDescent="0.25">
      <c r="A3244">
        <v>3243</v>
      </c>
      <c r="B3244" t="s">
        <v>8716</v>
      </c>
      <c r="C3244" s="1">
        <v>42800</v>
      </c>
      <c r="D3244" s="1">
        <v>42804</v>
      </c>
      <c r="E3244" t="s">
        <v>49</v>
      </c>
      <c r="F3244" t="s">
        <v>8030</v>
      </c>
      <c r="G3244" t="s">
        <v>8031</v>
      </c>
      <c r="H3244" t="s">
        <v>101</v>
      </c>
      <c r="I3244" t="s">
        <v>26</v>
      </c>
      <c r="J3244" t="s">
        <v>126</v>
      </c>
      <c r="K3244" t="s">
        <v>42</v>
      </c>
      <c r="L3244">
        <v>94109</v>
      </c>
      <c r="M3244" t="s">
        <v>43</v>
      </c>
      <c r="N3244" t="s">
        <v>2707</v>
      </c>
      <c r="O3244" t="s">
        <v>45</v>
      </c>
      <c r="P3244" t="s">
        <v>67</v>
      </c>
      <c r="Q3244" t="s">
        <v>2708</v>
      </c>
      <c r="R3244">
        <v>23.88</v>
      </c>
      <c r="S3244">
        <v>6</v>
      </c>
      <c r="T3244">
        <v>0</v>
      </c>
      <c r="U3244">
        <v>8.1191999999999993</v>
      </c>
      <c r="V3244" t="str">
        <f t="shared" si="50"/>
        <v>Frank Carlisle</v>
      </c>
      <c r="W3244">
        <f>Table2[Profit]/Table2[Sales]</f>
        <v>0.33999999999999997</v>
      </c>
    </row>
    <row r="3245" spans="1:23" x14ac:dyDescent="0.25">
      <c r="A3245">
        <v>3244</v>
      </c>
      <c r="B3245" t="s">
        <v>8717</v>
      </c>
      <c r="C3245" s="1">
        <v>42993</v>
      </c>
      <c r="D3245" s="1">
        <v>42997</v>
      </c>
      <c r="E3245" t="s">
        <v>49</v>
      </c>
      <c r="F3245" t="s">
        <v>4113</v>
      </c>
      <c r="G3245" t="s">
        <v>4114</v>
      </c>
      <c r="H3245" t="s">
        <v>25</v>
      </c>
      <c r="I3245" t="s">
        <v>26</v>
      </c>
      <c r="J3245" t="s">
        <v>126</v>
      </c>
      <c r="K3245" t="s">
        <v>42</v>
      </c>
      <c r="L3245">
        <v>94122</v>
      </c>
      <c r="M3245" t="s">
        <v>43</v>
      </c>
      <c r="N3245" t="s">
        <v>3670</v>
      </c>
      <c r="O3245" t="s">
        <v>31</v>
      </c>
      <c r="P3245" t="s">
        <v>35</v>
      </c>
      <c r="Q3245" t="s">
        <v>3671</v>
      </c>
      <c r="R3245">
        <v>218.352</v>
      </c>
      <c r="S3245">
        <v>3</v>
      </c>
      <c r="T3245">
        <v>0.2</v>
      </c>
      <c r="U3245">
        <v>0</v>
      </c>
      <c r="V3245" t="str">
        <f t="shared" si="50"/>
        <v>Rick Duston</v>
      </c>
      <c r="W3245">
        <f>Table2[Profit]/Table2[Sales]</f>
        <v>0</v>
      </c>
    </row>
    <row r="3246" spans="1:23" x14ac:dyDescent="0.25">
      <c r="A3246">
        <v>3245</v>
      </c>
      <c r="B3246" t="s">
        <v>8718</v>
      </c>
      <c r="C3246" s="1">
        <v>42751</v>
      </c>
      <c r="D3246" s="1">
        <v>42753</v>
      </c>
      <c r="E3246" t="s">
        <v>22</v>
      </c>
      <c r="F3246" t="s">
        <v>3945</v>
      </c>
      <c r="G3246" t="s">
        <v>3946</v>
      </c>
      <c r="H3246" t="s">
        <v>25</v>
      </c>
      <c r="I3246" t="s">
        <v>26</v>
      </c>
      <c r="J3246" t="s">
        <v>321</v>
      </c>
      <c r="K3246" t="s">
        <v>235</v>
      </c>
      <c r="L3246">
        <v>49201</v>
      </c>
      <c r="M3246" t="s">
        <v>104</v>
      </c>
      <c r="N3246" t="s">
        <v>1243</v>
      </c>
      <c r="O3246" t="s">
        <v>45</v>
      </c>
      <c r="P3246" t="s">
        <v>74</v>
      </c>
      <c r="Q3246" t="s">
        <v>1244</v>
      </c>
      <c r="R3246">
        <v>5443.96</v>
      </c>
      <c r="S3246">
        <v>4</v>
      </c>
      <c r="T3246">
        <v>0</v>
      </c>
      <c r="U3246">
        <v>2504.2215999999999</v>
      </c>
      <c r="V3246" t="str">
        <f t="shared" si="50"/>
        <v>Andy Reiter</v>
      </c>
      <c r="W3246">
        <f>Table2[Profit]/Table2[Sales]</f>
        <v>0.45999999999999996</v>
      </c>
    </row>
    <row r="3247" spans="1:23" x14ac:dyDescent="0.25">
      <c r="A3247">
        <v>3246</v>
      </c>
      <c r="B3247" t="s">
        <v>8721</v>
      </c>
      <c r="C3247" s="1">
        <v>42558</v>
      </c>
      <c r="D3247" s="1">
        <v>42564</v>
      </c>
      <c r="E3247" t="s">
        <v>49</v>
      </c>
      <c r="F3247" t="s">
        <v>3121</v>
      </c>
      <c r="G3247" t="s">
        <v>3122</v>
      </c>
      <c r="H3247" t="s">
        <v>101</v>
      </c>
      <c r="I3247" t="s">
        <v>26</v>
      </c>
      <c r="J3247" t="s">
        <v>143</v>
      </c>
      <c r="K3247" t="s">
        <v>144</v>
      </c>
      <c r="L3247">
        <v>19120</v>
      </c>
      <c r="M3247" t="s">
        <v>145</v>
      </c>
      <c r="N3247" t="s">
        <v>7011</v>
      </c>
      <c r="O3247" t="s">
        <v>45</v>
      </c>
      <c r="P3247" t="s">
        <v>46</v>
      </c>
      <c r="Q3247" t="s">
        <v>7012</v>
      </c>
      <c r="R3247">
        <v>10.08</v>
      </c>
      <c r="S3247">
        <v>2</v>
      </c>
      <c r="T3247">
        <v>0.2</v>
      </c>
      <c r="U3247">
        <v>3.2759999999999998</v>
      </c>
      <c r="V3247" t="str">
        <f t="shared" si="50"/>
        <v>Chad Cunningham</v>
      </c>
      <c r="W3247">
        <f>Table2[Profit]/Table2[Sales]</f>
        <v>0.32499999999999996</v>
      </c>
    </row>
    <row r="3248" spans="1:23" x14ac:dyDescent="0.25">
      <c r="A3248">
        <v>3247</v>
      </c>
      <c r="B3248" t="s">
        <v>8722</v>
      </c>
      <c r="C3248" s="1">
        <v>42727</v>
      </c>
      <c r="D3248" s="1">
        <v>42732</v>
      </c>
      <c r="E3248" t="s">
        <v>22</v>
      </c>
      <c r="F3248" t="s">
        <v>5882</v>
      </c>
      <c r="G3248" t="s">
        <v>5883</v>
      </c>
      <c r="H3248" t="s">
        <v>40</v>
      </c>
      <c r="I3248" t="s">
        <v>26</v>
      </c>
      <c r="J3248" t="s">
        <v>1387</v>
      </c>
      <c r="K3248" t="s">
        <v>1388</v>
      </c>
      <c r="L3248">
        <v>2886</v>
      </c>
      <c r="M3248" t="s">
        <v>145</v>
      </c>
      <c r="N3248" t="s">
        <v>2364</v>
      </c>
      <c r="O3248" t="s">
        <v>70</v>
      </c>
      <c r="P3248" t="s">
        <v>1204</v>
      </c>
      <c r="Q3248" t="s">
        <v>2365</v>
      </c>
      <c r="R3248">
        <v>1999.96</v>
      </c>
      <c r="S3248">
        <v>4</v>
      </c>
      <c r="T3248">
        <v>0</v>
      </c>
      <c r="U3248">
        <v>899.98199999999997</v>
      </c>
      <c r="V3248" t="str">
        <f t="shared" si="50"/>
        <v>Carol Adams</v>
      </c>
      <c r="W3248">
        <f>Table2[Profit]/Table2[Sales]</f>
        <v>0.44999999999999996</v>
      </c>
    </row>
    <row r="3249" spans="1:23" x14ac:dyDescent="0.25">
      <c r="A3249">
        <v>3248</v>
      </c>
      <c r="B3249" t="s">
        <v>8723</v>
      </c>
      <c r="C3249" s="1">
        <v>41995</v>
      </c>
      <c r="D3249" s="1">
        <v>41999</v>
      </c>
      <c r="E3249" t="s">
        <v>49</v>
      </c>
      <c r="F3249" t="s">
        <v>3333</v>
      </c>
      <c r="G3249" t="s">
        <v>3334</v>
      </c>
      <c r="H3249" t="s">
        <v>101</v>
      </c>
      <c r="I3249" t="s">
        <v>26</v>
      </c>
      <c r="J3249" t="s">
        <v>263</v>
      </c>
      <c r="K3249" t="s">
        <v>264</v>
      </c>
      <c r="L3249">
        <v>10024</v>
      </c>
      <c r="M3249" t="s">
        <v>145</v>
      </c>
      <c r="N3249" t="s">
        <v>8724</v>
      </c>
      <c r="O3249" t="s">
        <v>45</v>
      </c>
      <c r="P3249" t="s">
        <v>58</v>
      </c>
      <c r="Q3249" t="s">
        <v>8725</v>
      </c>
      <c r="R3249">
        <v>216.4</v>
      </c>
      <c r="S3249">
        <v>4</v>
      </c>
      <c r="T3249">
        <v>0</v>
      </c>
      <c r="U3249">
        <v>56.264000000000003</v>
      </c>
      <c r="V3249" t="str">
        <f t="shared" si="50"/>
        <v>Bradley Talbott</v>
      </c>
      <c r="W3249">
        <f>Table2[Profit]/Table2[Sales]</f>
        <v>0.26</v>
      </c>
    </row>
    <row r="3250" spans="1:23" x14ac:dyDescent="0.25">
      <c r="A3250">
        <v>3249</v>
      </c>
      <c r="B3250" t="s">
        <v>8726</v>
      </c>
      <c r="C3250" s="1">
        <v>41693</v>
      </c>
      <c r="D3250" s="1">
        <v>41697</v>
      </c>
      <c r="E3250" t="s">
        <v>49</v>
      </c>
      <c r="F3250" t="s">
        <v>6062</v>
      </c>
      <c r="G3250" t="s">
        <v>6063</v>
      </c>
      <c r="H3250" t="s">
        <v>101</v>
      </c>
      <c r="I3250" t="s">
        <v>26</v>
      </c>
      <c r="J3250" t="s">
        <v>4086</v>
      </c>
      <c r="K3250" t="s">
        <v>103</v>
      </c>
      <c r="L3250">
        <v>79907</v>
      </c>
      <c r="M3250" t="s">
        <v>104</v>
      </c>
      <c r="N3250" t="s">
        <v>3308</v>
      </c>
      <c r="O3250" t="s">
        <v>45</v>
      </c>
      <c r="P3250" t="s">
        <v>46</v>
      </c>
      <c r="Q3250" t="s">
        <v>3309</v>
      </c>
      <c r="R3250">
        <v>6.9359999999999999</v>
      </c>
      <c r="S3250">
        <v>3</v>
      </c>
      <c r="T3250">
        <v>0.2</v>
      </c>
      <c r="U3250">
        <v>2.3409</v>
      </c>
      <c r="V3250" t="str">
        <f t="shared" si="50"/>
        <v>Michael Grace</v>
      </c>
      <c r="W3250">
        <f>Table2[Profit]/Table2[Sales]</f>
        <v>0.33750000000000002</v>
      </c>
    </row>
    <row r="3251" spans="1:23" x14ac:dyDescent="0.25">
      <c r="A3251">
        <v>3250</v>
      </c>
      <c r="B3251" t="s">
        <v>8727</v>
      </c>
      <c r="C3251" s="1">
        <v>43073</v>
      </c>
      <c r="D3251" s="1">
        <v>43077</v>
      </c>
      <c r="E3251" t="s">
        <v>49</v>
      </c>
      <c r="F3251" t="s">
        <v>1969</v>
      </c>
      <c r="G3251" t="s">
        <v>1970</v>
      </c>
      <c r="H3251" t="s">
        <v>25</v>
      </c>
      <c r="I3251" t="s">
        <v>26</v>
      </c>
      <c r="J3251" t="s">
        <v>382</v>
      </c>
      <c r="K3251" t="s">
        <v>226</v>
      </c>
      <c r="L3251">
        <v>55901</v>
      </c>
      <c r="M3251" t="s">
        <v>104</v>
      </c>
      <c r="N3251" t="s">
        <v>4037</v>
      </c>
      <c r="O3251" t="s">
        <v>45</v>
      </c>
      <c r="P3251" t="s">
        <v>67</v>
      </c>
      <c r="Q3251" t="s">
        <v>4038</v>
      </c>
      <c r="R3251">
        <v>8.8000000000000007</v>
      </c>
      <c r="S3251">
        <v>5</v>
      </c>
      <c r="T3251">
        <v>0</v>
      </c>
      <c r="U3251">
        <v>2.552</v>
      </c>
      <c r="V3251" t="str">
        <f t="shared" si="50"/>
        <v>Theone Pippenger</v>
      </c>
      <c r="W3251">
        <f>Table2[Profit]/Table2[Sales]</f>
        <v>0.28999999999999998</v>
      </c>
    </row>
    <row r="3252" spans="1:23" x14ac:dyDescent="0.25">
      <c r="A3252">
        <v>3251</v>
      </c>
      <c r="B3252" t="s">
        <v>8728</v>
      </c>
      <c r="C3252" s="1">
        <v>41960</v>
      </c>
      <c r="D3252" s="1">
        <v>41965</v>
      </c>
      <c r="E3252" t="s">
        <v>49</v>
      </c>
      <c r="F3252" t="s">
        <v>1852</v>
      </c>
      <c r="G3252" t="s">
        <v>1853</v>
      </c>
      <c r="H3252" t="s">
        <v>25</v>
      </c>
      <c r="I3252" t="s">
        <v>26</v>
      </c>
      <c r="J3252" t="s">
        <v>3383</v>
      </c>
      <c r="K3252" t="s">
        <v>264</v>
      </c>
      <c r="L3252">
        <v>14215</v>
      </c>
      <c r="M3252" t="s">
        <v>145</v>
      </c>
      <c r="N3252" t="s">
        <v>4620</v>
      </c>
      <c r="O3252" t="s">
        <v>45</v>
      </c>
      <c r="P3252" t="s">
        <v>74</v>
      </c>
      <c r="Q3252" t="s">
        <v>4621</v>
      </c>
      <c r="R3252">
        <v>2152.7759999999998</v>
      </c>
      <c r="S3252">
        <v>3</v>
      </c>
      <c r="T3252">
        <v>0.2</v>
      </c>
      <c r="U3252">
        <v>726.56190000000004</v>
      </c>
      <c r="V3252" t="str">
        <f t="shared" si="50"/>
        <v>Greg Tran</v>
      </c>
      <c r="W3252">
        <f>Table2[Profit]/Table2[Sales]</f>
        <v>0.33750000000000002</v>
      </c>
    </row>
    <row r="3253" spans="1:23" x14ac:dyDescent="0.25">
      <c r="A3253">
        <v>3252</v>
      </c>
      <c r="B3253" t="s">
        <v>8729</v>
      </c>
      <c r="C3253" s="1">
        <v>41932</v>
      </c>
      <c r="D3253" s="1">
        <v>41935</v>
      </c>
      <c r="E3253" t="s">
        <v>185</v>
      </c>
      <c r="F3253" t="s">
        <v>785</v>
      </c>
      <c r="G3253" t="s">
        <v>786</v>
      </c>
      <c r="H3253" t="s">
        <v>40</v>
      </c>
      <c r="I3253" t="s">
        <v>26</v>
      </c>
      <c r="J3253" t="s">
        <v>5032</v>
      </c>
      <c r="K3253" t="s">
        <v>328</v>
      </c>
      <c r="L3253">
        <v>37918</v>
      </c>
      <c r="M3253" t="s">
        <v>29</v>
      </c>
      <c r="N3253" t="s">
        <v>3699</v>
      </c>
      <c r="O3253" t="s">
        <v>31</v>
      </c>
      <c r="P3253" t="s">
        <v>55</v>
      </c>
      <c r="Q3253" t="s">
        <v>3700</v>
      </c>
      <c r="R3253">
        <v>328.59</v>
      </c>
      <c r="S3253">
        <v>3</v>
      </c>
      <c r="T3253">
        <v>0.4</v>
      </c>
      <c r="U3253">
        <v>-147.8655</v>
      </c>
      <c r="V3253" t="str">
        <f t="shared" si="50"/>
        <v>Fred Hopkins</v>
      </c>
      <c r="W3253">
        <f>Table2[Profit]/Table2[Sales]</f>
        <v>-0.45</v>
      </c>
    </row>
    <row r="3254" spans="1:23" x14ac:dyDescent="0.25">
      <c r="A3254">
        <v>3253</v>
      </c>
      <c r="B3254" t="s">
        <v>8730</v>
      </c>
      <c r="C3254" s="1">
        <v>42302</v>
      </c>
      <c r="D3254" s="1">
        <v>42307</v>
      </c>
      <c r="E3254" t="s">
        <v>49</v>
      </c>
      <c r="F3254" t="s">
        <v>812</v>
      </c>
      <c r="G3254" t="s">
        <v>813</v>
      </c>
      <c r="H3254" t="s">
        <v>40</v>
      </c>
      <c r="I3254" t="s">
        <v>26</v>
      </c>
      <c r="J3254" t="s">
        <v>600</v>
      </c>
      <c r="K3254" t="s">
        <v>242</v>
      </c>
      <c r="L3254">
        <v>19711</v>
      </c>
      <c r="M3254" t="s">
        <v>145</v>
      </c>
      <c r="N3254" t="s">
        <v>2143</v>
      </c>
      <c r="O3254" t="s">
        <v>70</v>
      </c>
      <c r="P3254" t="s">
        <v>71</v>
      </c>
      <c r="Q3254" t="s">
        <v>2144</v>
      </c>
      <c r="R3254">
        <v>158.99</v>
      </c>
      <c r="S3254">
        <v>1</v>
      </c>
      <c r="T3254">
        <v>0</v>
      </c>
      <c r="U3254">
        <v>41.337400000000002</v>
      </c>
      <c r="V3254" t="str">
        <f t="shared" si="50"/>
        <v>Heather Kirkland</v>
      </c>
      <c r="W3254">
        <f>Table2[Profit]/Table2[Sales]</f>
        <v>0.26</v>
      </c>
    </row>
    <row r="3255" spans="1:23" x14ac:dyDescent="0.25">
      <c r="A3255">
        <v>3254</v>
      </c>
      <c r="B3255" t="s">
        <v>8731</v>
      </c>
      <c r="C3255" s="1">
        <v>43055</v>
      </c>
      <c r="D3255" s="1">
        <v>43058</v>
      </c>
      <c r="E3255" t="s">
        <v>185</v>
      </c>
      <c r="F3255" t="s">
        <v>3456</v>
      </c>
      <c r="G3255" t="s">
        <v>3457</v>
      </c>
      <c r="H3255" t="s">
        <v>25</v>
      </c>
      <c r="I3255" t="s">
        <v>26</v>
      </c>
      <c r="J3255" t="s">
        <v>94</v>
      </c>
      <c r="K3255" t="s">
        <v>95</v>
      </c>
      <c r="L3255">
        <v>98103</v>
      </c>
      <c r="M3255" t="s">
        <v>43</v>
      </c>
      <c r="N3255" t="s">
        <v>7139</v>
      </c>
      <c r="O3255" t="s">
        <v>45</v>
      </c>
      <c r="P3255" t="s">
        <v>89</v>
      </c>
      <c r="Q3255" t="s">
        <v>7140</v>
      </c>
      <c r="R3255">
        <v>73.680000000000007</v>
      </c>
      <c r="S3255">
        <v>6</v>
      </c>
      <c r="T3255">
        <v>0</v>
      </c>
      <c r="U3255">
        <v>34.629600000000003</v>
      </c>
      <c r="V3255" t="str">
        <f t="shared" si="50"/>
        <v>Chris Cortes</v>
      </c>
      <c r="W3255">
        <f>Table2[Profit]/Table2[Sales]</f>
        <v>0.47000000000000003</v>
      </c>
    </row>
    <row r="3256" spans="1:23" x14ac:dyDescent="0.25">
      <c r="A3256">
        <v>3255</v>
      </c>
      <c r="B3256" t="s">
        <v>8732</v>
      </c>
      <c r="C3256" s="1">
        <v>42869</v>
      </c>
      <c r="D3256" s="1">
        <v>42873</v>
      </c>
      <c r="E3256" t="s">
        <v>49</v>
      </c>
      <c r="F3256" t="s">
        <v>248</v>
      </c>
      <c r="G3256" t="s">
        <v>249</v>
      </c>
      <c r="H3256" t="s">
        <v>25</v>
      </c>
      <c r="I3256" t="s">
        <v>26</v>
      </c>
      <c r="J3256" t="s">
        <v>2148</v>
      </c>
      <c r="K3256" t="s">
        <v>491</v>
      </c>
      <c r="L3256">
        <v>44105</v>
      </c>
      <c r="M3256" t="s">
        <v>145</v>
      </c>
      <c r="N3256" t="s">
        <v>6653</v>
      </c>
      <c r="O3256" t="s">
        <v>45</v>
      </c>
      <c r="P3256" t="s">
        <v>74</v>
      </c>
      <c r="Q3256" t="s">
        <v>6654</v>
      </c>
      <c r="R3256">
        <v>58.17</v>
      </c>
      <c r="S3256">
        <v>5</v>
      </c>
      <c r="T3256">
        <v>0.7</v>
      </c>
      <c r="U3256">
        <v>-46.536000000000001</v>
      </c>
      <c r="V3256" t="str">
        <f t="shared" si="50"/>
        <v>Darren Powers</v>
      </c>
      <c r="W3256">
        <f>Table2[Profit]/Table2[Sales]</f>
        <v>-0.8</v>
      </c>
    </row>
    <row r="3257" spans="1:23" x14ac:dyDescent="0.25">
      <c r="A3257">
        <v>3256</v>
      </c>
      <c r="B3257" t="s">
        <v>8733</v>
      </c>
      <c r="C3257" s="1">
        <v>41699</v>
      </c>
      <c r="D3257" s="1">
        <v>41703</v>
      </c>
      <c r="E3257" t="s">
        <v>49</v>
      </c>
      <c r="F3257" t="s">
        <v>5906</v>
      </c>
      <c r="G3257" t="s">
        <v>5907</v>
      </c>
      <c r="H3257" t="s">
        <v>101</v>
      </c>
      <c r="I3257" t="s">
        <v>26</v>
      </c>
      <c r="J3257" t="s">
        <v>5366</v>
      </c>
      <c r="K3257" t="s">
        <v>208</v>
      </c>
      <c r="L3257">
        <v>60126</v>
      </c>
      <c r="M3257" t="s">
        <v>104</v>
      </c>
      <c r="N3257" t="s">
        <v>377</v>
      </c>
      <c r="O3257" t="s">
        <v>31</v>
      </c>
      <c r="P3257" t="s">
        <v>35</v>
      </c>
      <c r="Q3257" t="s">
        <v>378</v>
      </c>
      <c r="R3257">
        <v>634.11599999999999</v>
      </c>
      <c r="S3257">
        <v>6</v>
      </c>
      <c r="T3257">
        <v>0.3</v>
      </c>
      <c r="U3257">
        <v>-172.1172</v>
      </c>
      <c r="V3257" t="str">
        <f t="shared" si="50"/>
        <v>Vicky Freymann</v>
      </c>
      <c r="W3257">
        <f>Table2[Profit]/Table2[Sales]</f>
        <v>-0.27142857142857141</v>
      </c>
    </row>
    <row r="3258" spans="1:23" x14ac:dyDescent="0.25">
      <c r="A3258">
        <v>3257</v>
      </c>
      <c r="B3258" t="s">
        <v>8734</v>
      </c>
      <c r="C3258" s="1">
        <v>42215</v>
      </c>
      <c r="D3258" s="1">
        <v>42217</v>
      </c>
      <c r="E3258" t="s">
        <v>185</v>
      </c>
      <c r="F3258" t="s">
        <v>6219</v>
      </c>
      <c r="G3258" t="s">
        <v>6220</v>
      </c>
      <c r="H3258" t="s">
        <v>101</v>
      </c>
      <c r="I3258" t="s">
        <v>26</v>
      </c>
      <c r="J3258" t="s">
        <v>926</v>
      </c>
      <c r="K3258" t="s">
        <v>226</v>
      </c>
      <c r="L3258">
        <v>55044</v>
      </c>
      <c r="M3258" t="s">
        <v>104</v>
      </c>
      <c r="N3258" t="s">
        <v>3050</v>
      </c>
      <c r="O3258" t="s">
        <v>31</v>
      </c>
      <c r="P3258" t="s">
        <v>35</v>
      </c>
      <c r="Q3258" t="s">
        <v>3051</v>
      </c>
      <c r="R3258">
        <v>155.88</v>
      </c>
      <c r="S3258">
        <v>6</v>
      </c>
      <c r="T3258">
        <v>0</v>
      </c>
      <c r="U3258">
        <v>38.97</v>
      </c>
      <c r="V3258" t="str">
        <f t="shared" si="50"/>
        <v>Gary Hansen</v>
      </c>
      <c r="W3258">
        <f>Table2[Profit]/Table2[Sales]</f>
        <v>0.25</v>
      </c>
    </row>
    <row r="3259" spans="1:23" x14ac:dyDescent="0.25">
      <c r="A3259">
        <v>3258</v>
      </c>
      <c r="B3259" t="s">
        <v>8735</v>
      </c>
      <c r="C3259" s="1">
        <v>42309</v>
      </c>
      <c r="D3259" s="1">
        <v>42311</v>
      </c>
      <c r="E3259" t="s">
        <v>22</v>
      </c>
      <c r="F3259" t="s">
        <v>3522</v>
      </c>
      <c r="G3259" t="s">
        <v>3523</v>
      </c>
      <c r="H3259" t="s">
        <v>25</v>
      </c>
      <c r="I3259" t="s">
        <v>26</v>
      </c>
      <c r="J3259" t="s">
        <v>263</v>
      </c>
      <c r="K3259" t="s">
        <v>264</v>
      </c>
      <c r="L3259">
        <v>10035</v>
      </c>
      <c r="M3259" t="s">
        <v>145</v>
      </c>
      <c r="N3259" t="s">
        <v>5995</v>
      </c>
      <c r="O3259" t="s">
        <v>31</v>
      </c>
      <c r="P3259" t="s">
        <v>35</v>
      </c>
      <c r="Q3259" t="s">
        <v>5996</v>
      </c>
      <c r="R3259">
        <v>327.56400000000002</v>
      </c>
      <c r="S3259">
        <v>4</v>
      </c>
      <c r="T3259">
        <v>0.1</v>
      </c>
      <c r="U3259">
        <v>21.837599999999998</v>
      </c>
      <c r="V3259" t="str">
        <f t="shared" si="50"/>
        <v>Justin Hirsh</v>
      </c>
      <c r="W3259">
        <f>Table2[Profit]/Table2[Sales]</f>
        <v>6.6666666666666652E-2</v>
      </c>
    </row>
    <row r="3260" spans="1:23" x14ac:dyDescent="0.25">
      <c r="A3260">
        <v>3259</v>
      </c>
      <c r="B3260" t="s">
        <v>8736</v>
      </c>
      <c r="C3260" s="1">
        <v>43085</v>
      </c>
      <c r="D3260" s="1">
        <v>43090</v>
      </c>
      <c r="E3260" t="s">
        <v>22</v>
      </c>
      <c r="F3260" t="s">
        <v>433</v>
      </c>
      <c r="G3260" t="s">
        <v>434</v>
      </c>
      <c r="H3260" t="s">
        <v>101</v>
      </c>
      <c r="I3260" t="s">
        <v>26</v>
      </c>
      <c r="J3260" t="s">
        <v>41</v>
      </c>
      <c r="K3260" t="s">
        <v>42</v>
      </c>
      <c r="L3260">
        <v>90036</v>
      </c>
      <c r="M3260" t="s">
        <v>43</v>
      </c>
      <c r="N3260" t="s">
        <v>1839</v>
      </c>
      <c r="O3260" t="s">
        <v>45</v>
      </c>
      <c r="P3260" t="s">
        <v>89</v>
      </c>
      <c r="Q3260" t="s">
        <v>1840</v>
      </c>
      <c r="R3260">
        <v>13.36</v>
      </c>
      <c r="S3260">
        <v>2</v>
      </c>
      <c r="T3260">
        <v>0</v>
      </c>
      <c r="U3260">
        <v>6.4127999999999998</v>
      </c>
      <c r="V3260" t="str">
        <f t="shared" si="50"/>
        <v>Rick Bensley</v>
      </c>
      <c r="W3260">
        <f>Table2[Profit]/Table2[Sales]</f>
        <v>0.48</v>
      </c>
    </row>
    <row r="3261" spans="1:23" x14ac:dyDescent="0.25">
      <c r="A3261">
        <v>3260</v>
      </c>
      <c r="B3261" t="s">
        <v>8737</v>
      </c>
      <c r="C3261" s="1">
        <v>41932</v>
      </c>
      <c r="D3261" s="1">
        <v>41934</v>
      </c>
      <c r="E3261" t="s">
        <v>22</v>
      </c>
      <c r="F3261" t="s">
        <v>543</v>
      </c>
      <c r="G3261" t="s">
        <v>544</v>
      </c>
      <c r="H3261" t="s">
        <v>101</v>
      </c>
      <c r="I3261" t="s">
        <v>26</v>
      </c>
      <c r="J3261" t="s">
        <v>296</v>
      </c>
      <c r="K3261" t="s">
        <v>208</v>
      </c>
      <c r="L3261">
        <v>60653</v>
      </c>
      <c r="M3261" t="s">
        <v>104</v>
      </c>
      <c r="N3261" t="s">
        <v>2266</v>
      </c>
      <c r="O3261" t="s">
        <v>70</v>
      </c>
      <c r="P3261" t="s">
        <v>158</v>
      </c>
      <c r="Q3261" t="s">
        <v>2267</v>
      </c>
      <c r="R3261">
        <v>319.96800000000002</v>
      </c>
      <c r="S3261">
        <v>4</v>
      </c>
      <c r="T3261">
        <v>0.2</v>
      </c>
      <c r="U3261">
        <v>71.992800000000003</v>
      </c>
      <c r="V3261" t="str">
        <f t="shared" si="50"/>
        <v>Lindsay Shagiari</v>
      </c>
      <c r="W3261">
        <f>Table2[Profit]/Table2[Sales]</f>
        <v>0.22500000000000001</v>
      </c>
    </row>
    <row r="3262" spans="1:23" x14ac:dyDescent="0.25">
      <c r="A3262">
        <v>3261</v>
      </c>
      <c r="B3262" t="s">
        <v>8738</v>
      </c>
      <c r="C3262" s="1">
        <v>42160</v>
      </c>
      <c r="D3262" s="1">
        <v>42165</v>
      </c>
      <c r="E3262" t="s">
        <v>49</v>
      </c>
      <c r="F3262" t="s">
        <v>4050</v>
      </c>
      <c r="G3262" t="s">
        <v>4051</v>
      </c>
      <c r="H3262" t="s">
        <v>40</v>
      </c>
      <c r="I3262" t="s">
        <v>26</v>
      </c>
      <c r="J3262" t="s">
        <v>3383</v>
      </c>
      <c r="K3262" t="s">
        <v>264</v>
      </c>
      <c r="L3262">
        <v>14215</v>
      </c>
      <c r="M3262" t="s">
        <v>145</v>
      </c>
      <c r="N3262" t="s">
        <v>1905</v>
      </c>
      <c r="O3262" t="s">
        <v>31</v>
      </c>
      <c r="P3262" t="s">
        <v>35</v>
      </c>
      <c r="Q3262" t="s">
        <v>1906</v>
      </c>
      <c r="R3262">
        <v>1522.6379999999999</v>
      </c>
      <c r="S3262">
        <v>9</v>
      </c>
      <c r="T3262">
        <v>0.1</v>
      </c>
      <c r="U3262">
        <v>169.18199999999999</v>
      </c>
      <c r="V3262" t="str">
        <f t="shared" si="50"/>
        <v>Edward Becker</v>
      </c>
      <c r="W3262">
        <f>Table2[Profit]/Table2[Sales]</f>
        <v>0.1111111111111111</v>
      </c>
    </row>
    <row r="3263" spans="1:23" x14ac:dyDescent="0.25">
      <c r="A3263">
        <v>3262</v>
      </c>
      <c r="B3263" t="s">
        <v>8739</v>
      </c>
      <c r="C3263" s="1">
        <v>42572</v>
      </c>
      <c r="D3263" s="1">
        <v>42577</v>
      </c>
      <c r="E3263" t="s">
        <v>49</v>
      </c>
      <c r="F3263" t="s">
        <v>3778</v>
      </c>
      <c r="G3263" t="s">
        <v>3779</v>
      </c>
      <c r="H3263" t="s">
        <v>40</v>
      </c>
      <c r="I3263" t="s">
        <v>26</v>
      </c>
      <c r="J3263" t="s">
        <v>560</v>
      </c>
      <c r="K3263" t="s">
        <v>42</v>
      </c>
      <c r="L3263">
        <v>95661</v>
      </c>
      <c r="M3263" t="s">
        <v>43</v>
      </c>
      <c r="N3263" t="s">
        <v>3722</v>
      </c>
      <c r="O3263" t="s">
        <v>45</v>
      </c>
      <c r="P3263" t="s">
        <v>170</v>
      </c>
      <c r="Q3263" t="s">
        <v>3723</v>
      </c>
      <c r="R3263">
        <v>419.9</v>
      </c>
      <c r="S3263">
        <v>5</v>
      </c>
      <c r="T3263">
        <v>0</v>
      </c>
      <c r="U3263">
        <v>197.35300000000001</v>
      </c>
      <c r="V3263" t="str">
        <f t="shared" si="50"/>
        <v>Damala Kotsonis</v>
      </c>
      <c r="W3263">
        <f>Table2[Profit]/Table2[Sales]</f>
        <v>0.47000000000000003</v>
      </c>
    </row>
    <row r="3264" spans="1:23" x14ac:dyDescent="0.25">
      <c r="A3264">
        <v>3263</v>
      </c>
      <c r="B3264" t="s">
        <v>8740</v>
      </c>
      <c r="C3264" s="1">
        <v>42825</v>
      </c>
      <c r="D3264" s="1">
        <v>42827</v>
      </c>
      <c r="E3264" t="s">
        <v>185</v>
      </c>
      <c r="F3264" t="s">
        <v>5267</v>
      </c>
      <c r="G3264" t="s">
        <v>5268</v>
      </c>
      <c r="H3264" t="s">
        <v>40</v>
      </c>
      <c r="I3264" t="s">
        <v>26</v>
      </c>
      <c r="J3264" t="s">
        <v>1119</v>
      </c>
      <c r="K3264" t="s">
        <v>103</v>
      </c>
      <c r="L3264">
        <v>76017</v>
      </c>
      <c r="M3264" t="s">
        <v>104</v>
      </c>
      <c r="N3264" t="s">
        <v>2820</v>
      </c>
      <c r="O3264" t="s">
        <v>45</v>
      </c>
      <c r="P3264" t="s">
        <v>77</v>
      </c>
      <c r="Q3264" t="s">
        <v>2821</v>
      </c>
      <c r="R3264">
        <v>33.619999999999997</v>
      </c>
      <c r="S3264">
        <v>5</v>
      </c>
      <c r="T3264">
        <v>0.8</v>
      </c>
      <c r="U3264">
        <v>-90.774000000000001</v>
      </c>
      <c r="V3264" t="str">
        <f t="shared" si="50"/>
        <v>Scott Cohen</v>
      </c>
      <c r="W3264">
        <f>Table2[Profit]/Table2[Sales]</f>
        <v>-2.7</v>
      </c>
    </row>
    <row r="3265" spans="1:23" x14ac:dyDescent="0.25">
      <c r="A3265">
        <v>3264</v>
      </c>
      <c r="B3265" t="s">
        <v>8741</v>
      </c>
      <c r="C3265" s="1">
        <v>41766</v>
      </c>
      <c r="D3265" s="1">
        <v>41771</v>
      </c>
      <c r="E3265" t="s">
        <v>49</v>
      </c>
      <c r="F3265" t="s">
        <v>4808</v>
      </c>
      <c r="G3265" t="s">
        <v>4809</v>
      </c>
      <c r="H3265" t="s">
        <v>25</v>
      </c>
      <c r="I3265" t="s">
        <v>26</v>
      </c>
      <c r="J3265" t="s">
        <v>1465</v>
      </c>
      <c r="K3265" t="s">
        <v>1233</v>
      </c>
      <c r="L3265">
        <v>1841</v>
      </c>
      <c r="M3265" t="s">
        <v>145</v>
      </c>
      <c r="N3265" t="s">
        <v>287</v>
      </c>
      <c r="O3265" t="s">
        <v>45</v>
      </c>
      <c r="P3265" t="s">
        <v>74</v>
      </c>
      <c r="Q3265" t="s">
        <v>288</v>
      </c>
      <c r="R3265">
        <v>16.14</v>
      </c>
      <c r="S3265">
        <v>3</v>
      </c>
      <c r="T3265">
        <v>0</v>
      </c>
      <c r="U3265">
        <v>7.9085999999999999</v>
      </c>
      <c r="V3265" t="str">
        <f t="shared" si="50"/>
        <v>Carol Triggs</v>
      </c>
      <c r="W3265">
        <f>Table2[Profit]/Table2[Sales]</f>
        <v>0.49</v>
      </c>
    </row>
    <row r="3266" spans="1:23" x14ac:dyDescent="0.25">
      <c r="A3266">
        <v>3265</v>
      </c>
      <c r="B3266" t="s">
        <v>8742</v>
      </c>
      <c r="C3266" s="1">
        <v>42771</v>
      </c>
      <c r="D3266" s="1">
        <v>42774</v>
      </c>
      <c r="E3266" t="s">
        <v>22</v>
      </c>
      <c r="F3266" t="s">
        <v>770</v>
      </c>
      <c r="G3266" t="s">
        <v>771</v>
      </c>
      <c r="H3266" t="s">
        <v>25</v>
      </c>
      <c r="I3266" t="s">
        <v>26</v>
      </c>
      <c r="J3266" t="s">
        <v>7845</v>
      </c>
      <c r="K3266" t="s">
        <v>103</v>
      </c>
      <c r="L3266">
        <v>76706</v>
      </c>
      <c r="M3266" t="s">
        <v>104</v>
      </c>
      <c r="N3266" t="s">
        <v>2177</v>
      </c>
      <c r="O3266" t="s">
        <v>45</v>
      </c>
      <c r="P3266" t="s">
        <v>74</v>
      </c>
      <c r="Q3266" t="s">
        <v>2178</v>
      </c>
      <c r="R3266">
        <v>243.99199999999999</v>
      </c>
      <c r="S3266">
        <v>4</v>
      </c>
      <c r="T3266">
        <v>0.8</v>
      </c>
      <c r="U3266">
        <v>-426.98599999999999</v>
      </c>
      <c r="V3266" t="str">
        <f t="shared" si="50"/>
        <v>Cassandra Brandow</v>
      </c>
      <c r="W3266">
        <f>Table2[Profit]/Table2[Sales]</f>
        <v>-1.75</v>
      </c>
    </row>
    <row r="3267" spans="1:23" x14ac:dyDescent="0.25">
      <c r="A3267">
        <v>3266</v>
      </c>
      <c r="B3267" t="s">
        <v>8743</v>
      </c>
      <c r="C3267" s="1">
        <v>41747</v>
      </c>
      <c r="D3267" s="1">
        <v>41751</v>
      </c>
      <c r="E3267" t="s">
        <v>49</v>
      </c>
      <c r="F3267" t="s">
        <v>283</v>
      </c>
      <c r="G3267" t="s">
        <v>284</v>
      </c>
      <c r="H3267" t="s">
        <v>25</v>
      </c>
      <c r="I3267" t="s">
        <v>26</v>
      </c>
      <c r="J3267" t="s">
        <v>181</v>
      </c>
      <c r="K3267" t="s">
        <v>103</v>
      </c>
      <c r="L3267">
        <v>77095</v>
      </c>
      <c r="M3267" t="s">
        <v>104</v>
      </c>
      <c r="N3267" t="s">
        <v>280</v>
      </c>
      <c r="O3267" t="s">
        <v>45</v>
      </c>
      <c r="P3267" t="s">
        <v>67</v>
      </c>
      <c r="Q3267" t="s">
        <v>281</v>
      </c>
      <c r="R3267">
        <v>2.6880000000000002</v>
      </c>
      <c r="S3267">
        <v>2</v>
      </c>
      <c r="T3267">
        <v>0.2</v>
      </c>
      <c r="U3267">
        <v>1.008</v>
      </c>
      <c r="V3267" t="str">
        <f t="shared" ref="V3267:V3330" si="51">TRIM(G3267)</f>
        <v>Kunst Miller</v>
      </c>
      <c r="W3267">
        <f>Table2[Profit]/Table2[Sales]</f>
        <v>0.375</v>
      </c>
    </row>
    <row r="3268" spans="1:23" x14ac:dyDescent="0.25">
      <c r="A3268">
        <v>3267</v>
      </c>
      <c r="B3268" t="s">
        <v>8744</v>
      </c>
      <c r="C3268" s="1">
        <v>42500</v>
      </c>
      <c r="D3268" s="1">
        <v>42506</v>
      </c>
      <c r="E3268" t="s">
        <v>49</v>
      </c>
      <c r="F3268" t="s">
        <v>7242</v>
      </c>
      <c r="G3268" t="s">
        <v>7243</v>
      </c>
      <c r="H3268" t="s">
        <v>25</v>
      </c>
      <c r="I3268" t="s">
        <v>26</v>
      </c>
      <c r="J3268" t="s">
        <v>94</v>
      </c>
      <c r="K3268" t="s">
        <v>95</v>
      </c>
      <c r="L3268">
        <v>98105</v>
      </c>
      <c r="M3268" t="s">
        <v>43</v>
      </c>
      <c r="N3268" t="s">
        <v>5180</v>
      </c>
      <c r="O3268" t="s">
        <v>45</v>
      </c>
      <c r="P3268" t="s">
        <v>89</v>
      </c>
      <c r="Q3268" t="s">
        <v>5181</v>
      </c>
      <c r="R3268">
        <v>11.96</v>
      </c>
      <c r="S3268">
        <v>2</v>
      </c>
      <c r="T3268">
        <v>0</v>
      </c>
      <c r="U3268">
        <v>5.8604000000000003</v>
      </c>
      <c r="V3268" t="str">
        <f t="shared" si="51"/>
        <v>Roger Demir</v>
      </c>
      <c r="W3268">
        <f>Table2[Profit]/Table2[Sales]</f>
        <v>0.49</v>
      </c>
    </row>
    <row r="3269" spans="1:23" x14ac:dyDescent="0.25">
      <c r="A3269">
        <v>3268</v>
      </c>
      <c r="B3269" t="s">
        <v>8745</v>
      </c>
      <c r="C3269" s="1">
        <v>42699</v>
      </c>
      <c r="D3269" s="1">
        <v>42704</v>
      </c>
      <c r="E3269" t="s">
        <v>49</v>
      </c>
      <c r="F3269" t="s">
        <v>8347</v>
      </c>
      <c r="G3269" t="s">
        <v>8348</v>
      </c>
      <c r="H3269" t="s">
        <v>40</v>
      </c>
      <c r="I3269" t="s">
        <v>26</v>
      </c>
      <c r="J3269" t="s">
        <v>2096</v>
      </c>
      <c r="K3269" t="s">
        <v>781</v>
      </c>
      <c r="L3269">
        <v>7060</v>
      </c>
      <c r="M3269" t="s">
        <v>145</v>
      </c>
      <c r="N3269" t="s">
        <v>1628</v>
      </c>
      <c r="O3269" t="s">
        <v>45</v>
      </c>
      <c r="P3269" t="s">
        <v>58</v>
      </c>
      <c r="Q3269" t="s">
        <v>1629</v>
      </c>
      <c r="R3269">
        <v>563.4</v>
      </c>
      <c r="S3269">
        <v>4</v>
      </c>
      <c r="T3269">
        <v>0</v>
      </c>
      <c r="U3269">
        <v>67.608000000000004</v>
      </c>
      <c r="V3269" t="str">
        <f t="shared" si="51"/>
        <v>Barry Pond</v>
      </c>
      <c r="W3269">
        <f>Table2[Profit]/Table2[Sales]</f>
        <v>0.12000000000000001</v>
      </c>
    </row>
    <row r="3270" spans="1:23" x14ac:dyDescent="0.25">
      <c r="A3270">
        <v>3269</v>
      </c>
      <c r="B3270" t="s">
        <v>8746</v>
      </c>
      <c r="C3270" s="1">
        <v>42797</v>
      </c>
      <c r="D3270" s="1">
        <v>42802</v>
      </c>
      <c r="E3270" t="s">
        <v>49</v>
      </c>
      <c r="F3270" t="s">
        <v>6786</v>
      </c>
      <c r="G3270" t="s">
        <v>6787</v>
      </c>
      <c r="H3270" t="s">
        <v>25</v>
      </c>
      <c r="I3270" t="s">
        <v>26</v>
      </c>
      <c r="J3270" t="s">
        <v>41</v>
      </c>
      <c r="K3270" t="s">
        <v>42</v>
      </c>
      <c r="L3270">
        <v>90008</v>
      </c>
      <c r="M3270" t="s">
        <v>43</v>
      </c>
      <c r="N3270" t="s">
        <v>6532</v>
      </c>
      <c r="O3270" t="s">
        <v>70</v>
      </c>
      <c r="P3270" t="s">
        <v>158</v>
      </c>
      <c r="Q3270" t="s">
        <v>6533</v>
      </c>
      <c r="R3270">
        <v>1049.44</v>
      </c>
      <c r="S3270">
        <v>8</v>
      </c>
      <c r="T3270">
        <v>0</v>
      </c>
      <c r="U3270">
        <v>440.76479999999998</v>
      </c>
      <c r="V3270" t="str">
        <f t="shared" si="51"/>
        <v>Ed Jacobs</v>
      </c>
      <c r="W3270">
        <f>Table2[Profit]/Table2[Sales]</f>
        <v>0.42</v>
      </c>
    </row>
    <row r="3271" spans="1:23" x14ac:dyDescent="0.25">
      <c r="A3271">
        <v>3270</v>
      </c>
      <c r="B3271" t="s">
        <v>8747</v>
      </c>
      <c r="C3271" s="1">
        <v>42344</v>
      </c>
      <c r="D3271" s="1">
        <v>42349</v>
      </c>
      <c r="E3271" t="s">
        <v>22</v>
      </c>
      <c r="F3271" t="s">
        <v>1675</v>
      </c>
      <c r="G3271" t="s">
        <v>1676</v>
      </c>
      <c r="H3271" t="s">
        <v>25</v>
      </c>
      <c r="I3271" t="s">
        <v>26</v>
      </c>
      <c r="J3271" t="s">
        <v>1119</v>
      </c>
      <c r="K3271" t="s">
        <v>312</v>
      </c>
      <c r="L3271">
        <v>22204</v>
      </c>
      <c r="M3271" t="s">
        <v>29</v>
      </c>
      <c r="N3271" t="s">
        <v>4417</v>
      </c>
      <c r="O3271" t="s">
        <v>70</v>
      </c>
      <c r="P3271" t="s">
        <v>71</v>
      </c>
      <c r="Q3271" t="s">
        <v>4418</v>
      </c>
      <c r="R3271">
        <v>173.94</v>
      </c>
      <c r="S3271">
        <v>6</v>
      </c>
      <c r="T3271">
        <v>0</v>
      </c>
      <c r="U3271">
        <v>50.442599999999999</v>
      </c>
      <c r="V3271" t="str">
        <f t="shared" si="51"/>
        <v>Rose O'Brian</v>
      </c>
      <c r="W3271">
        <f>Table2[Profit]/Table2[Sales]</f>
        <v>0.28999999999999998</v>
      </c>
    </row>
    <row r="3272" spans="1:23" x14ac:dyDescent="0.25">
      <c r="A3272">
        <v>3271</v>
      </c>
      <c r="B3272" t="s">
        <v>8748</v>
      </c>
      <c r="C3272" s="1">
        <v>41876</v>
      </c>
      <c r="D3272" s="1">
        <v>41881</v>
      </c>
      <c r="E3272" t="s">
        <v>49</v>
      </c>
      <c r="F3272" t="s">
        <v>5137</v>
      </c>
      <c r="G3272" t="s">
        <v>5138</v>
      </c>
      <c r="H3272" t="s">
        <v>25</v>
      </c>
      <c r="I3272" t="s">
        <v>26</v>
      </c>
      <c r="J3272" t="s">
        <v>94</v>
      </c>
      <c r="K3272" t="s">
        <v>95</v>
      </c>
      <c r="L3272">
        <v>98103</v>
      </c>
      <c r="M3272" t="s">
        <v>43</v>
      </c>
      <c r="N3272" t="s">
        <v>4505</v>
      </c>
      <c r="O3272" t="s">
        <v>70</v>
      </c>
      <c r="P3272" t="s">
        <v>71</v>
      </c>
      <c r="Q3272" t="s">
        <v>4506</v>
      </c>
      <c r="R3272">
        <v>1007.944</v>
      </c>
      <c r="S3272">
        <v>7</v>
      </c>
      <c r="T3272">
        <v>0.2</v>
      </c>
      <c r="U3272">
        <v>75.595799999999997</v>
      </c>
      <c r="V3272" t="str">
        <f t="shared" si="51"/>
        <v>Mitch Webber</v>
      </c>
      <c r="W3272">
        <f>Table2[Profit]/Table2[Sales]</f>
        <v>7.4999999999999997E-2</v>
      </c>
    </row>
    <row r="3273" spans="1:23" x14ac:dyDescent="0.25">
      <c r="A3273">
        <v>3272</v>
      </c>
      <c r="B3273" t="s">
        <v>8749</v>
      </c>
      <c r="C3273" s="1">
        <v>42665</v>
      </c>
      <c r="D3273" s="1">
        <v>42665</v>
      </c>
      <c r="E3273" t="s">
        <v>1278</v>
      </c>
      <c r="F3273" t="s">
        <v>5772</v>
      </c>
      <c r="G3273" t="s">
        <v>5773</v>
      </c>
      <c r="H3273" t="s">
        <v>25</v>
      </c>
      <c r="I3273" t="s">
        <v>26</v>
      </c>
      <c r="J3273" t="s">
        <v>94</v>
      </c>
      <c r="K3273" t="s">
        <v>95</v>
      </c>
      <c r="L3273">
        <v>98105</v>
      </c>
      <c r="M3273" t="s">
        <v>43</v>
      </c>
      <c r="N3273" t="s">
        <v>4222</v>
      </c>
      <c r="O3273" t="s">
        <v>45</v>
      </c>
      <c r="P3273" t="s">
        <v>89</v>
      </c>
      <c r="Q3273" t="s">
        <v>4223</v>
      </c>
      <c r="R3273">
        <v>6.68</v>
      </c>
      <c r="S3273">
        <v>1</v>
      </c>
      <c r="T3273">
        <v>0</v>
      </c>
      <c r="U3273">
        <v>3.2063999999999999</v>
      </c>
      <c r="V3273" t="str">
        <f t="shared" si="51"/>
        <v>MaryBeth Skach</v>
      </c>
      <c r="W3273">
        <f>Table2[Profit]/Table2[Sales]</f>
        <v>0.48</v>
      </c>
    </row>
    <row r="3274" spans="1:23" x14ac:dyDescent="0.25">
      <c r="A3274">
        <v>3273</v>
      </c>
      <c r="B3274" t="s">
        <v>8750</v>
      </c>
      <c r="C3274" s="1">
        <v>42589</v>
      </c>
      <c r="D3274" s="1">
        <v>42593</v>
      </c>
      <c r="E3274" t="s">
        <v>49</v>
      </c>
      <c r="F3274" t="s">
        <v>549</v>
      </c>
      <c r="G3274" t="s">
        <v>550</v>
      </c>
      <c r="H3274" t="s">
        <v>40</v>
      </c>
      <c r="I3274" t="s">
        <v>26</v>
      </c>
      <c r="J3274" t="s">
        <v>2503</v>
      </c>
      <c r="K3274" t="s">
        <v>95</v>
      </c>
      <c r="L3274">
        <v>98026</v>
      </c>
      <c r="M3274" t="s">
        <v>43</v>
      </c>
      <c r="N3274" t="s">
        <v>2321</v>
      </c>
      <c r="O3274" t="s">
        <v>70</v>
      </c>
      <c r="P3274" t="s">
        <v>158</v>
      </c>
      <c r="Q3274" t="s">
        <v>2322</v>
      </c>
      <c r="R3274">
        <v>179.97</v>
      </c>
      <c r="S3274">
        <v>3</v>
      </c>
      <c r="T3274">
        <v>0</v>
      </c>
      <c r="U3274">
        <v>86.385599999999997</v>
      </c>
      <c r="V3274" t="str">
        <f t="shared" si="51"/>
        <v>Dorothy Wardle</v>
      </c>
      <c r="W3274">
        <f>Table2[Profit]/Table2[Sales]</f>
        <v>0.48</v>
      </c>
    </row>
    <row r="3275" spans="1:23" x14ac:dyDescent="0.25">
      <c r="A3275">
        <v>3274</v>
      </c>
      <c r="B3275" t="s">
        <v>8751</v>
      </c>
      <c r="C3275" s="1">
        <v>42937</v>
      </c>
      <c r="D3275" s="1">
        <v>42943</v>
      </c>
      <c r="E3275" t="s">
        <v>49</v>
      </c>
      <c r="F3275" t="s">
        <v>4790</v>
      </c>
      <c r="G3275" t="s">
        <v>4791</v>
      </c>
      <c r="H3275" t="s">
        <v>25</v>
      </c>
      <c r="I3275" t="s">
        <v>26</v>
      </c>
      <c r="J3275" t="s">
        <v>1948</v>
      </c>
      <c r="K3275" t="s">
        <v>312</v>
      </c>
      <c r="L3275">
        <v>24153</v>
      </c>
      <c r="M3275" t="s">
        <v>29</v>
      </c>
      <c r="N3275" t="s">
        <v>5598</v>
      </c>
      <c r="O3275" t="s">
        <v>45</v>
      </c>
      <c r="P3275" t="s">
        <v>67</v>
      </c>
      <c r="Q3275" t="s">
        <v>5599</v>
      </c>
      <c r="R3275">
        <v>101.94</v>
      </c>
      <c r="S3275">
        <v>6</v>
      </c>
      <c r="T3275">
        <v>0</v>
      </c>
      <c r="U3275">
        <v>29.5626</v>
      </c>
      <c r="V3275" t="str">
        <f t="shared" si="51"/>
        <v>Anne McFarland</v>
      </c>
      <c r="W3275">
        <f>Table2[Profit]/Table2[Sales]</f>
        <v>0.28999999999999998</v>
      </c>
    </row>
    <row r="3276" spans="1:23" x14ac:dyDescent="0.25">
      <c r="A3276">
        <v>3275</v>
      </c>
      <c r="B3276" t="s">
        <v>8752</v>
      </c>
      <c r="C3276" s="1">
        <v>41721</v>
      </c>
      <c r="D3276" s="1">
        <v>41724</v>
      </c>
      <c r="E3276" t="s">
        <v>185</v>
      </c>
      <c r="F3276" t="s">
        <v>6319</v>
      </c>
      <c r="G3276" t="s">
        <v>6320</v>
      </c>
      <c r="H3276" t="s">
        <v>25</v>
      </c>
      <c r="I3276" t="s">
        <v>26</v>
      </c>
      <c r="J3276" t="s">
        <v>8753</v>
      </c>
      <c r="K3276" t="s">
        <v>53</v>
      </c>
      <c r="L3276">
        <v>33445</v>
      </c>
      <c r="M3276" t="s">
        <v>29</v>
      </c>
      <c r="N3276" t="s">
        <v>2382</v>
      </c>
      <c r="O3276" t="s">
        <v>45</v>
      </c>
      <c r="P3276" t="s">
        <v>46</v>
      </c>
      <c r="Q3276" t="s">
        <v>2383</v>
      </c>
      <c r="R3276">
        <v>9.9120000000000008</v>
      </c>
      <c r="S3276">
        <v>3</v>
      </c>
      <c r="T3276">
        <v>0.2</v>
      </c>
      <c r="U3276">
        <v>3.2214</v>
      </c>
      <c r="V3276" t="str">
        <f t="shared" si="51"/>
        <v>Bruce Geld</v>
      </c>
      <c r="W3276">
        <f>Table2[Profit]/Table2[Sales]</f>
        <v>0.32499999999999996</v>
      </c>
    </row>
    <row r="3277" spans="1:23" x14ac:dyDescent="0.25">
      <c r="A3277">
        <v>3276</v>
      </c>
      <c r="B3277" t="s">
        <v>8754</v>
      </c>
      <c r="C3277" s="1">
        <v>42124</v>
      </c>
      <c r="D3277" s="1">
        <v>42130</v>
      </c>
      <c r="E3277" t="s">
        <v>49</v>
      </c>
      <c r="F3277" t="s">
        <v>132</v>
      </c>
      <c r="G3277" t="s">
        <v>133</v>
      </c>
      <c r="H3277" t="s">
        <v>40</v>
      </c>
      <c r="I3277" t="s">
        <v>26</v>
      </c>
      <c r="J3277" t="s">
        <v>126</v>
      </c>
      <c r="K3277" t="s">
        <v>42</v>
      </c>
      <c r="L3277">
        <v>94110</v>
      </c>
      <c r="M3277" t="s">
        <v>43</v>
      </c>
      <c r="N3277" t="s">
        <v>1302</v>
      </c>
      <c r="O3277" t="s">
        <v>45</v>
      </c>
      <c r="P3277" t="s">
        <v>67</v>
      </c>
      <c r="Q3277" t="s">
        <v>1303</v>
      </c>
      <c r="R3277">
        <v>34.65</v>
      </c>
      <c r="S3277">
        <v>3</v>
      </c>
      <c r="T3277">
        <v>0</v>
      </c>
      <c r="U3277">
        <v>9.702</v>
      </c>
      <c r="V3277" t="str">
        <f t="shared" si="51"/>
        <v>Ken Black</v>
      </c>
      <c r="W3277">
        <f>Table2[Profit]/Table2[Sales]</f>
        <v>0.28000000000000003</v>
      </c>
    </row>
    <row r="3278" spans="1:23" x14ac:dyDescent="0.25">
      <c r="A3278">
        <v>3277</v>
      </c>
      <c r="B3278" t="s">
        <v>8755</v>
      </c>
      <c r="C3278" s="1">
        <v>42534</v>
      </c>
      <c r="D3278" s="1">
        <v>42537</v>
      </c>
      <c r="E3278" t="s">
        <v>22</v>
      </c>
      <c r="F3278" t="s">
        <v>1852</v>
      </c>
      <c r="G3278" t="s">
        <v>1853</v>
      </c>
      <c r="H3278" t="s">
        <v>25</v>
      </c>
      <c r="I3278" t="s">
        <v>26</v>
      </c>
      <c r="J3278" t="s">
        <v>263</v>
      </c>
      <c r="K3278" t="s">
        <v>264</v>
      </c>
      <c r="L3278">
        <v>10024</v>
      </c>
      <c r="M3278" t="s">
        <v>145</v>
      </c>
      <c r="N3278" t="s">
        <v>2070</v>
      </c>
      <c r="O3278" t="s">
        <v>45</v>
      </c>
      <c r="P3278" t="s">
        <v>74</v>
      </c>
      <c r="Q3278" t="s">
        <v>2071</v>
      </c>
      <c r="R3278">
        <v>33.567999999999998</v>
      </c>
      <c r="S3278">
        <v>2</v>
      </c>
      <c r="T3278">
        <v>0.2</v>
      </c>
      <c r="U3278">
        <v>11.748799999999999</v>
      </c>
      <c r="V3278" t="str">
        <f t="shared" si="51"/>
        <v>Greg Tran</v>
      </c>
      <c r="W3278">
        <f>Table2[Profit]/Table2[Sales]</f>
        <v>0.35</v>
      </c>
    </row>
    <row r="3279" spans="1:23" x14ac:dyDescent="0.25">
      <c r="A3279">
        <v>3278</v>
      </c>
      <c r="B3279" t="s">
        <v>8756</v>
      </c>
      <c r="C3279" s="1">
        <v>42128</v>
      </c>
      <c r="D3279" s="1">
        <v>42135</v>
      </c>
      <c r="E3279" t="s">
        <v>49</v>
      </c>
      <c r="F3279" t="s">
        <v>3764</v>
      </c>
      <c r="G3279" t="s">
        <v>3765</v>
      </c>
      <c r="H3279" t="s">
        <v>40</v>
      </c>
      <c r="I3279" t="s">
        <v>26</v>
      </c>
      <c r="J3279" t="s">
        <v>4288</v>
      </c>
      <c r="K3279" t="s">
        <v>251</v>
      </c>
      <c r="L3279">
        <v>46203</v>
      </c>
      <c r="M3279" t="s">
        <v>104</v>
      </c>
      <c r="N3279" t="s">
        <v>2494</v>
      </c>
      <c r="O3279" t="s">
        <v>45</v>
      </c>
      <c r="P3279" t="s">
        <v>67</v>
      </c>
      <c r="Q3279" t="s">
        <v>2495</v>
      </c>
      <c r="R3279">
        <v>125.93</v>
      </c>
      <c r="S3279">
        <v>7</v>
      </c>
      <c r="T3279">
        <v>0</v>
      </c>
      <c r="U3279">
        <v>35.260399999999997</v>
      </c>
      <c r="V3279" t="str">
        <f t="shared" si="51"/>
        <v>Stuart Van</v>
      </c>
      <c r="W3279">
        <f>Table2[Profit]/Table2[Sales]</f>
        <v>0.27999999999999997</v>
      </c>
    </row>
    <row r="3280" spans="1:23" x14ac:dyDescent="0.25">
      <c r="A3280">
        <v>3279</v>
      </c>
      <c r="B3280" t="s">
        <v>8757</v>
      </c>
      <c r="C3280" s="1">
        <v>42848</v>
      </c>
      <c r="D3280" s="1">
        <v>42851</v>
      </c>
      <c r="E3280" t="s">
        <v>185</v>
      </c>
      <c r="F3280" t="s">
        <v>506</v>
      </c>
      <c r="G3280" t="s">
        <v>507</v>
      </c>
      <c r="H3280" t="s">
        <v>40</v>
      </c>
      <c r="I3280" t="s">
        <v>26</v>
      </c>
      <c r="J3280" t="s">
        <v>490</v>
      </c>
      <c r="K3280" t="s">
        <v>491</v>
      </c>
      <c r="L3280">
        <v>43229</v>
      </c>
      <c r="M3280" t="s">
        <v>145</v>
      </c>
      <c r="N3280" t="s">
        <v>1752</v>
      </c>
      <c r="O3280" t="s">
        <v>45</v>
      </c>
      <c r="P3280" t="s">
        <v>74</v>
      </c>
      <c r="Q3280" t="s">
        <v>1753</v>
      </c>
      <c r="R3280">
        <v>11.76</v>
      </c>
      <c r="S3280">
        <v>5</v>
      </c>
      <c r="T3280">
        <v>0.7</v>
      </c>
      <c r="U3280">
        <v>-7.84</v>
      </c>
      <c r="V3280" t="str">
        <f t="shared" si="51"/>
        <v>Greg Guthrie</v>
      </c>
      <c r="W3280">
        <f>Table2[Profit]/Table2[Sales]</f>
        <v>-0.66666666666666663</v>
      </c>
    </row>
    <row r="3281" spans="1:23" x14ac:dyDescent="0.25">
      <c r="A3281">
        <v>3280</v>
      </c>
      <c r="B3281" t="s">
        <v>8758</v>
      </c>
      <c r="C3281" s="1">
        <v>41796</v>
      </c>
      <c r="D3281" s="1">
        <v>41802</v>
      </c>
      <c r="E3281" t="s">
        <v>49</v>
      </c>
      <c r="F3281" t="s">
        <v>5686</v>
      </c>
      <c r="G3281" t="s">
        <v>5687</v>
      </c>
      <c r="H3281" t="s">
        <v>25</v>
      </c>
      <c r="I3281" t="s">
        <v>26</v>
      </c>
      <c r="J3281" t="s">
        <v>1507</v>
      </c>
      <c r="K3281" t="s">
        <v>53</v>
      </c>
      <c r="L3281">
        <v>32216</v>
      </c>
      <c r="M3281" t="s">
        <v>29</v>
      </c>
      <c r="N3281" t="s">
        <v>1014</v>
      </c>
      <c r="O3281" t="s">
        <v>45</v>
      </c>
      <c r="P3281" t="s">
        <v>74</v>
      </c>
      <c r="Q3281" t="s">
        <v>1015</v>
      </c>
      <c r="R3281">
        <v>1.365</v>
      </c>
      <c r="S3281">
        <v>1</v>
      </c>
      <c r="T3281">
        <v>0.7</v>
      </c>
      <c r="U3281">
        <v>-0.91</v>
      </c>
      <c r="V3281" t="str">
        <f t="shared" si="51"/>
        <v>Stewart Visinsky</v>
      </c>
      <c r="W3281">
        <f>Table2[Profit]/Table2[Sales]</f>
        <v>-0.66666666666666674</v>
      </c>
    </row>
    <row r="3282" spans="1:23" x14ac:dyDescent="0.25">
      <c r="A3282">
        <v>3281</v>
      </c>
      <c r="B3282" t="s">
        <v>8759</v>
      </c>
      <c r="C3282" s="1">
        <v>41975</v>
      </c>
      <c r="D3282" s="1">
        <v>41980</v>
      </c>
      <c r="E3282" t="s">
        <v>49</v>
      </c>
      <c r="F3282" t="s">
        <v>223</v>
      </c>
      <c r="G3282" t="s">
        <v>224</v>
      </c>
      <c r="H3282" t="s">
        <v>40</v>
      </c>
      <c r="I3282" t="s">
        <v>26</v>
      </c>
      <c r="J3282" t="s">
        <v>3159</v>
      </c>
      <c r="K3282" t="s">
        <v>2699</v>
      </c>
      <c r="L3282">
        <v>20735</v>
      </c>
      <c r="M3282" t="s">
        <v>145</v>
      </c>
      <c r="N3282" t="s">
        <v>2013</v>
      </c>
      <c r="O3282" t="s">
        <v>31</v>
      </c>
      <c r="P3282" t="s">
        <v>64</v>
      </c>
      <c r="Q3282" t="s">
        <v>2014</v>
      </c>
      <c r="R3282">
        <v>60.72</v>
      </c>
      <c r="S3282">
        <v>3</v>
      </c>
      <c r="T3282">
        <v>0</v>
      </c>
      <c r="U3282">
        <v>23.680800000000001</v>
      </c>
      <c r="V3282" t="str">
        <f t="shared" si="51"/>
        <v>Odella Nelson</v>
      </c>
      <c r="W3282">
        <f>Table2[Profit]/Table2[Sales]</f>
        <v>0.39</v>
      </c>
    </row>
    <row r="3283" spans="1:23" x14ac:dyDescent="0.25">
      <c r="A3283">
        <v>3282</v>
      </c>
      <c r="B3283" t="s">
        <v>8760</v>
      </c>
      <c r="C3283" s="1">
        <v>42903</v>
      </c>
      <c r="D3283" s="1">
        <v>42906</v>
      </c>
      <c r="E3283" t="s">
        <v>185</v>
      </c>
      <c r="F3283" t="s">
        <v>2948</v>
      </c>
      <c r="G3283" t="s">
        <v>2949</v>
      </c>
      <c r="H3283" t="s">
        <v>25</v>
      </c>
      <c r="I3283" t="s">
        <v>26</v>
      </c>
      <c r="J3283" t="s">
        <v>8761</v>
      </c>
      <c r="K3283" t="s">
        <v>450</v>
      </c>
      <c r="L3283">
        <v>80022</v>
      </c>
      <c r="M3283" t="s">
        <v>43</v>
      </c>
      <c r="N3283" t="s">
        <v>3375</v>
      </c>
      <c r="O3283" t="s">
        <v>45</v>
      </c>
      <c r="P3283" t="s">
        <v>58</v>
      </c>
      <c r="Q3283" t="s">
        <v>3376</v>
      </c>
      <c r="R3283">
        <v>146.352</v>
      </c>
      <c r="S3283">
        <v>3</v>
      </c>
      <c r="T3283">
        <v>0.2</v>
      </c>
      <c r="U3283">
        <v>-32.929200000000002</v>
      </c>
      <c r="V3283" t="str">
        <f t="shared" si="51"/>
        <v>Ryan Akin</v>
      </c>
      <c r="W3283">
        <f>Table2[Profit]/Table2[Sales]</f>
        <v>-0.22500000000000001</v>
      </c>
    </row>
    <row r="3284" spans="1:23" x14ac:dyDescent="0.25">
      <c r="A3284">
        <v>3283</v>
      </c>
      <c r="B3284" t="s">
        <v>8762</v>
      </c>
      <c r="C3284" s="1">
        <v>42516</v>
      </c>
      <c r="D3284" s="1">
        <v>42521</v>
      </c>
      <c r="E3284" t="s">
        <v>49</v>
      </c>
      <c r="F3284" t="s">
        <v>5686</v>
      </c>
      <c r="G3284" t="s">
        <v>5687</v>
      </c>
      <c r="H3284" t="s">
        <v>25</v>
      </c>
      <c r="I3284" t="s">
        <v>26</v>
      </c>
      <c r="J3284" t="s">
        <v>2511</v>
      </c>
      <c r="K3284" t="s">
        <v>42</v>
      </c>
      <c r="L3284">
        <v>92704</v>
      </c>
      <c r="M3284" t="s">
        <v>43</v>
      </c>
      <c r="N3284" t="s">
        <v>1889</v>
      </c>
      <c r="O3284" t="s">
        <v>45</v>
      </c>
      <c r="P3284" t="s">
        <v>266</v>
      </c>
      <c r="Q3284" t="s">
        <v>1890</v>
      </c>
      <c r="R3284">
        <v>5.94</v>
      </c>
      <c r="S3284">
        <v>3</v>
      </c>
      <c r="T3284">
        <v>0</v>
      </c>
      <c r="U3284">
        <v>0</v>
      </c>
      <c r="V3284" t="str">
        <f t="shared" si="51"/>
        <v>Stewart Visinsky</v>
      </c>
      <c r="W3284">
        <f>Table2[Profit]/Table2[Sales]</f>
        <v>0</v>
      </c>
    </row>
    <row r="3285" spans="1:23" x14ac:dyDescent="0.25">
      <c r="A3285">
        <v>3284</v>
      </c>
      <c r="B3285" t="s">
        <v>8763</v>
      </c>
      <c r="C3285" s="1">
        <v>42073</v>
      </c>
      <c r="D3285" s="1">
        <v>42073</v>
      </c>
      <c r="E3285" t="s">
        <v>1278</v>
      </c>
      <c r="F3285" t="s">
        <v>132</v>
      </c>
      <c r="G3285" t="s">
        <v>133</v>
      </c>
      <c r="H3285" t="s">
        <v>40</v>
      </c>
      <c r="I3285" t="s">
        <v>26</v>
      </c>
      <c r="J3285" t="s">
        <v>3159</v>
      </c>
      <c r="K3285" t="s">
        <v>2699</v>
      </c>
      <c r="L3285">
        <v>20735</v>
      </c>
      <c r="M3285" t="s">
        <v>145</v>
      </c>
      <c r="N3285" t="s">
        <v>1286</v>
      </c>
      <c r="O3285" t="s">
        <v>45</v>
      </c>
      <c r="P3285" t="s">
        <v>58</v>
      </c>
      <c r="Q3285" t="s">
        <v>1287</v>
      </c>
      <c r="R3285">
        <v>89.82</v>
      </c>
      <c r="S3285">
        <v>6</v>
      </c>
      <c r="T3285">
        <v>0</v>
      </c>
      <c r="U3285">
        <v>25.1496</v>
      </c>
      <c r="V3285" t="str">
        <f t="shared" si="51"/>
        <v>Ken Black</v>
      </c>
      <c r="W3285">
        <f>Table2[Profit]/Table2[Sales]</f>
        <v>0.28000000000000003</v>
      </c>
    </row>
    <row r="3286" spans="1:23" x14ac:dyDescent="0.25">
      <c r="A3286">
        <v>3285</v>
      </c>
      <c r="B3286" t="s">
        <v>8764</v>
      </c>
      <c r="C3286" s="1">
        <v>42663</v>
      </c>
      <c r="D3286" s="1">
        <v>42665</v>
      </c>
      <c r="E3286" t="s">
        <v>185</v>
      </c>
      <c r="F3286" t="s">
        <v>1025</v>
      </c>
      <c r="G3286" t="s">
        <v>1026</v>
      </c>
      <c r="H3286" t="s">
        <v>40</v>
      </c>
      <c r="I3286" t="s">
        <v>26</v>
      </c>
      <c r="J3286" t="s">
        <v>41</v>
      </c>
      <c r="K3286" t="s">
        <v>42</v>
      </c>
      <c r="L3286">
        <v>90049</v>
      </c>
      <c r="M3286" t="s">
        <v>43</v>
      </c>
      <c r="N3286" t="s">
        <v>4841</v>
      </c>
      <c r="O3286" t="s">
        <v>45</v>
      </c>
      <c r="P3286" t="s">
        <v>74</v>
      </c>
      <c r="Q3286" t="s">
        <v>4842</v>
      </c>
      <c r="R3286">
        <v>19.295999999999999</v>
      </c>
      <c r="S3286">
        <v>3</v>
      </c>
      <c r="T3286">
        <v>0.2</v>
      </c>
      <c r="U3286">
        <v>6.03</v>
      </c>
      <c r="V3286" t="str">
        <f t="shared" si="51"/>
        <v>Andrew Gjertsen</v>
      </c>
      <c r="W3286">
        <f>Table2[Profit]/Table2[Sales]</f>
        <v>0.3125</v>
      </c>
    </row>
    <row r="3287" spans="1:23" x14ac:dyDescent="0.25">
      <c r="A3287">
        <v>3286</v>
      </c>
      <c r="B3287" t="s">
        <v>8765</v>
      </c>
      <c r="C3287" s="1">
        <v>42115</v>
      </c>
      <c r="D3287" s="1">
        <v>42122</v>
      </c>
      <c r="E3287" t="s">
        <v>49</v>
      </c>
      <c r="F3287" t="s">
        <v>8106</v>
      </c>
      <c r="G3287" t="s">
        <v>8107</v>
      </c>
      <c r="H3287" t="s">
        <v>25</v>
      </c>
      <c r="I3287" t="s">
        <v>26</v>
      </c>
      <c r="J3287" t="s">
        <v>1459</v>
      </c>
      <c r="K3287" t="s">
        <v>28</v>
      </c>
      <c r="L3287">
        <v>40214</v>
      </c>
      <c r="M3287" t="s">
        <v>29</v>
      </c>
      <c r="N3287" t="s">
        <v>1076</v>
      </c>
      <c r="O3287" t="s">
        <v>31</v>
      </c>
      <c r="P3287" t="s">
        <v>35</v>
      </c>
      <c r="Q3287" t="s">
        <v>1077</v>
      </c>
      <c r="R3287">
        <v>191.96</v>
      </c>
      <c r="S3287">
        <v>2</v>
      </c>
      <c r="T3287">
        <v>0</v>
      </c>
      <c r="U3287">
        <v>51.8292</v>
      </c>
      <c r="V3287" t="str">
        <f t="shared" si="51"/>
        <v>Juliana Krohn</v>
      </c>
      <c r="W3287">
        <f>Table2[Profit]/Table2[Sales]</f>
        <v>0.26999999999999996</v>
      </c>
    </row>
    <row r="3288" spans="1:23" x14ac:dyDescent="0.25">
      <c r="A3288">
        <v>3287</v>
      </c>
      <c r="B3288" t="s">
        <v>8766</v>
      </c>
      <c r="C3288" s="1">
        <v>42538</v>
      </c>
      <c r="D3288" s="1">
        <v>42540</v>
      </c>
      <c r="E3288" t="s">
        <v>185</v>
      </c>
      <c r="F3288" t="s">
        <v>1359</v>
      </c>
      <c r="G3288" t="s">
        <v>1360</v>
      </c>
      <c r="H3288" t="s">
        <v>25</v>
      </c>
      <c r="I3288" t="s">
        <v>26</v>
      </c>
      <c r="J3288" t="s">
        <v>41</v>
      </c>
      <c r="K3288" t="s">
        <v>42</v>
      </c>
      <c r="L3288">
        <v>90045</v>
      </c>
      <c r="M3288" t="s">
        <v>43</v>
      </c>
      <c r="N3288" t="s">
        <v>6894</v>
      </c>
      <c r="O3288" t="s">
        <v>31</v>
      </c>
      <c r="P3288" t="s">
        <v>32</v>
      </c>
      <c r="Q3288" t="s">
        <v>6895</v>
      </c>
      <c r="R3288">
        <v>239.666</v>
      </c>
      <c r="S3288">
        <v>2</v>
      </c>
      <c r="T3288">
        <v>0.15</v>
      </c>
      <c r="U3288">
        <v>14.098000000000001</v>
      </c>
      <c r="V3288" t="str">
        <f t="shared" si="51"/>
        <v>Mike Vittorini</v>
      </c>
      <c r="W3288">
        <f>Table2[Profit]/Table2[Sales]</f>
        <v>5.8823529411764712E-2</v>
      </c>
    </row>
    <row r="3289" spans="1:23" x14ac:dyDescent="0.25">
      <c r="A3289">
        <v>3288</v>
      </c>
      <c r="B3289" t="s">
        <v>8767</v>
      </c>
      <c r="C3289" s="1">
        <v>42748</v>
      </c>
      <c r="D3289" s="1">
        <v>42753</v>
      </c>
      <c r="E3289" t="s">
        <v>22</v>
      </c>
      <c r="F3289" t="s">
        <v>3594</v>
      </c>
      <c r="G3289" t="s">
        <v>3595</v>
      </c>
      <c r="H3289" t="s">
        <v>40</v>
      </c>
      <c r="I3289" t="s">
        <v>26</v>
      </c>
      <c r="J3289" t="s">
        <v>311</v>
      </c>
      <c r="K3289" t="s">
        <v>590</v>
      </c>
      <c r="L3289">
        <v>65807</v>
      </c>
      <c r="M3289" t="s">
        <v>104</v>
      </c>
      <c r="N3289" t="s">
        <v>5414</v>
      </c>
      <c r="O3289" t="s">
        <v>45</v>
      </c>
      <c r="P3289" t="s">
        <v>89</v>
      </c>
      <c r="Q3289" t="s">
        <v>5415</v>
      </c>
      <c r="R3289">
        <v>32.4</v>
      </c>
      <c r="S3289">
        <v>5</v>
      </c>
      <c r="T3289">
        <v>0</v>
      </c>
      <c r="U3289">
        <v>15.552</v>
      </c>
      <c r="V3289" t="str">
        <f t="shared" si="51"/>
        <v>Cathy Prescott</v>
      </c>
      <c r="W3289">
        <f>Table2[Profit]/Table2[Sales]</f>
        <v>0.48</v>
      </c>
    </row>
    <row r="3290" spans="1:23" x14ac:dyDescent="0.25">
      <c r="A3290">
        <v>3289</v>
      </c>
      <c r="B3290" t="s">
        <v>8768</v>
      </c>
      <c r="C3290" s="1">
        <v>41888</v>
      </c>
      <c r="D3290" s="1">
        <v>41891</v>
      </c>
      <c r="E3290" t="s">
        <v>185</v>
      </c>
      <c r="F3290" t="s">
        <v>8769</v>
      </c>
      <c r="G3290" t="s">
        <v>8770</v>
      </c>
      <c r="H3290" t="s">
        <v>40</v>
      </c>
      <c r="I3290" t="s">
        <v>26</v>
      </c>
      <c r="J3290" t="s">
        <v>126</v>
      </c>
      <c r="K3290" t="s">
        <v>42</v>
      </c>
      <c r="L3290">
        <v>94109</v>
      </c>
      <c r="M3290" t="s">
        <v>43</v>
      </c>
      <c r="N3290" t="s">
        <v>63</v>
      </c>
      <c r="O3290" t="s">
        <v>31</v>
      </c>
      <c r="P3290" t="s">
        <v>64</v>
      </c>
      <c r="Q3290" t="s">
        <v>65</v>
      </c>
      <c r="R3290">
        <v>41.88</v>
      </c>
      <c r="S3290">
        <v>6</v>
      </c>
      <c r="T3290">
        <v>0</v>
      </c>
      <c r="U3290">
        <v>12.145200000000001</v>
      </c>
      <c r="V3290" t="str">
        <f t="shared" si="51"/>
        <v>Victoria Pisteka</v>
      </c>
      <c r="W3290">
        <f>Table2[Profit]/Table2[Sales]</f>
        <v>0.28999999999999998</v>
      </c>
    </row>
    <row r="3291" spans="1:23" x14ac:dyDescent="0.25">
      <c r="A3291">
        <v>3290</v>
      </c>
      <c r="B3291" t="s">
        <v>8771</v>
      </c>
      <c r="C3291" s="1">
        <v>42023</v>
      </c>
      <c r="D3291" s="1">
        <v>42027</v>
      </c>
      <c r="E3291" t="s">
        <v>49</v>
      </c>
      <c r="F3291" t="s">
        <v>3283</v>
      </c>
      <c r="G3291" t="s">
        <v>3284</v>
      </c>
      <c r="H3291" t="s">
        <v>25</v>
      </c>
      <c r="I3291" t="s">
        <v>26</v>
      </c>
      <c r="J3291" t="s">
        <v>8772</v>
      </c>
      <c r="K3291" t="s">
        <v>103</v>
      </c>
      <c r="L3291">
        <v>77590</v>
      </c>
      <c r="M3291" t="s">
        <v>104</v>
      </c>
      <c r="N3291" t="s">
        <v>4755</v>
      </c>
      <c r="O3291" t="s">
        <v>31</v>
      </c>
      <c r="P3291" t="s">
        <v>55</v>
      </c>
      <c r="Q3291" t="s">
        <v>4756</v>
      </c>
      <c r="R3291">
        <v>102.438</v>
      </c>
      <c r="S3291">
        <v>1</v>
      </c>
      <c r="T3291">
        <v>0.3</v>
      </c>
      <c r="U3291">
        <v>-13.1706</v>
      </c>
      <c r="V3291" t="str">
        <f t="shared" si="51"/>
        <v>Paul MacIntyre</v>
      </c>
      <c r="W3291">
        <f>Table2[Profit]/Table2[Sales]</f>
        <v>-0.12857142857142856</v>
      </c>
    </row>
    <row r="3292" spans="1:23" x14ac:dyDescent="0.25">
      <c r="A3292">
        <v>3291</v>
      </c>
      <c r="B3292" t="s">
        <v>8773</v>
      </c>
      <c r="C3292" s="1">
        <v>41987</v>
      </c>
      <c r="D3292" s="1">
        <v>41994</v>
      </c>
      <c r="E3292" t="s">
        <v>49</v>
      </c>
      <c r="F3292" t="s">
        <v>3963</v>
      </c>
      <c r="G3292" t="s">
        <v>3964</v>
      </c>
      <c r="H3292" t="s">
        <v>25</v>
      </c>
      <c r="I3292" t="s">
        <v>26</v>
      </c>
      <c r="J3292" t="s">
        <v>263</v>
      </c>
      <c r="K3292" t="s">
        <v>264</v>
      </c>
      <c r="L3292">
        <v>10024</v>
      </c>
      <c r="M3292" t="s">
        <v>145</v>
      </c>
      <c r="N3292" t="s">
        <v>7065</v>
      </c>
      <c r="O3292" t="s">
        <v>70</v>
      </c>
      <c r="P3292" t="s">
        <v>675</v>
      </c>
      <c r="Q3292" t="s">
        <v>7066</v>
      </c>
      <c r="R3292">
        <v>6999.96</v>
      </c>
      <c r="S3292">
        <v>4</v>
      </c>
      <c r="T3292">
        <v>0</v>
      </c>
      <c r="U3292">
        <v>2239.9872</v>
      </c>
      <c r="V3292" t="str">
        <f t="shared" si="51"/>
        <v>Tom Boeckenhauer</v>
      </c>
      <c r="W3292">
        <f>Table2[Profit]/Table2[Sales]</f>
        <v>0.32</v>
      </c>
    </row>
    <row r="3293" spans="1:23" x14ac:dyDescent="0.25">
      <c r="A3293">
        <v>3292</v>
      </c>
      <c r="B3293" t="s">
        <v>8774</v>
      </c>
      <c r="C3293" s="1">
        <v>41782</v>
      </c>
      <c r="D3293" s="1">
        <v>41786</v>
      </c>
      <c r="E3293" t="s">
        <v>49</v>
      </c>
      <c r="F3293" t="s">
        <v>4654</v>
      </c>
      <c r="G3293" t="s">
        <v>4655</v>
      </c>
      <c r="H3293" t="s">
        <v>25</v>
      </c>
      <c r="I3293" t="s">
        <v>26</v>
      </c>
      <c r="J3293" t="s">
        <v>4036</v>
      </c>
      <c r="K3293" t="s">
        <v>95</v>
      </c>
      <c r="L3293">
        <v>98006</v>
      </c>
      <c r="M3293" t="s">
        <v>43</v>
      </c>
      <c r="N3293" t="s">
        <v>403</v>
      </c>
      <c r="O3293" t="s">
        <v>45</v>
      </c>
      <c r="P3293" t="s">
        <v>89</v>
      </c>
      <c r="Q3293" t="s">
        <v>404</v>
      </c>
      <c r="R3293">
        <v>12.96</v>
      </c>
      <c r="S3293">
        <v>2</v>
      </c>
      <c r="T3293">
        <v>0</v>
      </c>
      <c r="U3293">
        <v>6.2207999999999997</v>
      </c>
      <c r="V3293" t="str">
        <f t="shared" si="51"/>
        <v>Erica Hackney</v>
      </c>
      <c r="W3293">
        <f>Table2[Profit]/Table2[Sales]</f>
        <v>0.47999999999999993</v>
      </c>
    </row>
    <row r="3294" spans="1:23" x14ac:dyDescent="0.25">
      <c r="A3294">
        <v>3293</v>
      </c>
      <c r="B3294" t="s">
        <v>8775</v>
      </c>
      <c r="C3294" s="1">
        <v>42266</v>
      </c>
      <c r="D3294" s="1">
        <v>42269</v>
      </c>
      <c r="E3294" t="s">
        <v>22</v>
      </c>
      <c r="F3294" t="s">
        <v>4531</v>
      </c>
      <c r="G3294" t="s">
        <v>4532</v>
      </c>
      <c r="H3294" t="s">
        <v>25</v>
      </c>
      <c r="I3294" t="s">
        <v>26</v>
      </c>
      <c r="J3294" t="s">
        <v>263</v>
      </c>
      <c r="K3294" t="s">
        <v>264</v>
      </c>
      <c r="L3294">
        <v>10024</v>
      </c>
      <c r="M3294" t="s">
        <v>145</v>
      </c>
      <c r="N3294" t="s">
        <v>917</v>
      </c>
      <c r="O3294" t="s">
        <v>70</v>
      </c>
      <c r="P3294" t="s">
        <v>71</v>
      </c>
      <c r="Q3294" t="s">
        <v>918</v>
      </c>
      <c r="R3294">
        <v>279.86</v>
      </c>
      <c r="S3294">
        <v>14</v>
      </c>
      <c r="T3294">
        <v>0</v>
      </c>
      <c r="U3294">
        <v>134.33279999999999</v>
      </c>
      <c r="V3294" t="str">
        <f t="shared" si="51"/>
        <v>Giulietta Weimer</v>
      </c>
      <c r="W3294">
        <f>Table2[Profit]/Table2[Sales]</f>
        <v>0.47999999999999993</v>
      </c>
    </row>
    <row r="3295" spans="1:23" x14ac:dyDescent="0.25">
      <c r="A3295">
        <v>3294</v>
      </c>
      <c r="B3295" t="s">
        <v>8776</v>
      </c>
      <c r="C3295" s="1">
        <v>42279</v>
      </c>
      <c r="D3295" s="1">
        <v>42283</v>
      </c>
      <c r="E3295" t="s">
        <v>49</v>
      </c>
      <c r="F3295" t="s">
        <v>3875</v>
      </c>
      <c r="G3295" t="s">
        <v>3876</v>
      </c>
      <c r="H3295" t="s">
        <v>101</v>
      </c>
      <c r="I3295" t="s">
        <v>26</v>
      </c>
      <c r="J3295" t="s">
        <v>8777</v>
      </c>
      <c r="K3295" t="s">
        <v>87</v>
      </c>
      <c r="L3295">
        <v>27893</v>
      </c>
      <c r="M3295" t="s">
        <v>29</v>
      </c>
      <c r="N3295" t="s">
        <v>4639</v>
      </c>
      <c r="O3295" t="s">
        <v>45</v>
      </c>
      <c r="P3295" t="s">
        <v>74</v>
      </c>
      <c r="Q3295" t="s">
        <v>4640</v>
      </c>
      <c r="R3295">
        <v>7.38</v>
      </c>
      <c r="S3295">
        <v>5</v>
      </c>
      <c r="T3295">
        <v>0.7</v>
      </c>
      <c r="U3295">
        <v>-5.4119999999999999</v>
      </c>
      <c r="V3295" t="str">
        <f t="shared" si="51"/>
        <v>Nora Pelletier</v>
      </c>
      <c r="W3295">
        <f>Table2[Profit]/Table2[Sales]</f>
        <v>-0.73333333333333328</v>
      </c>
    </row>
    <row r="3296" spans="1:23" x14ac:dyDescent="0.25">
      <c r="A3296">
        <v>3295</v>
      </c>
      <c r="B3296" t="s">
        <v>8778</v>
      </c>
      <c r="C3296" s="1">
        <v>42729</v>
      </c>
      <c r="D3296" s="1">
        <v>42734</v>
      </c>
      <c r="E3296" t="s">
        <v>49</v>
      </c>
      <c r="F3296" t="s">
        <v>4698</v>
      </c>
      <c r="G3296" t="s">
        <v>4699</v>
      </c>
      <c r="H3296" t="s">
        <v>25</v>
      </c>
      <c r="I3296" t="s">
        <v>26</v>
      </c>
      <c r="J3296" t="s">
        <v>94</v>
      </c>
      <c r="K3296" t="s">
        <v>95</v>
      </c>
      <c r="L3296">
        <v>98115</v>
      </c>
      <c r="M3296" t="s">
        <v>43</v>
      </c>
      <c r="N3296" t="s">
        <v>3863</v>
      </c>
      <c r="O3296" t="s">
        <v>31</v>
      </c>
      <c r="P3296" t="s">
        <v>35</v>
      </c>
      <c r="Q3296" t="s">
        <v>3864</v>
      </c>
      <c r="R3296">
        <v>698.35199999999998</v>
      </c>
      <c r="S3296">
        <v>3</v>
      </c>
      <c r="T3296">
        <v>0.2</v>
      </c>
      <c r="U3296">
        <v>52.376399999999997</v>
      </c>
      <c r="V3296" t="str">
        <f t="shared" si="51"/>
        <v>Joe Elijah</v>
      </c>
      <c r="W3296">
        <f>Table2[Profit]/Table2[Sales]</f>
        <v>7.4999999999999997E-2</v>
      </c>
    </row>
    <row r="3297" spans="1:23" x14ac:dyDescent="0.25">
      <c r="A3297">
        <v>3296</v>
      </c>
      <c r="B3297" t="s">
        <v>8779</v>
      </c>
      <c r="C3297" s="1">
        <v>42496</v>
      </c>
      <c r="D3297" s="1">
        <v>42498</v>
      </c>
      <c r="E3297" t="s">
        <v>22</v>
      </c>
      <c r="F3297" t="s">
        <v>4433</v>
      </c>
      <c r="G3297" t="s">
        <v>4434</v>
      </c>
      <c r="H3297" t="s">
        <v>101</v>
      </c>
      <c r="I3297" t="s">
        <v>26</v>
      </c>
      <c r="J3297" t="s">
        <v>311</v>
      </c>
      <c r="K3297" t="s">
        <v>590</v>
      </c>
      <c r="L3297">
        <v>65807</v>
      </c>
      <c r="M3297" t="s">
        <v>104</v>
      </c>
      <c r="N3297" t="s">
        <v>5257</v>
      </c>
      <c r="O3297" t="s">
        <v>45</v>
      </c>
      <c r="P3297" t="s">
        <v>77</v>
      </c>
      <c r="Q3297" t="s">
        <v>5258</v>
      </c>
      <c r="R3297">
        <v>54.48</v>
      </c>
      <c r="S3297">
        <v>1</v>
      </c>
      <c r="T3297">
        <v>0</v>
      </c>
      <c r="U3297">
        <v>15.2544</v>
      </c>
      <c r="V3297" t="str">
        <f t="shared" si="51"/>
        <v>Brad Eason</v>
      </c>
      <c r="W3297">
        <f>Table2[Profit]/Table2[Sales]</f>
        <v>0.28000000000000003</v>
      </c>
    </row>
    <row r="3298" spans="1:23" x14ac:dyDescent="0.25">
      <c r="A3298">
        <v>3297</v>
      </c>
      <c r="B3298" t="s">
        <v>8780</v>
      </c>
      <c r="C3298" s="1">
        <v>42667</v>
      </c>
      <c r="D3298" s="1">
        <v>42667</v>
      </c>
      <c r="E3298" t="s">
        <v>1278</v>
      </c>
      <c r="F3298" t="s">
        <v>1670</v>
      </c>
      <c r="G3298" t="s">
        <v>1671</v>
      </c>
      <c r="H3298" t="s">
        <v>25</v>
      </c>
      <c r="I3298" t="s">
        <v>26</v>
      </c>
      <c r="J3298" t="s">
        <v>126</v>
      </c>
      <c r="K3298" t="s">
        <v>42</v>
      </c>
      <c r="L3298">
        <v>94109</v>
      </c>
      <c r="M3298" t="s">
        <v>43</v>
      </c>
      <c r="N3298" t="s">
        <v>2512</v>
      </c>
      <c r="O3298" t="s">
        <v>70</v>
      </c>
      <c r="P3298" t="s">
        <v>158</v>
      </c>
      <c r="Q3298" t="s">
        <v>2513</v>
      </c>
      <c r="R3298">
        <v>199.99</v>
      </c>
      <c r="S3298">
        <v>1</v>
      </c>
      <c r="T3298">
        <v>0</v>
      </c>
      <c r="U3298">
        <v>85.995699999999999</v>
      </c>
      <c r="V3298" t="str">
        <f t="shared" si="51"/>
        <v>Sonia Sunley</v>
      </c>
      <c r="W3298">
        <f>Table2[Profit]/Table2[Sales]</f>
        <v>0.43</v>
      </c>
    </row>
    <row r="3299" spans="1:23" x14ac:dyDescent="0.25">
      <c r="A3299">
        <v>3298</v>
      </c>
      <c r="B3299" t="s">
        <v>8781</v>
      </c>
      <c r="C3299" s="1">
        <v>42861</v>
      </c>
      <c r="D3299" s="1">
        <v>42861</v>
      </c>
      <c r="E3299" t="s">
        <v>1278</v>
      </c>
      <c r="F3299" t="s">
        <v>3852</v>
      </c>
      <c r="G3299" t="s">
        <v>3853</v>
      </c>
      <c r="H3299" t="s">
        <v>25</v>
      </c>
      <c r="I3299" t="s">
        <v>26</v>
      </c>
      <c r="J3299" t="s">
        <v>460</v>
      </c>
      <c r="K3299" t="s">
        <v>87</v>
      </c>
      <c r="L3299">
        <v>28205</v>
      </c>
      <c r="M3299" t="s">
        <v>29</v>
      </c>
      <c r="N3299" t="s">
        <v>1375</v>
      </c>
      <c r="O3299" t="s">
        <v>45</v>
      </c>
      <c r="P3299" t="s">
        <v>74</v>
      </c>
      <c r="Q3299" t="s">
        <v>1376</v>
      </c>
      <c r="R3299">
        <v>68.540999999999997</v>
      </c>
      <c r="S3299">
        <v>11</v>
      </c>
      <c r="T3299">
        <v>0.7</v>
      </c>
      <c r="U3299">
        <v>-52.548099999999998</v>
      </c>
      <c r="V3299" t="str">
        <f t="shared" si="51"/>
        <v>Mick Brown</v>
      </c>
      <c r="W3299">
        <f>Table2[Profit]/Table2[Sales]</f>
        <v>-0.76666666666666672</v>
      </c>
    </row>
    <row r="3300" spans="1:23" x14ac:dyDescent="0.25">
      <c r="A3300">
        <v>3299</v>
      </c>
      <c r="B3300" t="s">
        <v>8782</v>
      </c>
      <c r="C3300" s="1">
        <v>43066</v>
      </c>
      <c r="D3300" s="1">
        <v>43069</v>
      </c>
      <c r="E3300" t="s">
        <v>22</v>
      </c>
      <c r="F3300" t="s">
        <v>2146</v>
      </c>
      <c r="G3300" t="s">
        <v>2147</v>
      </c>
      <c r="H3300" t="s">
        <v>25</v>
      </c>
      <c r="I3300" t="s">
        <v>26</v>
      </c>
      <c r="J3300" t="s">
        <v>263</v>
      </c>
      <c r="K3300" t="s">
        <v>264</v>
      </c>
      <c r="L3300">
        <v>10011</v>
      </c>
      <c r="M3300" t="s">
        <v>145</v>
      </c>
      <c r="N3300" t="s">
        <v>1454</v>
      </c>
      <c r="O3300" t="s">
        <v>45</v>
      </c>
      <c r="P3300" t="s">
        <v>67</v>
      </c>
      <c r="Q3300" t="s">
        <v>1455</v>
      </c>
      <c r="R3300">
        <v>6.99</v>
      </c>
      <c r="S3300">
        <v>3</v>
      </c>
      <c r="T3300">
        <v>0</v>
      </c>
      <c r="U3300">
        <v>2.0270999999999999</v>
      </c>
      <c r="V3300" t="str">
        <f t="shared" si="51"/>
        <v>Resi Pölking</v>
      </c>
      <c r="W3300">
        <f>Table2[Profit]/Table2[Sales]</f>
        <v>0.28999999999999998</v>
      </c>
    </row>
    <row r="3301" spans="1:23" x14ac:dyDescent="0.25">
      <c r="A3301">
        <v>3300</v>
      </c>
      <c r="B3301" t="s">
        <v>8783</v>
      </c>
      <c r="C3301" s="1">
        <v>41943</v>
      </c>
      <c r="D3301" s="1">
        <v>41945</v>
      </c>
      <c r="E3301" t="s">
        <v>22</v>
      </c>
      <c r="F3301" t="s">
        <v>2636</v>
      </c>
      <c r="G3301" t="s">
        <v>2637</v>
      </c>
      <c r="H3301" t="s">
        <v>40</v>
      </c>
      <c r="I3301" t="s">
        <v>26</v>
      </c>
      <c r="J3301" t="s">
        <v>2591</v>
      </c>
      <c r="K3301" t="s">
        <v>491</v>
      </c>
      <c r="L3301">
        <v>44052</v>
      </c>
      <c r="M3301" t="s">
        <v>145</v>
      </c>
      <c r="N3301" t="s">
        <v>4846</v>
      </c>
      <c r="O3301" t="s">
        <v>31</v>
      </c>
      <c r="P3301" t="s">
        <v>55</v>
      </c>
      <c r="Q3301" t="s">
        <v>4847</v>
      </c>
      <c r="R3301">
        <v>1421.664</v>
      </c>
      <c r="S3301">
        <v>8</v>
      </c>
      <c r="T3301">
        <v>0.4</v>
      </c>
      <c r="U3301">
        <v>-734.52639999999997</v>
      </c>
      <c r="V3301" t="str">
        <f t="shared" si="51"/>
        <v>Anthony Jacobs</v>
      </c>
      <c r="W3301">
        <f>Table2[Profit]/Table2[Sales]</f>
        <v>-0.51666666666666661</v>
      </c>
    </row>
    <row r="3302" spans="1:23" x14ac:dyDescent="0.25">
      <c r="A3302">
        <v>3301</v>
      </c>
      <c r="B3302" t="s">
        <v>8784</v>
      </c>
      <c r="C3302" s="1">
        <v>42952</v>
      </c>
      <c r="D3302" s="1">
        <v>42956</v>
      </c>
      <c r="E3302" t="s">
        <v>49</v>
      </c>
      <c r="F3302" t="s">
        <v>232</v>
      </c>
      <c r="G3302" t="s">
        <v>233</v>
      </c>
      <c r="H3302" t="s">
        <v>25</v>
      </c>
      <c r="I3302" t="s">
        <v>26</v>
      </c>
      <c r="J3302" t="s">
        <v>4288</v>
      </c>
      <c r="K3302" t="s">
        <v>251</v>
      </c>
      <c r="L3302">
        <v>46203</v>
      </c>
      <c r="M3302" t="s">
        <v>104</v>
      </c>
      <c r="N3302" t="s">
        <v>2070</v>
      </c>
      <c r="O3302" t="s">
        <v>45</v>
      </c>
      <c r="P3302" t="s">
        <v>74</v>
      </c>
      <c r="Q3302" t="s">
        <v>2071</v>
      </c>
      <c r="R3302">
        <v>125.88</v>
      </c>
      <c r="S3302">
        <v>6</v>
      </c>
      <c r="T3302">
        <v>0</v>
      </c>
      <c r="U3302">
        <v>60.422400000000003</v>
      </c>
      <c r="V3302" t="str">
        <f t="shared" si="51"/>
        <v>Patrick O'Donnell</v>
      </c>
      <c r="W3302">
        <f>Table2[Profit]/Table2[Sales]</f>
        <v>0.48000000000000004</v>
      </c>
    </row>
    <row r="3303" spans="1:23" x14ac:dyDescent="0.25">
      <c r="A3303">
        <v>3302</v>
      </c>
      <c r="B3303" t="s">
        <v>8785</v>
      </c>
      <c r="C3303" s="1">
        <v>42226</v>
      </c>
      <c r="D3303" s="1">
        <v>42232</v>
      </c>
      <c r="E3303" t="s">
        <v>49</v>
      </c>
      <c r="F3303" t="s">
        <v>4951</v>
      </c>
      <c r="G3303" t="s">
        <v>4952</v>
      </c>
      <c r="H3303" t="s">
        <v>25</v>
      </c>
      <c r="I3303" t="s">
        <v>26</v>
      </c>
      <c r="J3303" t="s">
        <v>4488</v>
      </c>
      <c r="K3303" t="s">
        <v>413</v>
      </c>
      <c r="L3303">
        <v>97756</v>
      </c>
      <c r="M3303" t="s">
        <v>43</v>
      </c>
      <c r="N3303" t="s">
        <v>3154</v>
      </c>
      <c r="O3303" t="s">
        <v>70</v>
      </c>
      <c r="P3303" t="s">
        <v>71</v>
      </c>
      <c r="Q3303" t="s">
        <v>3155</v>
      </c>
      <c r="R3303">
        <v>438.36799999999999</v>
      </c>
      <c r="S3303">
        <v>4</v>
      </c>
      <c r="T3303">
        <v>0.2</v>
      </c>
      <c r="U3303">
        <v>38.357199999999999</v>
      </c>
      <c r="V3303" t="str">
        <f t="shared" si="51"/>
        <v>William Brown</v>
      </c>
      <c r="W3303">
        <f>Table2[Profit]/Table2[Sales]</f>
        <v>8.7499999999999994E-2</v>
      </c>
    </row>
    <row r="3304" spans="1:23" x14ac:dyDescent="0.25">
      <c r="A3304">
        <v>3303</v>
      </c>
      <c r="B3304" t="s">
        <v>8786</v>
      </c>
      <c r="C3304" s="1">
        <v>42719</v>
      </c>
      <c r="D3304" s="1">
        <v>42725</v>
      </c>
      <c r="E3304" t="s">
        <v>49</v>
      </c>
      <c r="F3304" t="s">
        <v>3996</v>
      </c>
      <c r="G3304" t="s">
        <v>3997</v>
      </c>
      <c r="H3304" t="s">
        <v>101</v>
      </c>
      <c r="I3304" t="s">
        <v>26</v>
      </c>
      <c r="J3304" t="s">
        <v>311</v>
      </c>
      <c r="K3304" t="s">
        <v>413</v>
      </c>
      <c r="L3304">
        <v>97477</v>
      </c>
      <c r="M3304" t="s">
        <v>43</v>
      </c>
      <c r="N3304" t="s">
        <v>896</v>
      </c>
      <c r="O3304" t="s">
        <v>31</v>
      </c>
      <c r="P3304" t="s">
        <v>55</v>
      </c>
      <c r="Q3304" t="s">
        <v>897</v>
      </c>
      <c r="R3304">
        <v>564.19500000000005</v>
      </c>
      <c r="S3304">
        <v>3</v>
      </c>
      <c r="T3304">
        <v>0.5</v>
      </c>
      <c r="U3304">
        <v>-304.6653</v>
      </c>
      <c r="V3304" t="str">
        <f t="shared" si="51"/>
        <v>Mike Pelletier</v>
      </c>
      <c r="W3304">
        <f>Table2[Profit]/Table2[Sales]</f>
        <v>-0.53999999999999992</v>
      </c>
    </row>
    <row r="3305" spans="1:23" x14ac:dyDescent="0.25">
      <c r="A3305">
        <v>3304</v>
      </c>
      <c r="B3305" t="s">
        <v>8787</v>
      </c>
      <c r="C3305" s="1">
        <v>42986</v>
      </c>
      <c r="D3305" s="1">
        <v>42989</v>
      </c>
      <c r="E3305" t="s">
        <v>185</v>
      </c>
      <c r="F3305" t="s">
        <v>2378</v>
      </c>
      <c r="G3305" t="s">
        <v>2379</v>
      </c>
      <c r="H3305" t="s">
        <v>40</v>
      </c>
      <c r="I3305" t="s">
        <v>26</v>
      </c>
      <c r="J3305" t="s">
        <v>1119</v>
      </c>
      <c r="K3305" t="s">
        <v>103</v>
      </c>
      <c r="L3305">
        <v>76017</v>
      </c>
      <c r="M3305" t="s">
        <v>104</v>
      </c>
      <c r="N3305" t="s">
        <v>1805</v>
      </c>
      <c r="O3305" t="s">
        <v>45</v>
      </c>
      <c r="P3305" t="s">
        <v>74</v>
      </c>
      <c r="Q3305" t="s">
        <v>1806</v>
      </c>
      <c r="R3305">
        <v>42.616</v>
      </c>
      <c r="S3305">
        <v>7</v>
      </c>
      <c r="T3305">
        <v>0.8</v>
      </c>
      <c r="U3305">
        <v>-68.185599999999994</v>
      </c>
      <c r="V3305" t="str">
        <f t="shared" si="51"/>
        <v>Barry Französisch</v>
      </c>
      <c r="W3305">
        <f>Table2[Profit]/Table2[Sales]</f>
        <v>-1.5999999999999999</v>
      </c>
    </row>
    <row r="3306" spans="1:23" x14ac:dyDescent="0.25">
      <c r="A3306">
        <v>3305</v>
      </c>
      <c r="B3306" t="s">
        <v>8788</v>
      </c>
      <c r="C3306" s="1">
        <v>42786</v>
      </c>
      <c r="D3306" s="1">
        <v>42793</v>
      </c>
      <c r="E3306" t="s">
        <v>49</v>
      </c>
      <c r="F3306" t="s">
        <v>3738</v>
      </c>
      <c r="G3306" t="s">
        <v>3739</v>
      </c>
      <c r="H3306" t="s">
        <v>101</v>
      </c>
      <c r="I3306" t="s">
        <v>26</v>
      </c>
      <c r="J3306" t="s">
        <v>302</v>
      </c>
      <c r="K3306" t="s">
        <v>303</v>
      </c>
      <c r="L3306">
        <v>85234</v>
      </c>
      <c r="M3306" t="s">
        <v>43</v>
      </c>
      <c r="N3306" t="s">
        <v>3335</v>
      </c>
      <c r="O3306" t="s">
        <v>70</v>
      </c>
      <c r="P3306" t="s">
        <v>71</v>
      </c>
      <c r="Q3306" t="s">
        <v>3336</v>
      </c>
      <c r="R3306">
        <v>333.57600000000002</v>
      </c>
      <c r="S3306">
        <v>3</v>
      </c>
      <c r="T3306">
        <v>0.2</v>
      </c>
      <c r="U3306">
        <v>25.0182</v>
      </c>
      <c r="V3306" t="str">
        <f t="shared" si="51"/>
        <v>Katherine Murray</v>
      </c>
      <c r="W3306">
        <f>Table2[Profit]/Table2[Sales]</f>
        <v>7.4999999999999997E-2</v>
      </c>
    </row>
    <row r="3307" spans="1:23" x14ac:dyDescent="0.25">
      <c r="A3307">
        <v>3306</v>
      </c>
      <c r="B3307" t="s">
        <v>8789</v>
      </c>
      <c r="C3307" s="1">
        <v>42224</v>
      </c>
      <c r="D3307" s="1">
        <v>42226</v>
      </c>
      <c r="E3307" t="s">
        <v>22</v>
      </c>
      <c r="F3307" t="s">
        <v>5089</v>
      </c>
      <c r="G3307" t="s">
        <v>5090</v>
      </c>
      <c r="H3307" t="s">
        <v>25</v>
      </c>
      <c r="I3307" t="s">
        <v>26</v>
      </c>
      <c r="J3307" t="s">
        <v>1465</v>
      </c>
      <c r="K3307" t="s">
        <v>1233</v>
      </c>
      <c r="L3307">
        <v>1841</v>
      </c>
      <c r="M3307" t="s">
        <v>145</v>
      </c>
      <c r="N3307" t="s">
        <v>7170</v>
      </c>
      <c r="O3307" t="s">
        <v>45</v>
      </c>
      <c r="P3307" t="s">
        <v>67</v>
      </c>
      <c r="Q3307" t="s">
        <v>7171</v>
      </c>
      <c r="R3307">
        <v>39.659999999999997</v>
      </c>
      <c r="S3307">
        <v>2</v>
      </c>
      <c r="T3307">
        <v>0</v>
      </c>
      <c r="U3307">
        <v>11.898</v>
      </c>
      <c r="V3307" t="str">
        <f t="shared" si="51"/>
        <v>Denny Blanton</v>
      </c>
      <c r="W3307">
        <f>Table2[Profit]/Table2[Sales]</f>
        <v>0.30000000000000004</v>
      </c>
    </row>
    <row r="3308" spans="1:23" x14ac:dyDescent="0.25">
      <c r="A3308">
        <v>3307</v>
      </c>
      <c r="B3308" t="s">
        <v>8790</v>
      </c>
      <c r="C3308" s="1">
        <v>43034</v>
      </c>
      <c r="D3308" s="1">
        <v>43040</v>
      </c>
      <c r="E3308" t="s">
        <v>49</v>
      </c>
      <c r="F3308" t="s">
        <v>1866</v>
      </c>
      <c r="G3308" t="s">
        <v>1867</v>
      </c>
      <c r="H3308" t="s">
        <v>25</v>
      </c>
      <c r="I3308" t="s">
        <v>26</v>
      </c>
      <c r="J3308" t="s">
        <v>2930</v>
      </c>
      <c r="K3308" t="s">
        <v>312</v>
      </c>
      <c r="L3308">
        <v>23464</v>
      </c>
      <c r="M3308" t="s">
        <v>29</v>
      </c>
      <c r="N3308" t="s">
        <v>2765</v>
      </c>
      <c r="O3308" t="s">
        <v>31</v>
      </c>
      <c r="P3308" t="s">
        <v>55</v>
      </c>
      <c r="Q3308" t="s">
        <v>2766</v>
      </c>
      <c r="R3308">
        <v>356.85</v>
      </c>
      <c r="S3308">
        <v>5</v>
      </c>
      <c r="T3308">
        <v>0</v>
      </c>
      <c r="U3308">
        <v>60.664499999999997</v>
      </c>
      <c r="V3308" t="str">
        <f t="shared" si="51"/>
        <v>Olvera Toch</v>
      </c>
      <c r="W3308">
        <f>Table2[Profit]/Table2[Sales]</f>
        <v>0.16999999999999998</v>
      </c>
    </row>
    <row r="3309" spans="1:23" x14ac:dyDescent="0.25">
      <c r="A3309">
        <v>3308</v>
      </c>
      <c r="B3309" t="s">
        <v>8791</v>
      </c>
      <c r="C3309" s="1">
        <v>42565</v>
      </c>
      <c r="D3309" s="1">
        <v>42569</v>
      </c>
      <c r="E3309" t="s">
        <v>22</v>
      </c>
      <c r="F3309" t="s">
        <v>2971</v>
      </c>
      <c r="G3309" t="s">
        <v>2972</v>
      </c>
      <c r="H3309" t="s">
        <v>25</v>
      </c>
      <c r="I3309" t="s">
        <v>26</v>
      </c>
      <c r="J3309" t="s">
        <v>3844</v>
      </c>
      <c r="K3309" t="s">
        <v>103</v>
      </c>
      <c r="L3309">
        <v>75061</v>
      </c>
      <c r="M3309" t="s">
        <v>104</v>
      </c>
      <c r="N3309" t="s">
        <v>8329</v>
      </c>
      <c r="O3309" t="s">
        <v>45</v>
      </c>
      <c r="P3309" t="s">
        <v>89</v>
      </c>
      <c r="Q3309" t="s">
        <v>8330</v>
      </c>
      <c r="R3309">
        <v>219.84</v>
      </c>
      <c r="S3309">
        <v>5</v>
      </c>
      <c r="T3309">
        <v>0.2</v>
      </c>
      <c r="U3309">
        <v>79.691999999999993</v>
      </c>
      <c r="V3309" t="str">
        <f t="shared" si="51"/>
        <v>John Stevenson</v>
      </c>
      <c r="W3309">
        <f>Table2[Profit]/Table2[Sales]</f>
        <v>0.36249999999999999</v>
      </c>
    </row>
    <row r="3310" spans="1:23" x14ac:dyDescent="0.25">
      <c r="A3310">
        <v>3309</v>
      </c>
      <c r="B3310" t="s">
        <v>8792</v>
      </c>
      <c r="C3310" s="1">
        <v>42867</v>
      </c>
      <c r="D3310" s="1">
        <v>42869</v>
      </c>
      <c r="E3310" t="s">
        <v>22</v>
      </c>
      <c r="F3310" t="s">
        <v>1880</v>
      </c>
      <c r="G3310" t="s">
        <v>1881</v>
      </c>
      <c r="H3310" t="s">
        <v>25</v>
      </c>
      <c r="I3310" t="s">
        <v>26</v>
      </c>
      <c r="J3310" t="s">
        <v>3854</v>
      </c>
      <c r="K3310" t="s">
        <v>781</v>
      </c>
      <c r="L3310">
        <v>8360</v>
      </c>
      <c r="M3310" t="s">
        <v>145</v>
      </c>
      <c r="N3310" t="s">
        <v>7472</v>
      </c>
      <c r="O3310" t="s">
        <v>31</v>
      </c>
      <c r="P3310" t="s">
        <v>64</v>
      </c>
      <c r="Q3310" t="s">
        <v>7473</v>
      </c>
      <c r="R3310">
        <v>42.85</v>
      </c>
      <c r="S3310">
        <v>5</v>
      </c>
      <c r="T3310">
        <v>0</v>
      </c>
      <c r="U3310">
        <v>15.426</v>
      </c>
      <c r="V3310" t="str">
        <f t="shared" si="51"/>
        <v>Cynthia Arntzen</v>
      </c>
      <c r="W3310">
        <f>Table2[Profit]/Table2[Sales]</f>
        <v>0.36</v>
      </c>
    </row>
    <row r="3311" spans="1:23" x14ac:dyDescent="0.25">
      <c r="A3311">
        <v>3310</v>
      </c>
      <c r="B3311" t="s">
        <v>8793</v>
      </c>
      <c r="C3311" s="1">
        <v>42880</v>
      </c>
      <c r="D3311" s="1">
        <v>42884</v>
      </c>
      <c r="E3311" t="s">
        <v>49</v>
      </c>
      <c r="F3311" t="s">
        <v>3434</v>
      </c>
      <c r="G3311" t="s">
        <v>3435</v>
      </c>
      <c r="H3311" t="s">
        <v>101</v>
      </c>
      <c r="I3311" t="s">
        <v>26</v>
      </c>
      <c r="J3311" t="s">
        <v>490</v>
      </c>
      <c r="K3311" t="s">
        <v>1260</v>
      </c>
      <c r="L3311">
        <v>31907</v>
      </c>
      <c r="M3311" t="s">
        <v>29</v>
      </c>
      <c r="N3311" t="s">
        <v>2017</v>
      </c>
      <c r="O3311" t="s">
        <v>45</v>
      </c>
      <c r="P3311" t="s">
        <v>74</v>
      </c>
      <c r="Q3311" t="s">
        <v>2018</v>
      </c>
      <c r="R3311">
        <v>29.84</v>
      </c>
      <c r="S3311">
        <v>2</v>
      </c>
      <c r="T3311">
        <v>0</v>
      </c>
      <c r="U3311">
        <v>13.428000000000001</v>
      </c>
      <c r="V3311" t="str">
        <f t="shared" si="51"/>
        <v>Mick Hernandez</v>
      </c>
      <c r="W3311">
        <f>Table2[Profit]/Table2[Sales]</f>
        <v>0.45</v>
      </c>
    </row>
    <row r="3312" spans="1:23" x14ac:dyDescent="0.25">
      <c r="A3312">
        <v>3311</v>
      </c>
      <c r="B3312" t="s">
        <v>8794</v>
      </c>
      <c r="C3312" s="1">
        <v>41874</v>
      </c>
      <c r="D3312" s="1">
        <v>41878</v>
      </c>
      <c r="E3312" t="s">
        <v>22</v>
      </c>
      <c r="F3312" t="s">
        <v>4257</v>
      </c>
      <c r="G3312" t="s">
        <v>4258</v>
      </c>
      <c r="H3312" t="s">
        <v>40</v>
      </c>
      <c r="I3312" t="s">
        <v>26</v>
      </c>
      <c r="J3312" t="s">
        <v>41</v>
      </c>
      <c r="K3312" t="s">
        <v>42</v>
      </c>
      <c r="L3312">
        <v>90032</v>
      </c>
      <c r="M3312" t="s">
        <v>43</v>
      </c>
      <c r="N3312" t="s">
        <v>2227</v>
      </c>
      <c r="O3312" t="s">
        <v>45</v>
      </c>
      <c r="P3312" t="s">
        <v>74</v>
      </c>
      <c r="Q3312" t="s">
        <v>2228</v>
      </c>
      <c r="R3312">
        <v>49.567999999999998</v>
      </c>
      <c r="S3312">
        <v>2</v>
      </c>
      <c r="T3312">
        <v>0.2</v>
      </c>
      <c r="U3312">
        <v>17.348800000000001</v>
      </c>
      <c r="V3312" t="str">
        <f t="shared" si="51"/>
        <v>Robert Barroso</v>
      </c>
      <c r="W3312">
        <f>Table2[Profit]/Table2[Sales]</f>
        <v>0.35000000000000003</v>
      </c>
    </row>
    <row r="3313" spans="1:23" x14ac:dyDescent="0.25">
      <c r="A3313">
        <v>3312</v>
      </c>
      <c r="B3313" t="s">
        <v>8795</v>
      </c>
      <c r="C3313" s="1">
        <v>42258</v>
      </c>
      <c r="D3313" s="1">
        <v>42263</v>
      </c>
      <c r="E3313" t="s">
        <v>49</v>
      </c>
      <c r="F3313" t="s">
        <v>973</v>
      </c>
      <c r="G3313" t="s">
        <v>974</v>
      </c>
      <c r="H3313" t="s">
        <v>40</v>
      </c>
      <c r="I3313" t="s">
        <v>26</v>
      </c>
      <c r="J3313" t="s">
        <v>941</v>
      </c>
      <c r="K3313" t="s">
        <v>42</v>
      </c>
      <c r="L3313">
        <v>92024</v>
      </c>
      <c r="M3313" t="s">
        <v>43</v>
      </c>
      <c r="N3313" t="s">
        <v>483</v>
      </c>
      <c r="O3313" t="s">
        <v>45</v>
      </c>
      <c r="P3313" t="s">
        <v>67</v>
      </c>
      <c r="Q3313" t="s">
        <v>484</v>
      </c>
      <c r="R3313">
        <v>265.86</v>
      </c>
      <c r="S3313">
        <v>7</v>
      </c>
      <c r="T3313">
        <v>0</v>
      </c>
      <c r="U3313">
        <v>79.757999999999996</v>
      </c>
      <c r="V3313" t="str">
        <f t="shared" si="51"/>
        <v>Sean Braxton</v>
      </c>
      <c r="W3313">
        <f>Table2[Profit]/Table2[Sales]</f>
        <v>0.3</v>
      </c>
    </row>
    <row r="3314" spans="1:23" x14ac:dyDescent="0.25">
      <c r="A3314">
        <v>3313</v>
      </c>
      <c r="B3314" t="s">
        <v>8796</v>
      </c>
      <c r="C3314" s="1">
        <v>42252</v>
      </c>
      <c r="D3314" s="1">
        <v>42259</v>
      </c>
      <c r="E3314" t="s">
        <v>49</v>
      </c>
      <c r="F3314" t="s">
        <v>614</v>
      </c>
      <c r="G3314" t="s">
        <v>615</v>
      </c>
      <c r="H3314" t="s">
        <v>101</v>
      </c>
      <c r="I3314" t="s">
        <v>26</v>
      </c>
      <c r="J3314" t="s">
        <v>4612</v>
      </c>
      <c r="K3314" t="s">
        <v>312</v>
      </c>
      <c r="L3314">
        <v>22901</v>
      </c>
      <c r="M3314" t="s">
        <v>29</v>
      </c>
      <c r="N3314" t="s">
        <v>8797</v>
      </c>
      <c r="O3314" t="s">
        <v>31</v>
      </c>
      <c r="P3314" t="s">
        <v>64</v>
      </c>
      <c r="Q3314" t="s">
        <v>8798</v>
      </c>
      <c r="R3314">
        <v>67.959999999999994</v>
      </c>
      <c r="S3314">
        <v>4</v>
      </c>
      <c r="T3314">
        <v>0</v>
      </c>
      <c r="U3314">
        <v>12.232799999999999</v>
      </c>
      <c r="V3314" t="str">
        <f t="shared" si="51"/>
        <v>Tamara Willingham</v>
      </c>
      <c r="W3314">
        <f>Table2[Profit]/Table2[Sales]</f>
        <v>0.18</v>
      </c>
    </row>
    <row r="3315" spans="1:23" x14ac:dyDescent="0.25">
      <c r="A3315">
        <v>3314</v>
      </c>
      <c r="B3315" t="s">
        <v>8799</v>
      </c>
      <c r="C3315" s="1">
        <v>42329</v>
      </c>
      <c r="D3315" s="1">
        <v>42331</v>
      </c>
      <c r="E3315" t="s">
        <v>22</v>
      </c>
      <c r="F3315" t="s">
        <v>5850</v>
      </c>
      <c r="G3315" t="s">
        <v>5851</v>
      </c>
      <c r="H3315" t="s">
        <v>25</v>
      </c>
      <c r="I3315" t="s">
        <v>26</v>
      </c>
      <c r="J3315" t="s">
        <v>1465</v>
      </c>
      <c r="K3315" t="s">
        <v>251</v>
      </c>
      <c r="L3315">
        <v>46226</v>
      </c>
      <c r="M3315" t="s">
        <v>104</v>
      </c>
      <c r="N3315" t="s">
        <v>3256</v>
      </c>
      <c r="O3315" t="s">
        <v>45</v>
      </c>
      <c r="P3315" t="s">
        <v>67</v>
      </c>
      <c r="Q3315" t="s">
        <v>3257</v>
      </c>
      <c r="R3315">
        <v>10.92</v>
      </c>
      <c r="S3315">
        <v>6</v>
      </c>
      <c r="T3315">
        <v>0</v>
      </c>
      <c r="U3315">
        <v>4.9139999999999997</v>
      </c>
      <c r="V3315" t="str">
        <f t="shared" si="51"/>
        <v>Denise Leinenbach</v>
      </c>
      <c r="W3315">
        <f>Table2[Profit]/Table2[Sales]</f>
        <v>0.44999999999999996</v>
      </c>
    </row>
    <row r="3316" spans="1:23" x14ac:dyDescent="0.25">
      <c r="A3316">
        <v>3315</v>
      </c>
      <c r="B3316" t="s">
        <v>8800</v>
      </c>
      <c r="C3316" s="1">
        <v>41922</v>
      </c>
      <c r="D3316" s="1">
        <v>41926</v>
      </c>
      <c r="E3316" t="s">
        <v>49</v>
      </c>
      <c r="F3316" t="s">
        <v>1483</v>
      </c>
      <c r="G3316" t="s">
        <v>1484</v>
      </c>
      <c r="H3316" t="s">
        <v>101</v>
      </c>
      <c r="I3316" t="s">
        <v>26</v>
      </c>
      <c r="J3316" t="s">
        <v>537</v>
      </c>
      <c r="K3316" t="s">
        <v>303</v>
      </c>
      <c r="L3316">
        <v>85023</v>
      </c>
      <c r="M3316" t="s">
        <v>43</v>
      </c>
      <c r="N3316" t="s">
        <v>3436</v>
      </c>
      <c r="O3316" t="s">
        <v>31</v>
      </c>
      <c r="P3316" t="s">
        <v>64</v>
      </c>
      <c r="Q3316" t="s">
        <v>3437</v>
      </c>
      <c r="R3316">
        <v>46.872</v>
      </c>
      <c r="S3316">
        <v>7</v>
      </c>
      <c r="T3316">
        <v>0.2</v>
      </c>
      <c r="U3316">
        <v>3.5154000000000001</v>
      </c>
      <c r="V3316" t="str">
        <f t="shared" si="51"/>
        <v>Shirley Daniels</v>
      </c>
      <c r="W3316">
        <f>Table2[Profit]/Table2[Sales]</f>
        <v>7.4999999999999997E-2</v>
      </c>
    </row>
    <row r="3317" spans="1:23" x14ac:dyDescent="0.25">
      <c r="A3317">
        <v>3316</v>
      </c>
      <c r="B3317" t="s">
        <v>8801</v>
      </c>
      <c r="C3317" s="1">
        <v>42980</v>
      </c>
      <c r="D3317" s="1">
        <v>42985</v>
      </c>
      <c r="E3317" t="s">
        <v>22</v>
      </c>
      <c r="F3317" t="s">
        <v>269</v>
      </c>
      <c r="G3317" t="s">
        <v>270</v>
      </c>
      <c r="H3317" t="s">
        <v>25</v>
      </c>
      <c r="I3317" t="s">
        <v>26</v>
      </c>
      <c r="J3317" t="s">
        <v>4514</v>
      </c>
      <c r="K3317" t="s">
        <v>740</v>
      </c>
      <c r="L3317">
        <v>6450</v>
      </c>
      <c r="M3317" t="s">
        <v>145</v>
      </c>
      <c r="N3317" t="s">
        <v>1468</v>
      </c>
      <c r="O3317" t="s">
        <v>45</v>
      </c>
      <c r="P3317" t="s">
        <v>58</v>
      </c>
      <c r="Q3317" t="s">
        <v>1469</v>
      </c>
      <c r="R3317">
        <v>10.9</v>
      </c>
      <c r="S3317">
        <v>1</v>
      </c>
      <c r="T3317">
        <v>0</v>
      </c>
      <c r="U3317">
        <v>2.8340000000000001</v>
      </c>
      <c r="V3317" t="str">
        <f t="shared" si="51"/>
        <v>Ted Butterfield</v>
      </c>
      <c r="W3317">
        <f>Table2[Profit]/Table2[Sales]</f>
        <v>0.26</v>
      </c>
    </row>
    <row r="3318" spans="1:23" x14ac:dyDescent="0.25">
      <c r="A3318">
        <v>3317</v>
      </c>
      <c r="B3318" t="s">
        <v>8802</v>
      </c>
      <c r="C3318" s="1">
        <v>42736</v>
      </c>
      <c r="D3318" s="1">
        <v>42737</v>
      </c>
      <c r="E3318" t="s">
        <v>185</v>
      </c>
      <c r="F3318" t="s">
        <v>4121</v>
      </c>
      <c r="G3318" t="s">
        <v>4122</v>
      </c>
      <c r="H3318" t="s">
        <v>101</v>
      </c>
      <c r="I3318" t="s">
        <v>26</v>
      </c>
      <c r="J3318" t="s">
        <v>606</v>
      </c>
      <c r="K3318" t="s">
        <v>113</v>
      </c>
      <c r="L3318">
        <v>53132</v>
      </c>
      <c r="M3318" t="s">
        <v>104</v>
      </c>
      <c r="N3318" t="s">
        <v>2894</v>
      </c>
      <c r="O3318" t="s">
        <v>45</v>
      </c>
      <c r="P3318" t="s">
        <v>74</v>
      </c>
      <c r="Q3318" t="s">
        <v>2895</v>
      </c>
      <c r="R3318">
        <v>3.6</v>
      </c>
      <c r="S3318">
        <v>2</v>
      </c>
      <c r="T3318">
        <v>0</v>
      </c>
      <c r="U3318">
        <v>1.728</v>
      </c>
      <c r="V3318" t="str">
        <f t="shared" si="51"/>
        <v>Dennis Pardue</v>
      </c>
      <c r="W3318">
        <f>Table2[Profit]/Table2[Sales]</f>
        <v>0.48</v>
      </c>
    </row>
    <row r="3319" spans="1:23" x14ac:dyDescent="0.25">
      <c r="A3319">
        <v>3318</v>
      </c>
      <c r="B3319" t="s">
        <v>8803</v>
      </c>
      <c r="C3319" s="1">
        <v>41948</v>
      </c>
      <c r="D3319" s="1">
        <v>41953</v>
      </c>
      <c r="E3319" t="s">
        <v>49</v>
      </c>
      <c r="F3319" t="s">
        <v>3000</v>
      </c>
      <c r="G3319" t="s">
        <v>3001</v>
      </c>
      <c r="H3319" t="s">
        <v>101</v>
      </c>
      <c r="I3319" t="s">
        <v>26</v>
      </c>
      <c r="J3319" t="s">
        <v>41</v>
      </c>
      <c r="K3319" t="s">
        <v>42</v>
      </c>
      <c r="L3319">
        <v>90008</v>
      </c>
      <c r="M3319" t="s">
        <v>43</v>
      </c>
      <c r="N3319" t="s">
        <v>6438</v>
      </c>
      <c r="O3319" t="s">
        <v>31</v>
      </c>
      <c r="P3319" t="s">
        <v>64</v>
      </c>
      <c r="Q3319" t="s">
        <v>6439</v>
      </c>
      <c r="R3319">
        <v>20.04</v>
      </c>
      <c r="S3319">
        <v>6</v>
      </c>
      <c r="T3319">
        <v>0</v>
      </c>
      <c r="U3319">
        <v>8.8176000000000005</v>
      </c>
      <c r="V3319" t="str">
        <f t="shared" si="51"/>
        <v>Deanra Eno</v>
      </c>
      <c r="W3319">
        <f>Table2[Profit]/Table2[Sales]</f>
        <v>0.44000000000000006</v>
      </c>
    </row>
    <row r="3320" spans="1:23" x14ac:dyDescent="0.25">
      <c r="A3320">
        <v>3319</v>
      </c>
      <c r="B3320" t="s">
        <v>8804</v>
      </c>
      <c r="C3320" s="1">
        <v>42355</v>
      </c>
      <c r="D3320" s="1">
        <v>42360</v>
      </c>
      <c r="E3320" t="s">
        <v>49</v>
      </c>
      <c r="F3320" t="s">
        <v>4084</v>
      </c>
      <c r="G3320" t="s">
        <v>4085</v>
      </c>
      <c r="H3320" t="s">
        <v>25</v>
      </c>
      <c r="I3320" t="s">
        <v>26</v>
      </c>
      <c r="J3320" t="s">
        <v>531</v>
      </c>
      <c r="K3320" t="s">
        <v>208</v>
      </c>
      <c r="L3320">
        <v>61701</v>
      </c>
      <c r="M3320" t="s">
        <v>104</v>
      </c>
      <c r="N3320" t="s">
        <v>3441</v>
      </c>
      <c r="O3320" t="s">
        <v>45</v>
      </c>
      <c r="P3320" t="s">
        <v>58</v>
      </c>
      <c r="Q3320" t="s">
        <v>3442</v>
      </c>
      <c r="R3320">
        <v>180.01599999999999</v>
      </c>
      <c r="S3320">
        <v>1</v>
      </c>
      <c r="T3320">
        <v>0.2</v>
      </c>
      <c r="U3320">
        <v>-15.7514</v>
      </c>
      <c r="V3320" t="str">
        <f t="shared" si="51"/>
        <v>Mick Crebagga</v>
      </c>
      <c r="W3320">
        <f>Table2[Profit]/Table2[Sales]</f>
        <v>-8.7500000000000008E-2</v>
      </c>
    </row>
    <row r="3321" spans="1:23" x14ac:dyDescent="0.25">
      <c r="A3321">
        <v>3320</v>
      </c>
      <c r="B3321" t="s">
        <v>8805</v>
      </c>
      <c r="C3321" s="1">
        <v>42138</v>
      </c>
      <c r="D3321" s="1">
        <v>42145</v>
      </c>
      <c r="E3321" t="s">
        <v>49</v>
      </c>
      <c r="F3321" t="s">
        <v>5669</v>
      </c>
      <c r="G3321" t="s">
        <v>5670</v>
      </c>
      <c r="H3321" t="s">
        <v>25</v>
      </c>
      <c r="I3321" t="s">
        <v>26</v>
      </c>
      <c r="J3321" t="s">
        <v>41</v>
      </c>
      <c r="K3321" t="s">
        <v>42</v>
      </c>
      <c r="L3321">
        <v>90032</v>
      </c>
      <c r="M3321" t="s">
        <v>43</v>
      </c>
      <c r="N3321" t="s">
        <v>5483</v>
      </c>
      <c r="O3321" t="s">
        <v>45</v>
      </c>
      <c r="P3321" t="s">
        <v>58</v>
      </c>
      <c r="Q3321" t="s">
        <v>5484</v>
      </c>
      <c r="R3321">
        <v>1117.92</v>
      </c>
      <c r="S3321">
        <v>4</v>
      </c>
      <c r="T3321">
        <v>0</v>
      </c>
      <c r="U3321">
        <v>55.896000000000001</v>
      </c>
      <c r="V3321" t="str">
        <f t="shared" si="51"/>
        <v>Hunter Glantz</v>
      </c>
      <c r="W3321">
        <f>Table2[Profit]/Table2[Sales]</f>
        <v>4.9999999999999996E-2</v>
      </c>
    </row>
    <row r="3322" spans="1:23" x14ac:dyDescent="0.25">
      <c r="A3322">
        <v>3321</v>
      </c>
      <c r="B3322" t="s">
        <v>8806</v>
      </c>
      <c r="C3322" s="1">
        <v>42804</v>
      </c>
      <c r="D3322" s="1">
        <v>42809</v>
      </c>
      <c r="E3322" t="s">
        <v>22</v>
      </c>
      <c r="F3322" t="s">
        <v>6329</v>
      </c>
      <c r="G3322" t="s">
        <v>6330</v>
      </c>
      <c r="H3322" t="s">
        <v>40</v>
      </c>
      <c r="I3322" t="s">
        <v>26</v>
      </c>
      <c r="J3322" t="s">
        <v>126</v>
      </c>
      <c r="K3322" t="s">
        <v>42</v>
      </c>
      <c r="L3322">
        <v>94109</v>
      </c>
      <c r="M3322" t="s">
        <v>43</v>
      </c>
      <c r="N3322" t="s">
        <v>4423</v>
      </c>
      <c r="O3322" t="s">
        <v>70</v>
      </c>
      <c r="P3322" t="s">
        <v>158</v>
      </c>
      <c r="Q3322" t="s">
        <v>4424</v>
      </c>
      <c r="R3322">
        <v>111.96</v>
      </c>
      <c r="S3322">
        <v>4</v>
      </c>
      <c r="T3322">
        <v>0</v>
      </c>
      <c r="U3322">
        <v>21.272400000000001</v>
      </c>
      <c r="V3322" t="str">
        <f t="shared" si="51"/>
        <v>Candace McMahon</v>
      </c>
      <c r="W3322">
        <f>Table2[Profit]/Table2[Sales]</f>
        <v>0.19000000000000003</v>
      </c>
    </row>
    <row r="3323" spans="1:23" x14ac:dyDescent="0.25">
      <c r="A3323">
        <v>3322</v>
      </c>
      <c r="B3323" t="s">
        <v>8807</v>
      </c>
      <c r="C3323" s="1">
        <v>43071</v>
      </c>
      <c r="D3323" s="1">
        <v>43078</v>
      </c>
      <c r="E3323" t="s">
        <v>49</v>
      </c>
      <c r="F3323" t="s">
        <v>4420</v>
      </c>
      <c r="G3323" t="s">
        <v>4421</v>
      </c>
      <c r="H3323" t="s">
        <v>40</v>
      </c>
      <c r="I3323" t="s">
        <v>26</v>
      </c>
      <c r="J3323" t="s">
        <v>181</v>
      </c>
      <c r="K3323" t="s">
        <v>103</v>
      </c>
      <c r="L3323">
        <v>77095</v>
      </c>
      <c r="M3323" t="s">
        <v>104</v>
      </c>
      <c r="N3323" t="s">
        <v>5100</v>
      </c>
      <c r="O3323" t="s">
        <v>45</v>
      </c>
      <c r="P3323" t="s">
        <v>67</v>
      </c>
      <c r="Q3323" t="s">
        <v>5101</v>
      </c>
      <c r="R3323">
        <v>12.16</v>
      </c>
      <c r="S3323">
        <v>5</v>
      </c>
      <c r="T3323">
        <v>0.2</v>
      </c>
      <c r="U3323">
        <v>2.1280000000000001</v>
      </c>
      <c r="V3323" t="str">
        <f t="shared" si="51"/>
        <v>Roy Phan</v>
      </c>
      <c r="W3323">
        <f>Table2[Profit]/Table2[Sales]</f>
        <v>0.17500000000000002</v>
      </c>
    </row>
    <row r="3324" spans="1:23" x14ac:dyDescent="0.25">
      <c r="A3324">
        <v>3323</v>
      </c>
      <c r="B3324" t="s">
        <v>8808</v>
      </c>
      <c r="C3324" s="1">
        <v>42947</v>
      </c>
      <c r="D3324" s="1">
        <v>42952</v>
      </c>
      <c r="E3324" t="s">
        <v>49</v>
      </c>
      <c r="F3324" t="s">
        <v>5468</v>
      </c>
      <c r="G3324" t="s">
        <v>5469</v>
      </c>
      <c r="H3324" t="s">
        <v>40</v>
      </c>
      <c r="I3324" t="s">
        <v>26</v>
      </c>
      <c r="J3324" t="s">
        <v>2517</v>
      </c>
      <c r="K3324" t="s">
        <v>113</v>
      </c>
      <c r="L3324">
        <v>53209</v>
      </c>
      <c r="M3324" t="s">
        <v>104</v>
      </c>
      <c r="N3324" t="s">
        <v>965</v>
      </c>
      <c r="O3324" t="s">
        <v>45</v>
      </c>
      <c r="P3324" t="s">
        <v>74</v>
      </c>
      <c r="Q3324" t="s">
        <v>966</v>
      </c>
      <c r="R3324">
        <v>17.52</v>
      </c>
      <c r="S3324">
        <v>4</v>
      </c>
      <c r="T3324">
        <v>0</v>
      </c>
      <c r="U3324">
        <v>8.4095999999999993</v>
      </c>
      <c r="V3324" t="str">
        <f t="shared" si="51"/>
        <v>Luke Schmidt</v>
      </c>
      <c r="W3324">
        <f>Table2[Profit]/Table2[Sales]</f>
        <v>0.48</v>
      </c>
    </row>
    <row r="3325" spans="1:23" x14ac:dyDescent="0.25">
      <c r="A3325">
        <v>3324</v>
      </c>
      <c r="B3325" t="s">
        <v>8809</v>
      </c>
      <c r="C3325" s="1">
        <v>42958</v>
      </c>
      <c r="D3325" s="1">
        <v>42960</v>
      </c>
      <c r="E3325" t="s">
        <v>22</v>
      </c>
      <c r="F3325" t="s">
        <v>5865</v>
      </c>
      <c r="G3325" t="s">
        <v>5866</v>
      </c>
      <c r="H3325" t="s">
        <v>101</v>
      </c>
      <c r="I3325" t="s">
        <v>26</v>
      </c>
      <c r="J3325" t="s">
        <v>5948</v>
      </c>
      <c r="K3325" t="s">
        <v>729</v>
      </c>
      <c r="L3325">
        <v>70601</v>
      </c>
      <c r="M3325" t="s">
        <v>29</v>
      </c>
      <c r="N3325" t="s">
        <v>5264</v>
      </c>
      <c r="O3325" t="s">
        <v>45</v>
      </c>
      <c r="P3325" t="s">
        <v>74</v>
      </c>
      <c r="Q3325" t="s">
        <v>5265</v>
      </c>
      <c r="R3325">
        <v>477.51</v>
      </c>
      <c r="S3325">
        <v>11</v>
      </c>
      <c r="T3325">
        <v>0</v>
      </c>
      <c r="U3325">
        <v>219.65459999999999</v>
      </c>
      <c r="V3325" t="str">
        <f t="shared" si="51"/>
        <v>Daniel Raglin</v>
      </c>
      <c r="W3325">
        <f>Table2[Profit]/Table2[Sales]</f>
        <v>0.45999999999999996</v>
      </c>
    </row>
    <row r="3326" spans="1:23" x14ac:dyDescent="0.25">
      <c r="A3326">
        <v>3325</v>
      </c>
      <c r="B3326" t="s">
        <v>8810</v>
      </c>
      <c r="C3326" s="1">
        <v>43008</v>
      </c>
      <c r="D3326" s="1">
        <v>43010</v>
      </c>
      <c r="E3326" t="s">
        <v>22</v>
      </c>
      <c r="F3326" t="s">
        <v>6298</v>
      </c>
      <c r="G3326" t="s">
        <v>6299</v>
      </c>
      <c r="H3326" t="s">
        <v>25</v>
      </c>
      <c r="I3326" t="s">
        <v>26</v>
      </c>
      <c r="J3326" t="s">
        <v>4400</v>
      </c>
      <c r="K3326" t="s">
        <v>2699</v>
      </c>
      <c r="L3326">
        <v>21215</v>
      </c>
      <c r="M3326" t="s">
        <v>145</v>
      </c>
      <c r="N3326" t="s">
        <v>5655</v>
      </c>
      <c r="O3326" t="s">
        <v>45</v>
      </c>
      <c r="P3326" t="s">
        <v>89</v>
      </c>
      <c r="Q3326" t="s">
        <v>5656</v>
      </c>
      <c r="R3326">
        <v>164.88</v>
      </c>
      <c r="S3326">
        <v>3</v>
      </c>
      <c r="T3326">
        <v>0</v>
      </c>
      <c r="U3326">
        <v>80.791200000000003</v>
      </c>
      <c r="V3326" t="str">
        <f t="shared" si="51"/>
        <v>Cindy Chapman</v>
      </c>
      <c r="W3326">
        <f>Table2[Profit]/Table2[Sales]</f>
        <v>0.49000000000000005</v>
      </c>
    </row>
    <row r="3327" spans="1:23" x14ac:dyDescent="0.25">
      <c r="A3327">
        <v>3326</v>
      </c>
      <c r="B3327" t="s">
        <v>8811</v>
      </c>
      <c r="C3327" s="1">
        <v>42608</v>
      </c>
      <c r="D3327" s="1">
        <v>42612</v>
      </c>
      <c r="E3327" t="s">
        <v>49</v>
      </c>
      <c r="F3327" t="s">
        <v>8707</v>
      </c>
      <c r="G3327" t="s">
        <v>8708</v>
      </c>
      <c r="H3327" t="s">
        <v>101</v>
      </c>
      <c r="I3327" t="s">
        <v>26</v>
      </c>
      <c r="J3327" t="s">
        <v>606</v>
      </c>
      <c r="K3327" t="s">
        <v>113</v>
      </c>
      <c r="L3327">
        <v>53132</v>
      </c>
      <c r="M3327" t="s">
        <v>104</v>
      </c>
      <c r="N3327" t="s">
        <v>4297</v>
      </c>
      <c r="O3327" t="s">
        <v>70</v>
      </c>
      <c r="P3327" t="s">
        <v>158</v>
      </c>
      <c r="Q3327" t="s">
        <v>4298</v>
      </c>
      <c r="R3327">
        <v>47.97</v>
      </c>
      <c r="S3327">
        <v>3</v>
      </c>
      <c r="T3327">
        <v>0</v>
      </c>
      <c r="U3327">
        <v>14.870699999999999</v>
      </c>
      <c r="V3327" t="str">
        <f t="shared" si="51"/>
        <v>Shirley Schmidt</v>
      </c>
      <c r="W3327">
        <f>Table2[Profit]/Table2[Sales]</f>
        <v>0.31</v>
      </c>
    </row>
    <row r="3328" spans="1:23" x14ac:dyDescent="0.25">
      <c r="A3328">
        <v>3327</v>
      </c>
      <c r="B3328" t="s">
        <v>8812</v>
      </c>
      <c r="C3328" s="1">
        <v>42706</v>
      </c>
      <c r="D3328" s="1">
        <v>42711</v>
      </c>
      <c r="E3328" t="s">
        <v>49</v>
      </c>
      <c r="F3328" t="s">
        <v>3620</v>
      </c>
      <c r="G3328" t="s">
        <v>3621</v>
      </c>
      <c r="H3328" t="s">
        <v>25</v>
      </c>
      <c r="I3328" t="s">
        <v>26</v>
      </c>
      <c r="J3328" t="s">
        <v>263</v>
      </c>
      <c r="K3328" t="s">
        <v>264</v>
      </c>
      <c r="L3328">
        <v>10024</v>
      </c>
      <c r="M3328" t="s">
        <v>145</v>
      </c>
      <c r="N3328" t="s">
        <v>6831</v>
      </c>
      <c r="O3328" t="s">
        <v>45</v>
      </c>
      <c r="P3328" t="s">
        <v>74</v>
      </c>
      <c r="Q3328" t="s">
        <v>6832</v>
      </c>
      <c r="R3328">
        <v>415.17599999999999</v>
      </c>
      <c r="S3328">
        <v>3</v>
      </c>
      <c r="T3328">
        <v>0.2</v>
      </c>
      <c r="U3328">
        <v>134.93219999999999</v>
      </c>
      <c r="V3328" t="str">
        <f t="shared" si="51"/>
        <v>Jamie Frazer</v>
      </c>
      <c r="W3328">
        <f>Table2[Profit]/Table2[Sales]</f>
        <v>0.32500000000000001</v>
      </c>
    </row>
    <row r="3329" spans="1:23" x14ac:dyDescent="0.25">
      <c r="A3329">
        <v>3328</v>
      </c>
      <c r="B3329" t="s">
        <v>8813</v>
      </c>
      <c r="C3329" s="1">
        <v>42937</v>
      </c>
      <c r="D3329" s="1">
        <v>42941</v>
      </c>
      <c r="E3329" t="s">
        <v>49</v>
      </c>
      <c r="F3329" t="s">
        <v>4262</v>
      </c>
      <c r="G3329" t="s">
        <v>4263</v>
      </c>
      <c r="H3329" t="s">
        <v>25</v>
      </c>
      <c r="I3329" t="s">
        <v>26</v>
      </c>
      <c r="J3329" t="s">
        <v>941</v>
      </c>
      <c r="K3329" t="s">
        <v>42</v>
      </c>
      <c r="L3329">
        <v>92024</v>
      </c>
      <c r="M3329" t="s">
        <v>43</v>
      </c>
      <c r="N3329" t="s">
        <v>8814</v>
      </c>
      <c r="O3329" t="s">
        <v>45</v>
      </c>
      <c r="P3329" t="s">
        <v>89</v>
      </c>
      <c r="Q3329" t="s">
        <v>8815</v>
      </c>
      <c r="R3329">
        <v>16.34</v>
      </c>
      <c r="S3329">
        <v>2</v>
      </c>
      <c r="T3329">
        <v>0</v>
      </c>
      <c r="U3329">
        <v>7.6798000000000002</v>
      </c>
      <c r="V3329" t="str">
        <f t="shared" si="51"/>
        <v>Shaun Weien</v>
      </c>
      <c r="W3329">
        <f>Table2[Profit]/Table2[Sales]</f>
        <v>0.47000000000000003</v>
      </c>
    </row>
    <row r="3330" spans="1:23" x14ac:dyDescent="0.25">
      <c r="A3330">
        <v>3329</v>
      </c>
      <c r="B3330" t="s">
        <v>8816</v>
      </c>
      <c r="C3330" s="1">
        <v>42144</v>
      </c>
      <c r="D3330" s="1">
        <v>42148</v>
      </c>
      <c r="E3330" t="s">
        <v>49</v>
      </c>
      <c r="F3330" t="s">
        <v>4057</v>
      </c>
      <c r="G3330" t="s">
        <v>4058</v>
      </c>
      <c r="H3330" t="s">
        <v>25</v>
      </c>
      <c r="I3330" t="s">
        <v>26</v>
      </c>
      <c r="J3330" t="s">
        <v>8777</v>
      </c>
      <c r="K3330" t="s">
        <v>87</v>
      </c>
      <c r="L3330">
        <v>27893</v>
      </c>
      <c r="M3330" t="s">
        <v>29</v>
      </c>
      <c r="N3330" t="s">
        <v>4528</v>
      </c>
      <c r="O3330" t="s">
        <v>31</v>
      </c>
      <c r="P3330" t="s">
        <v>64</v>
      </c>
      <c r="Q3330" t="s">
        <v>4529</v>
      </c>
      <c r="R3330">
        <v>163.136</v>
      </c>
      <c r="S3330">
        <v>4</v>
      </c>
      <c r="T3330">
        <v>0.2</v>
      </c>
      <c r="U3330">
        <v>20.391999999999999</v>
      </c>
      <c r="V3330" t="str">
        <f t="shared" si="51"/>
        <v>Sheri Gordon</v>
      </c>
      <c r="W3330">
        <f>Table2[Profit]/Table2[Sales]</f>
        <v>0.125</v>
      </c>
    </row>
    <row r="3331" spans="1:23" x14ac:dyDescent="0.25">
      <c r="A3331">
        <v>3330</v>
      </c>
      <c r="B3331" t="s">
        <v>8817</v>
      </c>
      <c r="C3331" s="1">
        <v>42178</v>
      </c>
      <c r="D3331" s="1">
        <v>42183</v>
      </c>
      <c r="E3331" t="s">
        <v>49</v>
      </c>
      <c r="F3331" t="s">
        <v>3201</v>
      </c>
      <c r="G3331" t="s">
        <v>3202</v>
      </c>
      <c r="H3331" t="s">
        <v>25</v>
      </c>
      <c r="I3331" t="s">
        <v>26</v>
      </c>
      <c r="J3331" t="s">
        <v>1161</v>
      </c>
      <c r="K3331" t="s">
        <v>42</v>
      </c>
      <c r="L3331">
        <v>90805</v>
      </c>
      <c r="M3331" t="s">
        <v>43</v>
      </c>
      <c r="N3331" t="s">
        <v>4861</v>
      </c>
      <c r="O3331" t="s">
        <v>70</v>
      </c>
      <c r="P3331" t="s">
        <v>71</v>
      </c>
      <c r="Q3331" t="s">
        <v>4862</v>
      </c>
      <c r="R3331">
        <v>217.584</v>
      </c>
      <c r="S3331">
        <v>2</v>
      </c>
      <c r="T3331">
        <v>0.2</v>
      </c>
      <c r="U3331">
        <v>19.038599999999999</v>
      </c>
      <c r="V3331" t="str">
        <f t="shared" ref="V3331:V3394" si="52">TRIM(G3331)</f>
        <v>Christine Sundaresam</v>
      </c>
      <c r="W3331">
        <f>Table2[Profit]/Table2[Sales]</f>
        <v>8.7499999999999994E-2</v>
      </c>
    </row>
    <row r="3332" spans="1:23" x14ac:dyDescent="0.25">
      <c r="A3332">
        <v>3331</v>
      </c>
      <c r="B3332" t="s">
        <v>8818</v>
      </c>
      <c r="C3332" s="1">
        <v>42623</v>
      </c>
      <c r="D3332" s="1">
        <v>42628</v>
      </c>
      <c r="E3332" t="s">
        <v>49</v>
      </c>
      <c r="F3332" t="s">
        <v>2296</v>
      </c>
      <c r="G3332" t="s">
        <v>2297</v>
      </c>
      <c r="H3332" t="s">
        <v>40</v>
      </c>
      <c r="I3332" t="s">
        <v>26</v>
      </c>
      <c r="J3332" t="s">
        <v>52</v>
      </c>
      <c r="K3332" t="s">
        <v>53</v>
      </c>
      <c r="L3332">
        <v>33311</v>
      </c>
      <c r="M3332" t="s">
        <v>29</v>
      </c>
      <c r="N3332" t="s">
        <v>3493</v>
      </c>
      <c r="O3332" t="s">
        <v>70</v>
      </c>
      <c r="P3332" t="s">
        <v>71</v>
      </c>
      <c r="Q3332" t="s">
        <v>3494</v>
      </c>
      <c r="R3332">
        <v>519.67999999999995</v>
      </c>
      <c r="S3332">
        <v>7</v>
      </c>
      <c r="T3332">
        <v>0.2</v>
      </c>
      <c r="U3332">
        <v>58.463999999999999</v>
      </c>
      <c r="V3332" t="str">
        <f t="shared" si="52"/>
        <v>Steve Chapman</v>
      </c>
      <c r="W3332">
        <f>Table2[Profit]/Table2[Sales]</f>
        <v>0.1125</v>
      </c>
    </row>
    <row r="3333" spans="1:23" x14ac:dyDescent="0.25">
      <c r="A3333">
        <v>3332</v>
      </c>
      <c r="B3333" t="s">
        <v>8819</v>
      </c>
      <c r="C3333" s="1">
        <v>41742</v>
      </c>
      <c r="D3333" s="1">
        <v>41747</v>
      </c>
      <c r="E3333" t="s">
        <v>49</v>
      </c>
      <c r="F3333" t="s">
        <v>3369</v>
      </c>
      <c r="G3333" t="s">
        <v>3370</v>
      </c>
      <c r="H3333" t="s">
        <v>101</v>
      </c>
      <c r="I3333" t="s">
        <v>26</v>
      </c>
      <c r="J3333" t="s">
        <v>4400</v>
      </c>
      <c r="K3333" t="s">
        <v>2699</v>
      </c>
      <c r="L3333">
        <v>21215</v>
      </c>
      <c r="M3333" t="s">
        <v>145</v>
      </c>
      <c r="N3333" t="s">
        <v>8820</v>
      </c>
      <c r="O3333" t="s">
        <v>45</v>
      </c>
      <c r="P3333" t="s">
        <v>46</v>
      </c>
      <c r="Q3333" t="s">
        <v>8821</v>
      </c>
      <c r="R3333">
        <v>7.83</v>
      </c>
      <c r="S3333">
        <v>3</v>
      </c>
      <c r="T3333">
        <v>0</v>
      </c>
      <c r="U3333">
        <v>3.6017999999999999</v>
      </c>
      <c r="V3333" t="str">
        <f t="shared" si="52"/>
        <v>Ben Ferrer</v>
      </c>
      <c r="W3333">
        <f>Table2[Profit]/Table2[Sales]</f>
        <v>0.45999999999999996</v>
      </c>
    </row>
    <row r="3334" spans="1:23" x14ac:dyDescent="0.25">
      <c r="A3334">
        <v>3333</v>
      </c>
      <c r="B3334" t="s">
        <v>8822</v>
      </c>
      <c r="C3334" s="1">
        <v>42322</v>
      </c>
      <c r="D3334" s="1">
        <v>42327</v>
      </c>
      <c r="E3334" t="s">
        <v>49</v>
      </c>
      <c r="F3334" t="s">
        <v>442</v>
      </c>
      <c r="G3334" t="s">
        <v>443</v>
      </c>
      <c r="H3334" t="s">
        <v>25</v>
      </c>
      <c r="I3334" t="s">
        <v>26</v>
      </c>
      <c r="J3334" t="s">
        <v>8823</v>
      </c>
      <c r="K3334" t="s">
        <v>660</v>
      </c>
      <c r="L3334">
        <v>87124</v>
      </c>
      <c r="M3334" t="s">
        <v>43</v>
      </c>
      <c r="N3334" t="s">
        <v>679</v>
      </c>
      <c r="O3334" t="s">
        <v>31</v>
      </c>
      <c r="P3334" t="s">
        <v>35</v>
      </c>
      <c r="Q3334" t="s">
        <v>680</v>
      </c>
      <c r="R3334">
        <v>883.84</v>
      </c>
      <c r="S3334">
        <v>4</v>
      </c>
      <c r="T3334">
        <v>0.2</v>
      </c>
      <c r="U3334">
        <v>99.432000000000002</v>
      </c>
      <c r="V3334" t="str">
        <f t="shared" si="52"/>
        <v>Gary Zandusky</v>
      </c>
      <c r="W3334">
        <f>Table2[Profit]/Table2[Sales]</f>
        <v>0.1125</v>
      </c>
    </row>
    <row r="3335" spans="1:23" x14ac:dyDescent="0.25">
      <c r="A3335">
        <v>3334</v>
      </c>
      <c r="B3335" t="s">
        <v>8824</v>
      </c>
      <c r="C3335" s="1">
        <v>42713</v>
      </c>
      <c r="D3335" s="1">
        <v>42716</v>
      </c>
      <c r="E3335" t="s">
        <v>185</v>
      </c>
      <c r="F3335" t="s">
        <v>620</v>
      </c>
      <c r="G3335" t="s">
        <v>621</v>
      </c>
      <c r="H3335" t="s">
        <v>40</v>
      </c>
      <c r="I3335" t="s">
        <v>26</v>
      </c>
      <c r="J3335" t="s">
        <v>4922</v>
      </c>
      <c r="K3335" t="s">
        <v>42</v>
      </c>
      <c r="L3335">
        <v>95207</v>
      </c>
      <c r="M3335" t="s">
        <v>43</v>
      </c>
      <c r="N3335" t="s">
        <v>4548</v>
      </c>
      <c r="O3335" t="s">
        <v>45</v>
      </c>
      <c r="P3335" t="s">
        <v>74</v>
      </c>
      <c r="Q3335" t="s">
        <v>4549</v>
      </c>
      <c r="R3335">
        <v>273.92</v>
      </c>
      <c r="S3335">
        <v>8</v>
      </c>
      <c r="T3335">
        <v>0.2</v>
      </c>
      <c r="U3335">
        <v>99.296000000000006</v>
      </c>
      <c r="V3335" t="str">
        <f t="shared" si="52"/>
        <v>Stephanie Phelps</v>
      </c>
      <c r="W3335">
        <f>Table2[Profit]/Table2[Sales]</f>
        <v>0.36249999999999999</v>
      </c>
    </row>
    <row r="3336" spans="1:23" x14ac:dyDescent="0.25">
      <c r="A3336">
        <v>3335</v>
      </c>
      <c r="B3336" t="s">
        <v>8825</v>
      </c>
      <c r="C3336" s="1">
        <v>42965</v>
      </c>
      <c r="D3336" s="1">
        <v>42968</v>
      </c>
      <c r="E3336" t="s">
        <v>22</v>
      </c>
      <c r="F3336" t="s">
        <v>2509</v>
      </c>
      <c r="G3336" t="s">
        <v>2510</v>
      </c>
      <c r="H3336" t="s">
        <v>25</v>
      </c>
      <c r="I3336" t="s">
        <v>26</v>
      </c>
      <c r="J3336" t="s">
        <v>490</v>
      </c>
      <c r="K3336" t="s">
        <v>491</v>
      </c>
      <c r="L3336">
        <v>43229</v>
      </c>
      <c r="M3336" t="s">
        <v>145</v>
      </c>
      <c r="N3336" t="s">
        <v>3969</v>
      </c>
      <c r="O3336" t="s">
        <v>45</v>
      </c>
      <c r="P3336" t="s">
        <v>67</v>
      </c>
      <c r="Q3336" t="s">
        <v>3970</v>
      </c>
      <c r="R3336">
        <v>9.9120000000000008</v>
      </c>
      <c r="S3336">
        <v>3</v>
      </c>
      <c r="T3336">
        <v>0.2</v>
      </c>
      <c r="U3336">
        <v>1.2390000000000001</v>
      </c>
      <c r="V3336" t="str">
        <f t="shared" si="52"/>
        <v>Pauline Johnson</v>
      </c>
      <c r="W3336">
        <f>Table2[Profit]/Table2[Sales]</f>
        <v>0.125</v>
      </c>
    </row>
    <row r="3337" spans="1:23" x14ac:dyDescent="0.25">
      <c r="A3337">
        <v>3336</v>
      </c>
      <c r="B3337" t="s">
        <v>8826</v>
      </c>
      <c r="C3337" s="1">
        <v>43083</v>
      </c>
      <c r="D3337" s="1">
        <v>43083</v>
      </c>
      <c r="E3337" t="s">
        <v>1278</v>
      </c>
      <c r="F3337" t="s">
        <v>635</v>
      </c>
      <c r="G3337" t="s">
        <v>636</v>
      </c>
      <c r="H3337" t="s">
        <v>25</v>
      </c>
      <c r="I3337" t="s">
        <v>26</v>
      </c>
      <c r="J3337" t="s">
        <v>4203</v>
      </c>
      <c r="K3337" t="s">
        <v>208</v>
      </c>
      <c r="L3337">
        <v>60076</v>
      </c>
      <c r="M3337" t="s">
        <v>104</v>
      </c>
      <c r="N3337" t="s">
        <v>5286</v>
      </c>
      <c r="O3337" t="s">
        <v>31</v>
      </c>
      <c r="P3337" t="s">
        <v>64</v>
      </c>
      <c r="Q3337" t="s">
        <v>5287</v>
      </c>
      <c r="R3337">
        <v>266.35199999999998</v>
      </c>
      <c r="S3337">
        <v>6</v>
      </c>
      <c r="T3337">
        <v>0.6</v>
      </c>
      <c r="U3337">
        <v>-292.98719999999997</v>
      </c>
      <c r="V3337" t="str">
        <f t="shared" si="52"/>
        <v>Dave Brooks</v>
      </c>
      <c r="W3337">
        <f>Table2[Profit]/Table2[Sales]</f>
        <v>-1.1000000000000001</v>
      </c>
    </row>
    <row r="3338" spans="1:23" x14ac:dyDescent="0.25">
      <c r="A3338">
        <v>3337</v>
      </c>
      <c r="B3338" t="s">
        <v>8827</v>
      </c>
      <c r="C3338" s="1">
        <v>42468</v>
      </c>
      <c r="D3338" s="1">
        <v>42475</v>
      </c>
      <c r="E3338" t="s">
        <v>49</v>
      </c>
      <c r="F3338" t="s">
        <v>2278</v>
      </c>
      <c r="G3338" t="s">
        <v>2279</v>
      </c>
      <c r="H3338" t="s">
        <v>101</v>
      </c>
      <c r="I3338" t="s">
        <v>26</v>
      </c>
      <c r="J3338" t="s">
        <v>5644</v>
      </c>
      <c r="K3338" t="s">
        <v>1683</v>
      </c>
      <c r="L3338">
        <v>71901</v>
      </c>
      <c r="M3338" t="s">
        <v>29</v>
      </c>
      <c r="N3338" t="s">
        <v>2541</v>
      </c>
      <c r="O3338" t="s">
        <v>45</v>
      </c>
      <c r="P3338" t="s">
        <v>266</v>
      </c>
      <c r="Q3338" t="s">
        <v>2542</v>
      </c>
      <c r="R3338">
        <v>30</v>
      </c>
      <c r="S3338">
        <v>6</v>
      </c>
      <c r="T3338">
        <v>0</v>
      </c>
      <c r="U3338">
        <v>14.4</v>
      </c>
      <c r="V3338" t="str">
        <f t="shared" si="52"/>
        <v>Christine Kargatis</v>
      </c>
      <c r="W3338">
        <f>Table2[Profit]/Table2[Sales]</f>
        <v>0.48000000000000004</v>
      </c>
    </row>
    <row r="3339" spans="1:23" x14ac:dyDescent="0.25">
      <c r="A3339">
        <v>3338</v>
      </c>
      <c r="B3339" t="s">
        <v>8828</v>
      </c>
      <c r="C3339" s="1">
        <v>42720</v>
      </c>
      <c r="D3339" s="1">
        <v>42723</v>
      </c>
      <c r="E3339" t="s">
        <v>185</v>
      </c>
      <c r="F3339" t="s">
        <v>141</v>
      </c>
      <c r="G3339" t="s">
        <v>142</v>
      </c>
      <c r="H3339" t="s">
        <v>25</v>
      </c>
      <c r="I3339" t="s">
        <v>26</v>
      </c>
      <c r="J3339" t="s">
        <v>8829</v>
      </c>
      <c r="K3339" t="s">
        <v>87</v>
      </c>
      <c r="L3339">
        <v>27534</v>
      </c>
      <c r="M3339" t="s">
        <v>29</v>
      </c>
      <c r="N3339" t="s">
        <v>3579</v>
      </c>
      <c r="O3339" t="s">
        <v>45</v>
      </c>
      <c r="P3339" t="s">
        <v>77</v>
      </c>
      <c r="Q3339" t="s">
        <v>3580</v>
      </c>
      <c r="R3339">
        <v>34.944000000000003</v>
      </c>
      <c r="S3339">
        <v>3</v>
      </c>
      <c r="T3339">
        <v>0.2</v>
      </c>
      <c r="U3339">
        <v>3.0575999999999999</v>
      </c>
      <c r="V3339" t="str">
        <f t="shared" si="52"/>
        <v>Sandra Flanagan</v>
      </c>
      <c r="W3339">
        <f>Table2[Profit]/Table2[Sales]</f>
        <v>8.7499999999999994E-2</v>
      </c>
    </row>
    <row r="3340" spans="1:23" x14ac:dyDescent="0.25">
      <c r="A3340">
        <v>3339</v>
      </c>
      <c r="B3340" t="s">
        <v>8830</v>
      </c>
      <c r="C3340" s="1">
        <v>42997</v>
      </c>
      <c r="D3340" s="1">
        <v>43002</v>
      </c>
      <c r="E3340" t="s">
        <v>49</v>
      </c>
      <c r="F3340" t="s">
        <v>2601</v>
      </c>
      <c r="G3340" t="s">
        <v>2602</v>
      </c>
      <c r="H3340" t="s">
        <v>40</v>
      </c>
      <c r="I3340" t="s">
        <v>26</v>
      </c>
      <c r="J3340" t="s">
        <v>41</v>
      </c>
      <c r="K3340" t="s">
        <v>42</v>
      </c>
      <c r="L3340">
        <v>90032</v>
      </c>
      <c r="M3340" t="s">
        <v>43</v>
      </c>
      <c r="N3340" t="s">
        <v>2433</v>
      </c>
      <c r="O3340" t="s">
        <v>70</v>
      </c>
      <c r="P3340" t="s">
        <v>158</v>
      </c>
      <c r="Q3340" t="s">
        <v>2434</v>
      </c>
      <c r="R3340">
        <v>149.94999999999999</v>
      </c>
      <c r="S3340">
        <v>5</v>
      </c>
      <c r="T3340">
        <v>0</v>
      </c>
      <c r="U3340">
        <v>31.4895</v>
      </c>
      <c r="V3340" t="str">
        <f t="shared" si="52"/>
        <v>Dave Poirier</v>
      </c>
      <c r="W3340">
        <f>Table2[Profit]/Table2[Sales]</f>
        <v>0.21000000000000002</v>
      </c>
    </row>
    <row r="3341" spans="1:23" x14ac:dyDescent="0.25">
      <c r="A3341">
        <v>3340</v>
      </c>
      <c r="B3341" t="s">
        <v>8831</v>
      </c>
      <c r="C3341" s="1">
        <v>42982</v>
      </c>
      <c r="D3341" s="1">
        <v>42984</v>
      </c>
      <c r="E3341" t="s">
        <v>22</v>
      </c>
      <c r="F3341" t="s">
        <v>6737</v>
      </c>
      <c r="G3341" t="s">
        <v>6738</v>
      </c>
      <c r="H3341" t="s">
        <v>25</v>
      </c>
      <c r="I3341" t="s">
        <v>26</v>
      </c>
      <c r="J3341" t="s">
        <v>8427</v>
      </c>
      <c r="K3341" t="s">
        <v>2658</v>
      </c>
      <c r="L3341">
        <v>3060</v>
      </c>
      <c r="M3341" t="s">
        <v>145</v>
      </c>
      <c r="N3341" t="s">
        <v>4305</v>
      </c>
      <c r="O3341" t="s">
        <v>45</v>
      </c>
      <c r="P3341" t="s">
        <v>266</v>
      </c>
      <c r="Q3341" t="s">
        <v>556</v>
      </c>
      <c r="R3341">
        <v>14.82</v>
      </c>
      <c r="S3341">
        <v>6</v>
      </c>
      <c r="T3341">
        <v>0</v>
      </c>
      <c r="U3341">
        <v>6.9653999999999998</v>
      </c>
      <c r="V3341" t="str">
        <f t="shared" si="52"/>
        <v>Vivian Mathis</v>
      </c>
      <c r="W3341">
        <f>Table2[Profit]/Table2[Sales]</f>
        <v>0.47</v>
      </c>
    </row>
    <row r="3342" spans="1:23" x14ac:dyDescent="0.25">
      <c r="A3342">
        <v>3341</v>
      </c>
      <c r="B3342" t="s">
        <v>8832</v>
      </c>
      <c r="C3342" s="1">
        <v>42625</v>
      </c>
      <c r="D3342" s="1">
        <v>42629</v>
      </c>
      <c r="E3342" t="s">
        <v>49</v>
      </c>
      <c r="F3342" t="s">
        <v>1913</v>
      </c>
      <c r="G3342" t="s">
        <v>1914</v>
      </c>
      <c r="H3342" t="s">
        <v>25</v>
      </c>
      <c r="I3342" t="s">
        <v>26</v>
      </c>
      <c r="J3342" t="s">
        <v>94</v>
      </c>
      <c r="K3342" t="s">
        <v>95</v>
      </c>
      <c r="L3342">
        <v>98103</v>
      </c>
      <c r="M3342" t="s">
        <v>43</v>
      </c>
      <c r="N3342" t="s">
        <v>860</v>
      </c>
      <c r="O3342" t="s">
        <v>45</v>
      </c>
      <c r="P3342" t="s">
        <v>266</v>
      </c>
      <c r="Q3342" t="s">
        <v>861</v>
      </c>
      <c r="R3342">
        <v>10.47</v>
      </c>
      <c r="S3342">
        <v>3</v>
      </c>
      <c r="T3342">
        <v>0</v>
      </c>
      <c r="U3342">
        <v>4.8162000000000003</v>
      </c>
      <c r="V3342" t="str">
        <f t="shared" si="52"/>
        <v>Sarah Foster</v>
      </c>
      <c r="W3342">
        <f>Table2[Profit]/Table2[Sales]</f>
        <v>0.46</v>
      </c>
    </row>
    <row r="3343" spans="1:23" x14ac:dyDescent="0.25">
      <c r="A3343">
        <v>3342</v>
      </c>
      <c r="B3343" t="s">
        <v>8833</v>
      </c>
      <c r="C3343" s="1">
        <v>42957</v>
      </c>
      <c r="D3343" s="1">
        <v>42962</v>
      </c>
      <c r="E3343" t="s">
        <v>22</v>
      </c>
      <c r="F3343" t="s">
        <v>2296</v>
      </c>
      <c r="G3343" t="s">
        <v>2297</v>
      </c>
      <c r="H3343" t="s">
        <v>40</v>
      </c>
      <c r="I3343" t="s">
        <v>26</v>
      </c>
      <c r="J3343" t="s">
        <v>1450</v>
      </c>
      <c r="K3343" t="s">
        <v>251</v>
      </c>
      <c r="L3343">
        <v>47374</v>
      </c>
      <c r="M3343" t="s">
        <v>104</v>
      </c>
      <c r="N3343" t="s">
        <v>7977</v>
      </c>
      <c r="O3343" t="s">
        <v>45</v>
      </c>
      <c r="P3343" t="s">
        <v>89</v>
      </c>
      <c r="Q3343" t="s">
        <v>7978</v>
      </c>
      <c r="R3343">
        <v>177.2</v>
      </c>
      <c r="S3343">
        <v>5</v>
      </c>
      <c r="T3343">
        <v>0</v>
      </c>
      <c r="U3343">
        <v>83.284000000000006</v>
      </c>
      <c r="V3343" t="str">
        <f t="shared" si="52"/>
        <v>Steve Chapman</v>
      </c>
      <c r="W3343">
        <f>Table2[Profit]/Table2[Sales]</f>
        <v>0.47000000000000008</v>
      </c>
    </row>
    <row r="3344" spans="1:23" x14ac:dyDescent="0.25">
      <c r="A3344">
        <v>3343</v>
      </c>
      <c r="B3344" t="s">
        <v>8834</v>
      </c>
      <c r="C3344" s="1">
        <v>42678</v>
      </c>
      <c r="D3344" s="1">
        <v>42683</v>
      </c>
      <c r="E3344" t="s">
        <v>49</v>
      </c>
      <c r="F3344" t="s">
        <v>6709</v>
      </c>
      <c r="G3344" t="s">
        <v>6710</v>
      </c>
      <c r="H3344" t="s">
        <v>40</v>
      </c>
      <c r="I3344" t="s">
        <v>26</v>
      </c>
      <c r="J3344" t="s">
        <v>1406</v>
      </c>
      <c r="K3344" t="s">
        <v>53</v>
      </c>
      <c r="L3344">
        <v>33180</v>
      </c>
      <c r="M3344" t="s">
        <v>29</v>
      </c>
      <c r="N3344" t="s">
        <v>4596</v>
      </c>
      <c r="O3344" t="s">
        <v>31</v>
      </c>
      <c r="P3344" t="s">
        <v>64</v>
      </c>
      <c r="Q3344" t="s">
        <v>4597</v>
      </c>
      <c r="R3344">
        <v>50.496000000000002</v>
      </c>
      <c r="S3344">
        <v>6</v>
      </c>
      <c r="T3344">
        <v>0.2</v>
      </c>
      <c r="U3344">
        <v>8.2056000000000004</v>
      </c>
      <c r="V3344" t="str">
        <f t="shared" si="52"/>
        <v>Maureen Fritzler</v>
      </c>
      <c r="W3344">
        <f>Table2[Profit]/Table2[Sales]</f>
        <v>0.16250000000000001</v>
      </c>
    </row>
    <row r="3345" spans="1:23" x14ac:dyDescent="0.25">
      <c r="A3345">
        <v>3344</v>
      </c>
      <c r="B3345" t="s">
        <v>8835</v>
      </c>
      <c r="C3345" s="1">
        <v>42173</v>
      </c>
      <c r="D3345" s="1">
        <v>42175</v>
      </c>
      <c r="E3345" t="s">
        <v>185</v>
      </c>
      <c r="F3345" t="s">
        <v>2408</v>
      </c>
      <c r="G3345" t="s">
        <v>2409</v>
      </c>
      <c r="H3345" t="s">
        <v>40</v>
      </c>
      <c r="I3345" t="s">
        <v>26</v>
      </c>
      <c r="J3345" t="s">
        <v>3716</v>
      </c>
      <c r="K3345" t="s">
        <v>328</v>
      </c>
      <c r="L3345">
        <v>37167</v>
      </c>
      <c r="M3345" t="s">
        <v>29</v>
      </c>
      <c r="N3345" t="s">
        <v>5111</v>
      </c>
      <c r="O3345" t="s">
        <v>45</v>
      </c>
      <c r="P3345" t="s">
        <v>74</v>
      </c>
      <c r="Q3345" t="s">
        <v>5112</v>
      </c>
      <c r="R3345">
        <v>6.1289999999999996</v>
      </c>
      <c r="S3345">
        <v>3</v>
      </c>
      <c r="T3345">
        <v>0.7</v>
      </c>
      <c r="U3345">
        <v>-4.4946000000000002</v>
      </c>
      <c r="V3345" t="str">
        <f t="shared" si="52"/>
        <v>Benjamin Venier</v>
      </c>
      <c r="W3345">
        <f>Table2[Profit]/Table2[Sales]</f>
        <v>-0.73333333333333339</v>
      </c>
    </row>
    <row r="3346" spans="1:23" x14ac:dyDescent="0.25">
      <c r="A3346">
        <v>3345</v>
      </c>
      <c r="B3346" t="s">
        <v>8836</v>
      </c>
      <c r="C3346" s="1">
        <v>41824</v>
      </c>
      <c r="D3346" s="1">
        <v>41827</v>
      </c>
      <c r="E3346" t="s">
        <v>185</v>
      </c>
      <c r="F3346" t="s">
        <v>6824</v>
      </c>
      <c r="G3346" t="s">
        <v>6825</v>
      </c>
      <c r="H3346" t="s">
        <v>40</v>
      </c>
      <c r="I3346" t="s">
        <v>26</v>
      </c>
      <c r="J3346" t="s">
        <v>449</v>
      </c>
      <c r="K3346" t="s">
        <v>450</v>
      </c>
      <c r="L3346">
        <v>80013</v>
      </c>
      <c r="M3346" t="s">
        <v>43</v>
      </c>
      <c r="N3346" t="s">
        <v>6155</v>
      </c>
      <c r="O3346" t="s">
        <v>45</v>
      </c>
      <c r="P3346" t="s">
        <v>89</v>
      </c>
      <c r="Q3346" t="s">
        <v>6156</v>
      </c>
      <c r="R3346">
        <v>177.536</v>
      </c>
      <c r="S3346">
        <v>4</v>
      </c>
      <c r="T3346">
        <v>0.2</v>
      </c>
      <c r="U3346">
        <v>62.137599999999999</v>
      </c>
      <c r="V3346" t="str">
        <f t="shared" si="52"/>
        <v>Katrina Edelman</v>
      </c>
      <c r="W3346">
        <f>Table2[Profit]/Table2[Sales]</f>
        <v>0.35</v>
      </c>
    </row>
    <row r="3347" spans="1:23" x14ac:dyDescent="0.25">
      <c r="A3347">
        <v>3346</v>
      </c>
      <c r="B3347" t="s">
        <v>8837</v>
      </c>
      <c r="C3347" s="1">
        <v>42358</v>
      </c>
      <c r="D3347" s="1">
        <v>42363</v>
      </c>
      <c r="E3347" t="s">
        <v>49</v>
      </c>
      <c r="F3347" t="s">
        <v>8484</v>
      </c>
      <c r="G3347" t="s">
        <v>8485</v>
      </c>
      <c r="H3347" t="s">
        <v>101</v>
      </c>
      <c r="I3347" t="s">
        <v>26</v>
      </c>
      <c r="J3347" t="s">
        <v>1406</v>
      </c>
      <c r="K3347" t="s">
        <v>53</v>
      </c>
      <c r="L3347">
        <v>33142</v>
      </c>
      <c r="M3347" t="s">
        <v>29</v>
      </c>
      <c r="N3347" t="s">
        <v>2583</v>
      </c>
      <c r="O3347" t="s">
        <v>45</v>
      </c>
      <c r="P3347" t="s">
        <v>46</v>
      </c>
      <c r="Q3347" t="s">
        <v>2584</v>
      </c>
      <c r="R3347">
        <v>11.696</v>
      </c>
      <c r="S3347">
        <v>2</v>
      </c>
      <c r="T3347">
        <v>0.2</v>
      </c>
      <c r="U3347">
        <v>3.9474</v>
      </c>
      <c r="V3347" t="str">
        <f t="shared" si="52"/>
        <v>Evan Minnotte</v>
      </c>
      <c r="W3347">
        <f>Table2[Profit]/Table2[Sales]</f>
        <v>0.33750000000000002</v>
      </c>
    </row>
    <row r="3348" spans="1:23" x14ac:dyDescent="0.25">
      <c r="A3348">
        <v>3347</v>
      </c>
      <c r="B3348" t="s">
        <v>8838</v>
      </c>
      <c r="C3348" s="1">
        <v>42470</v>
      </c>
      <c r="D3348" s="1">
        <v>42477</v>
      </c>
      <c r="E3348" t="s">
        <v>49</v>
      </c>
      <c r="F3348" t="s">
        <v>4464</v>
      </c>
      <c r="G3348" t="s">
        <v>4465</v>
      </c>
      <c r="H3348" t="s">
        <v>25</v>
      </c>
      <c r="I3348" t="s">
        <v>26</v>
      </c>
      <c r="J3348" t="s">
        <v>126</v>
      </c>
      <c r="K3348" t="s">
        <v>42</v>
      </c>
      <c r="L3348">
        <v>94122</v>
      </c>
      <c r="M3348" t="s">
        <v>43</v>
      </c>
      <c r="N3348" t="s">
        <v>3773</v>
      </c>
      <c r="O3348" t="s">
        <v>45</v>
      </c>
      <c r="P3348" t="s">
        <v>77</v>
      </c>
      <c r="Q3348" t="s">
        <v>3774</v>
      </c>
      <c r="R3348">
        <v>113.76</v>
      </c>
      <c r="S3348">
        <v>3</v>
      </c>
      <c r="T3348">
        <v>0</v>
      </c>
      <c r="U3348">
        <v>44.366399999999999</v>
      </c>
      <c r="V3348" t="str">
        <f t="shared" si="52"/>
        <v>Brian Thompson</v>
      </c>
      <c r="W3348">
        <f>Table2[Profit]/Table2[Sales]</f>
        <v>0.38999999999999996</v>
      </c>
    </row>
    <row r="3349" spans="1:23" x14ac:dyDescent="0.25">
      <c r="A3349">
        <v>3348</v>
      </c>
      <c r="B3349" t="s">
        <v>8839</v>
      </c>
      <c r="C3349" s="1">
        <v>41785</v>
      </c>
      <c r="D3349" s="1">
        <v>41790</v>
      </c>
      <c r="E3349" t="s">
        <v>49</v>
      </c>
      <c r="F3349" t="s">
        <v>4238</v>
      </c>
      <c r="G3349" t="s">
        <v>4239</v>
      </c>
      <c r="H3349" t="s">
        <v>25</v>
      </c>
      <c r="I3349" t="s">
        <v>26</v>
      </c>
      <c r="J3349" t="s">
        <v>296</v>
      </c>
      <c r="K3349" t="s">
        <v>208</v>
      </c>
      <c r="L3349">
        <v>60623</v>
      </c>
      <c r="M3349" t="s">
        <v>104</v>
      </c>
      <c r="N3349" t="s">
        <v>5441</v>
      </c>
      <c r="O3349" t="s">
        <v>45</v>
      </c>
      <c r="P3349" t="s">
        <v>58</v>
      </c>
      <c r="Q3349" t="s">
        <v>5442</v>
      </c>
      <c r="R3349">
        <v>102.624</v>
      </c>
      <c r="S3349">
        <v>3</v>
      </c>
      <c r="T3349">
        <v>0.2</v>
      </c>
      <c r="U3349">
        <v>7.6967999999999996</v>
      </c>
      <c r="V3349" t="str">
        <f t="shared" si="52"/>
        <v>Michelle Moray</v>
      </c>
      <c r="W3349">
        <f>Table2[Profit]/Table2[Sales]</f>
        <v>7.4999999999999997E-2</v>
      </c>
    </row>
    <row r="3350" spans="1:23" x14ac:dyDescent="0.25">
      <c r="A3350">
        <v>3349</v>
      </c>
      <c r="B3350" t="s">
        <v>8840</v>
      </c>
      <c r="C3350" s="1">
        <v>42922</v>
      </c>
      <c r="D3350" s="1">
        <v>42927</v>
      </c>
      <c r="E3350" t="s">
        <v>49</v>
      </c>
      <c r="F3350" t="s">
        <v>1177</v>
      </c>
      <c r="G3350" t="s">
        <v>1178</v>
      </c>
      <c r="H3350" t="s">
        <v>25</v>
      </c>
      <c r="I3350" t="s">
        <v>26</v>
      </c>
      <c r="J3350" t="s">
        <v>41</v>
      </c>
      <c r="K3350" t="s">
        <v>42</v>
      </c>
      <c r="L3350">
        <v>90008</v>
      </c>
      <c r="M3350" t="s">
        <v>43</v>
      </c>
      <c r="N3350" t="s">
        <v>297</v>
      </c>
      <c r="O3350" t="s">
        <v>31</v>
      </c>
      <c r="P3350" t="s">
        <v>35</v>
      </c>
      <c r="Q3350" t="s">
        <v>545</v>
      </c>
      <c r="R3350">
        <v>122.136</v>
      </c>
      <c r="S3350">
        <v>3</v>
      </c>
      <c r="T3350">
        <v>0.2</v>
      </c>
      <c r="U3350">
        <v>-13.7403</v>
      </c>
      <c r="V3350" t="str">
        <f t="shared" si="52"/>
        <v>Patrick O'Brill</v>
      </c>
      <c r="W3350">
        <f>Table2[Profit]/Table2[Sales]</f>
        <v>-0.1125</v>
      </c>
    </row>
    <row r="3351" spans="1:23" x14ac:dyDescent="0.25">
      <c r="A3351">
        <v>3350</v>
      </c>
      <c r="B3351" t="s">
        <v>8841</v>
      </c>
      <c r="C3351" s="1">
        <v>42051</v>
      </c>
      <c r="D3351" s="1">
        <v>42055</v>
      </c>
      <c r="E3351" t="s">
        <v>49</v>
      </c>
      <c r="F3351" t="s">
        <v>1147</v>
      </c>
      <c r="G3351" t="s">
        <v>1148</v>
      </c>
      <c r="H3351" t="s">
        <v>40</v>
      </c>
      <c r="I3351" t="s">
        <v>26</v>
      </c>
      <c r="J3351" t="s">
        <v>241</v>
      </c>
      <c r="K3351" t="s">
        <v>2658</v>
      </c>
      <c r="L3351">
        <v>3820</v>
      </c>
      <c r="M3351" t="s">
        <v>145</v>
      </c>
      <c r="N3351" t="s">
        <v>649</v>
      </c>
      <c r="O3351" t="s">
        <v>45</v>
      </c>
      <c r="P3351" t="s">
        <v>89</v>
      </c>
      <c r="Q3351" t="s">
        <v>650</v>
      </c>
      <c r="R3351">
        <v>35.880000000000003</v>
      </c>
      <c r="S3351">
        <v>6</v>
      </c>
      <c r="T3351">
        <v>0</v>
      </c>
      <c r="U3351">
        <v>16.146000000000001</v>
      </c>
      <c r="V3351" t="str">
        <f t="shared" si="52"/>
        <v>Sung Pak</v>
      </c>
      <c r="W3351">
        <f>Table2[Profit]/Table2[Sales]</f>
        <v>0.45</v>
      </c>
    </row>
    <row r="3352" spans="1:23" x14ac:dyDescent="0.25">
      <c r="A3352">
        <v>3351</v>
      </c>
      <c r="B3352" t="s">
        <v>8842</v>
      </c>
      <c r="C3352" s="1">
        <v>42902</v>
      </c>
      <c r="D3352" s="1">
        <v>42904</v>
      </c>
      <c r="E3352" t="s">
        <v>22</v>
      </c>
      <c r="F3352" t="s">
        <v>3201</v>
      </c>
      <c r="G3352" t="s">
        <v>3202</v>
      </c>
      <c r="H3352" t="s">
        <v>25</v>
      </c>
      <c r="I3352" t="s">
        <v>26</v>
      </c>
      <c r="J3352" t="s">
        <v>859</v>
      </c>
      <c r="K3352" t="s">
        <v>491</v>
      </c>
      <c r="L3352">
        <v>43017</v>
      </c>
      <c r="M3352" t="s">
        <v>145</v>
      </c>
      <c r="N3352" t="s">
        <v>2266</v>
      </c>
      <c r="O3352" t="s">
        <v>70</v>
      </c>
      <c r="P3352" t="s">
        <v>158</v>
      </c>
      <c r="Q3352" t="s">
        <v>2267</v>
      </c>
      <c r="R3352">
        <v>479.952</v>
      </c>
      <c r="S3352">
        <v>6</v>
      </c>
      <c r="T3352">
        <v>0.2</v>
      </c>
      <c r="U3352">
        <v>107.9892</v>
      </c>
      <c r="V3352" t="str">
        <f t="shared" si="52"/>
        <v>Christine Sundaresam</v>
      </c>
      <c r="W3352">
        <f>Table2[Profit]/Table2[Sales]</f>
        <v>0.22500000000000001</v>
      </c>
    </row>
    <row r="3353" spans="1:23" x14ac:dyDescent="0.25">
      <c r="A3353">
        <v>3352</v>
      </c>
      <c r="B3353" t="s">
        <v>8843</v>
      </c>
      <c r="C3353" s="1">
        <v>43052</v>
      </c>
      <c r="D3353" s="1">
        <v>43055</v>
      </c>
      <c r="E3353" t="s">
        <v>185</v>
      </c>
      <c r="F3353" t="s">
        <v>336</v>
      </c>
      <c r="G3353" t="s">
        <v>337</v>
      </c>
      <c r="H3353" t="s">
        <v>40</v>
      </c>
      <c r="I3353" t="s">
        <v>26</v>
      </c>
      <c r="J3353" t="s">
        <v>263</v>
      </c>
      <c r="K3353" t="s">
        <v>264</v>
      </c>
      <c r="L3353">
        <v>10009</v>
      </c>
      <c r="M3353" t="s">
        <v>145</v>
      </c>
      <c r="N3353" t="s">
        <v>5918</v>
      </c>
      <c r="O3353" t="s">
        <v>70</v>
      </c>
      <c r="P3353" t="s">
        <v>71</v>
      </c>
      <c r="Q3353" t="s">
        <v>5919</v>
      </c>
      <c r="R3353">
        <v>629.95000000000005</v>
      </c>
      <c r="S3353">
        <v>5</v>
      </c>
      <c r="T3353">
        <v>0</v>
      </c>
      <c r="U3353">
        <v>163.78700000000001</v>
      </c>
      <c r="V3353" t="str">
        <f t="shared" si="52"/>
        <v>Ken Brennan</v>
      </c>
      <c r="W3353">
        <f>Table2[Profit]/Table2[Sales]</f>
        <v>0.26</v>
      </c>
    </row>
    <row r="3354" spans="1:23" x14ac:dyDescent="0.25">
      <c r="A3354">
        <v>3353</v>
      </c>
      <c r="B3354" t="s">
        <v>8844</v>
      </c>
      <c r="C3354" s="1">
        <v>43080</v>
      </c>
      <c r="D3354" s="1">
        <v>43084</v>
      </c>
      <c r="E3354" t="s">
        <v>49</v>
      </c>
      <c r="F3354" t="s">
        <v>1797</v>
      </c>
      <c r="G3354" t="s">
        <v>1798</v>
      </c>
      <c r="H3354" t="s">
        <v>25</v>
      </c>
      <c r="I3354" t="s">
        <v>26</v>
      </c>
      <c r="J3354" t="s">
        <v>263</v>
      </c>
      <c r="K3354" t="s">
        <v>264</v>
      </c>
      <c r="L3354">
        <v>10035</v>
      </c>
      <c r="M3354" t="s">
        <v>145</v>
      </c>
      <c r="N3354" t="s">
        <v>1688</v>
      </c>
      <c r="O3354" t="s">
        <v>45</v>
      </c>
      <c r="P3354" t="s">
        <v>74</v>
      </c>
      <c r="Q3354" t="s">
        <v>1689</v>
      </c>
      <c r="R3354">
        <v>14.952</v>
      </c>
      <c r="S3354">
        <v>1</v>
      </c>
      <c r="T3354">
        <v>0.2</v>
      </c>
      <c r="U3354">
        <v>5.0462999999999996</v>
      </c>
      <c r="V3354" t="str">
        <f t="shared" si="52"/>
        <v>Allen Armold</v>
      </c>
      <c r="W3354">
        <f>Table2[Profit]/Table2[Sales]</f>
        <v>0.33749999999999997</v>
      </c>
    </row>
    <row r="3355" spans="1:23" x14ac:dyDescent="0.25">
      <c r="A3355">
        <v>3354</v>
      </c>
      <c r="B3355" t="s">
        <v>8845</v>
      </c>
      <c r="C3355" s="1">
        <v>42549</v>
      </c>
      <c r="D3355" s="1">
        <v>42551</v>
      </c>
      <c r="E3355" t="s">
        <v>22</v>
      </c>
      <c r="F3355" t="s">
        <v>5986</v>
      </c>
      <c r="G3355" t="s">
        <v>5987</v>
      </c>
      <c r="H3355" t="s">
        <v>25</v>
      </c>
      <c r="I3355" t="s">
        <v>26</v>
      </c>
      <c r="J3355" t="s">
        <v>4724</v>
      </c>
      <c r="K3355" t="s">
        <v>781</v>
      </c>
      <c r="L3355">
        <v>7501</v>
      </c>
      <c r="M3355" t="s">
        <v>145</v>
      </c>
      <c r="N3355" t="s">
        <v>6442</v>
      </c>
      <c r="O3355" t="s">
        <v>31</v>
      </c>
      <c r="P3355" t="s">
        <v>35</v>
      </c>
      <c r="Q3355" t="s">
        <v>6443</v>
      </c>
      <c r="R3355">
        <v>121.96</v>
      </c>
      <c r="S3355">
        <v>2</v>
      </c>
      <c r="T3355">
        <v>0</v>
      </c>
      <c r="U3355">
        <v>20.7332</v>
      </c>
      <c r="V3355" t="str">
        <f t="shared" si="52"/>
        <v>Becky Pak</v>
      </c>
      <c r="W3355">
        <f>Table2[Profit]/Table2[Sales]</f>
        <v>0.17</v>
      </c>
    </row>
    <row r="3356" spans="1:23" x14ac:dyDescent="0.25">
      <c r="A3356">
        <v>3355</v>
      </c>
      <c r="B3356" t="s">
        <v>8846</v>
      </c>
      <c r="C3356" s="1">
        <v>42993</v>
      </c>
      <c r="D3356" s="1">
        <v>42997</v>
      </c>
      <c r="E3356" t="s">
        <v>49</v>
      </c>
      <c r="F3356" t="s">
        <v>8847</v>
      </c>
      <c r="G3356" t="s">
        <v>8848</v>
      </c>
      <c r="H3356" t="s">
        <v>40</v>
      </c>
      <c r="I3356" t="s">
        <v>26</v>
      </c>
      <c r="J3356" t="s">
        <v>1111</v>
      </c>
      <c r="K3356" t="s">
        <v>781</v>
      </c>
      <c r="L3356">
        <v>8701</v>
      </c>
      <c r="M3356" t="s">
        <v>145</v>
      </c>
      <c r="N3356" t="s">
        <v>6023</v>
      </c>
      <c r="O3356" t="s">
        <v>31</v>
      </c>
      <c r="P3356" t="s">
        <v>64</v>
      </c>
      <c r="Q3356" t="s">
        <v>6024</v>
      </c>
      <c r="R3356">
        <v>47.4</v>
      </c>
      <c r="S3356">
        <v>5</v>
      </c>
      <c r="T3356">
        <v>0</v>
      </c>
      <c r="U3356">
        <v>18.96</v>
      </c>
      <c r="V3356" t="str">
        <f t="shared" si="52"/>
        <v>Theresa Coyne</v>
      </c>
      <c r="W3356">
        <f>Table2[Profit]/Table2[Sales]</f>
        <v>0.4</v>
      </c>
    </row>
    <row r="3357" spans="1:23" x14ac:dyDescent="0.25">
      <c r="A3357">
        <v>3356</v>
      </c>
      <c r="B3357" t="s">
        <v>8849</v>
      </c>
      <c r="C3357" s="1">
        <v>43071</v>
      </c>
      <c r="D3357" s="1">
        <v>43077</v>
      </c>
      <c r="E3357" t="s">
        <v>49</v>
      </c>
      <c r="F3357" t="s">
        <v>8161</v>
      </c>
      <c r="G3357" t="s">
        <v>8162</v>
      </c>
      <c r="H3357" t="s">
        <v>25</v>
      </c>
      <c r="I3357" t="s">
        <v>26</v>
      </c>
      <c r="J3357" t="s">
        <v>4396</v>
      </c>
      <c r="K3357" t="s">
        <v>87</v>
      </c>
      <c r="L3357">
        <v>27405</v>
      </c>
      <c r="M3357" t="s">
        <v>29</v>
      </c>
      <c r="N3357" t="s">
        <v>3402</v>
      </c>
      <c r="O3357" t="s">
        <v>45</v>
      </c>
      <c r="P3357" t="s">
        <v>67</v>
      </c>
      <c r="Q3357" t="s">
        <v>3403</v>
      </c>
      <c r="R3357">
        <v>32.776000000000003</v>
      </c>
      <c r="S3357">
        <v>1</v>
      </c>
      <c r="T3357">
        <v>0.2</v>
      </c>
      <c r="U3357">
        <v>2.4582000000000002</v>
      </c>
      <c r="V3357" t="str">
        <f t="shared" si="52"/>
        <v>Barry Gonzalez</v>
      </c>
      <c r="W3357">
        <f>Table2[Profit]/Table2[Sales]</f>
        <v>7.4999999999999997E-2</v>
      </c>
    </row>
    <row r="3358" spans="1:23" x14ac:dyDescent="0.25">
      <c r="A3358">
        <v>3357</v>
      </c>
      <c r="B3358" t="s">
        <v>8850</v>
      </c>
      <c r="C3358" s="1">
        <v>42912</v>
      </c>
      <c r="D3358" s="1">
        <v>42916</v>
      </c>
      <c r="E3358" t="s">
        <v>49</v>
      </c>
      <c r="F3358" t="s">
        <v>1339</v>
      </c>
      <c r="G3358" t="s">
        <v>1340</v>
      </c>
      <c r="H3358" t="s">
        <v>25</v>
      </c>
      <c r="I3358" t="s">
        <v>26</v>
      </c>
      <c r="J3358" t="s">
        <v>263</v>
      </c>
      <c r="K3358" t="s">
        <v>264</v>
      </c>
      <c r="L3358">
        <v>10035</v>
      </c>
      <c r="M3358" t="s">
        <v>145</v>
      </c>
      <c r="N3358" t="s">
        <v>333</v>
      </c>
      <c r="O3358" t="s">
        <v>45</v>
      </c>
      <c r="P3358" t="s">
        <v>58</v>
      </c>
      <c r="Q3358" t="s">
        <v>334</v>
      </c>
      <c r="R3358">
        <v>272.94</v>
      </c>
      <c r="S3358">
        <v>3</v>
      </c>
      <c r="T3358">
        <v>0</v>
      </c>
      <c r="U3358">
        <v>0</v>
      </c>
      <c r="V3358" t="str">
        <f t="shared" si="52"/>
        <v>Denny Ordway</v>
      </c>
      <c r="W3358">
        <f>Table2[Profit]/Table2[Sales]</f>
        <v>0</v>
      </c>
    </row>
    <row r="3359" spans="1:23" x14ac:dyDescent="0.25">
      <c r="A3359">
        <v>3358</v>
      </c>
      <c r="B3359" t="s">
        <v>8851</v>
      </c>
      <c r="C3359" s="1">
        <v>42575</v>
      </c>
      <c r="D3359" s="1">
        <v>42577</v>
      </c>
      <c r="E3359" t="s">
        <v>22</v>
      </c>
      <c r="F3359" t="s">
        <v>6642</v>
      </c>
      <c r="G3359" t="s">
        <v>6643</v>
      </c>
      <c r="H3359" t="s">
        <v>40</v>
      </c>
      <c r="I3359" t="s">
        <v>26</v>
      </c>
      <c r="J3359" t="s">
        <v>263</v>
      </c>
      <c r="K3359" t="s">
        <v>264</v>
      </c>
      <c r="L3359">
        <v>10035</v>
      </c>
      <c r="M3359" t="s">
        <v>145</v>
      </c>
      <c r="N3359" t="s">
        <v>3426</v>
      </c>
      <c r="O3359" t="s">
        <v>31</v>
      </c>
      <c r="P3359" t="s">
        <v>35</v>
      </c>
      <c r="Q3359" t="s">
        <v>3427</v>
      </c>
      <c r="R3359">
        <v>253.76400000000001</v>
      </c>
      <c r="S3359">
        <v>2</v>
      </c>
      <c r="T3359">
        <v>0.1</v>
      </c>
      <c r="U3359">
        <v>31.015599999999999</v>
      </c>
      <c r="V3359" t="str">
        <f t="shared" si="52"/>
        <v>Darren Budd</v>
      </c>
      <c r="W3359">
        <f>Table2[Profit]/Table2[Sales]</f>
        <v>0.12222222222222222</v>
      </c>
    </row>
    <row r="3360" spans="1:23" x14ac:dyDescent="0.25">
      <c r="A3360">
        <v>3359</v>
      </c>
      <c r="B3360" t="s">
        <v>8852</v>
      </c>
      <c r="C3360" s="1">
        <v>42615</v>
      </c>
      <c r="D3360" s="1">
        <v>42621</v>
      </c>
      <c r="E3360" t="s">
        <v>49</v>
      </c>
      <c r="F3360" t="s">
        <v>1791</v>
      </c>
      <c r="G3360" t="s">
        <v>1792</v>
      </c>
      <c r="H3360" t="s">
        <v>25</v>
      </c>
      <c r="I3360" t="s">
        <v>26</v>
      </c>
      <c r="J3360" t="s">
        <v>296</v>
      </c>
      <c r="K3360" t="s">
        <v>208</v>
      </c>
      <c r="L3360">
        <v>60623</v>
      </c>
      <c r="M3360" t="s">
        <v>104</v>
      </c>
      <c r="N3360" t="s">
        <v>44</v>
      </c>
      <c r="O3360" t="s">
        <v>45</v>
      </c>
      <c r="P3360" t="s">
        <v>46</v>
      </c>
      <c r="Q3360" t="s">
        <v>47</v>
      </c>
      <c r="R3360">
        <v>29.24</v>
      </c>
      <c r="S3360">
        <v>5</v>
      </c>
      <c r="T3360">
        <v>0.2</v>
      </c>
      <c r="U3360">
        <v>9.8684999999999992</v>
      </c>
      <c r="V3360" t="str">
        <f t="shared" si="52"/>
        <v>Rob Lucas</v>
      </c>
      <c r="W3360">
        <f>Table2[Profit]/Table2[Sales]</f>
        <v>0.33749999999999997</v>
      </c>
    </row>
    <row r="3361" spans="1:23" x14ac:dyDescent="0.25">
      <c r="A3361">
        <v>3360</v>
      </c>
      <c r="B3361" t="s">
        <v>8854</v>
      </c>
      <c r="C3361" s="1">
        <v>42845</v>
      </c>
      <c r="D3361" s="1">
        <v>42849</v>
      </c>
      <c r="E3361" t="s">
        <v>49</v>
      </c>
      <c r="F3361" t="s">
        <v>6308</v>
      </c>
      <c r="G3361" t="s">
        <v>6309</v>
      </c>
      <c r="H3361" t="s">
        <v>25</v>
      </c>
      <c r="I3361" t="s">
        <v>26</v>
      </c>
      <c r="J3361" t="s">
        <v>296</v>
      </c>
      <c r="K3361" t="s">
        <v>208</v>
      </c>
      <c r="L3361">
        <v>60653</v>
      </c>
      <c r="M3361" t="s">
        <v>104</v>
      </c>
      <c r="N3361" t="s">
        <v>1154</v>
      </c>
      <c r="O3361" t="s">
        <v>31</v>
      </c>
      <c r="P3361" t="s">
        <v>35</v>
      </c>
      <c r="Q3361" t="s">
        <v>1155</v>
      </c>
      <c r="R3361">
        <v>317.05799999999999</v>
      </c>
      <c r="S3361">
        <v>3</v>
      </c>
      <c r="T3361">
        <v>0.3</v>
      </c>
      <c r="U3361">
        <v>-18.117599999999999</v>
      </c>
      <c r="V3361" t="str">
        <f t="shared" si="52"/>
        <v>Sarah Jordon</v>
      </c>
      <c r="W3361">
        <f>Table2[Profit]/Table2[Sales]</f>
        <v>-5.7142857142857141E-2</v>
      </c>
    </row>
    <row r="3362" spans="1:23" x14ac:dyDescent="0.25">
      <c r="A3362">
        <v>3361</v>
      </c>
      <c r="B3362" t="s">
        <v>8855</v>
      </c>
      <c r="C3362" s="1">
        <v>41863</v>
      </c>
      <c r="D3362" s="1">
        <v>41867</v>
      </c>
      <c r="E3362" t="s">
        <v>49</v>
      </c>
      <c r="F3362" t="s">
        <v>6962</v>
      </c>
      <c r="G3362" t="s">
        <v>6963</v>
      </c>
      <c r="H3362" t="s">
        <v>40</v>
      </c>
      <c r="I3362" t="s">
        <v>26</v>
      </c>
      <c r="J3362" t="s">
        <v>1111</v>
      </c>
      <c r="K3362" t="s">
        <v>781</v>
      </c>
      <c r="L3362">
        <v>8701</v>
      </c>
      <c r="M3362" t="s">
        <v>145</v>
      </c>
      <c r="N3362" t="s">
        <v>3473</v>
      </c>
      <c r="O3362" t="s">
        <v>45</v>
      </c>
      <c r="P3362" t="s">
        <v>74</v>
      </c>
      <c r="Q3362" t="s">
        <v>3474</v>
      </c>
      <c r="R3362">
        <v>196.21</v>
      </c>
      <c r="S3362">
        <v>7</v>
      </c>
      <c r="T3362">
        <v>0</v>
      </c>
      <c r="U3362">
        <v>98.105000000000004</v>
      </c>
      <c r="V3362" t="str">
        <f t="shared" si="52"/>
        <v>Charles Sheldon</v>
      </c>
      <c r="W3362">
        <f>Table2[Profit]/Table2[Sales]</f>
        <v>0.5</v>
      </c>
    </row>
    <row r="3363" spans="1:23" x14ac:dyDescent="0.25">
      <c r="A3363">
        <v>3362</v>
      </c>
      <c r="B3363" t="s">
        <v>8856</v>
      </c>
      <c r="C3363" s="1">
        <v>42997</v>
      </c>
      <c r="D3363" s="1">
        <v>43001</v>
      </c>
      <c r="E3363" t="s">
        <v>49</v>
      </c>
      <c r="F3363" t="s">
        <v>5797</v>
      </c>
      <c r="G3363" t="s">
        <v>5798</v>
      </c>
      <c r="H3363" t="s">
        <v>101</v>
      </c>
      <c r="I3363" t="s">
        <v>26</v>
      </c>
      <c r="J3363" t="s">
        <v>490</v>
      </c>
      <c r="K3363" t="s">
        <v>1260</v>
      </c>
      <c r="L3363">
        <v>31907</v>
      </c>
      <c r="M3363" t="s">
        <v>29</v>
      </c>
      <c r="N3363" t="s">
        <v>7298</v>
      </c>
      <c r="O3363" t="s">
        <v>45</v>
      </c>
      <c r="P3363" t="s">
        <v>67</v>
      </c>
      <c r="Q3363" t="s">
        <v>7299</v>
      </c>
      <c r="R3363">
        <v>35.4</v>
      </c>
      <c r="S3363">
        <v>5</v>
      </c>
      <c r="T3363">
        <v>0</v>
      </c>
      <c r="U3363">
        <v>13.452</v>
      </c>
      <c r="V3363" t="str">
        <f t="shared" si="52"/>
        <v>Julie Prescott</v>
      </c>
      <c r="W3363">
        <f>Table2[Profit]/Table2[Sales]</f>
        <v>0.38</v>
      </c>
    </row>
    <row r="3364" spans="1:23" x14ac:dyDescent="0.25">
      <c r="A3364">
        <v>3363</v>
      </c>
      <c r="B3364" t="s">
        <v>8857</v>
      </c>
      <c r="C3364" s="1">
        <v>43078</v>
      </c>
      <c r="D3364" s="1">
        <v>43082</v>
      </c>
      <c r="E3364" t="s">
        <v>49</v>
      </c>
      <c r="F3364" t="s">
        <v>6628</v>
      </c>
      <c r="G3364" t="s">
        <v>6629</v>
      </c>
      <c r="H3364" t="s">
        <v>40</v>
      </c>
      <c r="I3364" t="s">
        <v>26</v>
      </c>
      <c r="J3364" t="s">
        <v>537</v>
      </c>
      <c r="K3364" t="s">
        <v>303</v>
      </c>
      <c r="L3364">
        <v>85023</v>
      </c>
      <c r="M3364" t="s">
        <v>43</v>
      </c>
      <c r="N3364" t="s">
        <v>4207</v>
      </c>
      <c r="O3364" t="s">
        <v>45</v>
      </c>
      <c r="P3364" t="s">
        <v>89</v>
      </c>
      <c r="Q3364" t="s">
        <v>4208</v>
      </c>
      <c r="R3364">
        <v>419.4</v>
      </c>
      <c r="S3364">
        <v>5</v>
      </c>
      <c r="T3364">
        <v>0.2</v>
      </c>
      <c r="U3364">
        <v>146.79</v>
      </c>
      <c r="V3364" t="str">
        <f t="shared" si="52"/>
        <v>Nick Crebassa</v>
      </c>
      <c r="W3364">
        <f>Table2[Profit]/Table2[Sales]</f>
        <v>0.35</v>
      </c>
    </row>
    <row r="3365" spans="1:23" x14ac:dyDescent="0.25">
      <c r="A3365">
        <v>3364</v>
      </c>
      <c r="B3365" t="s">
        <v>8858</v>
      </c>
      <c r="C3365" s="1">
        <v>42678</v>
      </c>
      <c r="D3365" s="1">
        <v>42682</v>
      </c>
      <c r="E3365" t="s">
        <v>49</v>
      </c>
      <c r="F3365" t="s">
        <v>1655</v>
      </c>
      <c r="G3365" t="s">
        <v>1656</v>
      </c>
      <c r="H3365" t="s">
        <v>101</v>
      </c>
      <c r="I3365" t="s">
        <v>26</v>
      </c>
      <c r="J3365" t="s">
        <v>41</v>
      </c>
      <c r="K3365" t="s">
        <v>42</v>
      </c>
      <c r="L3365">
        <v>90004</v>
      </c>
      <c r="M3365" t="s">
        <v>43</v>
      </c>
      <c r="N3365" t="s">
        <v>1211</v>
      </c>
      <c r="O3365" t="s">
        <v>45</v>
      </c>
      <c r="P3365" t="s">
        <v>74</v>
      </c>
      <c r="Q3365" t="s">
        <v>1212</v>
      </c>
      <c r="R3365">
        <v>7.7119999999999997</v>
      </c>
      <c r="S3365">
        <v>2</v>
      </c>
      <c r="T3365">
        <v>0.2</v>
      </c>
      <c r="U3365">
        <v>2.7955999999999999</v>
      </c>
      <c r="V3365" t="str">
        <f t="shared" si="52"/>
        <v>Carl Weiss</v>
      </c>
      <c r="W3365">
        <f>Table2[Profit]/Table2[Sales]</f>
        <v>0.36249999999999999</v>
      </c>
    </row>
    <row r="3366" spans="1:23" x14ac:dyDescent="0.25">
      <c r="A3366">
        <v>3365</v>
      </c>
      <c r="B3366" t="s">
        <v>8861</v>
      </c>
      <c r="C3366" s="1">
        <v>42092</v>
      </c>
      <c r="D3366" s="1">
        <v>42098</v>
      </c>
      <c r="E3366" t="s">
        <v>49</v>
      </c>
      <c r="F3366" t="s">
        <v>3623</v>
      </c>
      <c r="G3366" t="s">
        <v>3624</v>
      </c>
      <c r="H3366" t="s">
        <v>25</v>
      </c>
      <c r="I3366" t="s">
        <v>26</v>
      </c>
      <c r="J3366" t="s">
        <v>263</v>
      </c>
      <c r="K3366" t="s">
        <v>264</v>
      </c>
      <c r="L3366">
        <v>10024</v>
      </c>
      <c r="M3366" t="s">
        <v>145</v>
      </c>
      <c r="N3366" t="s">
        <v>1020</v>
      </c>
      <c r="O3366" t="s">
        <v>45</v>
      </c>
      <c r="P3366" t="s">
        <v>89</v>
      </c>
      <c r="Q3366" t="s">
        <v>1021</v>
      </c>
      <c r="R3366">
        <v>17.64</v>
      </c>
      <c r="S3366">
        <v>4</v>
      </c>
      <c r="T3366">
        <v>0</v>
      </c>
      <c r="U3366">
        <v>8.1143999999999998</v>
      </c>
      <c r="V3366" t="str">
        <f t="shared" si="52"/>
        <v>Chad McGuire</v>
      </c>
      <c r="W3366">
        <f>Table2[Profit]/Table2[Sales]</f>
        <v>0.45999999999999996</v>
      </c>
    </row>
    <row r="3367" spans="1:23" x14ac:dyDescent="0.25">
      <c r="A3367">
        <v>3366</v>
      </c>
      <c r="B3367" t="s">
        <v>8862</v>
      </c>
      <c r="C3367" s="1">
        <v>42618</v>
      </c>
      <c r="D3367" s="1">
        <v>42624</v>
      </c>
      <c r="E3367" t="s">
        <v>49</v>
      </c>
      <c r="F3367" t="s">
        <v>6224</v>
      </c>
      <c r="G3367" t="s">
        <v>6225</v>
      </c>
      <c r="H3367" t="s">
        <v>25</v>
      </c>
      <c r="I3367" t="s">
        <v>26</v>
      </c>
      <c r="J3367" t="s">
        <v>671</v>
      </c>
      <c r="K3367" t="s">
        <v>103</v>
      </c>
      <c r="L3367">
        <v>78207</v>
      </c>
      <c r="M3367" t="s">
        <v>104</v>
      </c>
      <c r="N3367" t="s">
        <v>214</v>
      </c>
      <c r="O3367" t="s">
        <v>45</v>
      </c>
      <c r="P3367" t="s">
        <v>58</v>
      </c>
      <c r="Q3367" t="s">
        <v>215</v>
      </c>
      <c r="R3367">
        <v>93.456000000000003</v>
      </c>
      <c r="S3367">
        <v>3</v>
      </c>
      <c r="T3367">
        <v>0.2</v>
      </c>
      <c r="U3367">
        <v>-17.523</v>
      </c>
      <c r="V3367" t="str">
        <f t="shared" si="52"/>
        <v>Pete Takahito</v>
      </c>
      <c r="W3367">
        <f>Table2[Profit]/Table2[Sales]</f>
        <v>-0.1875</v>
      </c>
    </row>
    <row r="3368" spans="1:23" x14ac:dyDescent="0.25">
      <c r="A3368">
        <v>3367</v>
      </c>
      <c r="B3368" t="s">
        <v>8863</v>
      </c>
      <c r="C3368" s="1">
        <v>42763</v>
      </c>
      <c r="D3368" s="1">
        <v>42767</v>
      </c>
      <c r="E3368" t="s">
        <v>49</v>
      </c>
      <c r="F3368" t="s">
        <v>5665</v>
      </c>
      <c r="G3368" t="s">
        <v>5666</v>
      </c>
      <c r="H3368" t="s">
        <v>101</v>
      </c>
      <c r="I3368" t="s">
        <v>26</v>
      </c>
      <c r="J3368" t="s">
        <v>263</v>
      </c>
      <c r="K3368" t="s">
        <v>264</v>
      </c>
      <c r="L3368">
        <v>10009</v>
      </c>
      <c r="M3368" t="s">
        <v>145</v>
      </c>
      <c r="N3368" t="s">
        <v>4844</v>
      </c>
      <c r="O3368" t="s">
        <v>70</v>
      </c>
      <c r="P3368" t="s">
        <v>158</v>
      </c>
      <c r="Q3368" t="s">
        <v>4845</v>
      </c>
      <c r="R3368">
        <v>449.91</v>
      </c>
      <c r="S3368">
        <v>9</v>
      </c>
      <c r="T3368">
        <v>0</v>
      </c>
      <c r="U3368">
        <v>157.46850000000001</v>
      </c>
      <c r="V3368" t="str">
        <f t="shared" si="52"/>
        <v>Craig Leslie</v>
      </c>
      <c r="W3368">
        <f>Table2[Profit]/Table2[Sales]</f>
        <v>0.35</v>
      </c>
    </row>
    <row r="3369" spans="1:23" x14ac:dyDescent="0.25">
      <c r="A3369">
        <v>3368</v>
      </c>
      <c r="B3369" t="s">
        <v>8864</v>
      </c>
      <c r="C3369" s="1">
        <v>42616</v>
      </c>
      <c r="D3369" s="1">
        <v>42621</v>
      </c>
      <c r="E3369" t="s">
        <v>22</v>
      </c>
      <c r="F3369" t="s">
        <v>4286</v>
      </c>
      <c r="G3369" t="s">
        <v>4287</v>
      </c>
      <c r="H3369" t="s">
        <v>25</v>
      </c>
      <c r="I3369" t="s">
        <v>26</v>
      </c>
      <c r="J3369" t="s">
        <v>4400</v>
      </c>
      <c r="K3369" t="s">
        <v>2699</v>
      </c>
      <c r="L3369">
        <v>21215</v>
      </c>
      <c r="M3369" t="s">
        <v>145</v>
      </c>
      <c r="N3369" t="s">
        <v>4384</v>
      </c>
      <c r="O3369" t="s">
        <v>31</v>
      </c>
      <c r="P3369" t="s">
        <v>32</v>
      </c>
      <c r="Q3369" t="s">
        <v>4385</v>
      </c>
      <c r="R3369">
        <v>344.94</v>
      </c>
      <c r="S3369">
        <v>3</v>
      </c>
      <c r="T3369">
        <v>0</v>
      </c>
      <c r="U3369">
        <v>31.044599999999999</v>
      </c>
      <c r="V3369" t="str">
        <f t="shared" si="52"/>
        <v>Herbert Flentye</v>
      </c>
      <c r="W3369">
        <f>Table2[Profit]/Table2[Sales]</f>
        <v>0.09</v>
      </c>
    </row>
    <row r="3370" spans="1:23" x14ac:dyDescent="0.25">
      <c r="A3370">
        <v>3369</v>
      </c>
      <c r="B3370" t="s">
        <v>8865</v>
      </c>
      <c r="C3370" s="1">
        <v>42941</v>
      </c>
      <c r="D3370" s="1">
        <v>42944</v>
      </c>
      <c r="E3370" t="s">
        <v>22</v>
      </c>
      <c r="F3370" t="s">
        <v>4584</v>
      </c>
      <c r="G3370" t="s">
        <v>4585</v>
      </c>
      <c r="H3370" t="s">
        <v>25</v>
      </c>
      <c r="I3370" t="s">
        <v>26</v>
      </c>
      <c r="J3370" t="s">
        <v>143</v>
      </c>
      <c r="K3370" t="s">
        <v>144</v>
      </c>
      <c r="L3370">
        <v>19143</v>
      </c>
      <c r="M3370" t="s">
        <v>145</v>
      </c>
      <c r="N3370" t="s">
        <v>2081</v>
      </c>
      <c r="O3370" t="s">
        <v>31</v>
      </c>
      <c r="P3370" t="s">
        <v>64</v>
      </c>
      <c r="Q3370" t="s">
        <v>2082</v>
      </c>
      <c r="R3370">
        <v>20.096</v>
      </c>
      <c r="S3370">
        <v>4</v>
      </c>
      <c r="T3370">
        <v>0.2</v>
      </c>
      <c r="U3370">
        <v>3.0144000000000002</v>
      </c>
      <c r="V3370" t="str">
        <f t="shared" si="52"/>
        <v>John Castell</v>
      </c>
      <c r="W3370">
        <f>Table2[Profit]/Table2[Sales]</f>
        <v>0.15000000000000002</v>
      </c>
    </row>
    <row r="3371" spans="1:23" x14ac:dyDescent="0.25">
      <c r="A3371">
        <v>3370</v>
      </c>
      <c r="B3371" t="s">
        <v>8866</v>
      </c>
      <c r="C3371" s="1">
        <v>42260</v>
      </c>
      <c r="D3371" s="1">
        <v>42267</v>
      </c>
      <c r="E3371" t="s">
        <v>49</v>
      </c>
      <c r="F3371" t="s">
        <v>852</v>
      </c>
      <c r="G3371" t="s">
        <v>853</v>
      </c>
      <c r="H3371" t="s">
        <v>25</v>
      </c>
      <c r="I3371" t="s">
        <v>26</v>
      </c>
      <c r="J3371" t="s">
        <v>1712</v>
      </c>
      <c r="K3371" t="s">
        <v>1260</v>
      </c>
      <c r="L3371">
        <v>30318</v>
      </c>
      <c r="M3371" t="s">
        <v>29</v>
      </c>
      <c r="N3371" t="s">
        <v>3020</v>
      </c>
      <c r="O3371" t="s">
        <v>31</v>
      </c>
      <c r="P3371" t="s">
        <v>64</v>
      </c>
      <c r="Q3371" t="s">
        <v>3021</v>
      </c>
      <c r="R3371">
        <v>129.93</v>
      </c>
      <c r="S3371">
        <v>3</v>
      </c>
      <c r="T3371">
        <v>0</v>
      </c>
      <c r="U3371">
        <v>12.993</v>
      </c>
      <c r="V3371" t="str">
        <f t="shared" si="52"/>
        <v>Jonathan Howell</v>
      </c>
      <c r="W3371">
        <f>Table2[Profit]/Table2[Sales]</f>
        <v>9.9999999999999992E-2</v>
      </c>
    </row>
    <row r="3372" spans="1:23" x14ac:dyDescent="0.25">
      <c r="A3372">
        <v>3371</v>
      </c>
      <c r="B3372" t="s">
        <v>8867</v>
      </c>
      <c r="C3372" s="1">
        <v>42254</v>
      </c>
      <c r="D3372" s="1">
        <v>42256</v>
      </c>
      <c r="E3372" t="s">
        <v>22</v>
      </c>
      <c r="F3372" t="s">
        <v>4849</v>
      </c>
      <c r="G3372" t="s">
        <v>4850</v>
      </c>
      <c r="H3372" t="s">
        <v>40</v>
      </c>
      <c r="I3372" t="s">
        <v>26</v>
      </c>
      <c r="J3372" t="s">
        <v>366</v>
      </c>
      <c r="K3372" t="s">
        <v>87</v>
      </c>
      <c r="L3372">
        <v>27707</v>
      </c>
      <c r="M3372" t="s">
        <v>29</v>
      </c>
      <c r="N3372" t="s">
        <v>1545</v>
      </c>
      <c r="O3372" t="s">
        <v>45</v>
      </c>
      <c r="P3372" t="s">
        <v>67</v>
      </c>
      <c r="Q3372" t="s">
        <v>1546</v>
      </c>
      <c r="R3372">
        <v>140.73599999999999</v>
      </c>
      <c r="S3372">
        <v>4</v>
      </c>
      <c r="T3372">
        <v>0.2</v>
      </c>
      <c r="U3372">
        <v>12.314399999999999</v>
      </c>
      <c r="V3372" t="str">
        <f t="shared" si="52"/>
        <v>Corey Catlett</v>
      </c>
      <c r="W3372">
        <f>Table2[Profit]/Table2[Sales]</f>
        <v>8.7499999999999994E-2</v>
      </c>
    </row>
    <row r="3373" spans="1:23" x14ac:dyDescent="0.25">
      <c r="A3373">
        <v>3372</v>
      </c>
      <c r="B3373" t="s">
        <v>8868</v>
      </c>
      <c r="C3373" s="1">
        <v>42690</v>
      </c>
      <c r="D3373" s="1">
        <v>42691</v>
      </c>
      <c r="E3373" t="s">
        <v>185</v>
      </c>
      <c r="F3373" t="s">
        <v>8869</v>
      </c>
      <c r="G3373" t="s">
        <v>8870</v>
      </c>
      <c r="H3373" t="s">
        <v>25</v>
      </c>
      <c r="I3373" t="s">
        <v>26</v>
      </c>
      <c r="J3373" t="s">
        <v>560</v>
      </c>
      <c r="K3373" t="s">
        <v>42</v>
      </c>
      <c r="L3373">
        <v>95661</v>
      </c>
      <c r="M3373" t="s">
        <v>43</v>
      </c>
      <c r="N3373" t="s">
        <v>1036</v>
      </c>
      <c r="O3373" t="s">
        <v>45</v>
      </c>
      <c r="P3373" t="s">
        <v>74</v>
      </c>
      <c r="Q3373" t="s">
        <v>1037</v>
      </c>
      <c r="R3373">
        <v>8.32</v>
      </c>
      <c r="S3373">
        <v>5</v>
      </c>
      <c r="T3373">
        <v>0.2</v>
      </c>
      <c r="U3373">
        <v>2.8079999999999998</v>
      </c>
      <c r="V3373" t="str">
        <f t="shared" si="52"/>
        <v>Ionia McGrath</v>
      </c>
      <c r="W3373">
        <f>Table2[Profit]/Table2[Sales]</f>
        <v>0.33749999999999997</v>
      </c>
    </row>
    <row r="3374" spans="1:23" x14ac:dyDescent="0.25">
      <c r="A3374">
        <v>3373</v>
      </c>
      <c r="B3374" t="s">
        <v>8871</v>
      </c>
      <c r="C3374" s="1">
        <v>42684</v>
      </c>
      <c r="D3374" s="1">
        <v>42689</v>
      </c>
      <c r="E3374" t="s">
        <v>49</v>
      </c>
      <c r="F3374" t="s">
        <v>3369</v>
      </c>
      <c r="G3374" t="s">
        <v>3370</v>
      </c>
      <c r="H3374" t="s">
        <v>101</v>
      </c>
      <c r="I3374" t="s">
        <v>26</v>
      </c>
      <c r="J3374" t="s">
        <v>5281</v>
      </c>
      <c r="K3374" t="s">
        <v>42</v>
      </c>
      <c r="L3374">
        <v>95823</v>
      </c>
      <c r="M3374" t="s">
        <v>43</v>
      </c>
      <c r="N3374" t="s">
        <v>6951</v>
      </c>
      <c r="O3374" t="s">
        <v>31</v>
      </c>
      <c r="P3374" t="s">
        <v>64</v>
      </c>
      <c r="Q3374" t="s">
        <v>6952</v>
      </c>
      <c r="R3374">
        <v>9.98</v>
      </c>
      <c r="S3374">
        <v>1</v>
      </c>
      <c r="T3374">
        <v>0</v>
      </c>
      <c r="U3374">
        <v>2.7944</v>
      </c>
      <c r="V3374" t="str">
        <f t="shared" si="52"/>
        <v>Ben Ferrer</v>
      </c>
      <c r="W3374">
        <f>Table2[Profit]/Table2[Sales]</f>
        <v>0.27999999999999997</v>
      </c>
    </row>
    <row r="3375" spans="1:23" x14ac:dyDescent="0.25">
      <c r="A3375">
        <v>3374</v>
      </c>
      <c r="B3375" t="s">
        <v>8872</v>
      </c>
      <c r="C3375" s="1">
        <v>41866</v>
      </c>
      <c r="D3375" s="1">
        <v>41869</v>
      </c>
      <c r="E3375" t="s">
        <v>185</v>
      </c>
      <c r="F3375" t="s">
        <v>3201</v>
      </c>
      <c r="G3375" t="s">
        <v>3202</v>
      </c>
      <c r="H3375" t="s">
        <v>25</v>
      </c>
      <c r="I3375" t="s">
        <v>26</v>
      </c>
      <c r="J3375" t="s">
        <v>739</v>
      </c>
      <c r="K3375" t="s">
        <v>740</v>
      </c>
      <c r="L3375">
        <v>6824</v>
      </c>
      <c r="M3375" t="s">
        <v>145</v>
      </c>
      <c r="N3375" t="s">
        <v>2070</v>
      </c>
      <c r="O3375" t="s">
        <v>45</v>
      </c>
      <c r="P3375" t="s">
        <v>74</v>
      </c>
      <c r="Q3375" t="s">
        <v>2071</v>
      </c>
      <c r="R3375">
        <v>62.94</v>
      </c>
      <c r="S3375">
        <v>3</v>
      </c>
      <c r="T3375">
        <v>0</v>
      </c>
      <c r="U3375">
        <v>30.211200000000002</v>
      </c>
      <c r="V3375" t="str">
        <f t="shared" si="52"/>
        <v>Christine Sundaresam</v>
      </c>
      <c r="W3375">
        <f>Table2[Profit]/Table2[Sales]</f>
        <v>0.48000000000000004</v>
      </c>
    </row>
    <row r="3376" spans="1:23" x14ac:dyDescent="0.25">
      <c r="A3376">
        <v>3375</v>
      </c>
      <c r="B3376" t="s">
        <v>8873</v>
      </c>
      <c r="C3376" s="1">
        <v>42324</v>
      </c>
      <c r="D3376" s="1">
        <v>42328</v>
      </c>
      <c r="E3376" t="s">
        <v>49</v>
      </c>
      <c r="F3376" t="s">
        <v>1755</v>
      </c>
      <c r="G3376" t="s">
        <v>1756</v>
      </c>
      <c r="H3376" t="s">
        <v>40</v>
      </c>
      <c r="I3376" t="s">
        <v>26</v>
      </c>
      <c r="J3376" t="s">
        <v>296</v>
      </c>
      <c r="K3376" t="s">
        <v>208</v>
      </c>
      <c r="L3376">
        <v>60610</v>
      </c>
      <c r="M3376" t="s">
        <v>104</v>
      </c>
      <c r="N3376" t="s">
        <v>3990</v>
      </c>
      <c r="O3376" t="s">
        <v>45</v>
      </c>
      <c r="P3376" t="s">
        <v>58</v>
      </c>
      <c r="Q3376" t="s">
        <v>3991</v>
      </c>
      <c r="R3376">
        <v>21.488</v>
      </c>
      <c r="S3376">
        <v>2</v>
      </c>
      <c r="T3376">
        <v>0.2</v>
      </c>
      <c r="U3376">
        <v>1.6115999999999999</v>
      </c>
      <c r="V3376" t="str">
        <f t="shared" si="52"/>
        <v>Matt Connell</v>
      </c>
      <c r="W3376">
        <f>Table2[Profit]/Table2[Sales]</f>
        <v>7.4999999999999997E-2</v>
      </c>
    </row>
    <row r="3377" spans="1:23" x14ac:dyDescent="0.25">
      <c r="A3377">
        <v>3376</v>
      </c>
      <c r="B3377" t="s">
        <v>8874</v>
      </c>
      <c r="C3377" s="1">
        <v>42241</v>
      </c>
      <c r="D3377" s="1">
        <v>42241</v>
      </c>
      <c r="E3377" t="s">
        <v>1278</v>
      </c>
      <c r="F3377" t="s">
        <v>4084</v>
      </c>
      <c r="G3377" t="s">
        <v>4085</v>
      </c>
      <c r="H3377" t="s">
        <v>25</v>
      </c>
      <c r="I3377" t="s">
        <v>26</v>
      </c>
      <c r="J3377" t="s">
        <v>181</v>
      </c>
      <c r="K3377" t="s">
        <v>103</v>
      </c>
      <c r="L3377">
        <v>77041</v>
      </c>
      <c r="M3377" t="s">
        <v>104</v>
      </c>
      <c r="N3377" t="s">
        <v>3846</v>
      </c>
      <c r="O3377" t="s">
        <v>31</v>
      </c>
      <c r="P3377" t="s">
        <v>64</v>
      </c>
      <c r="Q3377" t="s">
        <v>5041</v>
      </c>
      <c r="R3377">
        <v>20.103999999999999</v>
      </c>
      <c r="S3377">
        <v>2</v>
      </c>
      <c r="T3377">
        <v>0.6</v>
      </c>
      <c r="U3377">
        <v>-16.585799999999999</v>
      </c>
      <c r="V3377" t="str">
        <f t="shared" si="52"/>
        <v>Mick Crebagga</v>
      </c>
      <c r="W3377">
        <f>Table2[Profit]/Table2[Sales]</f>
        <v>-0.82499999999999996</v>
      </c>
    </row>
    <row r="3378" spans="1:23" x14ac:dyDescent="0.25">
      <c r="A3378">
        <v>3377</v>
      </c>
      <c r="B3378" t="s">
        <v>8875</v>
      </c>
      <c r="C3378" s="1">
        <v>42729</v>
      </c>
      <c r="D3378" s="1">
        <v>42736</v>
      </c>
      <c r="E3378" t="s">
        <v>49</v>
      </c>
      <c r="F3378" t="s">
        <v>3569</v>
      </c>
      <c r="G3378" t="s">
        <v>3570</v>
      </c>
      <c r="H3378" t="s">
        <v>40</v>
      </c>
      <c r="I3378" t="s">
        <v>26</v>
      </c>
      <c r="J3378" t="s">
        <v>537</v>
      </c>
      <c r="K3378" t="s">
        <v>303</v>
      </c>
      <c r="L3378">
        <v>85023</v>
      </c>
      <c r="M3378" t="s">
        <v>43</v>
      </c>
      <c r="N3378" t="s">
        <v>919</v>
      </c>
      <c r="O3378" t="s">
        <v>31</v>
      </c>
      <c r="P3378" t="s">
        <v>55</v>
      </c>
      <c r="Q3378" t="s">
        <v>920</v>
      </c>
      <c r="R3378">
        <v>35.445</v>
      </c>
      <c r="S3378">
        <v>1</v>
      </c>
      <c r="T3378">
        <v>0.5</v>
      </c>
      <c r="U3378">
        <v>-24.102599999999999</v>
      </c>
      <c r="V3378" t="str">
        <f t="shared" si="52"/>
        <v>Laurel Workman</v>
      </c>
      <c r="W3378">
        <f>Table2[Profit]/Table2[Sales]</f>
        <v>-0.67999999999999994</v>
      </c>
    </row>
    <row r="3379" spans="1:23" x14ac:dyDescent="0.25">
      <c r="A3379">
        <v>3378</v>
      </c>
      <c r="B3379" t="s">
        <v>8876</v>
      </c>
      <c r="C3379" s="1">
        <v>41917</v>
      </c>
      <c r="D3379" s="1">
        <v>41918</v>
      </c>
      <c r="E3379" t="s">
        <v>185</v>
      </c>
      <c r="F3379" t="s">
        <v>1418</v>
      </c>
      <c r="G3379" t="s">
        <v>1419</v>
      </c>
      <c r="H3379" t="s">
        <v>25</v>
      </c>
      <c r="I3379" t="s">
        <v>26</v>
      </c>
      <c r="J3379" t="s">
        <v>3955</v>
      </c>
      <c r="K3379" t="s">
        <v>42</v>
      </c>
      <c r="L3379">
        <v>91767</v>
      </c>
      <c r="M3379" t="s">
        <v>43</v>
      </c>
      <c r="N3379" t="s">
        <v>4844</v>
      </c>
      <c r="O3379" t="s">
        <v>70</v>
      </c>
      <c r="P3379" t="s">
        <v>158</v>
      </c>
      <c r="Q3379" t="s">
        <v>4845</v>
      </c>
      <c r="R3379">
        <v>99.98</v>
      </c>
      <c r="S3379">
        <v>2</v>
      </c>
      <c r="T3379">
        <v>0</v>
      </c>
      <c r="U3379">
        <v>34.993000000000002</v>
      </c>
      <c r="V3379" t="str">
        <f t="shared" si="52"/>
        <v>Keith Herrera</v>
      </c>
      <c r="W3379">
        <f>Table2[Profit]/Table2[Sales]</f>
        <v>0.35000000000000003</v>
      </c>
    </row>
    <row r="3380" spans="1:23" x14ac:dyDescent="0.25">
      <c r="A3380">
        <v>3379</v>
      </c>
      <c r="B3380" t="s">
        <v>8877</v>
      </c>
      <c r="C3380" s="1">
        <v>41965</v>
      </c>
      <c r="D3380" s="1">
        <v>41968</v>
      </c>
      <c r="E3380" t="s">
        <v>185</v>
      </c>
      <c r="F3380" t="s">
        <v>4257</v>
      </c>
      <c r="G3380" t="s">
        <v>4258</v>
      </c>
      <c r="H3380" t="s">
        <v>40</v>
      </c>
      <c r="I3380" t="s">
        <v>26</v>
      </c>
      <c r="J3380" t="s">
        <v>1712</v>
      </c>
      <c r="K3380" t="s">
        <v>1260</v>
      </c>
      <c r="L3380">
        <v>30318</v>
      </c>
      <c r="M3380" t="s">
        <v>29</v>
      </c>
      <c r="N3380" t="s">
        <v>5588</v>
      </c>
      <c r="O3380" t="s">
        <v>45</v>
      </c>
      <c r="P3380" t="s">
        <v>89</v>
      </c>
      <c r="Q3380" t="s">
        <v>5589</v>
      </c>
      <c r="R3380">
        <v>9.9600000000000009</v>
      </c>
      <c r="S3380">
        <v>2</v>
      </c>
      <c r="T3380">
        <v>0</v>
      </c>
      <c r="U3380">
        <v>4.8803999999999998</v>
      </c>
      <c r="V3380" t="str">
        <f t="shared" si="52"/>
        <v>Robert Barroso</v>
      </c>
      <c r="W3380">
        <f>Table2[Profit]/Table2[Sales]</f>
        <v>0.48999999999999994</v>
      </c>
    </row>
    <row r="3381" spans="1:23" x14ac:dyDescent="0.25">
      <c r="A3381">
        <v>3380</v>
      </c>
      <c r="B3381" t="s">
        <v>8878</v>
      </c>
      <c r="C3381" s="1">
        <v>43094</v>
      </c>
      <c r="D3381" s="1">
        <v>43098</v>
      </c>
      <c r="E3381" t="s">
        <v>49</v>
      </c>
      <c r="F3381" t="s">
        <v>1998</v>
      </c>
      <c r="G3381" t="s">
        <v>1999</v>
      </c>
      <c r="H3381" t="s">
        <v>40</v>
      </c>
      <c r="I3381" t="s">
        <v>26</v>
      </c>
      <c r="J3381" t="s">
        <v>4010</v>
      </c>
      <c r="K3381" t="s">
        <v>95</v>
      </c>
      <c r="L3381">
        <v>98208</v>
      </c>
      <c r="M3381" t="s">
        <v>43</v>
      </c>
      <c r="N3381" t="s">
        <v>1211</v>
      </c>
      <c r="O3381" t="s">
        <v>45</v>
      </c>
      <c r="P3381" t="s">
        <v>74</v>
      </c>
      <c r="Q3381" t="s">
        <v>1212</v>
      </c>
      <c r="R3381">
        <v>3.8559999999999999</v>
      </c>
      <c r="S3381">
        <v>1</v>
      </c>
      <c r="T3381">
        <v>0.2</v>
      </c>
      <c r="U3381">
        <v>1.3977999999999999</v>
      </c>
      <c r="V3381" t="str">
        <f t="shared" si="52"/>
        <v>Giulietta Dortch</v>
      </c>
      <c r="W3381">
        <f>Table2[Profit]/Table2[Sales]</f>
        <v>0.36249999999999999</v>
      </c>
    </row>
    <row r="3382" spans="1:23" x14ac:dyDescent="0.25">
      <c r="A3382">
        <v>3381</v>
      </c>
      <c r="B3382" t="s">
        <v>8879</v>
      </c>
      <c r="C3382" s="1">
        <v>42094</v>
      </c>
      <c r="D3382" s="1">
        <v>42099</v>
      </c>
      <c r="E3382" t="s">
        <v>49</v>
      </c>
      <c r="F3382" t="s">
        <v>1552</v>
      </c>
      <c r="G3382" t="s">
        <v>1553</v>
      </c>
      <c r="H3382" t="s">
        <v>40</v>
      </c>
      <c r="I3382" t="s">
        <v>26</v>
      </c>
      <c r="J3382" t="s">
        <v>181</v>
      </c>
      <c r="K3382" t="s">
        <v>103</v>
      </c>
      <c r="L3382">
        <v>77095</v>
      </c>
      <c r="M3382" t="s">
        <v>104</v>
      </c>
      <c r="N3382" t="s">
        <v>1706</v>
      </c>
      <c r="O3382" t="s">
        <v>45</v>
      </c>
      <c r="P3382" t="s">
        <v>89</v>
      </c>
      <c r="Q3382" t="s">
        <v>1707</v>
      </c>
      <c r="R3382">
        <v>98.376000000000005</v>
      </c>
      <c r="S3382">
        <v>3</v>
      </c>
      <c r="T3382">
        <v>0.2</v>
      </c>
      <c r="U3382">
        <v>35.661299999999997</v>
      </c>
      <c r="V3382" t="str">
        <f t="shared" si="52"/>
        <v>Ed Braxton</v>
      </c>
      <c r="W3382">
        <f>Table2[Profit]/Table2[Sales]</f>
        <v>0.36249999999999993</v>
      </c>
    </row>
    <row r="3383" spans="1:23" x14ac:dyDescent="0.25">
      <c r="A3383">
        <v>3382</v>
      </c>
      <c r="B3383" t="s">
        <v>8880</v>
      </c>
      <c r="C3383" s="1">
        <v>42992</v>
      </c>
      <c r="D3383" s="1">
        <v>42993</v>
      </c>
      <c r="E3383" t="s">
        <v>185</v>
      </c>
      <c r="F3383" t="s">
        <v>4275</v>
      </c>
      <c r="G3383" t="s">
        <v>4276</v>
      </c>
      <c r="H3383" t="s">
        <v>25</v>
      </c>
      <c r="I3383" t="s">
        <v>26</v>
      </c>
      <c r="J3383" t="s">
        <v>143</v>
      </c>
      <c r="K3383" t="s">
        <v>144</v>
      </c>
      <c r="L3383">
        <v>19140</v>
      </c>
      <c r="M3383" t="s">
        <v>145</v>
      </c>
      <c r="N3383" t="s">
        <v>2412</v>
      </c>
      <c r="O3383" t="s">
        <v>45</v>
      </c>
      <c r="P3383" t="s">
        <v>74</v>
      </c>
      <c r="Q3383" t="s">
        <v>2413</v>
      </c>
      <c r="R3383">
        <v>3.8820000000000001</v>
      </c>
      <c r="S3383">
        <v>2</v>
      </c>
      <c r="T3383">
        <v>0.7</v>
      </c>
      <c r="U3383">
        <v>-2.5880000000000001</v>
      </c>
      <c r="V3383" t="str">
        <f t="shared" si="52"/>
        <v>Pamela Stobb</v>
      </c>
      <c r="W3383">
        <f>Table2[Profit]/Table2[Sales]</f>
        <v>-0.66666666666666663</v>
      </c>
    </row>
    <row r="3384" spans="1:23" x14ac:dyDescent="0.25">
      <c r="A3384">
        <v>3383</v>
      </c>
      <c r="B3384" t="s">
        <v>8883</v>
      </c>
      <c r="C3384" s="1">
        <v>41807</v>
      </c>
      <c r="D3384" s="1">
        <v>41811</v>
      </c>
      <c r="E3384" t="s">
        <v>49</v>
      </c>
      <c r="F3384" t="s">
        <v>3972</v>
      </c>
      <c r="G3384" t="s">
        <v>3973</v>
      </c>
      <c r="H3384" t="s">
        <v>25</v>
      </c>
      <c r="I3384" t="s">
        <v>26</v>
      </c>
      <c r="J3384" t="s">
        <v>94</v>
      </c>
      <c r="K3384" t="s">
        <v>95</v>
      </c>
      <c r="L3384">
        <v>98105</v>
      </c>
      <c r="M3384" t="s">
        <v>43</v>
      </c>
      <c r="N3384" t="s">
        <v>4012</v>
      </c>
      <c r="O3384" t="s">
        <v>31</v>
      </c>
      <c r="P3384" t="s">
        <v>64</v>
      </c>
      <c r="Q3384" t="s">
        <v>1273</v>
      </c>
      <c r="R3384">
        <v>6.24</v>
      </c>
      <c r="S3384">
        <v>3</v>
      </c>
      <c r="T3384">
        <v>0</v>
      </c>
      <c r="U3384">
        <v>2.6208</v>
      </c>
      <c r="V3384" t="str">
        <f t="shared" si="52"/>
        <v>Gary Hwang</v>
      </c>
      <c r="W3384">
        <f>Table2[Profit]/Table2[Sales]</f>
        <v>0.42</v>
      </c>
    </row>
    <row r="3385" spans="1:23" x14ac:dyDescent="0.25">
      <c r="A3385">
        <v>3384</v>
      </c>
      <c r="B3385" t="s">
        <v>8884</v>
      </c>
      <c r="C3385" s="1">
        <v>43097</v>
      </c>
      <c r="D3385" s="1">
        <v>43101</v>
      </c>
      <c r="E3385" t="s">
        <v>49</v>
      </c>
      <c r="F3385" t="s">
        <v>5508</v>
      </c>
      <c r="G3385" t="s">
        <v>5509</v>
      </c>
      <c r="H3385" t="s">
        <v>40</v>
      </c>
      <c r="I3385" t="s">
        <v>26</v>
      </c>
      <c r="J3385" t="s">
        <v>1374</v>
      </c>
      <c r="K3385" t="s">
        <v>208</v>
      </c>
      <c r="L3385">
        <v>61604</v>
      </c>
      <c r="M3385" t="s">
        <v>104</v>
      </c>
      <c r="N3385" t="s">
        <v>5371</v>
      </c>
      <c r="O3385" t="s">
        <v>45</v>
      </c>
      <c r="P3385" t="s">
        <v>74</v>
      </c>
      <c r="Q3385" t="s">
        <v>5372</v>
      </c>
      <c r="R3385">
        <v>1.68</v>
      </c>
      <c r="S3385">
        <v>5</v>
      </c>
      <c r="T3385">
        <v>0.8</v>
      </c>
      <c r="U3385">
        <v>-2.6880000000000002</v>
      </c>
      <c r="V3385" t="str">
        <f t="shared" si="52"/>
        <v>Lori Olson</v>
      </c>
      <c r="W3385">
        <f>Table2[Profit]/Table2[Sales]</f>
        <v>-1.6</v>
      </c>
    </row>
    <row r="3386" spans="1:23" x14ac:dyDescent="0.25">
      <c r="A3386">
        <v>3385</v>
      </c>
      <c r="B3386" t="s">
        <v>8885</v>
      </c>
      <c r="C3386" s="1">
        <v>43041</v>
      </c>
      <c r="D3386" s="1">
        <v>43046</v>
      </c>
      <c r="E3386" t="s">
        <v>49</v>
      </c>
      <c r="F3386" t="s">
        <v>3884</v>
      </c>
      <c r="G3386" t="s">
        <v>3885</v>
      </c>
      <c r="H3386" t="s">
        <v>25</v>
      </c>
      <c r="I3386" t="s">
        <v>26</v>
      </c>
      <c r="J3386" t="s">
        <v>41</v>
      </c>
      <c r="K3386" t="s">
        <v>42</v>
      </c>
      <c r="L3386">
        <v>90036</v>
      </c>
      <c r="M3386" t="s">
        <v>43</v>
      </c>
      <c r="N3386" t="s">
        <v>2820</v>
      </c>
      <c r="O3386" t="s">
        <v>45</v>
      </c>
      <c r="P3386" t="s">
        <v>77</v>
      </c>
      <c r="Q3386" t="s">
        <v>2821</v>
      </c>
      <c r="R3386">
        <v>168.1</v>
      </c>
      <c r="S3386">
        <v>5</v>
      </c>
      <c r="T3386">
        <v>0</v>
      </c>
      <c r="U3386">
        <v>43.706000000000003</v>
      </c>
      <c r="V3386" t="str">
        <f t="shared" si="52"/>
        <v>Cindy Stewart</v>
      </c>
      <c r="W3386">
        <f>Table2[Profit]/Table2[Sales]</f>
        <v>0.26</v>
      </c>
    </row>
    <row r="3387" spans="1:23" x14ac:dyDescent="0.25">
      <c r="A3387">
        <v>3386</v>
      </c>
      <c r="B3387" t="s">
        <v>8886</v>
      </c>
      <c r="C3387" s="1">
        <v>42210</v>
      </c>
      <c r="D3387" s="1">
        <v>42214</v>
      </c>
      <c r="E3387" t="s">
        <v>49</v>
      </c>
      <c r="F3387" t="s">
        <v>3725</v>
      </c>
      <c r="G3387" t="s">
        <v>3726</v>
      </c>
      <c r="H3387" t="s">
        <v>40</v>
      </c>
      <c r="I3387" t="s">
        <v>26</v>
      </c>
      <c r="J3387" t="s">
        <v>1793</v>
      </c>
      <c r="K3387" t="s">
        <v>351</v>
      </c>
      <c r="L3387">
        <v>36116</v>
      </c>
      <c r="M3387" t="s">
        <v>29</v>
      </c>
      <c r="N3387" t="s">
        <v>1778</v>
      </c>
      <c r="O3387" t="s">
        <v>45</v>
      </c>
      <c r="P3387" t="s">
        <v>170</v>
      </c>
      <c r="Q3387" t="s">
        <v>1779</v>
      </c>
      <c r="R3387">
        <v>98.46</v>
      </c>
      <c r="S3387">
        <v>9</v>
      </c>
      <c r="T3387">
        <v>0</v>
      </c>
      <c r="U3387">
        <v>49.23</v>
      </c>
      <c r="V3387" t="str">
        <f t="shared" si="52"/>
        <v>Yana Sorensen</v>
      </c>
      <c r="W3387">
        <f>Table2[Profit]/Table2[Sales]</f>
        <v>0.5</v>
      </c>
    </row>
    <row r="3388" spans="1:23" x14ac:dyDescent="0.25">
      <c r="A3388">
        <v>3387</v>
      </c>
      <c r="B3388" t="s">
        <v>8887</v>
      </c>
      <c r="C3388" s="1">
        <v>42645</v>
      </c>
      <c r="D3388" s="1">
        <v>42652</v>
      </c>
      <c r="E3388" t="s">
        <v>49</v>
      </c>
      <c r="F3388" t="s">
        <v>4856</v>
      </c>
      <c r="G3388" t="s">
        <v>4857</v>
      </c>
      <c r="H3388" t="s">
        <v>40</v>
      </c>
      <c r="I3388" t="s">
        <v>26</v>
      </c>
      <c r="J3388" t="s">
        <v>4182</v>
      </c>
      <c r="K3388" t="s">
        <v>251</v>
      </c>
      <c r="L3388">
        <v>47905</v>
      </c>
      <c r="M3388" t="s">
        <v>104</v>
      </c>
      <c r="N3388" t="s">
        <v>2770</v>
      </c>
      <c r="O3388" t="s">
        <v>45</v>
      </c>
      <c r="P3388" t="s">
        <v>58</v>
      </c>
      <c r="Q3388" t="s">
        <v>2771</v>
      </c>
      <c r="R3388">
        <v>32.479999999999997</v>
      </c>
      <c r="S3388">
        <v>2</v>
      </c>
      <c r="T3388">
        <v>0</v>
      </c>
      <c r="U3388">
        <v>4.8719999999999999</v>
      </c>
      <c r="V3388" t="str">
        <f t="shared" si="52"/>
        <v>Tamara Chand</v>
      </c>
      <c r="W3388">
        <f>Table2[Profit]/Table2[Sales]</f>
        <v>0.15000000000000002</v>
      </c>
    </row>
    <row r="3389" spans="1:23" x14ac:dyDescent="0.25">
      <c r="A3389">
        <v>3388</v>
      </c>
      <c r="B3389" t="s">
        <v>8888</v>
      </c>
      <c r="C3389" s="1">
        <v>42728</v>
      </c>
      <c r="D3389" s="1">
        <v>42731</v>
      </c>
      <c r="E3389" t="s">
        <v>22</v>
      </c>
      <c r="F3389" t="s">
        <v>3804</v>
      </c>
      <c r="G3389" t="s">
        <v>3805</v>
      </c>
      <c r="H3389" t="s">
        <v>40</v>
      </c>
      <c r="I3389" t="s">
        <v>26</v>
      </c>
      <c r="J3389" t="s">
        <v>263</v>
      </c>
      <c r="K3389" t="s">
        <v>264</v>
      </c>
      <c r="L3389">
        <v>10009</v>
      </c>
      <c r="M3389" t="s">
        <v>145</v>
      </c>
      <c r="N3389" t="s">
        <v>3775</v>
      </c>
      <c r="O3389" t="s">
        <v>70</v>
      </c>
      <c r="P3389" t="s">
        <v>71</v>
      </c>
      <c r="Q3389" t="s">
        <v>3776</v>
      </c>
      <c r="R3389">
        <v>197.97</v>
      </c>
      <c r="S3389">
        <v>3</v>
      </c>
      <c r="T3389">
        <v>0</v>
      </c>
      <c r="U3389">
        <v>53.451900000000002</v>
      </c>
      <c r="V3389" t="str">
        <f t="shared" si="52"/>
        <v>Pauline Webber</v>
      </c>
      <c r="W3389">
        <f>Table2[Profit]/Table2[Sales]</f>
        <v>0.27</v>
      </c>
    </row>
    <row r="3390" spans="1:23" x14ac:dyDescent="0.25">
      <c r="A3390">
        <v>3389</v>
      </c>
      <c r="B3390" t="s">
        <v>8889</v>
      </c>
      <c r="C3390" s="1">
        <v>42937</v>
      </c>
      <c r="D3390" s="1">
        <v>42943</v>
      </c>
      <c r="E3390" t="s">
        <v>49</v>
      </c>
      <c r="F3390" t="s">
        <v>7572</v>
      </c>
      <c r="G3390" t="s">
        <v>7573</v>
      </c>
      <c r="H3390" t="s">
        <v>25</v>
      </c>
      <c r="I3390" t="s">
        <v>26</v>
      </c>
      <c r="J3390" t="s">
        <v>263</v>
      </c>
      <c r="K3390" t="s">
        <v>264</v>
      </c>
      <c r="L3390">
        <v>10024</v>
      </c>
      <c r="M3390" t="s">
        <v>145</v>
      </c>
      <c r="N3390" t="s">
        <v>5186</v>
      </c>
      <c r="O3390" t="s">
        <v>45</v>
      </c>
      <c r="P3390" t="s">
        <v>77</v>
      </c>
      <c r="Q3390" t="s">
        <v>5187</v>
      </c>
      <c r="R3390">
        <v>17.48</v>
      </c>
      <c r="S3390">
        <v>4</v>
      </c>
      <c r="T3390">
        <v>0</v>
      </c>
      <c r="U3390">
        <v>4.5448000000000004</v>
      </c>
      <c r="V3390" t="str">
        <f t="shared" si="52"/>
        <v>Cari Schnelling</v>
      </c>
      <c r="W3390">
        <f>Table2[Profit]/Table2[Sales]</f>
        <v>0.26</v>
      </c>
    </row>
    <row r="3391" spans="1:23" x14ac:dyDescent="0.25">
      <c r="A3391">
        <v>3390</v>
      </c>
      <c r="B3391" t="s">
        <v>8890</v>
      </c>
      <c r="C3391" s="1">
        <v>42287</v>
      </c>
      <c r="D3391" s="1">
        <v>42294</v>
      </c>
      <c r="E3391" t="s">
        <v>49</v>
      </c>
      <c r="F3391" t="s">
        <v>2247</v>
      </c>
      <c r="G3391" t="s">
        <v>2248</v>
      </c>
      <c r="H3391" t="s">
        <v>25</v>
      </c>
      <c r="I3391" t="s">
        <v>26</v>
      </c>
      <c r="J3391" t="s">
        <v>296</v>
      </c>
      <c r="K3391" t="s">
        <v>208</v>
      </c>
      <c r="L3391">
        <v>60610</v>
      </c>
      <c r="M3391" t="s">
        <v>104</v>
      </c>
      <c r="N3391" t="s">
        <v>5717</v>
      </c>
      <c r="O3391" t="s">
        <v>45</v>
      </c>
      <c r="P3391" t="s">
        <v>67</v>
      </c>
      <c r="Q3391" t="s">
        <v>5718</v>
      </c>
      <c r="R3391">
        <v>8.016</v>
      </c>
      <c r="S3391">
        <v>3</v>
      </c>
      <c r="T3391">
        <v>0.2</v>
      </c>
      <c r="U3391">
        <v>1.002</v>
      </c>
      <c r="V3391" t="str">
        <f t="shared" si="52"/>
        <v>David Philippe</v>
      </c>
      <c r="W3391">
        <f>Table2[Profit]/Table2[Sales]</f>
        <v>0.125</v>
      </c>
    </row>
    <row r="3392" spans="1:23" x14ac:dyDescent="0.25">
      <c r="A3392">
        <v>3391</v>
      </c>
      <c r="B3392" t="s">
        <v>8891</v>
      </c>
      <c r="C3392" s="1">
        <v>42621</v>
      </c>
      <c r="D3392" s="1">
        <v>42621</v>
      </c>
      <c r="E3392" t="s">
        <v>1278</v>
      </c>
      <c r="F3392" t="s">
        <v>2509</v>
      </c>
      <c r="G3392" t="s">
        <v>2510</v>
      </c>
      <c r="H3392" t="s">
        <v>25</v>
      </c>
      <c r="I3392" t="s">
        <v>26</v>
      </c>
      <c r="J3392" t="s">
        <v>2511</v>
      </c>
      <c r="K3392" t="s">
        <v>42</v>
      </c>
      <c r="L3392">
        <v>92704</v>
      </c>
      <c r="M3392" t="s">
        <v>43</v>
      </c>
      <c r="N3392" t="s">
        <v>3699</v>
      </c>
      <c r="O3392" t="s">
        <v>31</v>
      </c>
      <c r="P3392" t="s">
        <v>55</v>
      </c>
      <c r="Q3392" t="s">
        <v>3700</v>
      </c>
      <c r="R3392">
        <v>146.04</v>
      </c>
      <c r="S3392">
        <v>1</v>
      </c>
      <c r="T3392">
        <v>0.2</v>
      </c>
      <c r="U3392">
        <v>-12.778499999999999</v>
      </c>
      <c r="V3392" t="str">
        <f t="shared" si="52"/>
        <v>Pauline Johnson</v>
      </c>
      <c r="W3392">
        <f>Table2[Profit]/Table2[Sales]</f>
        <v>-8.7499999999999994E-2</v>
      </c>
    </row>
    <row r="3393" spans="1:23" x14ac:dyDescent="0.25">
      <c r="A3393">
        <v>3392</v>
      </c>
      <c r="B3393" t="s">
        <v>8892</v>
      </c>
      <c r="C3393" s="1">
        <v>42694</v>
      </c>
      <c r="D3393" s="1">
        <v>42698</v>
      </c>
      <c r="E3393" t="s">
        <v>49</v>
      </c>
      <c r="F3393" t="s">
        <v>5225</v>
      </c>
      <c r="G3393" t="s">
        <v>5226</v>
      </c>
      <c r="H3393" t="s">
        <v>40</v>
      </c>
      <c r="I3393" t="s">
        <v>26</v>
      </c>
      <c r="J3393" t="s">
        <v>8893</v>
      </c>
      <c r="K3393" t="s">
        <v>42</v>
      </c>
      <c r="L3393">
        <v>90640</v>
      </c>
      <c r="M3393" t="s">
        <v>43</v>
      </c>
      <c r="N3393" t="s">
        <v>8509</v>
      </c>
      <c r="O3393" t="s">
        <v>70</v>
      </c>
      <c r="P3393" t="s">
        <v>158</v>
      </c>
      <c r="Q3393" t="s">
        <v>8510</v>
      </c>
      <c r="R3393">
        <v>27.88</v>
      </c>
      <c r="S3393">
        <v>2</v>
      </c>
      <c r="T3393">
        <v>0</v>
      </c>
      <c r="U3393">
        <v>3.9032</v>
      </c>
      <c r="V3393" t="str">
        <f t="shared" si="52"/>
        <v>Brendan Murry</v>
      </c>
      <c r="W3393">
        <f>Table2[Profit]/Table2[Sales]</f>
        <v>0.14000000000000001</v>
      </c>
    </row>
    <row r="3394" spans="1:23" x14ac:dyDescent="0.25">
      <c r="A3394">
        <v>3393</v>
      </c>
      <c r="B3394" t="s">
        <v>8894</v>
      </c>
      <c r="C3394" s="1">
        <v>43023</v>
      </c>
      <c r="D3394" s="1">
        <v>43028</v>
      </c>
      <c r="E3394" t="s">
        <v>49</v>
      </c>
      <c r="F3394" t="s">
        <v>3198</v>
      </c>
      <c r="G3394" t="s">
        <v>3199</v>
      </c>
      <c r="H3394" t="s">
        <v>40</v>
      </c>
      <c r="I3394" t="s">
        <v>26</v>
      </c>
      <c r="J3394" t="s">
        <v>5299</v>
      </c>
      <c r="K3394" t="s">
        <v>42</v>
      </c>
      <c r="L3394">
        <v>91360</v>
      </c>
      <c r="M3394" t="s">
        <v>43</v>
      </c>
      <c r="N3394" t="s">
        <v>2223</v>
      </c>
      <c r="O3394" t="s">
        <v>45</v>
      </c>
      <c r="P3394" t="s">
        <v>46</v>
      </c>
      <c r="Q3394" t="s">
        <v>2224</v>
      </c>
      <c r="R3394">
        <v>152.65</v>
      </c>
      <c r="S3394">
        <v>5</v>
      </c>
      <c r="T3394">
        <v>0</v>
      </c>
      <c r="U3394">
        <v>70.218999999999994</v>
      </c>
      <c r="V3394" t="str">
        <f t="shared" si="52"/>
        <v>Dionis Lloyd</v>
      </c>
      <c r="W3394">
        <f>Table2[Profit]/Table2[Sales]</f>
        <v>0.45999999999999996</v>
      </c>
    </row>
    <row r="3395" spans="1:23" x14ac:dyDescent="0.25">
      <c r="A3395">
        <v>3394</v>
      </c>
      <c r="B3395" t="s">
        <v>8895</v>
      </c>
      <c r="C3395" s="1">
        <v>42191</v>
      </c>
      <c r="D3395" s="1">
        <v>42197</v>
      </c>
      <c r="E3395" t="s">
        <v>49</v>
      </c>
      <c r="F3395" t="s">
        <v>4517</v>
      </c>
      <c r="G3395" t="s">
        <v>4518</v>
      </c>
      <c r="H3395" t="s">
        <v>40</v>
      </c>
      <c r="I3395" t="s">
        <v>26</v>
      </c>
      <c r="J3395" t="s">
        <v>3854</v>
      </c>
      <c r="K3395" t="s">
        <v>781</v>
      </c>
      <c r="L3395">
        <v>8360</v>
      </c>
      <c r="M3395" t="s">
        <v>145</v>
      </c>
      <c r="N3395" t="s">
        <v>1270</v>
      </c>
      <c r="O3395" t="s">
        <v>45</v>
      </c>
      <c r="P3395" t="s">
        <v>67</v>
      </c>
      <c r="Q3395" t="s">
        <v>1271</v>
      </c>
      <c r="R3395">
        <v>11.12</v>
      </c>
      <c r="S3395">
        <v>4</v>
      </c>
      <c r="T3395">
        <v>0</v>
      </c>
      <c r="U3395">
        <v>2.8912</v>
      </c>
      <c r="V3395" t="str">
        <f t="shared" ref="V3395:V3458" si="53">TRIM(G3395)</f>
        <v>Barbara Fisher</v>
      </c>
      <c r="W3395">
        <f>Table2[Profit]/Table2[Sales]</f>
        <v>0.26</v>
      </c>
    </row>
    <row r="3396" spans="1:23" x14ac:dyDescent="0.25">
      <c r="A3396">
        <v>3395</v>
      </c>
      <c r="B3396" t="s">
        <v>8896</v>
      </c>
      <c r="C3396" s="1">
        <v>42771</v>
      </c>
      <c r="D3396" s="1">
        <v>42775</v>
      </c>
      <c r="E3396" t="s">
        <v>49</v>
      </c>
      <c r="F3396" t="s">
        <v>6595</v>
      </c>
      <c r="G3396" t="s">
        <v>6596</v>
      </c>
      <c r="H3396" t="s">
        <v>40</v>
      </c>
      <c r="I3396" t="s">
        <v>26</v>
      </c>
      <c r="J3396" t="s">
        <v>2828</v>
      </c>
      <c r="K3396" t="s">
        <v>42</v>
      </c>
      <c r="L3396">
        <v>90503</v>
      </c>
      <c r="M3396" t="s">
        <v>43</v>
      </c>
      <c r="N3396" t="s">
        <v>8034</v>
      </c>
      <c r="O3396" t="s">
        <v>45</v>
      </c>
      <c r="P3396" t="s">
        <v>77</v>
      </c>
      <c r="Q3396" t="s">
        <v>8035</v>
      </c>
      <c r="R3396">
        <v>1640.7</v>
      </c>
      <c r="S3396">
        <v>5</v>
      </c>
      <c r="T3396">
        <v>0</v>
      </c>
      <c r="U3396">
        <v>459.39600000000002</v>
      </c>
      <c r="V3396" t="str">
        <f t="shared" si="53"/>
        <v>Fred Chung</v>
      </c>
      <c r="W3396">
        <f>Table2[Profit]/Table2[Sales]</f>
        <v>0.28000000000000003</v>
      </c>
    </row>
    <row r="3397" spans="1:23" x14ac:dyDescent="0.25">
      <c r="A3397">
        <v>3396</v>
      </c>
      <c r="B3397" t="s">
        <v>8897</v>
      </c>
      <c r="C3397" s="1">
        <v>42344</v>
      </c>
      <c r="D3397" s="1">
        <v>42345</v>
      </c>
      <c r="E3397" t="s">
        <v>185</v>
      </c>
      <c r="F3397" t="s">
        <v>3996</v>
      </c>
      <c r="G3397" t="s">
        <v>3997</v>
      </c>
      <c r="H3397" t="s">
        <v>101</v>
      </c>
      <c r="I3397" t="s">
        <v>26</v>
      </c>
      <c r="J3397" t="s">
        <v>271</v>
      </c>
      <c r="K3397" t="s">
        <v>491</v>
      </c>
      <c r="L3397">
        <v>45373</v>
      </c>
      <c r="M3397" t="s">
        <v>145</v>
      </c>
      <c r="N3397" t="s">
        <v>407</v>
      </c>
      <c r="O3397" t="s">
        <v>45</v>
      </c>
      <c r="P3397" t="s">
        <v>74</v>
      </c>
      <c r="Q3397" t="s">
        <v>408</v>
      </c>
      <c r="R3397">
        <v>14.832000000000001</v>
      </c>
      <c r="S3397">
        <v>3</v>
      </c>
      <c r="T3397">
        <v>0.7</v>
      </c>
      <c r="U3397">
        <v>-10.382400000000001</v>
      </c>
      <c r="V3397" t="str">
        <f t="shared" si="53"/>
        <v>Mike Pelletier</v>
      </c>
      <c r="W3397">
        <f>Table2[Profit]/Table2[Sales]</f>
        <v>-0.7</v>
      </c>
    </row>
    <row r="3398" spans="1:23" x14ac:dyDescent="0.25">
      <c r="A3398">
        <v>3397</v>
      </c>
      <c r="B3398" t="s">
        <v>8898</v>
      </c>
      <c r="C3398" s="1">
        <v>42625</v>
      </c>
      <c r="D3398" s="1">
        <v>42630</v>
      </c>
      <c r="E3398" t="s">
        <v>49</v>
      </c>
      <c r="F3398" t="s">
        <v>2400</v>
      </c>
      <c r="G3398" t="s">
        <v>2401</v>
      </c>
      <c r="H3398" t="s">
        <v>40</v>
      </c>
      <c r="I3398" t="s">
        <v>26</v>
      </c>
      <c r="J3398" t="s">
        <v>311</v>
      </c>
      <c r="K3398" t="s">
        <v>312</v>
      </c>
      <c r="L3398">
        <v>22153</v>
      </c>
      <c r="M3398" t="s">
        <v>29</v>
      </c>
      <c r="N3398" t="s">
        <v>7506</v>
      </c>
      <c r="O3398" t="s">
        <v>70</v>
      </c>
      <c r="P3398" t="s">
        <v>158</v>
      </c>
      <c r="Q3398" t="s">
        <v>7507</v>
      </c>
      <c r="R3398">
        <v>20.7</v>
      </c>
      <c r="S3398">
        <v>3</v>
      </c>
      <c r="T3398">
        <v>0</v>
      </c>
      <c r="U3398">
        <v>1.6559999999999999</v>
      </c>
      <c r="V3398" t="str">
        <f t="shared" si="53"/>
        <v>Anthony Johnson</v>
      </c>
      <c r="W3398">
        <f>Table2[Profit]/Table2[Sales]</f>
        <v>0.08</v>
      </c>
    </row>
    <row r="3399" spans="1:23" x14ac:dyDescent="0.25">
      <c r="A3399">
        <v>3398</v>
      </c>
      <c r="B3399" t="s">
        <v>8901</v>
      </c>
      <c r="C3399" s="1">
        <v>41826</v>
      </c>
      <c r="D3399" s="1">
        <v>41832</v>
      </c>
      <c r="E3399" t="s">
        <v>49</v>
      </c>
      <c r="F3399" t="s">
        <v>5210</v>
      </c>
      <c r="G3399" t="s">
        <v>5211</v>
      </c>
      <c r="H3399" t="s">
        <v>101</v>
      </c>
      <c r="I3399" t="s">
        <v>26</v>
      </c>
      <c r="J3399" t="s">
        <v>8902</v>
      </c>
      <c r="K3399" t="s">
        <v>42</v>
      </c>
      <c r="L3399">
        <v>92020</v>
      </c>
      <c r="M3399" t="s">
        <v>43</v>
      </c>
      <c r="N3399" t="s">
        <v>4632</v>
      </c>
      <c r="O3399" t="s">
        <v>31</v>
      </c>
      <c r="P3399" t="s">
        <v>35</v>
      </c>
      <c r="Q3399" t="s">
        <v>4633</v>
      </c>
      <c r="R3399">
        <v>478.48</v>
      </c>
      <c r="S3399">
        <v>2</v>
      </c>
      <c r="T3399">
        <v>0.2</v>
      </c>
      <c r="U3399">
        <v>47.847999999999999</v>
      </c>
      <c r="V3399" t="str">
        <f t="shared" si="53"/>
        <v>Becky Castell</v>
      </c>
      <c r="W3399">
        <f>Table2[Profit]/Table2[Sales]</f>
        <v>9.9999999999999992E-2</v>
      </c>
    </row>
    <row r="3400" spans="1:23" x14ac:dyDescent="0.25">
      <c r="A3400">
        <v>3399</v>
      </c>
      <c r="B3400" t="s">
        <v>8903</v>
      </c>
      <c r="C3400" s="1">
        <v>42499</v>
      </c>
      <c r="D3400" s="1">
        <v>42504</v>
      </c>
      <c r="E3400" t="s">
        <v>49</v>
      </c>
      <c r="F3400" t="s">
        <v>5190</v>
      </c>
      <c r="G3400" t="s">
        <v>5191</v>
      </c>
      <c r="H3400" t="s">
        <v>40</v>
      </c>
      <c r="I3400" t="s">
        <v>26</v>
      </c>
      <c r="J3400" t="s">
        <v>41</v>
      </c>
      <c r="K3400" t="s">
        <v>42</v>
      </c>
      <c r="L3400">
        <v>90036</v>
      </c>
      <c r="M3400" t="s">
        <v>43</v>
      </c>
      <c r="N3400" t="s">
        <v>8719</v>
      </c>
      <c r="O3400" t="s">
        <v>45</v>
      </c>
      <c r="P3400" t="s">
        <v>89</v>
      </c>
      <c r="Q3400" t="s">
        <v>8720</v>
      </c>
      <c r="R3400">
        <v>32.04</v>
      </c>
      <c r="S3400">
        <v>4</v>
      </c>
      <c r="T3400">
        <v>0</v>
      </c>
      <c r="U3400">
        <v>14.417999999999999</v>
      </c>
      <c r="V3400" t="str">
        <f t="shared" si="53"/>
        <v>Ricardo Sperren</v>
      </c>
      <c r="W3400">
        <f>Table2[Profit]/Table2[Sales]</f>
        <v>0.45</v>
      </c>
    </row>
    <row r="3401" spans="1:23" x14ac:dyDescent="0.25">
      <c r="A3401">
        <v>3400</v>
      </c>
      <c r="B3401" t="s">
        <v>8904</v>
      </c>
      <c r="C3401" s="1">
        <v>42569</v>
      </c>
      <c r="D3401" s="1">
        <v>42573</v>
      </c>
      <c r="E3401" t="s">
        <v>49</v>
      </c>
      <c r="F3401" t="s">
        <v>638</v>
      </c>
      <c r="G3401" t="s">
        <v>639</v>
      </c>
      <c r="H3401" t="s">
        <v>25</v>
      </c>
      <c r="I3401" t="s">
        <v>26</v>
      </c>
      <c r="J3401" t="s">
        <v>537</v>
      </c>
      <c r="K3401" t="s">
        <v>303</v>
      </c>
      <c r="L3401">
        <v>85023</v>
      </c>
      <c r="M3401" t="s">
        <v>43</v>
      </c>
      <c r="N3401" t="s">
        <v>1647</v>
      </c>
      <c r="O3401" t="s">
        <v>70</v>
      </c>
      <c r="P3401" t="s">
        <v>71</v>
      </c>
      <c r="Q3401" t="s">
        <v>1648</v>
      </c>
      <c r="R3401">
        <v>55.991999999999997</v>
      </c>
      <c r="S3401">
        <v>1</v>
      </c>
      <c r="T3401">
        <v>0.2</v>
      </c>
      <c r="U3401">
        <v>3.4994999999999998</v>
      </c>
      <c r="V3401" t="str">
        <f t="shared" si="53"/>
        <v>Nora Paige</v>
      </c>
      <c r="W3401">
        <f>Table2[Profit]/Table2[Sales]</f>
        <v>6.25E-2</v>
      </c>
    </row>
    <row r="3402" spans="1:23" x14ac:dyDescent="0.25">
      <c r="A3402">
        <v>3401</v>
      </c>
      <c r="B3402" t="s">
        <v>8905</v>
      </c>
      <c r="C3402" s="1">
        <v>42539</v>
      </c>
      <c r="D3402" s="1">
        <v>42542</v>
      </c>
      <c r="E3402" t="s">
        <v>185</v>
      </c>
      <c r="F3402" t="s">
        <v>5078</v>
      </c>
      <c r="G3402" t="s">
        <v>5079</v>
      </c>
      <c r="H3402" t="s">
        <v>25</v>
      </c>
      <c r="I3402" t="s">
        <v>26</v>
      </c>
      <c r="J3402" t="s">
        <v>7892</v>
      </c>
      <c r="K3402" t="s">
        <v>208</v>
      </c>
      <c r="L3402">
        <v>60423</v>
      </c>
      <c r="M3402" t="s">
        <v>104</v>
      </c>
      <c r="N3402" t="s">
        <v>7458</v>
      </c>
      <c r="O3402" t="s">
        <v>45</v>
      </c>
      <c r="P3402" t="s">
        <v>89</v>
      </c>
      <c r="Q3402" t="s">
        <v>7459</v>
      </c>
      <c r="R3402">
        <v>76.864000000000004</v>
      </c>
      <c r="S3402">
        <v>2</v>
      </c>
      <c r="T3402">
        <v>0.2</v>
      </c>
      <c r="U3402">
        <v>26.9024</v>
      </c>
      <c r="V3402" t="str">
        <f t="shared" si="53"/>
        <v>Bobby Trafton</v>
      </c>
      <c r="W3402">
        <f>Table2[Profit]/Table2[Sales]</f>
        <v>0.35</v>
      </c>
    </row>
    <row r="3403" spans="1:23" x14ac:dyDescent="0.25">
      <c r="A3403">
        <v>3402</v>
      </c>
      <c r="B3403" t="s">
        <v>8906</v>
      </c>
      <c r="C3403" s="1">
        <v>41749</v>
      </c>
      <c r="D3403" s="1">
        <v>41754</v>
      </c>
      <c r="E3403" t="s">
        <v>49</v>
      </c>
      <c r="F3403" t="s">
        <v>4576</v>
      </c>
      <c r="G3403" t="s">
        <v>4577</v>
      </c>
      <c r="H3403" t="s">
        <v>25</v>
      </c>
      <c r="I3403" t="s">
        <v>26</v>
      </c>
      <c r="J3403" t="s">
        <v>41</v>
      </c>
      <c r="K3403" t="s">
        <v>42</v>
      </c>
      <c r="L3403">
        <v>90045</v>
      </c>
      <c r="M3403" t="s">
        <v>43</v>
      </c>
      <c r="N3403" t="s">
        <v>5909</v>
      </c>
      <c r="O3403" t="s">
        <v>31</v>
      </c>
      <c r="P3403" t="s">
        <v>64</v>
      </c>
      <c r="Q3403" t="s">
        <v>5910</v>
      </c>
      <c r="R3403">
        <v>59.92</v>
      </c>
      <c r="S3403">
        <v>4</v>
      </c>
      <c r="T3403">
        <v>0</v>
      </c>
      <c r="U3403">
        <v>27.563199999999998</v>
      </c>
      <c r="V3403" t="str">
        <f t="shared" si="53"/>
        <v>Benjamin Patterson</v>
      </c>
      <c r="W3403">
        <f>Table2[Profit]/Table2[Sales]</f>
        <v>0.45999999999999996</v>
      </c>
    </row>
    <row r="3404" spans="1:23" x14ac:dyDescent="0.25">
      <c r="A3404">
        <v>3403</v>
      </c>
      <c r="B3404" t="s">
        <v>8907</v>
      </c>
      <c r="C3404" s="1">
        <v>42377</v>
      </c>
      <c r="D3404" s="1">
        <v>42381</v>
      </c>
      <c r="E3404" t="s">
        <v>49</v>
      </c>
      <c r="F3404" t="s">
        <v>6479</v>
      </c>
      <c r="G3404" t="s">
        <v>6480</v>
      </c>
      <c r="H3404" t="s">
        <v>40</v>
      </c>
      <c r="I3404" t="s">
        <v>26</v>
      </c>
      <c r="J3404" t="s">
        <v>606</v>
      </c>
      <c r="K3404" t="s">
        <v>113</v>
      </c>
      <c r="L3404">
        <v>53132</v>
      </c>
      <c r="M3404" t="s">
        <v>104</v>
      </c>
      <c r="N3404" t="s">
        <v>198</v>
      </c>
      <c r="O3404" t="s">
        <v>31</v>
      </c>
      <c r="P3404" t="s">
        <v>32</v>
      </c>
      <c r="Q3404" t="s">
        <v>199</v>
      </c>
      <c r="R3404">
        <v>1565.88</v>
      </c>
      <c r="S3404">
        <v>6</v>
      </c>
      <c r="T3404">
        <v>0</v>
      </c>
      <c r="U3404">
        <v>407.12880000000001</v>
      </c>
      <c r="V3404" t="str">
        <f t="shared" si="53"/>
        <v>Jack O'Briant</v>
      </c>
      <c r="W3404">
        <f>Table2[Profit]/Table2[Sales]</f>
        <v>0.26</v>
      </c>
    </row>
    <row r="3405" spans="1:23" x14ac:dyDescent="0.25">
      <c r="A3405">
        <v>3404</v>
      </c>
      <c r="B3405" t="s">
        <v>8908</v>
      </c>
      <c r="C3405" s="1">
        <v>43092</v>
      </c>
      <c r="D3405" s="1">
        <v>43097</v>
      </c>
      <c r="E3405" t="s">
        <v>22</v>
      </c>
      <c r="F3405" t="s">
        <v>7591</v>
      </c>
      <c r="G3405" t="s">
        <v>7592</v>
      </c>
      <c r="H3405" t="s">
        <v>40</v>
      </c>
      <c r="I3405" t="s">
        <v>26</v>
      </c>
      <c r="J3405" t="s">
        <v>5036</v>
      </c>
      <c r="K3405" t="s">
        <v>1683</v>
      </c>
      <c r="L3405">
        <v>72209</v>
      </c>
      <c r="M3405" t="s">
        <v>29</v>
      </c>
      <c r="N3405" t="s">
        <v>752</v>
      </c>
      <c r="O3405" t="s">
        <v>45</v>
      </c>
      <c r="P3405" t="s">
        <v>58</v>
      </c>
      <c r="Q3405" t="s">
        <v>753</v>
      </c>
      <c r="R3405">
        <v>62.04</v>
      </c>
      <c r="S3405">
        <v>4</v>
      </c>
      <c r="T3405">
        <v>0</v>
      </c>
      <c r="U3405">
        <v>17.371200000000002</v>
      </c>
      <c r="V3405" t="str">
        <f t="shared" si="53"/>
        <v>Monica Federle</v>
      </c>
      <c r="W3405">
        <f>Table2[Profit]/Table2[Sales]</f>
        <v>0.28000000000000003</v>
      </c>
    </row>
    <row r="3406" spans="1:23" x14ac:dyDescent="0.25">
      <c r="A3406">
        <v>3405</v>
      </c>
      <c r="B3406" t="s">
        <v>8909</v>
      </c>
      <c r="C3406" s="1">
        <v>42842</v>
      </c>
      <c r="D3406" s="1">
        <v>42847</v>
      </c>
      <c r="E3406" t="s">
        <v>49</v>
      </c>
      <c r="F3406" t="s">
        <v>4275</v>
      </c>
      <c r="G3406" t="s">
        <v>4276</v>
      </c>
      <c r="H3406" t="s">
        <v>25</v>
      </c>
      <c r="I3406" t="s">
        <v>26</v>
      </c>
      <c r="J3406" t="s">
        <v>41</v>
      </c>
      <c r="K3406" t="s">
        <v>42</v>
      </c>
      <c r="L3406">
        <v>90008</v>
      </c>
      <c r="M3406" t="s">
        <v>43</v>
      </c>
      <c r="N3406" t="s">
        <v>3629</v>
      </c>
      <c r="O3406" t="s">
        <v>45</v>
      </c>
      <c r="P3406" t="s">
        <v>89</v>
      </c>
      <c r="Q3406" t="s">
        <v>3630</v>
      </c>
      <c r="R3406">
        <v>28.14</v>
      </c>
      <c r="S3406">
        <v>3</v>
      </c>
      <c r="T3406">
        <v>0</v>
      </c>
      <c r="U3406">
        <v>13.507199999999999</v>
      </c>
      <c r="V3406" t="str">
        <f t="shared" si="53"/>
        <v>Pamela Stobb</v>
      </c>
      <c r="W3406">
        <f>Table2[Profit]/Table2[Sales]</f>
        <v>0.48</v>
      </c>
    </row>
    <row r="3407" spans="1:23" x14ac:dyDescent="0.25">
      <c r="A3407">
        <v>3406</v>
      </c>
      <c r="B3407" t="s">
        <v>8910</v>
      </c>
      <c r="C3407" s="1">
        <v>43070</v>
      </c>
      <c r="D3407" s="1">
        <v>43077</v>
      </c>
      <c r="E3407" t="s">
        <v>49</v>
      </c>
      <c r="F3407" t="s">
        <v>1695</v>
      </c>
      <c r="G3407" t="s">
        <v>1696</v>
      </c>
      <c r="H3407" t="s">
        <v>40</v>
      </c>
      <c r="I3407" t="s">
        <v>26</v>
      </c>
      <c r="J3407" t="s">
        <v>671</v>
      </c>
      <c r="K3407" t="s">
        <v>103</v>
      </c>
      <c r="L3407">
        <v>78207</v>
      </c>
      <c r="M3407" t="s">
        <v>104</v>
      </c>
      <c r="N3407" t="s">
        <v>5885</v>
      </c>
      <c r="O3407" t="s">
        <v>45</v>
      </c>
      <c r="P3407" t="s">
        <v>89</v>
      </c>
      <c r="Q3407" t="s">
        <v>5886</v>
      </c>
      <c r="R3407">
        <v>10.368</v>
      </c>
      <c r="S3407">
        <v>2</v>
      </c>
      <c r="T3407">
        <v>0.2</v>
      </c>
      <c r="U3407">
        <v>3.6288</v>
      </c>
      <c r="V3407" t="str">
        <f t="shared" si="53"/>
        <v>Maribeth Yedwab</v>
      </c>
      <c r="W3407">
        <f>Table2[Profit]/Table2[Sales]</f>
        <v>0.35</v>
      </c>
    </row>
    <row r="3408" spans="1:23" x14ac:dyDescent="0.25">
      <c r="A3408">
        <v>3407</v>
      </c>
      <c r="B3408" t="s">
        <v>8911</v>
      </c>
      <c r="C3408" s="1">
        <v>42603</v>
      </c>
      <c r="D3408" s="1">
        <v>42610</v>
      </c>
      <c r="E3408" t="s">
        <v>49</v>
      </c>
      <c r="F3408" t="s">
        <v>4674</v>
      </c>
      <c r="G3408" t="s">
        <v>4675</v>
      </c>
      <c r="H3408" t="s">
        <v>40</v>
      </c>
      <c r="I3408" t="s">
        <v>26</v>
      </c>
      <c r="J3408" t="s">
        <v>41</v>
      </c>
      <c r="K3408" t="s">
        <v>42</v>
      </c>
      <c r="L3408">
        <v>90004</v>
      </c>
      <c r="M3408" t="s">
        <v>43</v>
      </c>
      <c r="N3408" t="s">
        <v>2860</v>
      </c>
      <c r="O3408" t="s">
        <v>45</v>
      </c>
      <c r="P3408" t="s">
        <v>74</v>
      </c>
      <c r="Q3408" t="s">
        <v>2861</v>
      </c>
      <c r="R3408">
        <v>12.672000000000001</v>
      </c>
      <c r="S3408">
        <v>2</v>
      </c>
      <c r="T3408">
        <v>0.2</v>
      </c>
      <c r="U3408">
        <v>4.7519999999999998</v>
      </c>
      <c r="V3408" t="str">
        <f t="shared" si="53"/>
        <v>Scot Coram</v>
      </c>
      <c r="W3408">
        <f>Table2[Profit]/Table2[Sales]</f>
        <v>0.37499999999999994</v>
      </c>
    </row>
    <row r="3409" spans="1:23" x14ac:dyDescent="0.25">
      <c r="A3409">
        <v>3408</v>
      </c>
      <c r="B3409" t="s">
        <v>8912</v>
      </c>
      <c r="C3409" s="1">
        <v>42709</v>
      </c>
      <c r="D3409" s="1">
        <v>42712</v>
      </c>
      <c r="E3409" t="s">
        <v>22</v>
      </c>
      <c r="F3409" t="s">
        <v>4941</v>
      </c>
      <c r="G3409" t="s">
        <v>4942</v>
      </c>
      <c r="H3409" t="s">
        <v>40</v>
      </c>
      <c r="I3409" t="s">
        <v>26</v>
      </c>
      <c r="J3409" t="s">
        <v>296</v>
      </c>
      <c r="K3409" t="s">
        <v>208</v>
      </c>
      <c r="L3409">
        <v>60610</v>
      </c>
      <c r="M3409" t="s">
        <v>104</v>
      </c>
      <c r="N3409" t="s">
        <v>2645</v>
      </c>
      <c r="O3409" t="s">
        <v>45</v>
      </c>
      <c r="P3409" t="s">
        <v>46</v>
      </c>
      <c r="Q3409" t="s">
        <v>2646</v>
      </c>
      <c r="R3409">
        <v>11.952</v>
      </c>
      <c r="S3409">
        <v>3</v>
      </c>
      <c r="T3409">
        <v>0.2</v>
      </c>
      <c r="U3409">
        <v>3.8843999999999999</v>
      </c>
      <c r="V3409" t="str">
        <f t="shared" si="53"/>
        <v>Randy Ferguson</v>
      </c>
      <c r="W3409">
        <f>Table2[Profit]/Table2[Sales]</f>
        <v>0.32500000000000001</v>
      </c>
    </row>
    <row r="3410" spans="1:23" x14ac:dyDescent="0.25">
      <c r="A3410">
        <v>3409</v>
      </c>
      <c r="B3410" t="s">
        <v>8913</v>
      </c>
      <c r="C3410" s="1">
        <v>42354</v>
      </c>
      <c r="D3410" s="1">
        <v>42357</v>
      </c>
      <c r="E3410" t="s">
        <v>185</v>
      </c>
      <c r="F3410" t="s">
        <v>587</v>
      </c>
      <c r="G3410" t="s">
        <v>588</v>
      </c>
      <c r="H3410" t="s">
        <v>25</v>
      </c>
      <c r="I3410" t="s">
        <v>26</v>
      </c>
      <c r="J3410" t="s">
        <v>94</v>
      </c>
      <c r="K3410" t="s">
        <v>95</v>
      </c>
      <c r="L3410">
        <v>98105</v>
      </c>
      <c r="M3410" t="s">
        <v>43</v>
      </c>
      <c r="N3410" t="s">
        <v>7351</v>
      </c>
      <c r="O3410" t="s">
        <v>45</v>
      </c>
      <c r="P3410" t="s">
        <v>89</v>
      </c>
      <c r="Q3410" t="s">
        <v>7352</v>
      </c>
      <c r="R3410">
        <v>4.9800000000000004</v>
      </c>
      <c r="S3410">
        <v>1</v>
      </c>
      <c r="T3410">
        <v>0</v>
      </c>
      <c r="U3410">
        <v>2.3405999999999998</v>
      </c>
      <c r="V3410" t="str">
        <f t="shared" si="53"/>
        <v>Sandra Glassco</v>
      </c>
      <c r="W3410">
        <f>Table2[Profit]/Table2[Sales]</f>
        <v>0.46999999999999992</v>
      </c>
    </row>
    <row r="3411" spans="1:23" x14ac:dyDescent="0.25">
      <c r="A3411">
        <v>3410</v>
      </c>
      <c r="B3411" t="s">
        <v>8914</v>
      </c>
      <c r="C3411" s="1">
        <v>41929</v>
      </c>
      <c r="D3411" s="1">
        <v>41934</v>
      </c>
      <c r="E3411" t="s">
        <v>22</v>
      </c>
      <c r="F3411" t="s">
        <v>161</v>
      </c>
      <c r="G3411" t="s">
        <v>162</v>
      </c>
      <c r="H3411" t="s">
        <v>25</v>
      </c>
      <c r="I3411" t="s">
        <v>26</v>
      </c>
      <c r="J3411" t="s">
        <v>8915</v>
      </c>
      <c r="K3411" t="s">
        <v>103</v>
      </c>
      <c r="L3411">
        <v>77705</v>
      </c>
      <c r="M3411" t="s">
        <v>104</v>
      </c>
      <c r="N3411" t="s">
        <v>3188</v>
      </c>
      <c r="O3411" t="s">
        <v>45</v>
      </c>
      <c r="P3411" t="s">
        <v>74</v>
      </c>
      <c r="Q3411" t="s">
        <v>3189</v>
      </c>
      <c r="R3411">
        <v>10.78</v>
      </c>
      <c r="S3411">
        <v>5</v>
      </c>
      <c r="T3411">
        <v>0.8</v>
      </c>
      <c r="U3411">
        <v>-17.248000000000001</v>
      </c>
      <c r="V3411" t="str">
        <f t="shared" si="53"/>
        <v>Tracy Blumstein</v>
      </c>
      <c r="W3411">
        <f>Table2[Profit]/Table2[Sales]</f>
        <v>-1.6</v>
      </c>
    </row>
    <row r="3412" spans="1:23" x14ac:dyDescent="0.25">
      <c r="A3412">
        <v>3411</v>
      </c>
      <c r="B3412" t="s">
        <v>8916</v>
      </c>
      <c r="C3412" s="1">
        <v>42618</v>
      </c>
      <c r="D3412" s="1">
        <v>42623</v>
      </c>
      <c r="E3412" t="s">
        <v>49</v>
      </c>
      <c r="F3412" t="s">
        <v>3801</v>
      </c>
      <c r="G3412" t="s">
        <v>3802</v>
      </c>
      <c r="H3412" t="s">
        <v>25</v>
      </c>
      <c r="I3412" t="s">
        <v>26</v>
      </c>
      <c r="J3412" t="s">
        <v>4771</v>
      </c>
      <c r="K3412" t="s">
        <v>312</v>
      </c>
      <c r="L3412">
        <v>23320</v>
      </c>
      <c r="M3412" t="s">
        <v>29</v>
      </c>
      <c r="N3412" t="s">
        <v>5427</v>
      </c>
      <c r="O3412" t="s">
        <v>45</v>
      </c>
      <c r="P3412" t="s">
        <v>46</v>
      </c>
      <c r="Q3412" t="s">
        <v>5428</v>
      </c>
      <c r="R3412">
        <v>25.06</v>
      </c>
      <c r="S3412">
        <v>2</v>
      </c>
      <c r="T3412">
        <v>0</v>
      </c>
      <c r="U3412">
        <v>11.7782</v>
      </c>
      <c r="V3412" t="str">
        <f t="shared" si="53"/>
        <v>Michael Moore</v>
      </c>
      <c r="W3412">
        <f>Table2[Profit]/Table2[Sales]</f>
        <v>0.47000000000000003</v>
      </c>
    </row>
    <row r="3413" spans="1:23" x14ac:dyDescent="0.25">
      <c r="A3413">
        <v>3412</v>
      </c>
      <c r="B3413" t="s">
        <v>8917</v>
      </c>
      <c r="C3413" s="1">
        <v>42292</v>
      </c>
      <c r="D3413" s="1">
        <v>42292</v>
      </c>
      <c r="E3413" t="s">
        <v>1278</v>
      </c>
      <c r="F3413" t="s">
        <v>23</v>
      </c>
      <c r="G3413" t="s">
        <v>24</v>
      </c>
      <c r="H3413" t="s">
        <v>25</v>
      </c>
      <c r="I3413" t="s">
        <v>26</v>
      </c>
      <c r="J3413" t="s">
        <v>808</v>
      </c>
      <c r="K3413" t="s">
        <v>103</v>
      </c>
      <c r="L3413">
        <v>75217</v>
      </c>
      <c r="M3413" t="s">
        <v>104</v>
      </c>
      <c r="N3413" t="s">
        <v>3287</v>
      </c>
      <c r="O3413" t="s">
        <v>31</v>
      </c>
      <c r="P3413" t="s">
        <v>64</v>
      </c>
      <c r="Q3413" t="s">
        <v>3288</v>
      </c>
      <c r="R3413">
        <v>131.376</v>
      </c>
      <c r="S3413">
        <v>6</v>
      </c>
      <c r="T3413">
        <v>0.6</v>
      </c>
      <c r="U3413">
        <v>-95.247600000000006</v>
      </c>
      <c r="V3413" t="str">
        <f t="shared" si="53"/>
        <v>Claire Gute</v>
      </c>
      <c r="W3413">
        <f>Table2[Profit]/Table2[Sales]</f>
        <v>-0.72499999999999998</v>
      </c>
    </row>
    <row r="3414" spans="1:23" x14ac:dyDescent="0.25">
      <c r="A3414">
        <v>3413</v>
      </c>
      <c r="B3414" t="s">
        <v>8918</v>
      </c>
      <c r="C3414" s="1">
        <v>42339</v>
      </c>
      <c r="D3414" s="1">
        <v>42343</v>
      </c>
      <c r="E3414" t="s">
        <v>22</v>
      </c>
      <c r="F3414" t="s">
        <v>614</v>
      </c>
      <c r="G3414" t="s">
        <v>615</v>
      </c>
      <c r="H3414" t="s">
        <v>101</v>
      </c>
      <c r="I3414" t="s">
        <v>26</v>
      </c>
      <c r="J3414" t="s">
        <v>94</v>
      </c>
      <c r="K3414" t="s">
        <v>95</v>
      </c>
      <c r="L3414">
        <v>98105</v>
      </c>
      <c r="M3414" t="s">
        <v>43</v>
      </c>
      <c r="N3414" t="s">
        <v>1702</v>
      </c>
      <c r="O3414" t="s">
        <v>31</v>
      </c>
      <c r="P3414" t="s">
        <v>35</v>
      </c>
      <c r="Q3414" t="s">
        <v>1703</v>
      </c>
      <c r="R3414">
        <v>2003.92</v>
      </c>
      <c r="S3414">
        <v>5</v>
      </c>
      <c r="T3414">
        <v>0.2</v>
      </c>
      <c r="U3414">
        <v>125.245</v>
      </c>
      <c r="V3414" t="str">
        <f t="shared" si="53"/>
        <v>Tamara Willingham</v>
      </c>
      <c r="W3414">
        <f>Table2[Profit]/Table2[Sales]</f>
        <v>6.25E-2</v>
      </c>
    </row>
    <row r="3415" spans="1:23" x14ac:dyDescent="0.25">
      <c r="A3415">
        <v>3414</v>
      </c>
      <c r="B3415" t="s">
        <v>8919</v>
      </c>
      <c r="C3415" s="1">
        <v>42155</v>
      </c>
      <c r="D3415" s="1">
        <v>42159</v>
      </c>
      <c r="E3415" t="s">
        <v>49</v>
      </c>
      <c r="F3415" t="s">
        <v>1844</v>
      </c>
      <c r="G3415" t="s">
        <v>1845</v>
      </c>
      <c r="H3415" t="s">
        <v>25</v>
      </c>
      <c r="I3415" t="s">
        <v>26</v>
      </c>
      <c r="J3415" t="s">
        <v>402</v>
      </c>
      <c r="K3415" t="s">
        <v>226</v>
      </c>
      <c r="L3415">
        <v>55407</v>
      </c>
      <c r="M3415" t="s">
        <v>104</v>
      </c>
      <c r="N3415" t="s">
        <v>6107</v>
      </c>
      <c r="O3415" t="s">
        <v>31</v>
      </c>
      <c r="P3415" t="s">
        <v>35</v>
      </c>
      <c r="Q3415" t="s">
        <v>6108</v>
      </c>
      <c r="R3415">
        <v>2567.84</v>
      </c>
      <c r="S3415">
        <v>8</v>
      </c>
      <c r="T3415">
        <v>0</v>
      </c>
      <c r="U3415">
        <v>770.35199999999998</v>
      </c>
      <c r="V3415" t="str">
        <f t="shared" si="53"/>
        <v>Bill Donatelli</v>
      </c>
      <c r="W3415">
        <f>Table2[Profit]/Table2[Sales]</f>
        <v>0.3</v>
      </c>
    </row>
    <row r="3416" spans="1:23" x14ac:dyDescent="0.25">
      <c r="A3416">
        <v>3415</v>
      </c>
      <c r="B3416" t="s">
        <v>8920</v>
      </c>
      <c r="C3416" s="1">
        <v>42988</v>
      </c>
      <c r="D3416" s="1">
        <v>42995</v>
      </c>
      <c r="E3416" t="s">
        <v>49</v>
      </c>
      <c r="F3416" t="s">
        <v>3756</v>
      </c>
      <c r="G3416" t="s">
        <v>3757</v>
      </c>
      <c r="H3416" t="s">
        <v>25</v>
      </c>
      <c r="I3416" t="s">
        <v>26</v>
      </c>
      <c r="J3416" t="s">
        <v>311</v>
      </c>
      <c r="K3416" t="s">
        <v>491</v>
      </c>
      <c r="L3416">
        <v>45503</v>
      </c>
      <c r="M3416" t="s">
        <v>145</v>
      </c>
      <c r="N3416" t="s">
        <v>461</v>
      </c>
      <c r="O3416" t="s">
        <v>70</v>
      </c>
      <c r="P3416" t="s">
        <v>158</v>
      </c>
      <c r="Q3416" t="s">
        <v>462</v>
      </c>
      <c r="R3416">
        <v>37.055999999999997</v>
      </c>
      <c r="S3416">
        <v>4</v>
      </c>
      <c r="T3416">
        <v>0.2</v>
      </c>
      <c r="U3416">
        <v>8.8008000000000006</v>
      </c>
      <c r="V3416" t="str">
        <f t="shared" si="53"/>
        <v>Helen Abelman</v>
      </c>
      <c r="W3416">
        <f>Table2[Profit]/Table2[Sales]</f>
        <v>0.23750000000000004</v>
      </c>
    </row>
    <row r="3417" spans="1:23" x14ac:dyDescent="0.25">
      <c r="A3417">
        <v>3416</v>
      </c>
      <c r="B3417" t="s">
        <v>8921</v>
      </c>
      <c r="C3417" s="1">
        <v>42850</v>
      </c>
      <c r="D3417" s="1">
        <v>42857</v>
      </c>
      <c r="E3417" t="s">
        <v>49</v>
      </c>
      <c r="F3417" t="s">
        <v>2684</v>
      </c>
      <c r="G3417" t="s">
        <v>2685</v>
      </c>
      <c r="H3417" t="s">
        <v>25</v>
      </c>
      <c r="I3417" t="s">
        <v>26</v>
      </c>
      <c r="J3417" t="s">
        <v>41</v>
      </c>
      <c r="K3417" t="s">
        <v>42</v>
      </c>
      <c r="L3417">
        <v>90032</v>
      </c>
      <c r="M3417" t="s">
        <v>43</v>
      </c>
      <c r="N3417" t="s">
        <v>322</v>
      </c>
      <c r="O3417" t="s">
        <v>45</v>
      </c>
      <c r="P3417" t="s">
        <v>89</v>
      </c>
      <c r="Q3417" t="s">
        <v>323</v>
      </c>
      <c r="R3417">
        <v>19.05</v>
      </c>
      <c r="S3417">
        <v>3</v>
      </c>
      <c r="T3417">
        <v>0</v>
      </c>
      <c r="U3417">
        <v>8.7629999999999999</v>
      </c>
      <c r="V3417" t="str">
        <f t="shared" si="53"/>
        <v>Lauren Leatherbury</v>
      </c>
      <c r="W3417">
        <f>Table2[Profit]/Table2[Sales]</f>
        <v>0.45999999999999996</v>
      </c>
    </row>
    <row r="3418" spans="1:23" x14ac:dyDescent="0.25">
      <c r="A3418">
        <v>3417</v>
      </c>
      <c r="B3418" t="s">
        <v>8922</v>
      </c>
      <c r="C3418" s="1">
        <v>42996</v>
      </c>
      <c r="D3418" s="1">
        <v>43000</v>
      </c>
      <c r="E3418" t="s">
        <v>49</v>
      </c>
      <c r="F3418" t="s">
        <v>1385</v>
      </c>
      <c r="G3418" t="s">
        <v>1386</v>
      </c>
      <c r="H3418" t="s">
        <v>40</v>
      </c>
      <c r="I3418" t="s">
        <v>26</v>
      </c>
      <c r="J3418" t="s">
        <v>490</v>
      </c>
      <c r="K3418" t="s">
        <v>1260</v>
      </c>
      <c r="L3418">
        <v>31907</v>
      </c>
      <c r="M3418" t="s">
        <v>29</v>
      </c>
      <c r="N3418" t="s">
        <v>759</v>
      </c>
      <c r="O3418" t="s">
        <v>70</v>
      </c>
      <c r="P3418" t="s">
        <v>71</v>
      </c>
      <c r="Q3418" t="s">
        <v>760</v>
      </c>
      <c r="R3418">
        <v>95.68</v>
      </c>
      <c r="S3418">
        <v>8</v>
      </c>
      <c r="T3418">
        <v>0</v>
      </c>
      <c r="U3418">
        <v>26.790400000000002</v>
      </c>
      <c r="V3418" t="str">
        <f t="shared" si="53"/>
        <v>Saphhira Shifley</v>
      </c>
      <c r="W3418">
        <f>Table2[Profit]/Table2[Sales]</f>
        <v>0.27999999999999997</v>
      </c>
    </row>
    <row r="3419" spans="1:23" x14ac:dyDescent="0.25">
      <c r="A3419">
        <v>3418</v>
      </c>
      <c r="B3419" t="s">
        <v>8923</v>
      </c>
      <c r="C3419" s="1">
        <v>42965</v>
      </c>
      <c r="D3419" s="1">
        <v>42972</v>
      </c>
      <c r="E3419" t="s">
        <v>49</v>
      </c>
      <c r="F3419" t="s">
        <v>1974</v>
      </c>
      <c r="G3419" t="s">
        <v>1975</v>
      </c>
      <c r="H3419" t="s">
        <v>25</v>
      </c>
      <c r="I3419" t="s">
        <v>26</v>
      </c>
      <c r="J3419" t="s">
        <v>1111</v>
      </c>
      <c r="K3419" t="s">
        <v>491</v>
      </c>
      <c r="L3419">
        <v>44107</v>
      </c>
      <c r="M3419" t="s">
        <v>145</v>
      </c>
      <c r="N3419" t="s">
        <v>4816</v>
      </c>
      <c r="O3419" t="s">
        <v>45</v>
      </c>
      <c r="P3419" t="s">
        <v>74</v>
      </c>
      <c r="Q3419" t="s">
        <v>4817</v>
      </c>
      <c r="R3419">
        <v>10.782</v>
      </c>
      <c r="S3419">
        <v>3</v>
      </c>
      <c r="T3419">
        <v>0.7</v>
      </c>
      <c r="U3419">
        <v>-7.9067999999999996</v>
      </c>
      <c r="V3419" t="str">
        <f t="shared" si="53"/>
        <v>Chloris Kastensmidt</v>
      </c>
      <c r="W3419">
        <f>Table2[Profit]/Table2[Sales]</f>
        <v>-0.73333333333333328</v>
      </c>
    </row>
    <row r="3420" spans="1:23" x14ac:dyDescent="0.25">
      <c r="A3420">
        <v>3419</v>
      </c>
      <c r="B3420" t="s">
        <v>8924</v>
      </c>
      <c r="C3420" s="1">
        <v>42148</v>
      </c>
      <c r="D3420" s="1">
        <v>42150</v>
      </c>
      <c r="E3420" t="s">
        <v>22</v>
      </c>
      <c r="F3420" t="s">
        <v>7370</v>
      </c>
      <c r="G3420" t="s">
        <v>7371</v>
      </c>
      <c r="H3420" t="s">
        <v>25</v>
      </c>
      <c r="I3420" t="s">
        <v>26</v>
      </c>
      <c r="J3420" t="s">
        <v>207</v>
      </c>
      <c r="K3420" t="s">
        <v>208</v>
      </c>
      <c r="L3420">
        <v>60540</v>
      </c>
      <c r="M3420" t="s">
        <v>104</v>
      </c>
      <c r="N3420" t="s">
        <v>3134</v>
      </c>
      <c r="O3420" t="s">
        <v>31</v>
      </c>
      <c r="P3420" t="s">
        <v>35</v>
      </c>
      <c r="Q3420" t="s">
        <v>3135</v>
      </c>
      <c r="R3420">
        <v>602.65099999999995</v>
      </c>
      <c r="S3420">
        <v>7</v>
      </c>
      <c r="T3420">
        <v>0.3</v>
      </c>
      <c r="U3420">
        <v>-163.57669999999999</v>
      </c>
      <c r="V3420" t="str">
        <f t="shared" si="53"/>
        <v>Vivek Sundaresam</v>
      </c>
      <c r="W3420">
        <f>Table2[Profit]/Table2[Sales]</f>
        <v>-0.27142857142857141</v>
      </c>
    </row>
    <row r="3421" spans="1:23" x14ac:dyDescent="0.25">
      <c r="A3421">
        <v>3420</v>
      </c>
      <c r="B3421" t="s">
        <v>8925</v>
      </c>
      <c r="C3421" s="1">
        <v>42254</v>
      </c>
      <c r="D3421" s="1">
        <v>42258</v>
      </c>
      <c r="E3421" t="s">
        <v>49</v>
      </c>
      <c r="F3421" t="s">
        <v>1577</v>
      </c>
      <c r="G3421" t="s">
        <v>1578</v>
      </c>
      <c r="H3421" t="s">
        <v>101</v>
      </c>
      <c r="I3421" t="s">
        <v>26</v>
      </c>
      <c r="J3421" t="s">
        <v>263</v>
      </c>
      <c r="K3421" t="s">
        <v>264</v>
      </c>
      <c r="L3421">
        <v>10009</v>
      </c>
      <c r="M3421" t="s">
        <v>145</v>
      </c>
      <c r="N3421" t="s">
        <v>2533</v>
      </c>
      <c r="O3421" t="s">
        <v>70</v>
      </c>
      <c r="P3421" t="s">
        <v>158</v>
      </c>
      <c r="Q3421" t="s">
        <v>2534</v>
      </c>
      <c r="R3421">
        <v>559.92999999999995</v>
      </c>
      <c r="S3421">
        <v>7</v>
      </c>
      <c r="T3421">
        <v>0</v>
      </c>
      <c r="U3421">
        <v>167.97900000000001</v>
      </c>
      <c r="V3421" t="str">
        <f t="shared" si="53"/>
        <v>Tanja Norvell</v>
      </c>
      <c r="W3421">
        <f>Table2[Profit]/Table2[Sales]</f>
        <v>0.30000000000000004</v>
      </c>
    </row>
    <row r="3422" spans="1:23" x14ac:dyDescent="0.25">
      <c r="A3422">
        <v>3421</v>
      </c>
      <c r="B3422" t="s">
        <v>8926</v>
      </c>
      <c r="C3422" s="1">
        <v>42940</v>
      </c>
      <c r="D3422" s="1">
        <v>42940</v>
      </c>
      <c r="E3422" t="s">
        <v>1278</v>
      </c>
      <c r="F3422" t="s">
        <v>3326</v>
      </c>
      <c r="G3422" t="s">
        <v>3327</v>
      </c>
      <c r="H3422" t="s">
        <v>40</v>
      </c>
      <c r="I3422" t="s">
        <v>26</v>
      </c>
      <c r="J3422" t="s">
        <v>1441</v>
      </c>
      <c r="K3422" t="s">
        <v>42</v>
      </c>
      <c r="L3422">
        <v>92646</v>
      </c>
      <c r="M3422" t="s">
        <v>43</v>
      </c>
      <c r="N3422" t="s">
        <v>1203</v>
      </c>
      <c r="O3422" t="s">
        <v>70</v>
      </c>
      <c r="P3422" t="s">
        <v>1204</v>
      </c>
      <c r="Q3422" t="s">
        <v>1205</v>
      </c>
      <c r="R3422">
        <v>2399.96</v>
      </c>
      <c r="S3422">
        <v>5</v>
      </c>
      <c r="T3422">
        <v>0.2</v>
      </c>
      <c r="U3422">
        <v>839.98599999999999</v>
      </c>
      <c r="V3422" t="str">
        <f t="shared" si="53"/>
        <v>Harold Ryan</v>
      </c>
      <c r="W3422">
        <f>Table2[Profit]/Table2[Sales]</f>
        <v>0.35</v>
      </c>
    </row>
    <row r="3423" spans="1:23" x14ac:dyDescent="0.25">
      <c r="A3423">
        <v>3422</v>
      </c>
      <c r="B3423" t="s">
        <v>8927</v>
      </c>
      <c r="C3423" s="1">
        <v>42980</v>
      </c>
      <c r="D3423" s="1">
        <v>42986</v>
      </c>
      <c r="E3423" t="s">
        <v>49</v>
      </c>
      <c r="F3423" t="s">
        <v>2689</v>
      </c>
      <c r="G3423" t="s">
        <v>2690</v>
      </c>
      <c r="H3423" t="s">
        <v>40</v>
      </c>
      <c r="I3423" t="s">
        <v>26</v>
      </c>
      <c r="J3423" t="s">
        <v>296</v>
      </c>
      <c r="K3423" t="s">
        <v>208</v>
      </c>
      <c r="L3423">
        <v>60653</v>
      </c>
      <c r="M3423" t="s">
        <v>104</v>
      </c>
      <c r="N3423" t="s">
        <v>2541</v>
      </c>
      <c r="O3423" t="s">
        <v>45</v>
      </c>
      <c r="P3423" t="s">
        <v>266</v>
      </c>
      <c r="Q3423" t="s">
        <v>2542</v>
      </c>
      <c r="R3423">
        <v>16</v>
      </c>
      <c r="S3423">
        <v>4</v>
      </c>
      <c r="T3423">
        <v>0.2</v>
      </c>
      <c r="U3423">
        <v>5.6</v>
      </c>
      <c r="V3423" t="str">
        <f t="shared" si="53"/>
        <v>Jill Stevenson</v>
      </c>
      <c r="W3423">
        <f>Table2[Profit]/Table2[Sales]</f>
        <v>0.35</v>
      </c>
    </row>
    <row r="3424" spans="1:23" x14ac:dyDescent="0.25">
      <c r="A3424">
        <v>3423</v>
      </c>
      <c r="B3424" t="s">
        <v>8930</v>
      </c>
      <c r="C3424" s="1">
        <v>43075</v>
      </c>
      <c r="D3424" s="1">
        <v>43077</v>
      </c>
      <c r="E3424" t="s">
        <v>22</v>
      </c>
      <c r="F3424" t="s">
        <v>2239</v>
      </c>
      <c r="G3424" t="s">
        <v>2240</v>
      </c>
      <c r="H3424" t="s">
        <v>40</v>
      </c>
      <c r="I3424" t="s">
        <v>26</v>
      </c>
      <c r="J3424" t="s">
        <v>983</v>
      </c>
      <c r="K3424" t="s">
        <v>42</v>
      </c>
      <c r="L3424">
        <v>94513</v>
      </c>
      <c r="M3424" t="s">
        <v>43</v>
      </c>
      <c r="N3424" t="s">
        <v>2617</v>
      </c>
      <c r="O3424" t="s">
        <v>45</v>
      </c>
      <c r="P3424" t="s">
        <v>58</v>
      </c>
      <c r="Q3424" t="s">
        <v>2618</v>
      </c>
      <c r="R3424">
        <v>10.68</v>
      </c>
      <c r="S3424">
        <v>1</v>
      </c>
      <c r="T3424">
        <v>0</v>
      </c>
      <c r="U3424">
        <v>2.8835999999999999</v>
      </c>
      <c r="V3424" t="str">
        <f t="shared" si="53"/>
        <v>Brad Norvell</v>
      </c>
      <c r="W3424">
        <f>Table2[Profit]/Table2[Sales]</f>
        <v>0.27</v>
      </c>
    </row>
    <row r="3425" spans="1:23" x14ac:dyDescent="0.25">
      <c r="A3425">
        <v>3424</v>
      </c>
      <c r="B3425" t="s">
        <v>8931</v>
      </c>
      <c r="C3425" s="1">
        <v>42875</v>
      </c>
      <c r="D3425" s="1">
        <v>42875</v>
      </c>
      <c r="E3425" t="s">
        <v>1278</v>
      </c>
      <c r="F3425" t="s">
        <v>1313</v>
      </c>
      <c r="G3425" t="s">
        <v>1314</v>
      </c>
      <c r="H3425" t="s">
        <v>40</v>
      </c>
      <c r="I3425" t="s">
        <v>26</v>
      </c>
      <c r="J3425" t="s">
        <v>2354</v>
      </c>
      <c r="K3425" t="s">
        <v>235</v>
      </c>
      <c r="L3425">
        <v>48183</v>
      </c>
      <c r="M3425" t="s">
        <v>104</v>
      </c>
      <c r="N3425" t="s">
        <v>1331</v>
      </c>
      <c r="O3425" t="s">
        <v>45</v>
      </c>
      <c r="P3425" t="s">
        <v>74</v>
      </c>
      <c r="Q3425" t="s">
        <v>1332</v>
      </c>
      <c r="R3425">
        <v>41.28</v>
      </c>
      <c r="S3425">
        <v>2</v>
      </c>
      <c r="T3425">
        <v>0</v>
      </c>
      <c r="U3425">
        <v>19.814399999999999</v>
      </c>
      <c r="V3425" t="str">
        <f t="shared" si="53"/>
        <v>Allen Rosenblatt</v>
      </c>
      <c r="W3425">
        <f>Table2[Profit]/Table2[Sales]</f>
        <v>0.48</v>
      </c>
    </row>
    <row r="3426" spans="1:23" x14ac:dyDescent="0.25">
      <c r="A3426">
        <v>3425</v>
      </c>
      <c r="B3426" t="s">
        <v>8932</v>
      </c>
      <c r="C3426" s="1">
        <v>42640</v>
      </c>
      <c r="D3426" s="1">
        <v>42646</v>
      </c>
      <c r="E3426" t="s">
        <v>49</v>
      </c>
      <c r="F3426" t="s">
        <v>4262</v>
      </c>
      <c r="G3426" t="s">
        <v>4263</v>
      </c>
      <c r="H3426" t="s">
        <v>25</v>
      </c>
      <c r="I3426" t="s">
        <v>26</v>
      </c>
      <c r="J3426" t="s">
        <v>94</v>
      </c>
      <c r="K3426" t="s">
        <v>95</v>
      </c>
      <c r="L3426">
        <v>98103</v>
      </c>
      <c r="M3426" t="s">
        <v>43</v>
      </c>
      <c r="N3426" t="s">
        <v>7744</v>
      </c>
      <c r="O3426" t="s">
        <v>70</v>
      </c>
      <c r="P3426" t="s">
        <v>71</v>
      </c>
      <c r="Q3426" t="s">
        <v>7745</v>
      </c>
      <c r="R3426">
        <v>1001.5839999999999</v>
      </c>
      <c r="S3426">
        <v>2</v>
      </c>
      <c r="T3426">
        <v>0.2</v>
      </c>
      <c r="U3426">
        <v>125.19799999999999</v>
      </c>
      <c r="V3426" t="str">
        <f t="shared" si="53"/>
        <v>Shaun Weien</v>
      </c>
      <c r="W3426">
        <f>Table2[Profit]/Table2[Sales]</f>
        <v>0.125</v>
      </c>
    </row>
    <row r="3427" spans="1:23" x14ac:dyDescent="0.25">
      <c r="A3427">
        <v>3426</v>
      </c>
      <c r="B3427" t="s">
        <v>8933</v>
      </c>
      <c r="C3427" s="1">
        <v>43079</v>
      </c>
      <c r="D3427" s="1">
        <v>43084</v>
      </c>
      <c r="E3427" t="s">
        <v>49</v>
      </c>
      <c r="F3427" t="s">
        <v>604</v>
      </c>
      <c r="G3427" t="s">
        <v>605</v>
      </c>
      <c r="H3427" t="s">
        <v>40</v>
      </c>
      <c r="I3427" t="s">
        <v>26</v>
      </c>
      <c r="J3427" t="s">
        <v>5398</v>
      </c>
      <c r="K3427" t="s">
        <v>376</v>
      </c>
      <c r="L3427">
        <v>29406</v>
      </c>
      <c r="M3427" t="s">
        <v>29</v>
      </c>
      <c r="N3427" t="s">
        <v>4958</v>
      </c>
      <c r="O3427" t="s">
        <v>31</v>
      </c>
      <c r="P3427" t="s">
        <v>64</v>
      </c>
      <c r="Q3427" t="s">
        <v>4959</v>
      </c>
      <c r="R3427">
        <v>14.76</v>
      </c>
      <c r="S3427">
        <v>2</v>
      </c>
      <c r="T3427">
        <v>0</v>
      </c>
      <c r="U3427">
        <v>4.2804000000000002</v>
      </c>
      <c r="V3427" t="str">
        <f t="shared" si="53"/>
        <v>Justin Ellison</v>
      </c>
      <c r="W3427">
        <f>Table2[Profit]/Table2[Sales]</f>
        <v>0.29000000000000004</v>
      </c>
    </row>
    <row r="3428" spans="1:23" x14ac:dyDescent="0.25">
      <c r="A3428">
        <v>3427</v>
      </c>
      <c r="B3428" t="s">
        <v>8934</v>
      </c>
      <c r="C3428" s="1">
        <v>41895</v>
      </c>
      <c r="D3428" s="1">
        <v>41900</v>
      </c>
      <c r="E3428" t="s">
        <v>22</v>
      </c>
      <c r="F3428" t="s">
        <v>239</v>
      </c>
      <c r="G3428" t="s">
        <v>240</v>
      </c>
      <c r="H3428" t="s">
        <v>25</v>
      </c>
      <c r="I3428" t="s">
        <v>26</v>
      </c>
      <c r="J3428" t="s">
        <v>490</v>
      </c>
      <c r="K3428" t="s">
        <v>491</v>
      </c>
      <c r="L3428">
        <v>43229</v>
      </c>
      <c r="M3428" t="s">
        <v>145</v>
      </c>
      <c r="N3428" t="s">
        <v>2919</v>
      </c>
      <c r="O3428" t="s">
        <v>45</v>
      </c>
      <c r="P3428" t="s">
        <v>74</v>
      </c>
      <c r="Q3428" t="s">
        <v>2920</v>
      </c>
      <c r="R3428">
        <v>2.5019999999999998</v>
      </c>
      <c r="S3428">
        <v>3</v>
      </c>
      <c r="T3428">
        <v>0.7</v>
      </c>
      <c r="U3428">
        <v>-2.0015999999999998</v>
      </c>
      <c r="V3428" t="str">
        <f t="shared" si="53"/>
        <v>Lena Hernandez</v>
      </c>
      <c r="W3428">
        <f>Table2[Profit]/Table2[Sales]</f>
        <v>-0.8</v>
      </c>
    </row>
    <row r="3429" spans="1:23" x14ac:dyDescent="0.25">
      <c r="A3429">
        <v>3428</v>
      </c>
      <c r="B3429" t="s">
        <v>8935</v>
      </c>
      <c r="C3429" s="1">
        <v>42945</v>
      </c>
      <c r="D3429" s="1">
        <v>42949</v>
      </c>
      <c r="E3429" t="s">
        <v>49</v>
      </c>
      <c r="F3429" t="s">
        <v>2962</v>
      </c>
      <c r="G3429" t="s">
        <v>2963</v>
      </c>
      <c r="H3429" t="s">
        <v>25</v>
      </c>
      <c r="I3429" t="s">
        <v>26</v>
      </c>
      <c r="J3429" t="s">
        <v>94</v>
      </c>
      <c r="K3429" t="s">
        <v>95</v>
      </c>
      <c r="L3429">
        <v>98103</v>
      </c>
      <c r="M3429" t="s">
        <v>43</v>
      </c>
      <c r="N3429" t="s">
        <v>1068</v>
      </c>
      <c r="O3429" t="s">
        <v>31</v>
      </c>
      <c r="P3429" t="s">
        <v>32</v>
      </c>
      <c r="Q3429" t="s">
        <v>1069</v>
      </c>
      <c r="R3429">
        <v>115.96</v>
      </c>
      <c r="S3429">
        <v>2</v>
      </c>
      <c r="T3429">
        <v>0</v>
      </c>
      <c r="U3429">
        <v>25.511199999999999</v>
      </c>
      <c r="V3429" t="str">
        <f t="shared" si="53"/>
        <v>Vivek Gonzalez</v>
      </c>
      <c r="W3429">
        <f>Table2[Profit]/Table2[Sales]</f>
        <v>0.22</v>
      </c>
    </row>
    <row r="3430" spans="1:23" x14ac:dyDescent="0.25">
      <c r="A3430">
        <v>3429</v>
      </c>
      <c r="B3430" t="s">
        <v>8936</v>
      </c>
      <c r="C3430" s="1">
        <v>42948</v>
      </c>
      <c r="D3430" s="1">
        <v>42952</v>
      </c>
      <c r="E3430" t="s">
        <v>22</v>
      </c>
      <c r="F3430" t="s">
        <v>652</v>
      </c>
      <c r="G3430" t="s">
        <v>653</v>
      </c>
      <c r="H3430" t="s">
        <v>25</v>
      </c>
      <c r="I3430" t="s">
        <v>26</v>
      </c>
      <c r="J3430" t="s">
        <v>126</v>
      </c>
      <c r="K3430" t="s">
        <v>42</v>
      </c>
      <c r="L3430">
        <v>94109</v>
      </c>
      <c r="M3430" t="s">
        <v>43</v>
      </c>
      <c r="N3430" t="s">
        <v>3165</v>
      </c>
      <c r="O3430" t="s">
        <v>45</v>
      </c>
      <c r="P3430" t="s">
        <v>58</v>
      </c>
      <c r="Q3430" t="s">
        <v>3166</v>
      </c>
      <c r="R3430">
        <v>186.54</v>
      </c>
      <c r="S3430">
        <v>3</v>
      </c>
      <c r="T3430">
        <v>0</v>
      </c>
      <c r="U3430">
        <v>50.3658</v>
      </c>
      <c r="V3430" t="str">
        <f t="shared" si="53"/>
        <v>Eric Murdock</v>
      </c>
      <c r="W3430">
        <f>Table2[Profit]/Table2[Sales]</f>
        <v>0.27</v>
      </c>
    </row>
    <row r="3431" spans="1:23" x14ac:dyDescent="0.25">
      <c r="A3431">
        <v>3430</v>
      </c>
      <c r="B3431" t="s">
        <v>8937</v>
      </c>
      <c r="C3431" s="1">
        <v>42857</v>
      </c>
      <c r="D3431" s="1">
        <v>42860</v>
      </c>
      <c r="E3431" t="s">
        <v>22</v>
      </c>
      <c r="F3431" t="s">
        <v>5213</v>
      </c>
      <c r="G3431" t="s">
        <v>5214</v>
      </c>
      <c r="H3431" t="s">
        <v>40</v>
      </c>
      <c r="I3431" t="s">
        <v>26</v>
      </c>
      <c r="J3431" t="s">
        <v>41</v>
      </c>
      <c r="K3431" t="s">
        <v>42</v>
      </c>
      <c r="L3431">
        <v>90049</v>
      </c>
      <c r="M3431" t="s">
        <v>43</v>
      </c>
      <c r="N3431" t="s">
        <v>2629</v>
      </c>
      <c r="O3431" t="s">
        <v>70</v>
      </c>
      <c r="P3431" t="s">
        <v>158</v>
      </c>
      <c r="Q3431" t="s">
        <v>2630</v>
      </c>
      <c r="R3431">
        <v>159.56</v>
      </c>
      <c r="S3431">
        <v>4</v>
      </c>
      <c r="T3431">
        <v>0</v>
      </c>
      <c r="U3431">
        <v>59.037199999999999</v>
      </c>
      <c r="V3431" t="str">
        <f t="shared" si="53"/>
        <v>Elizabeth Moffitt</v>
      </c>
      <c r="W3431">
        <f>Table2[Profit]/Table2[Sales]</f>
        <v>0.37</v>
      </c>
    </row>
    <row r="3432" spans="1:23" x14ac:dyDescent="0.25">
      <c r="A3432">
        <v>3431</v>
      </c>
      <c r="B3432" t="s">
        <v>8938</v>
      </c>
      <c r="C3432" s="1">
        <v>42167</v>
      </c>
      <c r="D3432" s="1">
        <v>42171</v>
      </c>
      <c r="E3432" t="s">
        <v>49</v>
      </c>
      <c r="F3432" t="s">
        <v>852</v>
      </c>
      <c r="G3432" t="s">
        <v>853</v>
      </c>
      <c r="H3432" t="s">
        <v>25</v>
      </c>
      <c r="I3432" t="s">
        <v>26</v>
      </c>
      <c r="J3432" t="s">
        <v>8939</v>
      </c>
      <c r="K3432" t="s">
        <v>53</v>
      </c>
      <c r="L3432">
        <v>33407</v>
      </c>
      <c r="M3432" t="s">
        <v>29</v>
      </c>
      <c r="N3432" t="s">
        <v>463</v>
      </c>
      <c r="O3432" t="s">
        <v>70</v>
      </c>
      <c r="P3432" t="s">
        <v>71</v>
      </c>
      <c r="Q3432" t="s">
        <v>464</v>
      </c>
      <c r="R3432">
        <v>55.984000000000002</v>
      </c>
      <c r="S3432">
        <v>2</v>
      </c>
      <c r="T3432">
        <v>0.2</v>
      </c>
      <c r="U3432">
        <v>4.1988000000000003</v>
      </c>
      <c r="V3432" t="str">
        <f t="shared" si="53"/>
        <v>Jonathan Howell</v>
      </c>
      <c r="W3432">
        <f>Table2[Profit]/Table2[Sales]</f>
        <v>7.4999999999999997E-2</v>
      </c>
    </row>
    <row r="3433" spans="1:23" x14ac:dyDescent="0.25">
      <c r="A3433">
        <v>3432</v>
      </c>
      <c r="B3433" t="s">
        <v>8940</v>
      </c>
      <c r="C3433" s="1">
        <v>41995</v>
      </c>
      <c r="D3433" s="1">
        <v>42002</v>
      </c>
      <c r="E3433" t="s">
        <v>49</v>
      </c>
      <c r="F3433" t="s">
        <v>3417</v>
      </c>
      <c r="G3433" t="s">
        <v>3418</v>
      </c>
      <c r="H3433" t="s">
        <v>25</v>
      </c>
      <c r="I3433" t="s">
        <v>26</v>
      </c>
      <c r="J3433" t="s">
        <v>296</v>
      </c>
      <c r="K3433" t="s">
        <v>208</v>
      </c>
      <c r="L3433">
        <v>60623</v>
      </c>
      <c r="M3433" t="s">
        <v>104</v>
      </c>
      <c r="N3433" t="s">
        <v>2087</v>
      </c>
      <c r="O3433" t="s">
        <v>45</v>
      </c>
      <c r="P3433" t="s">
        <v>58</v>
      </c>
      <c r="Q3433" t="s">
        <v>2088</v>
      </c>
      <c r="R3433">
        <v>132.16</v>
      </c>
      <c r="S3433">
        <v>1</v>
      </c>
      <c r="T3433">
        <v>0.2</v>
      </c>
      <c r="U3433">
        <v>9.9120000000000008</v>
      </c>
      <c r="V3433" t="str">
        <f t="shared" si="53"/>
        <v>Nora Preis</v>
      </c>
      <c r="W3433">
        <f>Table2[Profit]/Table2[Sales]</f>
        <v>7.5000000000000011E-2</v>
      </c>
    </row>
    <row r="3434" spans="1:23" x14ac:dyDescent="0.25">
      <c r="A3434">
        <v>3433</v>
      </c>
      <c r="B3434" t="s">
        <v>8941</v>
      </c>
      <c r="C3434" s="1">
        <v>41989</v>
      </c>
      <c r="D3434" s="1">
        <v>41994</v>
      </c>
      <c r="E3434" t="s">
        <v>49</v>
      </c>
      <c r="F3434" t="s">
        <v>7196</v>
      </c>
      <c r="G3434" t="s">
        <v>7197</v>
      </c>
      <c r="H3434" t="s">
        <v>40</v>
      </c>
      <c r="I3434" t="s">
        <v>26</v>
      </c>
      <c r="J3434" t="s">
        <v>5281</v>
      </c>
      <c r="K3434" t="s">
        <v>42</v>
      </c>
      <c r="L3434">
        <v>95823</v>
      </c>
      <c r="M3434" t="s">
        <v>43</v>
      </c>
      <c r="N3434" t="s">
        <v>4427</v>
      </c>
      <c r="O3434" t="s">
        <v>31</v>
      </c>
      <c r="P3434" t="s">
        <v>35</v>
      </c>
      <c r="Q3434" t="s">
        <v>4428</v>
      </c>
      <c r="R3434">
        <v>1403.92</v>
      </c>
      <c r="S3434">
        <v>5</v>
      </c>
      <c r="T3434">
        <v>0.2</v>
      </c>
      <c r="U3434">
        <v>70.195999999999998</v>
      </c>
      <c r="V3434" t="str">
        <f t="shared" si="53"/>
        <v>Stefanie Holloman</v>
      </c>
      <c r="W3434">
        <f>Table2[Profit]/Table2[Sales]</f>
        <v>4.9999999999999996E-2</v>
      </c>
    </row>
    <row r="3435" spans="1:23" x14ac:dyDescent="0.25">
      <c r="A3435">
        <v>3434</v>
      </c>
      <c r="B3435" t="s">
        <v>8942</v>
      </c>
      <c r="C3435" s="1">
        <v>42476</v>
      </c>
      <c r="D3435" s="1">
        <v>42478</v>
      </c>
      <c r="E3435" t="s">
        <v>22</v>
      </c>
      <c r="F3435" t="s">
        <v>2429</v>
      </c>
      <c r="G3435" t="s">
        <v>2430</v>
      </c>
      <c r="H3435" t="s">
        <v>25</v>
      </c>
      <c r="I3435" t="s">
        <v>26</v>
      </c>
      <c r="J3435" t="s">
        <v>94</v>
      </c>
      <c r="K3435" t="s">
        <v>95</v>
      </c>
      <c r="L3435">
        <v>98115</v>
      </c>
      <c r="M3435" t="s">
        <v>43</v>
      </c>
      <c r="N3435" t="s">
        <v>6288</v>
      </c>
      <c r="O3435" t="s">
        <v>45</v>
      </c>
      <c r="P3435" t="s">
        <v>572</v>
      </c>
      <c r="Q3435" t="s">
        <v>6289</v>
      </c>
      <c r="R3435">
        <v>28.8</v>
      </c>
      <c r="S3435">
        <v>3</v>
      </c>
      <c r="T3435">
        <v>0</v>
      </c>
      <c r="U3435">
        <v>0.86399999999999999</v>
      </c>
      <c r="V3435" t="str">
        <f t="shared" si="53"/>
        <v>Bryan Mills</v>
      </c>
      <c r="W3435">
        <f>Table2[Profit]/Table2[Sales]</f>
        <v>0.03</v>
      </c>
    </row>
    <row r="3436" spans="1:23" x14ac:dyDescent="0.25">
      <c r="A3436">
        <v>3435</v>
      </c>
      <c r="B3436" t="s">
        <v>8943</v>
      </c>
      <c r="C3436" s="1">
        <v>42145</v>
      </c>
      <c r="D3436" s="1">
        <v>42152</v>
      </c>
      <c r="E3436" t="s">
        <v>49</v>
      </c>
      <c r="F3436" t="s">
        <v>3559</v>
      </c>
      <c r="G3436" t="s">
        <v>3560</v>
      </c>
      <c r="H3436" t="s">
        <v>40</v>
      </c>
      <c r="I3436" t="s">
        <v>26</v>
      </c>
      <c r="J3436" t="s">
        <v>143</v>
      </c>
      <c r="K3436" t="s">
        <v>144</v>
      </c>
      <c r="L3436">
        <v>19143</v>
      </c>
      <c r="M3436" t="s">
        <v>145</v>
      </c>
      <c r="N3436" t="s">
        <v>3075</v>
      </c>
      <c r="O3436" t="s">
        <v>45</v>
      </c>
      <c r="P3436" t="s">
        <v>74</v>
      </c>
      <c r="Q3436" t="s">
        <v>3076</v>
      </c>
      <c r="R3436">
        <v>24.588000000000001</v>
      </c>
      <c r="S3436">
        <v>2</v>
      </c>
      <c r="T3436">
        <v>0.7</v>
      </c>
      <c r="U3436">
        <v>-18.031199999999998</v>
      </c>
      <c r="V3436" t="str">
        <f t="shared" si="53"/>
        <v>Henry Goldwyn</v>
      </c>
      <c r="W3436">
        <f>Table2[Profit]/Table2[Sales]</f>
        <v>-0.73333333333333328</v>
      </c>
    </row>
    <row r="3437" spans="1:23" x14ac:dyDescent="0.25">
      <c r="A3437">
        <v>3436</v>
      </c>
      <c r="B3437" t="s">
        <v>8944</v>
      </c>
      <c r="C3437" s="1">
        <v>42792</v>
      </c>
      <c r="D3437" s="1">
        <v>42796</v>
      </c>
      <c r="E3437" t="s">
        <v>49</v>
      </c>
      <c r="F3437" t="s">
        <v>669</v>
      </c>
      <c r="G3437" t="s">
        <v>670</v>
      </c>
      <c r="H3437" t="s">
        <v>25</v>
      </c>
      <c r="I3437" t="s">
        <v>26</v>
      </c>
      <c r="J3437" t="s">
        <v>8100</v>
      </c>
      <c r="K3437" t="s">
        <v>42</v>
      </c>
      <c r="L3437">
        <v>93101</v>
      </c>
      <c r="M3437" t="s">
        <v>43</v>
      </c>
      <c r="N3437" t="s">
        <v>2072</v>
      </c>
      <c r="O3437" t="s">
        <v>45</v>
      </c>
      <c r="P3437" t="s">
        <v>77</v>
      </c>
      <c r="Q3437" t="s">
        <v>2073</v>
      </c>
      <c r="R3437">
        <v>356.79</v>
      </c>
      <c r="S3437">
        <v>7</v>
      </c>
      <c r="T3437">
        <v>0</v>
      </c>
      <c r="U3437">
        <v>99.901200000000003</v>
      </c>
      <c r="V3437" t="str">
        <f t="shared" si="53"/>
        <v>Becky Martin</v>
      </c>
      <c r="W3437">
        <f>Table2[Profit]/Table2[Sales]</f>
        <v>0.27999999999999997</v>
      </c>
    </row>
    <row r="3438" spans="1:23" x14ac:dyDescent="0.25">
      <c r="A3438">
        <v>3437</v>
      </c>
      <c r="B3438" t="s">
        <v>8945</v>
      </c>
      <c r="C3438" s="1">
        <v>42829</v>
      </c>
      <c r="D3438" s="1">
        <v>42835</v>
      </c>
      <c r="E3438" t="s">
        <v>49</v>
      </c>
      <c r="F3438" t="s">
        <v>3163</v>
      </c>
      <c r="G3438" t="s">
        <v>3164</v>
      </c>
      <c r="H3438" t="s">
        <v>101</v>
      </c>
      <c r="I3438" t="s">
        <v>26</v>
      </c>
      <c r="J3438" t="s">
        <v>263</v>
      </c>
      <c r="K3438" t="s">
        <v>264</v>
      </c>
      <c r="L3438">
        <v>10011</v>
      </c>
      <c r="M3438" t="s">
        <v>145</v>
      </c>
      <c r="N3438" t="s">
        <v>2391</v>
      </c>
      <c r="O3438" t="s">
        <v>45</v>
      </c>
      <c r="P3438" t="s">
        <v>170</v>
      </c>
      <c r="Q3438" t="s">
        <v>2392</v>
      </c>
      <c r="R3438">
        <v>16.98</v>
      </c>
      <c r="S3438">
        <v>1</v>
      </c>
      <c r="T3438">
        <v>0</v>
      </c>
      <c r="U3438">
        <v>8.49</v>
      </c>
      <c r="V3438" t="str">
        <f t="shared" si="53"/>
        <v>Penelope Sewall</v>
      </c>
      <c r="W3438">
        <f>Table2[Profit]/Table2[Sales]</f>
        <v>0.5</v>
      </c>
    </row>
    <row r="3439" spans="1:23" x14ac:dyDescent="0.25">
      <c r="A3439">
        <v>3438</v>
      </c>
      <c r="B3439" t="s">
        <v>8946</v>
      </c>
      <c r="C3439" s="1">
        <v>42079</v>
      </c>
      <c r="D3439" s="1">
        <v>42082</v>
      </c>
      <c r="E3439" t="s">
        <v>22</v>
      </c>
      <c r="F3439" t="s">
        <v>3114</v>
      </c>
      <c r="G3439" t="s">
        <v>3115</v>
      </c>
      <c r="H3439" t="s">
        <v>25</v>
      </c>
      <c r="I3439" t="s">
        <v>26</v>
      </c>
      <c r="J3439" t="s">
        <v>1540</v>
      </c>
      <c r="K3439" t="s">
        <v>351</v>
      </c>
      <c r="L3439">
        <v>36830</v>
      </c>
      <c r="M3439" t="s">
        <v>29</v>
      </c>
      <c r="N3439" t="s">
        <v>1943</v>
      </c>
      <c r="O3439" t="s">
        <v>45</v>
      </c>
      <c r="P3439" t="s">
        <v>46</v>
      </c>
      <c r="Q3439" t="s">
        <v>1944</v>
      </c>
      <c r="R3439">
        <v>491.55</v>
      </c>
      <c r="S3439">
        <v>5</v>
      </c>
      <c r="T3439">
        <v>0</v>
      </c>
      <c r="U3439">
        <v>240.8595</v>
      </c>
      <c r="V3439" t="str">
        <f t="shared" si="53"/>
        <v>Maurice Satty</v>
      </c>
      <c r="W3439">
        <f>Table2[Profit]/Table2[Sales]</f>
        <v>0.49</v>
      </c>
    </row>
    <row r="3440" spans="1:23" x14ac:dyDescent="0.25">
      <c r="A3440">
        <v>3439</v>
      </c>
      <c r="B3440" t="s">
        <v>8947</v>
      </c>
      <c r="C3440" s="1">
        <v>42338</v>
      </c>
      <c r="D3440" s="1">
        <v>42342</v>
      </c>
      <c r="E3440" t="s">
        <v>49</v>
      </c>
      <c r="F3440" t="s">
        <v>4474</v>
      </c>
      <c r="G3440" t="s">
        <v>4475</v>
      </c>
      <c r="H3440" t="s">
        <v>25</v>
      </c>
      <c r="I3440" t="s">
        <v>26</v>
      </c>
      <c r="J3440" t="s">
        <v>263</v>
      </c>
      <c r="K3440" t="s">
        <v>264</v>
      </c>
      <c r="L3440">
        <v>10035</v>
      </c>
      <c r="M3440" t="s">
        <v>145</v>
      </c>
      <c r="N3440" t="s">
        <v>3584</v>
      </c>
      <c r="O3440" t="s">
        <v>45</v>
      </c>
      <c r="P3440" t="s">
        <v>89</v>
      </c>
      <c r="Q3440" t="s">
        <v>3585</v>
      </c>
      <c r="R3440">
        <v>23.66</v>
      </c>
      <c r="S3440">
        <v>7</v>
      </c>
      <c r="T3440">
        <v>0</v>
      </c>
      <c r="U3440">
        <v>10.883599999999999</v>
      </c>
      <c r="V3440" t="str">
        <f t="shared" si="53"/>
        <v>Janet Lee</v>
      </c>
      <c r="W3440">
        <f>Table2[Profit]/Table2[Sales]</f>
        <v>0.45999999999999996</v>
      </c>
    </row>
    <row r="3441" spans="1:23" x14ac:dyDescent="0.25">
      <c r="A3441">
        <v>3440</v>
      </c>
      <c r="B3441" t="s">
        <v>8948</v>
      </c>
      <c r="C3441" s="1">
        <v>42579</v>
      </c>
      <c r="D3441" s="1">
        <v>42585</v>
      </c>
      <c r="E3441" t="s">
        <v>49</v>
      </c>
      <c r="F3441" t="s">
        <v>6979</v>
      </c>
      <c r="G3441" t="s">
        <v>6980</v>
      </c>
      <c r="H3441" t="s">
        <v>25</v>
      </c>
      <c r="I3441" t="s">
        <v>26</v>
      </c>
      <c r="J3441" t="s">
        <v>41</v>
      </c>
      <c r="K3441" t="s">
        <v>42</v>
      </c>
      <c r="L3441">
        <v>90032</v>
      </c>
      <c r="M3441" t="s">
        <v>43</v>
      </c>
      <c r="N3441" t="s">
        <v>7926</v>
      </c>
      <c r="O3441" t="s">
        <v>45</v>
      </c>
      <c r="P3441" t="s">
        <v>46</v>
      </c>
      <c r="Q3441" t="s">
        <v>7927</v>
      </c>
      <c r="R3441">
        <v>18.899999999999999</v>
      </c>
      <c r="S3441">
        <v>3</v>
      </c>
      <c r="T3441">
        <v>0</v>
      </c>
      <c r="U3441">
        <v>8.6940000000000008</v>
      </c>
      <c r="V3441" t="str">
        <f t="shared" si="53"/>
        <v>Khloe Miller</v>
      </c>
      <c r="W3441">
        <f>Table2[Profit]/Table2[Sales]</f>
        <v>0.46000000000000008</v>
      </c>
    </row>
    <row r="3442" spans="1:23" x14ac:dyDescent="0.25">
      <c r="A3442">
        <v>3441</v>
      </c>
      <c r="B3442" t="s">
        <v>8949</v>
      </c>
      <c r="C3442" s="1">
        <v>42544</v>
      </c>
      <c r="D3442" s="1">
        <v>42546</v>
      </c>
      <c r="E3442" t="s">
        <v>22</v>
      </c>
      <c r="F3442" t="s">
        <v>657</v>
      </c>
      <c r="G3442" t="s">
        <v>658</v>
      </c>
      <c r="H3442" t="s">
        <v>25</v>
      </c>
      <c r="I3442" t="s">
        <v>26</v>
      </c>
      <c r="J3442" t="s">
        <v>126</v>
      </c>
      <c r="K3442" t="s">
        <v>42</v>
      </c>
      <c r="L3442">
        <v>94109</v>
      </c>
      <c r="M3442" t="s">
        <v>43</v>
      </c>
      <c r="N3442" t="s">
        <v>4914</v>
      </c>
      <c r="O3442" t="s">
        <v>45</v>
      </c>
      <c r="P3442" t="s">
        <v>58</v>
      </c>
      <c r="Q3442" t="s">
        <v>4915</v>
      </c>
      <c r="R3442">
        <v>93.68</v>
      </c>
      <c r="S3442">
        <v>4</v>
      </c>
      <c r="T3442">
        <v>0</v>
      </c>
      <c r="U3442">
        <v>25.293600000000001</v>
      </c>
      <c r="V3442" t="str">
        <f t="shared" si="53"/>
        <v>Ruben Dartt</v>
      </c>
      <c r="W3442">
        <f>Table2[Profit]/Table2[Sales]</f>
        <v>0.27</v>
      </c>
    </row>
    <row r="3443" spans="1:23" x14ac:dyDescent="0.25">
      <c r="A3443">
        <v>3442</v>
      </c>
      <c r="B3443" t="s">
        <v>8950</v>
      </c>
      <c r="C3443" s="1">
        <v>41834</v>
      </c>
      <c r="D3443" s="1">
        <v>41838</v>
      </c>
      <c r="E3443" t="s">
        <v>49</v>
      </c>
      <c r="F3443" t="s">
        <v>3790</v>
      </c>
      <c r="G3443" t="s">
        <v>3791</v>
      </c>
      <c r="H3443" t="s">
        <v>25</v>
      </c>
      <c r="I3443" t="s">
        <v>26</v>
      </c>
      <c r="J3443" t="s">
        <v>143</v>
      </c>
      <c r="K3443" t="s">
        <v>144</v>
      </c>
      <c r="L3443">
        <v>19140</v>
      </c>
      <c r="M3443" t="s">
        <v>145</v>
      </c>
      <c r="N3443" t="s">
        <v>8951</v>
      </c>
      <c r="O3443" t="s">
        <v>70</v>
      </c>
      <c r="P3443" t="s">
        <v>71</v>
      </c>
      <c r="Q3443" t="s">
        <v>8952</v>
      </c>
      <c r="R3443">
        <v>13.494</v>
      </c>
      <c r="S3443">
        <v>1</v>
      </c>
      <c r="T3443">
        <v>0.4</v>
      </c>
      <c r="U3443">
        <v>-2.2490000000000001</v>
      </c>
      <c r="V3443" t="str">
        <f t="shared" si="53"/>
        <v>Shui Tom</v>
      </c>
      <c r="W3443">
        <f>Table2[Profit]/Table2[Sales]</f>
        <v>-0.16666666666666669</v>
      </c>
    </row>
    <row r="3444" spans="1:23" x14ac:dyDescent="0.25">
      <c r="A3444">
        <v>3443</v>
      </c>
      <c r="B3444" t="s">
        <v>8953</v>
      </c>
      <c r="C3444" s="1">
        <v>43069</v>
      </c>
      <c r="D3444" s="1">
        <v>43072</v>
      </c>
      <c r="E3444" t="s">
        <v>22</v>
      </c>
      <c r="F3444" t="s">
        <v>1372</v>
      </c>
      <c r="G3444" t="s">
        <v>1373</v>
      </c>
      <c r="H3444" t="s">
        <v>40</v>
      </c>
      <c r="I3444" t="s">
        <v>26</v>
      </c>
      <c r="J3444" t="s">
        <v>4086</v>
      </c>
      <c r="K3444" t="s">
        <v>103</v>
      </c>
      <c r="L3444">
        <v>79907</v>
      </c>
      <c r="M3444" t="s">
        <v>104</v>
      </c>
      <c r="N3444" t="s">
        <v>437</v>
      </c>
      <c r="O3444" t="s">
        <v>70</v>
      </c>
      <c r="P3444" t="s">
        <v>158</v>
      </c>
      <c r="Q3444" t="s">
        <v>438</v>
      </c>
      <c r="R3444">
        <v>95.975999999999999</v>
      </c>
      <c r="S3444">
        <v>3</v>
      </c>
      <c r="T3444">
        <v>0.2</v>
      </c>
      <c r="U3444">
        <v>-10.7973</v>
      </c>
      <c r="V3444" t="str">
        <f t="shared" si="53"/>
        <v>Bart Pistole</v>
      </c>
      <c r="W3444">
        <f>Table2[Profit]/Table2[Sales]</f>
        <v>-0.1125</v>
      </c>
    </row>
    <row r="3445" spans="1:23" x14ac:dyDescent="0.25">
      <c r="A3445">
        <v>3444</v>
      </c>
      <c r="B3445" t="s">
        <v>8954</v>
      </c>
      <c r="C3445" s="1">
        <v>42615</v>
      </c>
      <c r="D3445" s="1">
        <v>42617</v>
      </c>
      <c r="E3445" t="s">
        <v>185</v>
      </c>
      <c r="F3445" t="s">
        <v>5617</v>
      </c>
      <c r="G3445" t="s">
        <v>5618</v>
      </c>
      <c r="H3445" t="s">
        <v>101</v>
      </c>
      <c r="I3445" t="s">
        <v>26</v>
      </c>
      <c r="J3445" t="s">
        <v>296</v>
      </c>
      <c r="K3445" t="s">
        <v>208</v>
      </c>
      <c r="L3445">
        <v>60653</v>
      </c>
      <c r="M3445" t="s">
        <v>104</v>
      </c>
      <c r="N3445" t="s">
        <v>8955</v>
      </c>
      <c r="O3445" t="s">
        <v>31</v>
      </c>
      <c r="P3445" t="s">
        <v>64</v>
      </c>
      <c r="Q3445" t="s">
        <v>8956</v>
      </c>
      <c r="R3445">
        <v>84.272000000000006</v>
      </c>
      <c r="S3445">
        <v>2</v>
      </c>
      <c r="T3445">
        <v>0.6</v>
      </c>
      <c r="U3445">
        <v>-75.844800000000006</v>
      </c>
      <c r="V3445" t="str">
        <f t="shared" si="53"/>
        <v>Tom Ashbrook</v>
      </c>
      <c r="W3445">
        <f>Table2[Profit]/Table2[Sales]</f>
        <v>-0.9</v>
      </c>
    </row>
    <row r="3446" spans="1:23" x14ac:dyDescent="0.25">
      <c r="A3446">
        <v>3445</v>
      </c>
      <c r="B3446" t="s">
        <v>8957</v>
      </c>
      <c r="C3446" s="1">
        <v>41805</v>
      </c>
      <c r="D3446" s="1">
        <v>41805</v>
      </c>
      <c r="E3446" t="s">
        <v>1278</v>
      </c>
      <c r="F3446" t="s">
        <v>4275</v>
      </c>
      <c r="G3446" t="s">
        <v>4276</v>
      </c>
      <c r="H3446" t="s">
        <v>25</v>
      </c>
      <c r="I3446" t="s">
        <v>26</v>
      </c>
      <c r="J3446" t="s">
        <v>4086</v>
      </c>
      <c r="K3446" t="s">
        <v>103</v>
      </c>
      <c r="L3446">
        <v>79907</v>
      </c>
      <c r="M3446" t="s">
        <v>104</v>
      </c>
      <c r="N3446" t="s">
        <v>8351</v>
      </c>
      <c r="O3446" t="s">
        <v>45</v>
      </c>
      <c r="P3446" t="s">
        <v>89</v>
      </c>
      <c r="Q3446" t="s">
        <v>8352</v>
      </c>
      <c r="R3446">
        <v>36.543999999999997</v>
      </c>
      <c r="S3446">
        <v>2</v>
      </c>
      <c r="T3446">
        <v>0.2</v>
      </c>
      <c r="U3446">
        <v>11.876799999999999</v>
      </c>
      <c r="V3446" t="str">
        <f t="shared" si="53"/>
        <v>Pamela Stobb</v>
      </c>
      <c r="W3446">
        <f>Table2[Profit]/Table2[Sales]</f>
        <v>0.32500000000000001</v>
      </c>
    </row>
    <row r="3447" spans="1:23" x14ac:dyDescent="0.25">
      <c r="A3447">
        <v>3446</v>
      </c>
      <c r="B3447" t="s">
        <v>8958</v>
      </c>
      <c r="C3447" s="1">
        <v>42679</v>
      </c>
      <c r="D3447" s="1">
        <v>42683</v>
      </c>
      <c r="E3447" t="s">
        <v>49</v>
      </c>
      <c r="F3447" t="s">
        <v>3417</v>
      </c>
      <c r="G3447" t="s">
        <v>3418</v>
      </c>
      <c r="H3447" t="s">
        <v>25</v>
      </c>
      <c r="I3447" t="s">
        <v>26</v>
      </c>
      <c r="J3447" t="s">
        <v>94</v>
      </c>
      <c r="K3447" t="s">
        <v>95</v>
      </c>
      <c r="L3447">
        <v>98105</v>
      </c>
      <c r="M3447" t="s">
        <v>43</v>
      </c>
      <c r="N3447" t="s">
        <v>8959</v>
      </c>
      <c r="O3447" t="s">
        <v>70</v>
      </c>
      <c r="P3447" t="s">
        <v>158</v>
      </c>
      <c r="Q3447" t="s">
        <v>8960</v>
      </c>
      <c r="R3447">
        <v>479.72</v>
      </c>
      <c r="S3447">
        <v>4</v>
      </c>
      <c r="T3447">
        <v>0</v>
      </c>
      <c r="U3447">
        <v>52.769199999999998</v>
      </c>
      <c r="V3447" t="str">
        <f t="shared" si="53"/>
        <v>Nora Preis</v>
      </c>
      <c r="W3447">
        <f>Table2[Profit]/Table2[Sales]</f>
        <v>0.10999999999999999</v>
      </c>
    </row>
    <row r="3448" spans="1:23" x14ac:dyDescent="0.25">
      <c r="A3448">
        <v>3447</v>
      </c>
      <c r="B3448" t="s">
        <v>8961</v>
      </c>
      <c r="C3448" s="1">
        <v>42912</v>
      </c>
      <c r="D3448" s="1">
        <v>42916</v>
      </c>
      <c r="E3448" t="s">
        <v>49</v>
      </c>
      <c r="F3448" t="s">
        <v>5267</v>
      </c>
      <c r="G3448" t="s">
        <v>5268</v>
      </c>
      <c r="H3448" t="s">
        <v>40</v>
      </c>
      <c r="I3448" t="s">
        <v>26</v>
      </c>
      <c r="J3448" t="s">
        <v>263</v>
      </c>
      <c r="K3448" t="s">
        <v>264</v>
      </c>
      <c r="L3448">
        <v>10009</v>
      </c>
      <c r="M3448" t="s">
        <v>145</v>
      </c>
      <c r="N3448" t="s">
        <v>2561</v>
      </c>
      <c r="O3448" t="s">
        <v>45</v>
      </c>
      <c r="P3448" t="s">
        <v>74</v>
      </c>
      <c r="Q3448" t="s">
        <v>2562</v>
      </c>
      <c r="R3448">
        <v>102.36799999999999</v>
      </c>
      <c r="S3448">
        <v>2</v>
      </c>
      <c r="T3448">
        <v>0.2</v>
      </c>
      <c r="U3448">
        <v>37.108400000000003</v>
      </c>
      <c r="V3448" t="str">
        <f t="shared" si="53"/>
        <v>Scott Cohen</v>
      </c>
      <c r="W3448">
        <f>Table2[Profit]/Table2[Sales]</f>
        <v>0.36250000000000004</v>
      </c>
    </row>
    <row r="3449" spans="1:23" x14ac:dyDescent="0.25">
      <c r="A3449">
        <v>3448</v>
      </c>
      <c r="B3449" t="s">
        <v>8962</v>
      </c>
      <c r="C3449" s="1">
        <v>42210</v>
      </c>
      <c r="D3449" s="1">
        <v>42215</v>
      </c>
      <c r="E3449" t="s">
        <v>49</v>
      </c>
      <c r="F3449" t="s">
        <v>6537</v>
      </c>
      <c r="G3449" t="s">
        <v>6538</v>
      </c>
      <c r="H3449" t="s">
        <v>25</v>
      </c>
      <c r="I3449" t="s">
        <v>26</v>
      </c>
      <c r="J3449" t="s">
        <v>41</v>
      </c>
      <c r="K3449" t="s">
        <v>42</v>
      </c>
      <c r="L3449">
        <v>90032</v>
      </c>
      <c r="M3449" t="s">
        <v>43</v>
      </c>
      <c r="N3449" t="s">
        <v>8963</v>
      </c>
      <c r="O3449" t="s">
        <v>70</v>
      </c>
      <c r="P3449" t="s">
        <v>71</v>
      </c>
      <c r="Q3449" t="s">
        <v>8964</v>
      </c>
      <c r="R3449">
        <v>623.96</v>
      </c>
      <c r="S3449">
        <v>5</v>
      </c>
      <c r="T3449">
        <v>0.2</v>
      </c>
      <c r="U3449">
        <v>38.997500000000002</v>
      </c>
      <c r="V3449" t="str">
        <f t="shared" si="53"/>
        <v>Russell D'Ascenzo</v>
      </c>
      <c r="W3449">
        <f>Table2[Profit]/Table2[Sales]</f>
        <v>6.25E-2</v>
      </c>
    </row>
    <row r="3450" spans="1:23" x14ac:dyDescent="0.25">
      <c r="A3450">
        <v>3449</v>
      </c>
      <c r="B3450" t="s">
        <v>8965</v>
      </c>
      <c r="C3450" s="1">
        <v>41905</v>
      </c>
      <c r="D3450" s="1">
        <v>41909</v>
      </c>
      <c r="E3450" t="s">
        <v>49</v>
      </c>
      <c r="F3450" t="s">
        <v>8085</v>
      </c>
      <c r="G3450" t="s">
        <v>8086</v>
      </c>
      <c r="H3450" t="s">
        <v>40</v>
      </c>
      <c r="I3450" t="s">
        <v>26</v>
      </c>
      <c r="J3450" t="s">
        <v>600</v>
      </c>
      <c r="K3450" t="s">
        <v>242</v>
      </c>
      <c r="L3450">
        <v>19711</v>
      </c>
      <c r="M3450" t="s">
        <v>145</v>
      </c>
      <c r="N3450" t="s">
        <v>3816</v>
      </c>
      <c r="O3450" t="s">
        <v>45</v>
      </c>
      <c r="P3450" t="s">
        <v>74</v>
      </c>
      <c r="Q3450" t="s">
        <v>3817</v>
      </c>
      <c r="R3450">
        <v>11.12</v>
      </c>
      <c r="S3450">
        <v>4</v>
      </c>
      <c r="T3450">
        <v>0</v>
      </c>
      <c r="U3450">
        <v>5.4488000000000003</v>
      </c>
      <c r="V3450" t="str">
        <f t="shared" si="53"/>
        <v>Thea Hudgings</v>
      </c>
      <c r="W3450">
        <f>Table2[Profit]/Table2[Sales]</f>
        <v>0.49000000000000005</v>
      </c>
    </row>
    <row r="3451" spans="1:23" x14ac:dyDescent="0.25">
      <c r="A3451">
        <v>3450</v>
      </c>
      <c r="B3451" t="s">
        <v>8966</v>
      </c>
      <c r="C3451" s="1">
        <v>42643</v>
      </c>
      <c r="D3451" s="1">
        <v>42647</v>
      </c>
      <c r="E3451" t="s">
        <v>49</v>
      </c>
      <c r="F3451" t="s">
        <v>3398</v>
      </c>
      <c r="G3451" t="s">
        <v>3399</v>
      </c>
      <c r="H3451" t="s">
        <v>25</v>
      </c>
      <c r="I3451" t="s">
        <v>26</v>
      </c>
      <c r="J3451" t="s">
        <v>263</v>
      </c>
      <c r="K3451" t="s">
        <v>264</v>
      </c>
      <c r="L3451">
        <v>10011</v>
      </c>
      <c r="M3451" t="s">
        <v>145</v>
      </c>
      <c r="N3451" t="s">
        <v>4780</v>
      </c>
      <c r="O3451" t="s">
        <v>31</v>
      </c>
      <c r="P3451" t="s">
        <v>32</v>
      </c>
      <c r="Q3451" t="s">
        <v>4781</v>
      </c>
      <c r="R3451">
        <v>523.91999999999996</v>
      </c>
      <c r="S3451">
        <v>5</v>
      </c>
      <c r="T3451">
        <v>0.2</v>
      </c>
      <c r="U3451">
        <v>-26.196000000000002</v>
      </c>
      <c r="V3451" t="str">
        <f t="shared" si="53"/>
        <v>Greg Matthias</v>
      </c>
      <c r="W3451">
        <f>Table2[Profit]/Table2[Sales]</f>
        <v>-5.000000000000001E-2</v>
      </c>
    </row>
    <row r="3452" spans="1:23" x14ac:dyDescent="0.25">
      <c r="A3452">
        <v>3451</v>
      </c>
      <c r="B3452" t="s">
        <v>8967</v>
      </c>
      <c r="C3452" s="1">
        <v>42317</v>
      </c>
      <c r="D3452" s="1">
        <v>42321</v>
      </c>
      <c r="E3452" t="s">
        <v>49</v>
      </c>
      <c r="F3452" t="s">
        <v>2218</v>
      </c>
      <c r="G3452" t="s">
        <v>2219</v>
      </c>
      <c r="H3452" t="s">
        <v>101</v>
      </c>
      <c r="I3452" t="s">
        <v>26</v>
      </c>
      <c r="J3452" t="s">
        <v>560</v>
      </c>
      <c r="K3452" t="s">
        <v>42</v>
      </c>
      <c r="L3452">
        <v>95661</v>
      </c>
      <c r="M3452" t="s">
        <v>43</v>
      </c>
      <c r="N3452" t="s">
        <v>1217</v>
      </c>
      <c r="O3452" t="s">
        <v>45</v>
      </c>
      <c r="P3452" t="s">
        <v>266</v>
      </c>
      <c r="Q3452" t="s">
        <v>1218</v>
      </c>
      <c r="R3452">
        <v>2.48</v>
      </c>
      <c r="S3452">
        <v>2</v>
      </c>
      <c r="T3452">
        <v>0</v>
      </c>
      <c r="U3452">
        <v>1.1656</v>
      </c>
      <c r="V3452" t="str">
        <f t="shared" si="53"/>
        <v>Jesus Ocampo</v>
      </c>
      <c r="W3452">
        <f>Table2[Profit]/Table2[Sales]</f>
        <v>0.47</v>
      </c>
    </row>
    <row r="3453" spans="1:23" x14ac:dyDescent="0.25">
      <c r="A3453">
        <v>3452</v>
      </c>
      <c r="B3453" t="s">
        <v>8968</v>
      </c>
      <c r="C3453" s="1">
        <v>42119</v>
      </c>
      <c r="D3453" s="1">
        <v>42123</v>
      </c>
      <c r="E3453" t="s">
        <v>49</v>
      </c>
      <c r="F3453" t="s">
        <v>1946</v>
      </c>
      <c r="G3453" t="s">
        <v>1947</v>
      </c>
      <c r="H3453" t="s">
        <v>25</v>
      </c>
      <c r="I3453" t="s">
        <v>26</v>
      </c>
      <c r="J3453" t="s">
        <v>449</v>
      </c>
      <c r="K3453" t="s">
        <v>208</v>
      </c>
      <c r="L3453">
        <v>60505</v>
      </c>
      <c r="M3453" t="s">
        <v>104</v>
      </c>
      <c r="N3453" t="s">
        <v>3617</v>
      </c>
      <c r="O3453" t="s">
        <v>45</v>
      </c>
      <c r="P3453" t="s">
        <v>58</v>
      </c>
      <c r="Q3453" t="s">
        <v>3618</v>
      </c>
      <c r="R3453">
        <v>221.024</v>
      </c>
      <c r="S3453">
        <v>2</v>
      </c>
      <c r="T3453">
        <v>0.2</v>
      </c>
      <c r="U3453">
        <v>-55.256</v>
      </c>
      <c r="V3453" t="str">
        <f t="shared" si="53"/>
        <v>Zuschuss Carroll</v>
      </c>
      <c r="W3453">
        <f>Table2[Profit]/Table2[Sales]</f>
        <v>-0.25</v>
      </c>
    </row>
    <row r="3454" spans="1:23" x14ac:dyDescent="0.25">
      <c r="A3454">
        <v>3453</v>
      </c>
      <c r="B3454" t="s">
        <v>8969</v>
      </c>
      <c r="C3454" s="1">
        <v>43058</v>
      </c>
      <c r="D3454" s="1">
        <v>43058</v>
      </c>
      <c r="E3454" t="s">
        <v>1278</v>
      </c>
      <c r="F3454" t="s">
        <v>3276</v>
      </c>
      <c r="G3454" t="s">
        <v>3277</v>
      </c>
      <c r="H3454" t="s">
        <v>101</v>
      </c>
      <c r="I3454" t="s">
        <v>26</v>
      </c>
      <c r="J3454" t="s">
        <v>263</v>
      </c>
      <c r="K3454" t="s">
        <v>264</v>
      </c>
      <c r="L3454">
        <v>10011</v>
      </c>
      <c r="M3454" t="s">
        <v>145</v>
      </c>
      <c r="N3454" t="s">
        <v>4401</v>
      </c>
      <c r="O3454" t="s">
        <v>45</v>
      </c>
      <c r="P3454" t="s">
        <v>74</v>
      </c>
      <c r="Q3454" t="s">
        <v>4402</v>
      </c>
      <c r="R3454">
        <v>58.408000000000001</v>
      </c>
      <c r="S3454">
        <v>7</v>
      </c>
      <c r="T3454">
        <v>0.2</v>
      </c>
      <c r="U3454">
        <v>18.252500000000001</v>
      </c>
      <c r="V3454" t="str">
        <f t="shared" si="53"/>
        <v>Anne Pryor</v>
      </c>
      <c r="W3454">
        <f>Table2[Profit]/Table2[Sales]</f>
        <v>0.3125</v>
      </c>
    </row>
    <row r="3455" spans="1:23" x14ac:dyDescent="0.25">
      <c r="A3455">
        <v>3454</v>
      </c>
      <c r="B3455" t="s">
        <v>8970</v>
      </c>
      <c r="C3455" s="1">
        <v>42328</v>
      </c>
      <c r="D3455" s="1">
        <v>42332</v>
      </c>
      <c r="E3455" t="s">
        <v>49</v>
      </c>
      <c r="F3455" t="s">
        <v>1165</v>
      </c>
      <c r="G3455" t="s">
        <v>1166</v>
      </c>
      <c r="H3455" t="s">
        <v>40</v>
      </c>
      <c r="I3455" t="s">
        <v>26</v>
      </c>
      <c r="J3455" t="s">
        <v>808</v>
      </c>
      <c r="K3455" t="s">
        <v>103</v>
      </c>
      <c r="L3455">
        <v>75217</v>
      </c>
      <c r="M3455" t="s">
        <v>104</v>
      </c>
      <c r="N3455" t="s">
        <v>8971</v>
      </c>
      <c r="O3455" t="s">
        <v>70</v>
      </c>
      <c r="P3455" t="s">
        <v>675</v>
      </c>
      <c r="Q3455" t="s">
        <v>8972</v>
      </c>
      <c r="R3455">
        <v>479.988</v>
      </c>
      <c r="S3455">
        <v>2</v>
      </c>
      <c r="T3455">
        <v>0.4</v>
      </c>
      <c r="U3455">
        <v>55.998600000000003</v>
      </c>
      <c r="V3455" t="str">
        <f t="shared" si="53"/>
        <v>Grace Kelly</v>
      </c>
      <c r="W3455">
        <f>Table2[Profit]/Table2[Sales]</f>
        <v>0.11666666666666667</v>
      </c>
    </row>
    <row r="3456" spans="1:23" x14ac:dyDescent="0.25">
      <c r="A3456">
        <v>3455</v>
      </c>
      <c r="B3456" t="s">
        <v>8973</v>
      </c>
      <c r="C3456" s="1">
        <v>42279</v>
      </c>
      <c r="D3456" s="1">
        <v>42280</v>
      </c>
      <c r="E3456" t="s">
        <v>185</v>
      </c>
      <c r="F3456" t="s">
        <v>316</v>
      </c>
      <c r="G3456" t="s">
        <v>317</v>
      </c>
      <c r="H3456" t="s">
        <v>25</v>
      </c>
      <c r="I3456" t="s">
        <v>26</v>
      </c>
      <c r="J3456" t="s">
        <v>41</v>
      </c>
      <c r="K3456" t="s">
        <v>42</v>
      </c>
      <c r="L3456">
        <v>90008</v>
      </c>
      <c r="M3456" t="s">
        <v>43</v>
      </c>
      <c r="N3456" t="s">
        <v>4639</v>
      </c>
      <c r="O3456" t="s">
        <v>45</v>
      </c>
      <c r="P3456" t="s">
        <v>74</v>
      </c>
      <c r="Q3456" t="s">
        <v>4640</v>
      </c>
      <c r="R3456">
        <v>11.808</v>
      </c>
      <c r="S3456">
        <v>3</v>
      </c>
      <c r="T3456">
        <v>0.2</v>
      </c>
      <c r="U3456">
        <v>4.1327999999999996</v>
      </c>
      <c r="V3456" t="str">
        <f t="shared" si="53"/>
        <v>Henry MacAllister</v>
      </c>
      <c r="W3456">
        <f>Table2[Profit]/Table2[Sales]</f>
        <v>0.35</v>
      </c>
    </row>
    <row r="3457" spans="1:23" x14ac:dyDescent="0.25">
      <c r="A3457">
        <v>3456</v>
      </c>
      <c r="B3457" t="s">
        <v>8974</v>
      </c>
      <c r="C3457" s="1">
        <v>42119</v>
      </c>
      <c r="D3457" s="1">
        <v>42126</v>
      </c>
      <c r="E3457" t="s">
        <v>49</v>
      </c>
      <c r="F3457" t="s">
        <v>2643</v>
      </c>
      <c r="G3457" t="s">
        <v>2644</v>
      </c>
      <c r="H3457" t="s">
        <v>40</v>
      </c>
      <c r="I3457" t="s">
        <v>26</v>
      </c>
      <c r="J3457" t="s">
        <v>41</v>
      </c>
      <c r="K3457" t="s">
        <v>42</v>
      </c>
      <c r="L3457">
        <v>90004</v>
      </c>
      <c r="M3457" t="s">
        <v>43</v>
      </c>
      <c r="N3457" t="s">
        <v>2937</v>
      </c>
      <c r="O3457" t="s">
        <v>45</v>
      </c>
      <c r="P3457" t="s">
        <v>170</v>
      </c>
      <c r="Q3457" t="s">
        <v>2938</v>
      </c>
      <c r="R3457">
        <v>21.34</v>
      </c>
      <c r="S3457">
        <v>2</v>
      </c>
      <c r="T3457">
        <v>0</v>
      </c>
      <c r="U3457">
        <v>9.8163999999999998</v>
      </c>
      <c r="V3457" t="str">
        <f t="shared" si="53"/>
        <v>Linda Southworth</v>
      </c>
      <c r="W3457">
        <f>Table2[Profit]/Table2[Sales]</f>
        <v>0.46</v>
      </c>
    </row>
    <row r="3458" spans="1:23" x14ac:dyDescent="0.25">
      <c r="A3458">
        <v>3457</v>
      </c>
      <c r="B3458" t="s">
        <v>8975</v>
      </c>
      <c r="C3458" s="1">
        <v>42565</v>
      </c>
      <c r="D3458" s="1">
        <v>42570</v>
      </c>
      <c r="E3458" t="s">
        <v>49</v>
      </c>
      <c r="F3458" t="s">
        <v>8976</v>
      </c>
      <c r="G3458" t="s">
        <v>8977</v>
      </c>
      <c r="H3458" t="s">
        <v>25</v>
      </c>
      <c r="I3458" t="s">
        <v>26</v>
      </c>
      <c r="J3458" t="s">
        <v>490</v>
      </c>
      <c r="K3458" t="s">
        <v>1260</v>
      </c>
      <c r="L3458">
        <v>31907</v>
      </c>
      <c r="M3458" t="s">
        <v>29</v>
      </c>
      <c r="N3458" t="s">
        <v>5400</v>
      </c>
      <c r="O3458" t="s">
        <v>45</v>
      </c>
      <c r="P3458" t="s">
        <v>74</v>
      </c>
      <c r="Q3458" t="s">
        <v>5401</v>
      </c>
      <c r="R3458">
        <v>36.4</v>
      </c>
      <c r="S3458">
        <v>5</v>
      </c>
      <c r="T3458">
        <v>0</v>
      </c>
      <c r="U3458">
        <v>17.108000000000001</v>
      </c>
      <c r="V3458" t="str">
        <f t="shared" si="53"/>
        <v>Anemone Ratner</v>
      </c>
      <c r="W3458">
        <f>Table2[Profit]/Table2[Sales]</f>
        <v>0.47000000000000003</v>
      </c>
    </row>
    <row r="3459" spans="1:23" x14ac:dyDescent="0.25">
      <c r="A3459">
        <v>3458</v>
      </c>
      <c r="B3459" t="s">
        <v>8978</v>
      </c>
      <c r="C3459" s="1">
        <v>42274</v>
      </c>
      <c r="D3459" s="1">
        <v>42276</v>
      </c>
      <c r="E3459" t="s">
        <v>22</v>
      </c>
      <c r="F3459" t="s">
        <v>4797</v>
      </c>
      <c r="G3459" t="s">
        <v>4798</v>
      </c>
      <c r="H3459" t="s">
        <v>101</v>
      </c>
      <c r="I3459" t="s">
        <v>26</v>
      </c>
      <c r="J3459" t="s">
        <v>126</v>
      </c>
      <c r="K3459" t="s">
        <v>42</v>
      </c>
      <c r="L3459">
        <v>94110</v>
      </c>
      <c r="M3459" t="s">
        <v>43</v>
      </c>
      <c r="N3459" t="s">
        <v>752</v>
      </c>
      <c r="O3459" t="s">
        <v>45</v>
      </c>
      <c r="P3459" t="s">
        <v>58</v>
      </c>
      <c r="Q3459" t="s">
        <v>753</v>
      </c>
      <c r="R3459">
        <v>15.51</v>
      </c>
      <c r="S3459">
        <v>1</v>
      </c>
      <c r="T3459">
        <v>0</v>
      </c>
      <c r="U3459">
        <v>4.3428000000000004</v>
      </c>
      <c r="V3459" t="str">
        <f t="shared" ref="V3459:V3522" si="54">TRIM(G3459)</f>
        <v>Rick Huthwaite</v>
      </c>
      <c r="W3459">
        <f>Table2[Profit]/Table2[Sales]</f>
        <v>0.28000000000000003</v>
      </c>
    </row>
    <row r="3460" spans="1:23" x14ac:dyDescent="0.25">
      <c r="A3460">
        <v>3459</v>
      </c>
      <c r="B3460" t="s">
        <v>8979</v>
      </c>
      <c r="C3460" s="1">
        <v>43049</v>
      </c>
      <c r="D3460" s="1">
        <v>43049</v>
      </c>
      <c r="E3460" t="s">
        <v>1278</v>
      </c>
      <c r="F3460" t="s">
        <v>2871</v>
      </c>
      <c r="G3460" t="s">
        <v>2872</v>
      </c>
      <c r="H3460" t="s">
        <v>101</v>
      </c>
      <c r="I3460" t="s">
        <v>26</v>
      </c>
      <c r="J3460" t="s">
        <v>2817</v>
      </c>
      <c r="K3460" t="s">
        <v>42</v>
      </c>
      <c r="L3460">
        <v>92503</v>
      </c>
      <c r="M3460" t="s">
        <v>43</v>
      </c>
      <c r="N3460" t="s">
        <v>3978</v>
      </c>
      <c r="O3460" t="s">
        <v>45</v>
      </c>
      <c r="P3460" t="s">
        <v>67</v>
      </c>
      <c r="Q3460" t="s">
        <v>3979</v>
      </c>
      <c r="R3460">
        <v>7.8</v>
      </c>
      <c r="S3460">
        <v>3</v>
      </c>
      <c r="T3460">
        <v>0</v>
      </c>
      <c r="U3460">
        <v>2.1059999999999999</v>
      </c>
      <c r="V3460" t="str">
        <f t="shared" si="54"/>
        <v>Thomas Brumley</v>
      </c>
      <c r="W3460">
        <f>Table2[Profit]/Table2[Sales]</f>
        <v>0.26999999999999996</v>
      </c>
    </row>
    <row r="3461" spans="1:23" x14ac:dyDescent="0.25">
      <c r="A3461">
        <v>3460</v>
      </c>
      <c r="B3461" t="s">
        <v>8980</v>
      </c>
      <c r="C3461" s="1">
        <v>42567</v>
      </c>
      <c r="D3461" s="1">
        <v>42571</v>
      </c>
      <c r="E3461" t="s">
        <v>22</v>
      </c>
      <c r="F3461" t="s">
        <v>575</v>
      </c>
      <c r="G3461" t="s">
        <v>576</v>
      </c>
      <c r="H3461" t="s">
        <v>40</v>
      </c>
      <c r="I3461" t="s">
        <v>26</v>
      </c>
      <c r="J3461" t="s">
        <v>375</v>
      </c>
      <c r="K3461" t="s">
        <v>376</v>
      </c>
      <c r="L3461">
        <v>29203</v>
      </c>
      <c r="M3461" t="s">
        <v>29</v>
      </c>
      <c r="N3461" t="s">
        <v>169</v>
      </c>
      <c r="O3461" t="s">
        <v>45</v>
      </c>
      <c r="P3461" t="s">
        <v>170</v>
      </c>
      <c r="Q3461" t="s">
        <v>171</v>
      </c>
      <c r="R3461">
        <v>10.199999999999999</v>
      </c>
      <c r="S3461">
        <v>5</v>
      </c>
      <c r="T3461">
        <v>0</v>
      </c>
      <c r="U3461">
        <v>4.7939999999999996</v>
      </c>
      <c r="V3461" t="str">
        <f t="shared" si="54"/>
        <v>Jonathan Doherty</v>
      </c>
      <c r="W3461">
        <f>Table2[Profit]/Table2[Sales]</f>
        <v>0.47</v>
      </c>
    </row>
    <row r="3462" spans="1:23" x14ac:dyDescent="0.25">
      <c r="A3462">
        <v>3461</v>
      </c>
      <c r="B3462" t="s">
        <v>8981</v>
      </c>
      <c r="C3462" s="1">
        <v>42293</v>
      </c>
      <c r="D3462" s="1">
        <v>42297</v>
      </c>
      <c r="E3462" t="s">
        <v>22</v>
      </c>
      <c r="F3462" t="s">
        <v>1463</v>
      </c>
      <c r="G3462" t="s">
        <v>1464</v>
      </c>
      <c r="H3462" t="s">
        <v>40</v>
      </c>
      <c r="I3462" t="s">
        <v>26</v>
      </c>
      <c r="J3462" t="s">
        <v>263</v>
      </c>
      <c r="K3462" t="s">
        <v>264</v>
      </c>
      <c r="L3462">
        <v>10011</v>
      </c>
      <c r="M3462" t="s">
        <v>145</v>
      </c>
      <c r="N3462" t="s">
        <v>3431</v>
      </c>
      <c r="O3462" t="s">
        <v>70</v>
      </c>
      <c r="P3462" t="s">
        <v>71</v>
      </c>
      <c r="Q3462" t="s">
        <v>3432</v>
      </c>
      <c r="R3462">
        <v>824.97</v>
      </c>
      <c r="S3462">
        <v>3</v>
      </c>
      <c r="T3462">
        <v>0</v>
      </c>
      <c r="U3462">
        <v>214.4922</v>
      </c>
      <c r="V3462" t="str">
        <f t="shared" si="54"/>
        <v>Michael Paige</v>
      </c>
      <c r="W3462">
        <f>Table2[Profit]/Table2[Sales]</f>
        <v>0.26</v>
      </c>
    </row>
    <row r="3463" spans="1:23" x14ac:dyDescent="0.25">
      <c r="A3463">
        <v>3462</v>
      </c>
      <c r="B3463" t="s">
        <v>8982</v>
      </c>
      <c r="C3463" s="1">
        <v>42379</v>
      </c>
      <c r="D3463" s="1">
        <v>42382</v>
      </c>
      <c r="E3463" t="s">
        <v>22</v>
      </c>
      <c r="F3463" t="s">
        <v>6082</v>
      </c>
      <c r="G3463" t="s">
        <v>6083</v>
      </c>
      <c r="H3463" t="s">
        <v>25</v>
      </c>
      <c r="I3463" t="s">
        <v>26</v>
      </c>
      <c r="J3463" t="s">
        <v>8539</v>
      </c>
      <c r="K3463" t="s">
        <v>95</v>
      </c>
      <c r="L3463">
        <v>98632</v>
      </c>
      <c r="M3463" t="s">
        <v>43</v>
      </c>
      <c r="N3463" t="s">
        <v>2015</v>
      </c>
      <c r="O3463" t="s">
        <v>31</v>
      </c>
      <c r="P3463" t="s">
        <v>64</v>
      </c>
      <c r="Q3463" t="s">
        <v>2016</v>
      </c>
      <c r="R3463">
        <v>24.85</v>
      </c>
      <c r="S3463">
        <v>5</v>
      </c>
      <c r="T3463">
        <v>0</v>
      </c>
      <c r="U3463">
        <v>7.7035</v>
      </c>
      <c r="V3463" t="str">
        <f t="shared" si="54"/>
        <v>Joy Bell-</v>
      </c>
      <c r="W3463">
        <f>Table2[Profit]/Table2[Sales]</f>
        <v>0.31</v>
      </c>
    </row>
    <row r="3464" spans="1:23" x14ac:dyDescent="0.25">
      <c r="A3464">
        <v>3463</v>
      </c>
      <c r="B3464" t="s">
        <v>8983</v>
      </c>
      <c r="C3464" s="1">
        <v>42997</v>
      </c>
      <c r="D3464" s="1">
        <v>43003</v>
      </c>
      <c r="E3464" t="s">
        <v>49</v>
      </c>
      <c r="F3464" t="s">
        <v>3751</v>
      </c>
      <c r="G3464" t="s">
        <v>3752</v>
      </c>
      <c r="H3464" t="s">
        <v>25</v>
      </c>
      <c r="I3464" t="s">
        <v>26</v>
      </c>
      <c r="J3464" t="s">
        <v>537</v>
      </c>
      <c r="K3464" t="s">
        <v>303</v>
      </c>
      <c r="L3464">
        <v>85023</v>
      </c>
      <c r="M3464" t="s">
        <v>43</v>
      </c>
      <c r="N3464" t="s">
        <v>6603</v>
      </c>
      <c r="O3464" t="s">
        <v>45</v>
      </c>
      <c r="P3464" t="s">
        <v>58</v>
      </c>
      <c r="Q3464" t="s">
        <v>6604</v>
      </c>
      <c r="R3464">
        <v>12.624000000000001</v>
      </c>
      <c r="S3464">
        <v>2</v>
      </c>
      <c r="T3464">
        <v>0.2</v>
      </c>
      <c r="U3464">
        <v>-2.5247999999999999</v>
      </c>
      <c r="V3464" t="str">
        <f t="shared" si="54"/>
        <v>Adrian Barton</v>
      </c>
      <c r="W3464">
        <f>Table2[Profit]/Table2[Sales]</f>
        <v>-0.19999999999999998</v>
      </c>
    </row>
    <row r="3465" spans="1:23" x14ac:dyDescent="0.25">
      <c r="A3465">
        <v>3464</v>
      </c>
      <c r="B3465" t="s">
        <v>8984</v>
      </c>
      <c r="C3465" s="1">
        <v>42993</v>
      </c>
      <c r="D3465" s="1">
        <v>42997</v>
      </c>
      <c r="E3465" t="s">
        <v>49</v>
      </c>
      <c r="F3465" t="s">
        <v>1929</v>
      </c>
      <c r="G3465" t="s">
        <v>1930</v>
      </c>
      <c r="H3465" t="s">
        <v>25</v>
      </c>
      <c r="I3465" t="s">
        <v>26</v>
      </c>
      <c r="J3465" t="s">
        <v>181</v>
      </c>
      <c r="K3465" t="s">
        <v>103</v>
      </c>
      <c r="L3465">
        <v>77095</v>
      </c>
      <c r="M3465" t="s">
        <v>104</v>
      </c>
      <c r="N3465" t="s">
        <v>6690</v>
      </c>
      <c r="O3465" t="s">
        <v>45</v>
      </c>
      <c r="P3465" t="s">
        <v>67</v>
      </c>
      <c r="Q3465" t="s">
        <v>6691</v>
      </c>
      <c r="R3465">
        <v>31.744</v>
      </c>
      <c r="S3465">
        <v>2</v>
      </c>
      <c r="T3465">
        <v>0.2</v>
      </c>
      <c r="U3465">
        <v>8.3328000000000007</v>
      </c>
      <c r="V3465" t="str">
        <f t="shared" si="54"/>
        <v>Charles Crestani</v>
      </c>
      <c r="W3465">
        <f>Table2[Profit]/Table2[Sales]</f>
        <v>0.26250000000000001</v>
      </c>
    </row>
    <row r="3466" spans="1:23" x14ac:dyDescent="0.25">
      <c r="A3466">
        <v>3465</v>
      </c>
      <c r="B3466" t="s">
        <v>8985</v>
      </c>
      <c r="C3466" s="1">
        <v>42183</v>
      </c>
      <c r="D3466" s="1">
        <v>42187</v>
      </c>
      <c r="E3466" t="s">
        <v>49</v>
      </c>
      <c r="F3466" t="s">
        <v>3143</v>
      </c>
      <c r="G3466" t="s">
        <v>3144</v>
      </c>
      <c r="H3466" t="s">
        <v>40</v>
      </c>
      <c r="I3466" t="s">
        <v>26</v>
      </c>
      <c r="J3466" t="s">
        <v>302</v>
      </c>
      <c r="K3466" t="s">
        <v>303</v>
      </c>
      <c r="L3466">
        <v>85234</v>
      </c>
      <c r="M3466" t="s">
        <v>43</v>
      </c>
      <c r="N3466" t="s">
        <v>4468</v>
      </c>
      <c r="O3466" t="s">
        <v>45</v>
      </c>
      <c r="P3466" t="s">
        <v>46</v>
      </c>
      <c r="Q3466" t="s">
        <v>4469</v>
      </c>
      <c r="R3466">
        <v>5.9039999999999999</v>
      </c>
      <c r="S3466">
        <v>2</v>
      </c>
      <c r="T3466">
        <v>0.2</v>
      </c>
      <c r="U3466">
        <v>1.9925999999999999</v>
      </c>
      <c r="V3466" t="str">
        <f t="shared" si="54"/>
        <v>Craig Yedwab</v>
      </c>
      <c r="W3466">
        <f>Table2[Profit]/Table2[Sales]</f>
        <v>0.33749999999999997</v>
      </c>
    </row>
    <row r="3467" spans="1:23" x14ac:dyDescent="0.25">
      <c r="A3467">
        <v>3466</v>
      </c>
      <c r="B3467" t="s">
        <v>8986</v>
      </c>
      <c r="C3467" s="1">
        <v>42699</v>
      </c>
      <c r="D3467" s="1">
        <v>42702</v>
      </c>
      <c r="E3467" t="s">
        <v>185</v>
      </c>
      <c r="F3467" t="s">
        <v>1803</v>
      </c>
      <c r="G3467" t="s">
        <v>1804</v>
      </c>
      <c r="H3467" t="s">
        <v>25</v>
      </c>
      <c r="I3467" t="s">
        <v>26</v>
      </c>
      <c r="J3467" t="s">
        <v>3207</v>
      </c>
      <c r="K3467" t="s">
        <v>1683</v>
      </c>
      <c r="L3467">
        <v>72401</v>
      </c>
      <c r="M3467" t="s">
        <v>29</v>
      </c>
      <c r="N3467" t="s">
        <v>3813</v>
      </c>
      <c r="O3467" t="s">
        <v>70</v>
      </c>
      <c r="P3467" t="s">
        <v>71</v>
      </c>
      <c r="Q3467" t="s">
        <v>3814</v>
      </c>
      <c r="R3467">
        <v>59.98</v>
      </c>
      <c r="S3467">
        <v>2</v>
      </c>
      <c r="T3467">
        <v>0</v>
      </c>
      <c r="U3467">
        <v>17.994</v>
      </c>
      <c r="V3467" t="str">
        <f t="shared" si="54"/>
        <v>Emily Phan</v>
      </c>
      <c r="W3467">
        <f>Table2[Profit]/Table2[Sales]</f>
        <v>0.3</v>
      </c>
    </row>
    <row r="3468" spans="1:23" x14ac:dyDescent="0.25">
      <c r="A3468">
        <v>3467</v>
      </c>
      <c r="B3468" t="s">
        <v>8987</v>
      </c>
      <c r="C3468" s="1">
        <v>43064</v>
      </c>
      <c r="D3468" s="1">
        <v>43068</v>
      </c>
      <c r="E3468" t="s">
        <v>22</v>
      </c>
      <c r="F3468" t="s">
        <v>945</v>
      </c>
      <c r="G3468" t="s">
        <v>946</v>
      </c>
      <c r="H3468" t="s">
        <v>25</v>
      </c>
      <c r="I3468" t="s">
        <v>26</v>
      </c>
      <c r="J3468" t="s">
        <v>1712</v>
      </c>
      <c r="K3468" t="s">
        <v>1260</v>
      </c>
      <c r="L3468">
        <v>30318</v>
      </c>
      <c r="M3468" t="s">
        <v>29</v>
      </c>
      <c r="N3468" t="s">
        <v>1420</v>
      </c>
      <c r="O3468" t="s">
        <v>45</v>
      </c>
      <c r="P3468" t="s">
        <v>89</v>
      </c>
      <c r="Q3468" t="s">
        <v>1421</v>
      </c>
      <c r="R3468">
        <v>48.87</v>
      </c>
      <c r="S3468">
        <v>9</v>
      </c>
      <c r="T3468">
        <v>0</v>
      </c>
      <c r="U3468">
        <v>23.946300000000001</v>
      </c>
      <c r="V3468" t="str">
        <f t="shared" si="54"/>
        <v>Delfina Latchford</v>
      </c>
      <c r="W3468">
        <f>Table2[Profit]/Table2[Sales]</f>
        <v>0.49000000000000005</v>
      </c>
    </row>
    <row r="3469" spans="1:23" x14ac:dyDescent="0.25">
      <c r="A3469">
        <v>3468</v>
      </c>
      <c r="B3469" t="s">
        <v>8988</v>
      </c>
      <c r="C3469" s="1">
        <v>42749</v>
      </c>
      <c r="D3469" s="1">
        <v>42754</v>
      </c>
      <c r="E3469" t="s">
        <v>49</v>
      </c>
      <c r="F3469" t="s">
        <v>50</v>
      </c>
      <c r="G3469" t="s">
        <v>51</v>
      </c>
      <c r="H3469" t="s">
        <v>25</v>
      </c>
      <c r="I3469" t="s">
        <v>26</v>
      </c>
      <c r="J3469" t="s">
        <v>41</v>
      </c>
      <c r="K3469" t="s">
        <v>42</v>
      </c>
      <c r="L3469">
        <v>90036</v>
      </c>
      <c r="M3469" t="s">
        <v>43</v>
      </c>
      <c r="N3469" t="s">
        <v>7530</v>
      </c>
      <c r="O3469" t="s">
        <v>45</v>
      </c>
      <c r="P3469" t="s">
        <v>89</v>
      </c>
      <c r="Q3469" t="s">
        <v>7531</v>
      </c>
      <c r="R3469">
        <v>154.9</v>
      </c>
      <c r="S3469">
        <v>5</v>
      </c>
      <c r="T3469">
        <v>0</v>
      </c>
      <c r="U3469">
        <v>69.704999999999998</v>
      </c>
      <c r="V3469" t="str">
        <f t="shared" si="54"/>
        <v>Sean O'Donnell</v>
      </c>
      <c r="W3469">
        <f>Table2[Profit]/Table2[Sales]</f>
        <v>0.44999999999999996</v>
      </c>
    </row>
    <row r="3470" spans="1:23" x14ac:dyDescent="0.25">
      <c r="A3470">
        <v>3469</v>
      </c>
      <c r="B3470" t="s">
        <v>8989</v>
      </c>
      <c r="C3470" s="1">
        <v>41950</v>
      </c>
      <c r="D3470" s="1">
        <v>41951</v>
      </c>
      <c r="E3470" t="s">
        <v>185</v>
      </c>
      <c r="F3470" t="s">
        <v>1372</v>
      </c>
      <c r="G3470" t="s">
        <v>1373</v>
      </c>
      <c r="H3470" t="s">
        <v>40</v>
      </c>
      <c r="I3470" t="s">
        <v>26</v>
      </c>
      <c r="J3470" t="s">
        <v>263</v>
      </c>
      <c r="K3470" t="s">
        <v>264</v>
      </c>
      <c r="L3470">
        <v>10024</v>
      </c>
      <c r="M3470" t="s">
        <v>145</v>
      </c>
      <c r="N3470" t="s">
        <v>4227</v>
      </c>
      <c r="O3470" t="s">
        <v>45</v>
      </c>
      <c r="P3470" t="s">
        <v>266</v>
      </c>
      <c r="Q3470" t="s">
        <v>4228</v>
      </c>
      <c r="R3470">
        <v>5.92</v>
      </c>
      <c r="S3470">
        <v>4</v>
      </c>
      <c r="T3470">
        <v>0</v>
      </c>
      <c r="U3470">
        <v>2.8416000000000001</v>
      </c>
      <c r="V3470" t="str">
        <f t="shared" si="54"/>
        <v>Bart Pistole</v>
      </c>
      <c r="W3470">
        <f>Table2[Profit]/Table2[Sales]</f>
        <v>0.48000000000000004</v>
      </c>
    </row>
    <row r="3471" spans="1:23" x14ac:dyDescent="0.25">
      <c r="A3471">
        <v>3470</v>
      </c>
      <c r="B3471" t="s">
        <v>8990</v>
      </c>
      <c r="C3471" s="1">
        <v>42614</v>
      </c>
      <c r="D3471" s="1">
        <v>42618</v>
      </c>
      <c r="E3471" t="s">
        <v>49</v>
      </c>
      <c r="F3471" t="s">
        <v>2858</v>
      </c>
      <c r="G3471" t="s">
        <v>2859</v>
      </c>
      <c r="H3471" t="s">
        <v>25</v>
      </c>
      <c r="I3471" t="s">
        <v>26</v>
      </c>
      <c r="J3471" t="s">
        <v>873</v>
      </c>
      <c r="K3471" t="s">
        <v>235</v>
      </c>
      <c r="L3471">
        <v>48227</v>
      </c>
      <c r="M3471" t="s">
        <v>104</v>
      </c>
      <c r="N3471" t="s">
        <v>2076</v>
      </c>
      <c r="O3471" t="s">
        <v>45</v>
      </c>
      <c r="P3471" t="s">
        <v>74</v>
      </c>
      <c r="Q3471" t="s">
        <v>2077</v>
      </c>
      <c r="R3471">
        <v>24.1</v>
      </c>
      <c r="S3471">
        <v>5</v>
      </c>
      <c r="T3471">
        <v>0</v>
      </c>
      <c r="U3471">
        <v>11.086</v>
      </c>
      <c r="V3471" t="str">
        <f t="shared" si="54"/>
        <v>Joseph Airdo</v>
      </c>
      <c r="W3471">
        <f>Table2[Profit]/Table2[Sales]</f>
        <v>0.45999999999999996</v>
      </c>
    </row>
    <row r="3472" spans="1:23" x14ac:dyDescent="0.25">
      <c r="A3472">
        <v>3471</v>
      </c>
      <c r="B3472" t="s">
        <v>8991</v>
      </c>
      <c r="C3472" s="1">
        <v>43050</v>
      </c>
      <c r="D3472" s="1">
        <v>43055</v>
      </c>
      <c r="E3472" t="s">
        <v>22</v>
      </c>
      <c r="F3472" t="s">
        <v>1516</v>
      </c>
      <c r="G3472" t="s">
        <v>1517</v>
      </c>
      <c r="H3472" t="s">
        <v>40</v>
      </c>
      <c r="I3472" t="s">
        <v>26</v>
      </c>
      <c r="J3472" t="s">
        <v>52</v>
      </c>
      <c r="K3472" t="s">
        <v>53</v>
      </c>
      <c r="L3472">
        <v>33311</v>
      </c>
      <c r="M3472" t="s">
        <v>29</v>
      </c>
      <c r="N3472" t="s">
        <v>5496</v>
      </c>
      <c r="O3472" t="s">
        <v>45</v>
      </c>
      <c r="P3472" t="s">
        <v>77</v>
      </c>
      <c r="Q3472" t="s">
        <v>5497</v>
      </c>
      <c r="R3472">
        <v>1158.1199999999999</v>
      </c>
      <c r="S3472">
        <v>5</v>
      </c>
      <c r="T3472">
        <v>0.2</v>
      </c>
      <c r="U3472">
        <v>130.2885</v>
      </c>
      <c r="V3472" t="str">
        <f t="shared" si="54"/>
        <v>Brenda Bowman</v>
      </c>
      <c r="W3472">
        <f>Table2[Profit]/Table2[Sales]</f>
        <v>0.11250000000000002</v>
      </c>
    </row>
    <row r="3473" spans="1:23" x14ac:dyDescent="0.25">
      <c r="A3473">
        <v>3472</v>
      </c>
      <c r="B3473" t="s">
        <v>8992</v>
      </c>
      <c r="C3473" s="1">
        <v>43080</v>
      </c>
      <c r="D3473" s="1">
        <v>43082</v>
      </c>
      <c r="E3473" t="s">
        <v>185</v>
      </c>
      <c r="F3473" t="s">
        <v>5071</v>
      </c>
      <c r="G3473" t="s">
        <v>5072</v>
      </c>
      <c r="H3473" t="s">
        <v>25</v>
      </c>
      <c r="I3473" t="s">
        <v>26</v>
      </c>
      <c r="J3473" t="s">
        <v>8993</v>
      </c>
      <c r="K3473" t="s">
        <v>103</v>
      </c>
      <c r="L3473">
        <v>79605</v>
      </c>
      <c r="M3473" t="s">
        <v>104</v>
      </c>
      <c r="N3473" t="s">
        <v>8994</v>
      </c>
      <c r="O3473" t="s">
        <v>45</v>
      </c>
      <c r="P3473" t="s">
        <v>77</v>
      </c>
      <c r="Q3473" t="s">
        <v>8995</v>
      </c>
      <c r="R3473">
        <v>1.3919999999999999</v>
      </c>
      <c r="S3473">
        <v>2</v>
      </c>
      <c r="T3473">
        <v>0.8</v>
      </c>
      <c r="U3473">
        <v>-3.7584</v>
      </c>
      <c r="V3473" t="str">
        <f t="shared" si="54"/>
        <v>Dennis Kane</v>
      </c>
      <c r="W3473">
        <f>Table2[Profit]/Table2[Sales]</f>
        <v>-2.7</v>
      </c>
    </row>
    <row r="3474" spans="1:23" x14ac:dyDescent="0.25">
      <c r="A3474">
        <v>3473</v>
      </c>
      <c r="B3474" t="s">
        <v>8996</v>
      </c>
      <c r="C3474" s="1">
        <v>42316</v>
      </c>
      <c r="D3474" s="1">
        <v>42321</v>
      </c>
      <c r="E3474" t="s">
        <v>22</v>
      </c>
      <c r="F3474" t="s">
        <v>5022</v>
      </c>
      <c r="G3474" t="s">
        <v>5023</v>
      </c>
      <c r="H3474" t="s">
        <v>25</v>
      </c>
      <c r="I3474" t="s">
        <v>26</v>
      </c>
      <c r="J3474" t="s">
        <v>7376</v>
      </c>
      <c r="K3474" t="s">
        <v>312</v>
      </c>
      <c r="L3474">
        <v>23666</v>
      </c>
      <c r="M3474" t="s">
        <v>29</v>
      </c>
      <c r="N3474" t="s">
        <v>2558</v>
      </c>
      <c r="O3474" t="s">
        <v>45</v>
      </c>
      <c r="P3474" t="s">
        <v>77</v>
      </c>
      <c r="Q3474" t="s">
        <v>2559</v>
      </c>
      <c r="R3474">
        <v>44.43</v>
      </c>
      <c r="S3474">
        <v>3</v>
      </c>
      <c r="T3474">
        <v>0</v>
      </c>
      <c r="U3474">
        <v>18.660599999999999</v>
      </c>
      <c r="V3474" t="str">
        <f t="shared" si="54"/>
        <v>Rob Haberlin</v>
      </c>
      <c r="W3474">
        <f>Table2[Profit]/Table2[Sales]</f>
        <v>0.42</v>
      </c>
    </row>
    <row r="3475" spans="1:23" x14ac:dyDescent="0.25">
      <c r="A3475">
        <v>3474</v>
      </c>
      <c r="B3475" t="s">
        <v>8997</v>
      </c>
      <c r="C3475" s="1">
        <v>42327</v>
      </c>
      <c r="D3475" s="1">
        <v>42334</v>
      </c>
      <c r="E3475" t="s">
        <v>49</v>
      </c>
      <c r="F3475" t="s">
        <v>5607</v>
      </c>
      <c r="G3475" t="s">
        <v>5608</v>
      </c>
      <c r="H3475" t="s">
        <v>40</v>
      </c>
      <c r="I3475" t="s">
        <v>26</v>
      </c>
      <c r="J3475" t="s">
        <v>1380</v>
      </c>
      <c r="K3475" t="s">
        <v>1381</v>
      </c>
      <c r="L3475">
        <v>89115</v>
      </c>
      <c r="M3475" t="s">
        <v>43</v>
      </c>
      <c r="N3475" t="s">
        <v>4023</v>
      </c>
      <c r="O3475" t="s">
        <v>45</v>
      </c>
      <c r="P3475" t="s">
        <v>77</v>
      </c>
      <c r="Q3475" t="s">
        <v>4024</v>
      </c>
      <c r="R3475">
        <v>31.08</v>
      </c>
      <c r="S3475">
        <v>4</v>
      </c>
      <c r="T3475">
        <v>0</v>
      </c>
      <c r="U3475">
        <v>8.3916000000000004</v>
      </c>
      <c r="V3475" t="str">
        <f t="shared" si="54"/>
        <v>Aleksandra Gannaway</v>
      </c>
      <c r="W3475">
        <f>Table2[Profit]/Table2[Sales]</f>
        <v>0.27</v>
      </c>
    </row>
    <row r="3476" spans="1:23" x14ac:dyDescent="0.25">
      <c r="A3476">
        <v>3475</v>
      </c>
      <c r="B3476" t="s">
        <v>8998</v>
      </c>
      <c r="C3476" s="1">
        <v>43092</v>
      </c>
      <c r="D3476" s="1">
        <v>43094</v>
      </c>
      <c r="E3476" t="s">
        <v>22</v>
      </c>
      <c r="F3476" t="s">
        <v>697</v>
      </c>
      <c r="G3476" t="s">
        <v>698</v>
      </c>
      <c r="H3476" t="s">
        <v>40</v>
      </c>
      <c r="I3476" t="s">
        <v>26</v>
      </c>
      <c r="J3476" t="s">
        <v>3049</v>
      </c>
      <c r="K3476" t="s">
        <v>208</v>
      </c>
      <c r="L3476">
        <v>61107</v>
      </c>
      <c r="M3476" t="s">
        <v>104</v>
      </c>
      <c r="N3476" t="s">
        <v>666</v>
      </c>
      <c r="O3476" t="s">
        <v>45</v>
      </c>
      <c r="P3476" t="s">
        <v>74</v>
      </c>
      <c r="Q3476" t="s">
        <v>667</v>
      </c>
      <c r="R3476">
        <v>13.84</v>
      </c>
      <c r="S3476">
        <v>4</v>
      </c>
      <c r="T3476">
        <v>0.8</v>
      </c>
      <c r="U3476">
        <v>-22.143999999999998</v>
      </c>
      <c r="V3476" t="str">
        <f t="shared" si="54"/>
        <v>Jennifer Braxton</v>
      </c>
      <c r="W3476">
        <f>Table2[Profit]/Table2[Sales]</f>
        <v>-1.5999999999999999</v>
      </c>
    </row>
    <row r="3477" spans="1:23" x14ac:dyDescent="0.25">
      <c r="A3477">
        <v>3476</v>
      </c>
      <c r="B3477" t="s">
        <v>8999</v>
      </c>
      <c r="C3477" s="1">
        <v>42629</v>
      </c>
      <c r="D3477" s="1">
        <v>42635</v>
      </c>
      <c r="E3477" t="s">
        <v>49</v>
      </c>
      <c r="F3477" t="s">
        <v>5210</v>
      </c>
      <c r="G3477" t="s">
        <v>5211</v>
      </c>
      <c r="H3477" t="s">
        <v>101</v>
      </c>
      <c r="I3477" t="s">
        <v>26</v>
      </c>
      <c r="J3477" t="s">
        <v>3998</v>
      </c>
      <c r="K3477" t="s">
        <v>42</v>
      </c>
      <c r="L3477">
        <v>92677</v>
      </c>
      <c r="M3477" t="s">
        <v>43</v>
      </c>
      <c r="N3477" t="s">
        <v>2803</v>
      </c>
      <c r="O3477" t="s">
        <v>45</v>
      </c>
      <c r="P3477" t="s">
        <v>89</v>
      </c>
      <c r="Q3477" t="s">
        <v>6656</v>
      </c>
      <c r="R3477">
        <v>12.96</v>
      </c>
      <c r="S3477">
        <v>2</v>
      </c>
      <c r="T3477">
        <v>0</v>
      </c>
      <c r="U3477">
        <v>6.3503999999999996</v>
      </c>
      <c r="V3477" t="str">
        <f t="shared" si="54"/>
        <v>Becky Castell</v>
      </c>
      <c r="W3477">
        <f>Table2[Profit]/Table2[Sales]</f>
        <v>0.48999999999999994</v>
      </c>
    </row>
    <row r="3478" spans="1:23" x14ac:dyDescent="0.25">
      <c r="A3478">
        <v>3477</v>
      </c>
      <c r="B3478" t="s">
        <v>9000</v>
      </c>
      <c r="C3478" s="1">
        <v>42881</v>
      </c>
      <c r="D3478" s="1">
        <v>42884</v>
      </c>
      <c r="E3478" t="s">
        <v>185</v>
      </c>
      <c r="F3478" t="s">
        <v>1434</v>
      </c>
      <c r="G3478" t="s">
        <v>1435</v>
      </c>
      <c r="H3478" t="s">
        <v>40</v>
      </c>
      <c r="I3478" t="s">
        <v>26</v>
      </c>
      <c r="J3478" t="s">
        <v>1459</v>
      </c>
      <c r="K3478" t="s">
        <v>28</v>
      </c>
      <c r="L3478">
        <v>40214</v>
      </c>
      <c r="M3478" t="s">
        <v>29</v>
      </c>
      <c r="N3478" t="s">
        <v>7698</v>
      </c>
      <c r="O3478" t="s">
        <v>45</v>
      </c>
      <c r="P3478" t="s">
        <v>77</v>
      </c>
      <c r="Q3478" t="s">
        <v>7699</v>
      </c>
      <c r="R3478">
        <v>208.44</v>
      </c>
      <c r="S3478">
        <v>3</v>
      </c>
      <c r="T3478">
        <v>0</v>
      </c>
      <c r="U3478">
        <v>62.531999999999996</v>
      </c>
      <c r="V3478" t="str">
        <f t="shared" si="54"/>
        <v>Kimberly Carter</v>
      </c>
      <c r="W3478">
        <f>Table2[Profit]/Table2[Sales]</f>
        <v>0.3</v>
      </c>
    </row>
    <row r="3479" spans="1:23" x14ac:dyDescent="0.25">
      <c r="A3479">
        <v>3478</v>
      </c>
      <c r="B3479" t="s">
        <v>9001</v>
      </c>
      <c r="C3479" s="1">
        <v>42093</v>
      </c>
      <c r="D3479" s="1">
        <v>42097</v>
      </c>
      <c r="E3479" t="s">
        <v>49</v>
      </c>
      <c r="F3479" t="s">
        <v>5865</v>
      </c>
      <c r="G3479" t="s">
        <v>5866</v>
      </c>
      <c r="H3479" t="s">
        <v>101</v>
      </c>
      <c r="I3479" t="s">
        <v>26</v>
      </c>
      <c r="J3479" t="s">
        <v>9002</v>
      </c>
      <c r="K3479" t="s">
        <v>208</v>
      </c>
      <c r="L3479">
        <v>61761</v>
      </c>
      <c r="M3479" t="s">
        <v>104</v>
      </c>
      <c r="N3479" t="s">
        <v>6800</v>
      </c>
      <c r="O3479" t="s">
        <v>31</v>
      </c>
      <c r="P3479" t="s">
        <v>35</v>
      </c>
      <c r="Q3479" t="s">
        <v>6801</v>
      </c>
      <c r="R3479">
        <v>366.74400000000003</v>
      </c>
      <c r="S3479">
        <v>4</v>
      </c>
      <c r="T3479">
        <v>0.3</v>
      </c>
      <c r="U3479">
        <v>-110.0232</v>
      </c>
      <c r="V3479" t="str">
        <f t="shared" si="54"/>
        <v>Daniel Raglin</v>
      </c>
      <c r="W3479">
        <f>Table2[Profit]/Table2[Sales]</f>
        <v>-0.3</v>
      </c>
    </row>
    <row r="3480" spans="1:23" x14ac:dyDescent="0.25">
      <c r="A3480">
        <v>3479</v>
      </c>
      <c r="B3480" t="s">
        <v>9003</v>
      </c>
      <c r="C3480" s="1">
        <v>41870</v>
      </c>
      <c r="D3480" s="1">
        <v>41872</v>
      </c>
      <c r="E3480" t="s">
        <v>22</v>
      </c>
      <c r="F3480" t="s">
        <v>6301</v>
      </c>
      <c r="G3480" t="s">
        <v>6302</v>
      </c>
      <c r="H3480" t="s">
        <v>40</v>
      </c>
      <c r="I3480" t="s">
        <v>26</v>
      </c>
      <c r="J3480" t="s">
        <v>41</v>
      </c>
      <c r="K3480" t="s">
        <v>42</v>
      </c>
      <c r="L3480">
        <v>90045</v>
      </c>
      <c r="M3480" t="s">
        <v>43</v>
      </c>
      <c r="N3480" t="s">
        <v>1832</v>
      </c>
      <c r="O3480" t="s">
        <v>31</v>
      </c>
      <c r="P3480" t="s">
        <v>64</v>
      </c>
      <c r="Q3480" t="s">
        <v>1833</v>
      </c>
      <c r="R3480">
        <v>289.24</v>
      </c>
      <c r="S3480">
        <v>7</v>
      </c>
      <c r="T3480">
        <v>0</v>
      </c>
      <c r="U3480">
        <v>26.031600000000001</v>
      </c>
      <c r="V3480" t="str">
        <f t="shared" si="54"/>
        <v>David Wiener</v>
      </c>
      <c r="W3480">
        <f>Table2[Profit]/Table2[Sales]</f>
        <v>0.09</v>
      </c>
    </row>
    <row r="3481" spans="1:23" x14ac:dyDescent="0.25">
      <c r="A3481">
        <v>3480</v>
      </c>
      <c r="B3481" t="s">
        <v>9004</v>
      </c>
      <c r="C3481" s="1">
        <v>41996</v>
      </c>
      <c r="D3481" s="1">
        <v>42001</v>
      </c>
      <c r="E3481" t="s">
        <v>49</v>
      </c>
      <c r="F3481" t="s">
        <v>4571</v>
      </c>
      <c r="G3481" t="s">
        <v>4572</v>
      </c>
      <c r="H3481" t="s">
        <v>40</v>
      </c>
      <c r="I3481" t="s">
        <v>26</v>
      </c>
      <c r="J3481" t="s">
        <v>7211</v>
      </c>
      <c r="K3481" t="s">
        <v>103</v>
      </c>
      <c r="L3481">
        <v>77642</v>
      </c>
      <c r="M3481" t="s">
        <v>104</v>
      </c>
      <c r="N3481" t="s">
        <v>5651</v>
      </c>
      <c r="O3481" t="s">
        <v>45</v>
      </c>
      <c r="P3481" t="s">
        <v>89</v>
      </c>
      <c r="Q3481" t="s">
        <v>5652</v>
      </c>
      <c r="R3481">
        <v>5.1840000000000002</v>
      </c>
      <c r="S3481">
        <v>1</v>
      </c>
      <c r="T3481">
        <v>0.2</v>
      </c>
      <c r="U3481">
        <v>1.8144</v>
      </c>
      <c r="V3481" t="str">
        <f t="shared" si="54"/>
        <v>Michelle Ellison</v>
      </c>
      <c r="W3481">
        <f>Table2[Profit]/Table2[Sales]</f>
        <v>0.35</v>
      </c>
    </row>
    <row r="3482" spans="1:23" x14ac:dyDescent="0.25">
      <c r="A3482">
        <v>3481</v>
      </c>
      <c r="B3482" t="s">
        <v>9005</v>
      </c>
      <c r="C3482" s="1">
        <v>42309</v>
      </c>
      <c r="D3482" s="1">
        <v>42313</v>
      </c>
      <c r="E3482" t="s">
        <v>49</v>
      </c>
      <c r="F3482" t="s">
        <v>1887</v>
      </c>
      <c r="G3482" t="s">
        <v>1888</v>
      </c>
      <c r="H3482" t="s">
        <v>25</v>
      </c>
      <c r="I3482" t="s">
        <v>26</v>
      </c>
      <c r="J3482" t="s">
        <v>263</v>
      </c>
      <c r="K3482" t="s">
        <v>264</v>
      </c>
      <c r="L3482">
        <v>10009</v>
      </c>
      <c r="M3482" t="s">
        <v>145</v>
      </c>
      <c r="N3482" t="s">
        <v>8175</v>
      </c>
      <c r="O3482" t="s">
        <v>31</v>
      </c>
      <c r="P3482" t="s">
        <v>35</v>
      </c>
      <c r="Q3482" t="s">
        <v>8176</v>
      </c>
      <c r="R3482">
        <v>205.16399999999999</v>
      </c>
      <c r="S3482">
        <v>2</v>
      </c>
      <c r="T3482">
        <v>0.1</v>
      </c>
      <c r="U3482">
        <v>13.6776</v>
      </c>
      <c r="V3482" t="str">
        <f t="shared" si="54"/>
        <v>Jeremy Farry</v>
      </c>
      <c r="W3482">
        <f>Table2[Profit]/Table2[Sales]</f>
        <v>6.6666666666666666E-2</v>
      </c>
    </row>
    <row r="3483" spans="1:23" x14ac:dyDescent="0.25">
      <c r="A3483">
        <v>3482</v>
      </c>
      <c r="B3483" t="s">
        <v>9006</v>
      </c>
      <c r="C3483" s="1">
        <v>41988</v>
      </c>
      <c r="D3483" s="1">
        <v>41994</v>
      </c>
      <c r="E3483" t="s">
        <v>49</v>
      </c>
      <c r="F3483" t="s">
        <v>1147</v>
      </c>
      <c r="G3483" t="s">
        <v>1148</v>
      </c>
      <c r="H3483" t="s">
        <v>40</v>
      </c>
      <c r="I3483" t="s">
        <v>26</v>
      </c>
      <c r="J3483" t="s">
        <v>296</v>
      </c>
      <c r="K3483" t="s">
        <v>208</v>
      </c>
      <c r="L3483">
        <v>60623</v>
      </c>
      <c r="M3483" t="s">
        <v>104</v>
      </c>
      <c r="N3483" t="s">
        <v>5925</v>
      </c>
      <c r="O3483" t="s">
        <v>31</v>
      </c>
      <c r="P3483" t="s">
        <v>64</v>
      </c>
      <c r="Q3483" t="s">
        <v>5926</v>
      </c>
      <c r="R3483">
        <v>8.5440000000000005</v>
      </c>
      <c r="S3483">
        <v>2</v>
      </c>
      <c r="T3483">
        <v>0.6</v>
      </c>
      <c r="U3483">
        <v>-7.476</v>
      </c>
      <c r="V3483" t="str">
        <f t="shared" si="54"/>
        <v>Sung Pak</v>
      </c>
      <c r="W3483">
        <f>Table2[Profit]/Table2[Sales]</f>
        <v>-0.875</v>
      </c>
    </row>
    <row r="3484" spans="1:23" x14ac:dyDescent="0.25">
      <c r="A3484">
        <v>3483</v>
      </c>
      <c r="B3484" t="s">
        <v>9007</v>
      </c>
      <c r="C3484" s="1">
        <v>42237</v>
      </c>
      <c r="D3484" s="1">
        <v>42241</v>
      </c>
      <c r="E3484" t="s">
        <v>49</v>
      </c>
      <c r="F3484" t="s">
        <v>3869</v>
      </c>
      <c r="G3484" t="s">
        <v>3870</v>
      </c>
      <c r="H3484" t="s">
        <v>40</v>
      </c>
      <c r="I3484" t="s">
        <v>26</v>
      </c>
      <c r="J3484" t="s">
        <v>311</v>
      </c>
      <c r="K3484" t="s">
        <v>491</v>
      </c>
      <c r="L3484">
        <v>45503</v>
      </c>
      <c r="M3484" t="s">
        <v>145</v>
      </c>
      <c r="N3484" t="s">
        <v>1574</v>
      </c>
      <c r="O3484" t="s">
        <v>45</v>
      </c>
      <c r="P3484" t="s">
        <v>74</v>
      </c>
      <c r="Q3484" t="s">
        <v>1575</v>
      </c>
      <c r="R3484">
        <v>12.827999999999999</v>
      </c>
      <c r="S3484">
        <v>2</v>
      </c>
      <c r="T3484">
        <v>0.7</v>
      </c>
      <c r="U3484">
        <v>-8.9795999999999996</v>
      </c>
      <c r="V3484" t="str">
        <f t="shared" si="54"/>
        <v>Katherine Nockton</v>
      </c>
      <c r="W3484">
        <f>Table2[Profit]/Table2[Sales]</f>
        <v>-0.7</v>
      </c>
    </row>
    <row r="3485" spans="1:23" x14ac:dyDescent="0.25">
      <c r="A3485">
        <v>3484</v>
      </c>
      <c r="B3485" t="s">
        <v>9008</v>
      </c>
      <c r="C3485" s="1">
        <v>41782</v>
      </c>
      <c r="D3485" s="1">
        <v>41786</v>
      </c>
      <c r="E3485" t="s">
        <v>49</v>
      </c>
      <c r="F3485" t="s">
        <v>1852</v>
      </c>
      <c r="G3485" t="s">
        <v>1853</v>
      </c>
      <c r="H3485" t="s">
        <v>25</v>
      </c>
      <c r="I3485" t="s">
        <v>26</v>
      </c>
      <c r="J3485" t="s">
        <v>263</v>
      </c>
      <c r="K3485" t="s">
        <v>264</v>
      </c>
      <c r="L3485">
        <v>10035</v>
      </c>
      <c r="M3485" t="s">
        <v>145</v>
      </c>
      <c r="N3485" t="s">
        <v>5505</v>
      </c>
      <c r="O3485" t="s">
        <v>45</v>
      </c>
      <c r="P3485" t="s">
        <v>74</v>
      </c>
      <c r="Q3485" t="s">
        <v>1207</v>
      </c>
      <c r="R3485">
        <v>17.96</v>
      </c>
      <c r="S3485">
        <v>5</v>
      </c>
      <c r="T3485">
        <v>0.2</v>
      </c>
      <c r="U3485">
        <v>5.8369999999999997</v>
      </c>
      <c r="V3485" t="str">
        <f t="shared" si="54"/>
        <v>Greg Tran</v>
      </c>
      <c r="W3485">
        <f>Table2[Profit]/Table2[Sales]</f>
        <v>0.32499999999999996</v>
      </c>
    </row>
    <row r="3486" spans="1:23" x14ac:dyDescent="0.25">
      <c r="A3486">
        <v>3485</v>
      </c>
      <c r="B3486" t="s">
        <v>9009</v>
      </c>
      <c r="C3486" s="1">
        <v>43078</v>
      </c>
      <c r="D3486" s="1">
        <v>43080</v>
      </c>
      <c r="E3486" t="s">
        <v>22</v>
      </c>
      <c r="F3486" t="s">
        <v>5487</v>
      </c>
      <c r="G3486" t="s">
        <v>5488</v>
      </c>
      <c r="H3486" t="s">
        <v>101</v>
      </c>
      <c r="I3486" t="s">
        <v>26</v>
      </c>
      <c r="J3486" t="s">
        <v>2603</v>
      </c>
      <c r="K3486" t="s">
        <v>42</v>
      </c>
      <c r="L3486">
        <v>93905</v>
      </c>
      <c r="M3486" t="s">
        <v>43</v>
      </c>
      <c r="N3486" t="s">
        <v>2574</v>
      </c>
      <c r="O3486" t="s">
        <v>31</v>
      </c>
      <c r="P3486" t="s">
        <v>32</v>
      </c>
      <c r="Q3486" t="s">
        <v>2575</v>
      </c>
      <c r="R3486">
        <v>148.25700000000001</v>
      </c>
      <c r="S3486">
        <v>3</v>
      </c>
      <c r="T3486">
        <v>0.15</v>
      </c>
      <c r="U3486">
        <v>15.697800000000001</v>
      </c>
      <c r="V3486" t="str">
        <f t="shared" si="54"/>
        <v>Daniel Byrd</v>
      </c>
      <c r="W3486">
        <f>Table2[Profit]/Table2[Sales]</f>
        <v>0.10588235294117647</v>
      </c>
    </row>
    <row r="3487" spans="1:23" x14ac:dyDescent="0.25">
      <c r="A3487">
        <v>3486</v>
      </c>
      <c r="B3487" t="s">
        <v>9010</v>
      </c>
      <c r="C3487" s="1">
        <v>41709</v>
      </c>
      <c r="D3487" s="1">
        <v>41711</v>
      </c>
      <c r="E3487" t="s">
        <v>22</v>
      </c>
      <c r="F3487" t="s">
        <v>4337</v>
      </c>
      <c r="G3487" t="s">
        <v>4338</v>
      </c>
      <c r="H3487" t="s">
        <v>40</v>
      </c>
      <c r="I3487" t="s">
        <v>26</v>
      </c>
      <c r="J3487" t="s">
        <v>1450</v>
      </c>
      <c r="K3487" t="s">
        <v>28</v>
      </c>
      <c r="L3487">
        <v>40475</v>
      </c>
      <c r="M3487" t="s">
        <v>29</v>
      </c>
      <c r="N3487" t="s">
        <v>1583</v>
      </c>
      <c r="O3487" t="s">
        <v>45</v>
      </c>
      <c r="P3487" t="s">
        <v>77</v>
      </c>
      <c r="Q3487" t="s">
        <v>1584</v>
      </c>
      <c r="R3487">
        <v>146.76</v>
      </c>
      <c r="S3487">
        <v>3</v>
      </c>
      <c r="T3487">
        <v>0</v>
      </c>
      <c r="U3487">
        <v>38.157600000000002</v>
      </c>
      <c r="V3487" t="str">
        <f t="shared" si="54"/>
        <v>Filia McAdams</v>
      </c>
      <c r="W3487">
        <f>Table2[Profit]/Table2[Sales]</f>
        <v>0.26</v>
      </c>
    </row>
    <row r="3488" spans="1:23" x14ac:dyDescent="0.25">
      <c r="A3488">
        <v>3487</v>
      </c>
      <c r="B3488" t="s">
        <v>9011</v>
      </c>
      <c r="C3488" s="1">
        <v>42544</v>
      </c>
      <c r="D3488" s="1">
        <v>42548</v>
      </c>
      <c r="E3488" t="s">
        <v>22</v>
      </c>
      <c r="F3488" t="s">
        <v>2662</v>
      </c>
      <c r="G3488" t="s">
        <v>2663</v>
      </c>
      <c r="H3488" t="s">
        <v>25</v>
      </c>
      <c r="I3488" t="s">
        <v>26</v>
      </c>
      <c r="J3488" t="s">
        <v>263</v>
      </c>
      <c r="K3488" t="s">
        <v>264</v>
      </c>
      <c r="L3488">
        <v>10035</v>
      </c>
      <c r="M3488" t="s">
        <v>145</v>
      </c>
      <c r="N3488" t="s">
        <v>7208</v>
      </c>
      <c r="O3488" t="s">
        <v>45</v>
      </c>
      <c r="P3488" t="s">
        <v>46</v>
      </c>
      <c r="Q3488" t="s">
        <v>7209</v>
      </c>
      <c r="R3488">
        <v>25.83</v>
      </c>
      <c r="S3488">
        <v>7</v>
      </c>
      <c r="T3488">
        <v>0</v>
      </c>
      <c r="U3488">
        <v>12.1401</v>
      </c>
      <c r="V3488" t="str">
        <f t="shared" si="54"/>
        <v>Sally Matthias</v>
      </c>
      <c r="W3488">
        <f>Table2[Profit]/Table2[Sales]</f>
        <v>0.47000000000000003</v>
      </c>
    </row>
    <row r="3489" spans="1:23" x14ac:dyDescent="0.25">
      <c r="A3489">
        <v>3488</v>
      </c>
      <c r="B3489" t="s">
        <v>9012</v>
      </c>
      <c r="C3489" s="1">
        <v>41874</v>
      </c>
      <c r="D3489" s="1">
        <v>41878</v>
      </c>
      <c r="E3489" t="s">
        <v>49</v>
      </c>
      <c r="F3489" t="s">
        <v>2255</v>
      </c>
      <c r="G3489" t="s">
        <v>2256</v>
      </c>
      <c r="H3489" t="s">
        <v>25</v>
      </c>
      <c r="I3489" t="s">
        <v>26</v>
      </c>
      <c r="J3489" t="s">
        <v>800</v>
      </c>
      <c r="K3489" t="s">
        <v>450</v>
      </c>
      <c r="L3489">
        <v>80219</v>
      </c>
      <c r="M3489" t="s">
        <v>43</v>
      </c>
      <c r="N3489" t="s">
        <v>9013</v>
      </c>
      <c r="O3489" t="s">
        <v>45</v>
      </c>
      <c r="P3489" t="s">
        <v>89</v>
      </c>
      <c r="Q3489" t="s">
        <v>9014</v>
      </c>
      <c r="R3489">
        <v>15.552</v>
      </c>
      <c r="S3489">
        <v>3</v>
      </c>
      <c r="T3489">
        <v>0.2</v>
      </c>
      <c r="U3489">
        <v>5.4432</v>
      </c>
      <c r="V3489" t="str">
        <f t="shared" si="54"/>
        <v>Arthur Prichep</v>
      </c>
      <c r="W3489">
        <f>Table2[Profit]/Table2[Sales]</f>
        <v>0.35000000000000003</v>
      </c>
    </row>
    <row r="3490" spans="1:23" x14ac:dyDescent="0.25">
      <c r="A3490">
        <v>3489</v>
      </c>
      <c r="B3490" t="s">
        <v>9015</v>
      </c>
      <c r="C3490" s="1">
        <v>42772</v>
      </c>
      <c r="D3490" s="1">
        <v>42778</v>
      </c>
      <c r="E3490" t="s">
        <v>49</v>
      </c>
      <c r="F3490" t="s">
        <v>2135</v>
      </c>
      <c r="G3490" t="s">
        <v>2136</v>
      </c>
      <c r="H3490" t="s">
        <v>40</v>
      </c>
      <c r="I3490" t="s">
        <v>26</v>
      </c>
      <c r="J3490" t="s">
        <v>263</v>
      </c>
      <c r="K3490" t="s">
        <v>264</v>
      </c>
      <c r="L3490">
        <v>10024</v>
      </c>
      <c r="M3490" t="s">
        <v>145</v>
      </c>
      <c r="N3490" t="s">
        <v>2019</v>
      </c>
      <c r="O3490" t="s">
        <v>70</v>
      </c>
      <c r="P3490" t="s">
        <v>71</v>
      </c>
      <c r="Q3490" t="s">
        <v>2020</v>
      </c>
      <c r="R3490">
        <v>227.46</v>
      </c>
      <c r="S3490">
        <v>6</v>
      </c>
      <c r="T3490">
        <v>0</v>
      </c>
      <c r="U3490">
        <v>65.963399999999993</v>
      </c>
      <c r="V3490" t="str">
        <f t="shared" si="54"/>
        <v>Sibella Parks</v>
      </c>
      <c r="W3490">
        <f>Table2[Profit]/Table2[Sales]</f>
        <v>0.28999999999999998</v>
      </c>
    </row>
    <row r="3491" spans="1:23" x14ac:dyDescent="0.25">
      <c r="A3491">
        <v>3490</v>
      </c>
      <c r="B3491" t="s">
        <v>9016</v>
      </c>
      <c r="C3491" s="1">
        <v>42764</v>
      </c>
      <c r="D3491" s="1">
        <v>42771</v>
      </c>
      <c r="E3491" t="s">
        <v>49</v>
      </c>
      <c r="F3491" t="s">
        <v>2935</v>
      </c>
      <c r="G3491" t="s">
        <v>2936</v>
      </c>
      <c r="H3491" t="s">
        <v>25</v>
      </c>
      <c r="I3491" t="s">
        <v>26</v>
      </c>
      <c r="J3491" t="s">
        <v>263</v>
      </c>
      <c r="K3491" t="s">
        <v>264</v>
      </c>
      <c r="L3491">
        <v>10011</v>
      </c>
      <c r="M3491" t="s">
        <v>145</v>
      </c>
      <c r="N3491" t="s">
        <v>2735</v>
      </c>
      <c r="O3491" t="s">
        <v>45</v>
      </c>
      <c r="P3491" t="s">
        <v>46</v>
      </c>
      <c r="Q3491" t="s">
        <v>2736</v>
      </c>
      <c r="R3491">
        <v>5.22</v>
      </c>
      <c r="S3491">
        <v>2</v>
      </c>
      <c r="T3491">
        <v>0</v>
      </c>
      <c r="U3491">
        <v>2.4011999999999998</v>
      </c>
      <c r="V3491" t="str">
        <f t="shared" si="54"/>
        <v>Rob Dowd</v>
      </c>
      <c r="W3491">
        <f>Table2[Profit]/Table2[Sales]</f>
        <v>0.45999999999999996</v>
      </c>
    </row>
    <row r="3492" spans="1:23" x14ac:dyDescent="0.25">
      <c r="A3492">
        <v>3491</v>
      </c>
      <c r="B3492" t="s">
        <v>9017</v>
      </c>
      <c r="C3492" s="1">
        <v>42724</v>
      </c>
      <c r="D3492" s="1">
        <v>42727</v>
      </c>
      <c r="E3492" t="s">
        <v>22</v>
      </c>
      <c r="F3492" t="s">
        <v>3573</v>
      </c>
      <c r="G3492" t="s">
        <v>3574</v>
      </c>
      <c r="H3492" t="s">
        <v>25</v>
      </c>
      <c r="I3492" t="s">
        <v>26</v>
      </c>
      <c r="J3492" t="s">
        <v>134</v>
      </c>
      <c r="K3492" t="s">
        <v>135</v>
      </c>
      <c r="L3492">
        <v>68025</v>
      </c>
      <c r="M3492" t="s">
        <v>104</v>
      </c>
      <c r="N3492" t="s">
        <v>3787</v>
      </c>
      <c r="O3492" t="s">
        <v>45</v>
      </c>
      <c r="P3492" t="s">
        <v>89</v>
      </c>
      <c r="Q3492" t="s">
        <v>3788</v>
      </c>
      <c r="R3492">
        <v>33.9</v>
      </c>
      <c r="S3492">
        <v>5</v>
      </c>
      <c r="T3492">
        <v>0</v>
      </c>
      <c r="U3492">
        <v>15.593999999999999</v>
      </c>
      <c r="V3492" t="str">
        <f t="shared" si="54"/>
        <v>Matt Collins</v>
      </c>
      <c r="W3492">
        <f>Table2[Profit]/Table2[Sales]</f>
        <v>0.46</v>
      </c>
    </row>
    <row r="3493" spans="1:23" x14ac:dyDescent="0.25">
      <c r="A3493">
        <v>3492</v>
      </c>
      <c r="B3493" t="s">
        <v>9018</v>
      </c>
      <c r="C3493" s="1">
        <v>42685</v>
      </c>
      <c r="D3493" s="1">
        <v>42690</v>
      </c>
      <c r="E3493" t="s">
        <v>49</v>
      </c>
      <c r="F3493" t="s">
        <v>4050</v>
      </c>
      <c r="G3493" t="s">
        <v>4051</v>
      </c>
      <c r="H3493" t="s">
        <v>40</v>
      </c>
      <c r="I3493" t="s">
        <v>26</v>
      </c>
      <c r="J3493" t="s">
        <v>263</v>
      </c>
      <c r="K3493" t="s">
        <v>264</v>
      </c>
      <c r="L3493">
        <v>10011</v>
      </c>
      <c r="M3493" t="s">
        <v>145</v>
      </c>
      <c r="N3493" t="s">
        <v>4672</v>
      </c>
      <c r="O3493" t="s">
        <v>45</v>
      </c>
      <c r="P3493" t="s">
        <v>58</v>
      </c>
      <c r="Q3493" t="s">
        <v>2618</v>
      </c>
      <c r="R3493">
        <v>28.14</v>
      </c>
      <c r="S3493">
        <v>3</v>
      </c>
      <c r="T3493">
        <v>0</v>
      </c>
      <c r="U3493">
        <v>7.8792</v>
      </c>
      <c r="V3493" t="str">
        <f t="shared" si="54"/>
        <v>Edward Becker</v>
      </c>
      <c r="W3493">
        <f>Table2[Profit]/Table2[Sales]</f>
        <v>0.27999999999999997</v>
      </c>
    </row>
    <row r="3494" spans="1:23" x14ac:dyDescent="0.25">
      <c r="A3494">
        <v>3493</v>
      </c>
      <c r="B3494" t="s">
        <v>9019</v>
      </c>
      <c r="C3494" s="1">
        <v>43048</v>
      </c>
      <c r="D3494" s="1">
        <v>43052</v>
      </c>
      <c r="E3494" t="s">
        <v>49</v>
      </c>
      <c r="F3494" t="s">
        <v>4415</v>
      </c>
      <c r="G3494" t="s">
        <v>4416</v>
      </c>
      <c r="H3494" t="s">
        <v>40</v>
      </c>
      <c r="I3494" t="s">
        <v>26</v>
      </c>
      <c r="J3494" t="s">
        <v>941</v>
      </c>
      <c r="K3494" t="s">
        <v>42</v>
      </c>
      <c r="L3494">
        <v>92105</v>
      </c>
      <c r="M3494" t="s">
        <v>43</v>
      </c>
      <c r="N3494" t="s">
        <v>2445</v>
      </c>
      <c r="O3494" t="s">
        <v>31</v>
      </c>
      <c r="P3494" t="s">
        <v>35</v>
      </c>
      <c r="Q3494" t="s">
        <v>2446</v>
      </c>
      <c r="R3494">
        <v>523.39200000000005</v>
      </c>
      <c r="S3494">
        <v>3</v>
      </c>
      <c r="T3494">
        <v>0.2</v>
      </c>
      <c r="U3494">
        <v>52.339199999999998</v>
      </c>
      <c r="V3494" t="str">
        <f t="shared" si="54"/>
        <v>Jim Epp</v>
      </c>
      <c r="W3494">
        <f>Table2[Profit]/Table2[Sales]</f>
        <v>9.9999999999999992E-2</v>
      </c>
    </row>
    <row r="3495" spans="1:23" x14ac:dyDescent="0.25">
      <c r="A3495">
        <v>3494</v>
      </c>
      <c r="B3495" t="s">
        <v>9020</v>
      </c>
      <c r="C3495" s="1">
        <v>41761</v>
      </c>
      <c r="D3495" s="1">
        <v>41763</v>
      </c>
      <c r="E3495" t="s">
        <v>22</v>
      </c>
      <c r="F3495" t="s">
        <v>7572</v>
      </c>
      <c r="G3495" t="s">
        <v>7573</v>
      </c>
      <c r="H3495" t="s">
        <v>25</v>
      </c>
      <c r="I3495" t="s">
        <v>26</v>
      </c>
      <c r="J3495" t="s">
        <v>1768</v>
      </c>
      <c r="K3495" t="s">
        <v>53</v>
      </c>
      <c r="L3495">
        <v>33801</v>
      </c>
      <c r="M3495" t="s">
        <v>29</v>
      </c>
      <c r="N3495" t="s">
        <v>3248</v>
      </c>
      <c r="O3495" t="s">
        <v>70</v>
      </c>
      <c r="P3495" t="s">
        <v>1204</v>
      </c>
      <c r="Q3495" t="s">
        <v>3249</v>
      </c>
      <c r="R3495">
        <v>479.98399999999998</v>
      </c>
      <c r="S3495">
        <v>2</v>
      </c>
      <c r="T3495">
        <v>0.2</v>
      </c>
      <c r="U3495">
        <v>89.997</v>
      </c>
      <c r="V3495" t="str">
        <f t="shared" si="54"/>
        <v>Cari Schnelling</v>
      </c>
      <c r="W3495">
        <f>Table2[Profit]/Table2[Sales]</f>
        <v>0.1875</v>
      </c>
    </row>
    <row r="3496" spans="1:23" x14ac:dyDescent="0.25">
      <c r="A3496">
        <v>3495</v>
      </c>
      <c r="B3496" t="s">
        <v>9021</v>
      </c>
      <c r="C3496" s="1">
        <v>43000</v>
      </c>
      <c r="D3496" s="1">
        <v>43005</v>
      </c>
      <c r="E3496" t="s">
        <v>49</v>
      </c>
      <c r="F3496" t="s">
        <v>2346</v>
      </c>
      <c r="G3496" t="s">
        <v>2347</v>
      </c>
      <c r="H3496" t="s">
        <v>25</v>
      </c>
      <c r="I3496" t="s">
        <v>26</v>
      </c>
      <c r="J3496" t="s">
        <v>3716</v>
      </c>
      <c r="K3496" t="s">
        <v>1260</v>
      </c>
      <c r="L3496">
        <v>30080</v>
      </c>
      <c r="M3496" t="s">
        <v>29</v>
      </c>
      <c r="N3496" t="s">
        <v>5321</v>
      </c>
      <c r="O3496" t="s">
        <v>45</v>
      </c>
      <c r="P3496" t="s">
        <v>89</v>
      </c>
      <c r="Q3496" t="s">
        <v>5322</v>
      </c>
      <c r="R3496">
        <v>12.96</v>
      </c>
      <c r="S3496">
        <v>2</v>
      </c>
      <c r="T3496">
        <v>0</v>
      </c>
      <c r="U3496">
        <v>6.2207999999999997</v>
      </c>
      <c r="V3496" t="str">
        <f t="shared" si="54"/>
        <v>Peter Bühler</v>
      </c>
      <c r="W3496">
        <f>Table2[Profit]/Table2[Sales]</f>
        <v>0.47999999999999993</v>
      </c>
    </row>
    <row r="3497" spans="1:23" x14ac:dyDescent="0.25">
      <c r="A3497">
        <v>3496</v>
      </c>
      <c r="B3497" t="s">
        <v>9022</v>
      </c>
      <c r="C3497" s="1">
        <v>43086</v>
      </c>
      <c r="D3497" s="1">
        <v>43092</v>
      </c>
      <c r="E3497" t="s">
        <v>49</v>
      </c>
      <c r="F3497" t="s">
        <v>2042</v>
      </c>
      <c r="G3497" t="s">
        <v>2043</v>
      </c>
      <c r="H3497" t="s">
        <v>25</v>
      </c>
      <c r="I3497" t="s">
        <v>26</v>
      </c>
      <c r="J3497" t="s">
        <v>263</v>
      </c>
      <c r="K3497" t="s">
        <v>264</v>
      </c>
      <c r="L3497">
        <v>10009</v>
      </c>
      <c r="M3497" t="s">
        <v>145</v>
      </c>
      <c r="N3497" t="s">
        <v>927</v>
      </c>
      <c r="O3497" t="s">
        <v>45</v>
      </c>
      <c r="P3497" t="s">
        <v>58</v>
      </c>
      <c r="Q3497" t="s">
        <v>928</v>
      </c>
      <c r="R3497">
        <v>166.72</v>
      </c>
      <c r="S3497">
        <v>2</v>
      </c>
      <c r="T3497">
        <v>0</v>
      </c>
      <c r="U3497">
        <v>41.68</v>
      </c>
      <c r="V3497" t="str">
        <f t="shared" si="54"/>
        <v>Annie Thurman</v>
      </c>
      <c r="W3497">
        <f>Table2[Profit]/Table2[Sales]</f>
        <v>0.25</v>
      </c>
    </row>
    <row r="3498" spans="1:23" x14ac:dyDescent="0.25">
      <c r="A3498">
        <v>3497</v>
      </c>
      <c r="B3498" t="s">
        <v>9023</v>
      </c>
      <c r="C3498" s="1">
        <v>42934</v>
      </c>
      <c r="D3498" s="1">
        <v>42939</v>
      </c>
      <c r="E3498" t="s">
        <v>49</v>
      </c>
      <c r="F3498" t="s">
        <v>2272</v>
      </c>
      <c r="G3498" t="s">
        <v>2273</v>
      </c>
      <c r="H3498" t="s">
        <v>25</v>
      </c>
      <c r="I3498" t="s">
        <v>26</v>
      </c>
      <c r="J3498" t="s">
        <v>143</v>
      </c>
      <c r="K3498" t="s">
        <v>144</v>
      </c>
      <c r="L3498">
        <v>19134</v>
      </c>
      <c r="M3498" t="s">
        <v>145</v>
      </c>
      <c r="N3498" t="s">
        <v>7481</v>
      </c>
      <c r="O3498" t="s">
        <v>70</v>
      </c>
      <c r="P3498" t="s">
        <v>1204</v>
      </c>
      <c r="Q3498" t="s">
        <v>7482</v>
      </c>
      <c r="R3498">
        <v>599.97</v>
      </c>
      <c r="S3498">
        <v>5</v>
      </c>
      <c r="T3498">
        <v>0.4</v>
      </c>
      <c r="U3498">
        <v>69.996499999999997</v>
      </c>
      <c r="V3498" t="str">
        <f t="shared" si="54"/>
        <v>Seth Vernon</v>
      </c>
      <c r="W3498">
        <f>Table2[Profit]/Table2[Sales]</f>
        <v>0.11666666666666665</v>
      </c>
    </row>
    <row r="3499" spans="1:23" x14ac:dyDescent="0.25">
      <c r="A3499">
        <v>3498</v>
      </c>
      <c r="B3499" t="s">
        <v>9024</v>
      </c>
      <c r="C3499" s="1">
        <v>42677</v>
      </c>
      <c r="D3499" s="1">
        <v>42683</v>
      </c>
      <c r="E3499" t="s">
        <v>49</v>
      </c>
      <c r="F3499" t="s">
        <v>5178</v>
      </c>
      <c r="G3499" t="s">
        <v>5179</v>
      </c>
      <c r="H3499" t="s">
        <v>40</v>
      </c>
      <c r="I3499" t="s">
        <v>26</v>
      </c>
      <c r="J3499" t="s">
        <v>808</v>
      </c>
      <c r="K3499" t="s">
        <v>103</v>
      </c>
      <c r="L3499">
        <v>75217</v>
      </c>
      <c r="M3499" t="s">
        <v>104</v>
      </c>
      <c r="N3499" t="s">
        <v>4757</v>
      </c>
      <c r="O3499" t="s">
        <v>45</v>
      </c>
      <c r="P3499" t="s">
        <v>89</v>
      </c>
      <c r="Q3499" t="s">
        <v>4758</v>
      </c>
      <c r="R3499">
        <v>9.2479999999999993</v>
      </c>
      <c r="S3499">
        <v>2</v>
      </c>
      <c r="T3499">
        <v>0.2</v>
      </c>
      <c r="U3499">
        <v>3.3523999999999998</v>
      </c>
      <c r="V3499" t="str">
        <f t="shared" si="54"/>
        <v>Patrick Jones</v>
      </c>
      <c r="W3499">
        <f>Table2[Profit]/Table2[Sales]</f>
        <v>0.36249999999999999</v>
      </c>
    </row>
    <row r="3500" spans="1:23" x14ac:dyDescent="0.25">
      <c r="A3500">
        <v>3499</v>
      </c>
      <c r="B3500" t="s">
        <v>9025</v>
      </c>
      <c r="C3500" s="1">
        <v>41737</v>
      </c>
      <c r="D3500" s="1">
        <v>41741</v>
      </c>
      <c r="E3500" t="s">
        <v>49</v>
      </c>
      <c r="F3500" t="s">
        <v>1152</v>
      </c>
      <c r="G3500" t="s">
        <v>1153</v>
      </c>
      <c r="H3500" t="s">
        <v>101</v>
      </c>
      <c r="I3500" t="s">
        <v>26</v>
      </c>
      <c r="J3500" t="s">
        <v>86</v>
      </c>
      <c r="K3500" t="s">
        <v>42</v>
      </c>
      <c r="L3500">
        <v>94521</v>
      </c>
      <c r="M3500" t="s">
        <v>43</v>
      </c>
      <c r="N3500" t="s">
        <v>876</v>
      </c>
      <c r="O3500" t="s">
        <v>31</v>
      </c>
      <c r="P3500" t="s">
        <v>55</v>
      </c>
      <c r="Q3500" t="s">
        <v>877</v>
      </c>
      <c r="R3500">
        <v>99.591999999999999</v>
      </c>
      <c r="S3500">
        <v>1</v>
      </c>
      <c r="T3500">
        <v>0.2</v>
      </c>
      <c r="U3500">
        <v>2.4897999999999998</v>
      </c>
      <c r="V3500" t="str">
        <f t="shared" si="54"/>
        <v>Nathan Mautz</v>
      </c>
      <c r="W3500">
        <f>Table2[Profit]/Table2[Sales]</f>
        <v>2.4999999999999998E-2</v>
      </c>
    </row>
    <row r="3501" spans="1:23" x14ac:dyDescent="0.25">
      <c r="A3501">
        <v>3500</v>
      </c>
      <c r="B3501" t="s">
        <v>9026</v>
      </c>
      <c r="C3501" s="1">
        <v>42596</v>
      </c>
      <c r="D3501" s="1">
        <v>42598</v>
      </c>
      <c r="E3501" t="s">
        <v>185</v>
      </c>
      <c r="F3501" t="s">
        <v>2531</v>
      </c>
      <c r="G3501" t="s">
        <v>2532</v>
      </c>
      <c r="H3501" t="s">
        <v>25</v>
      </c>
      <c r="I3501" t="s">
        <v>26</v>
      </c>
      <c r="J3501" t="s">
        <v>5545</v>
      </c>
      <c r="K3501" t="s">
        <v>328</v>
      </c>
      <c r="L3501">
        <v>37211</v>
      </c>
      <c r="M3501" t="s">
        <v>29</v>
      </c>
      <c r="N3501" t="s">
        <v>6589</v>
      </c>
      <c r="O3501" t="s">
        <v>45</v>
      </c>
      <c r="P3501" t="s">
        <v>89</v>
      </c>
      <c r="Q3501" t="s">
        <v>6590</v>
      </c>
      <c r="R3501">
        <v>15.552</v>
      </c>
      <c r="S3501">
        <v>3</v>
      </c>
      <c r="T3501">
        <v>0.2</v>
      </c>
      <c r="U3501">
        <v>5.4432</v>
      </c>
      <c r="V3501" t="str">
        <f t="shared" si="54"/>
        <v>Toby Ritter</v>
      </c>
      <c r="W3501">
        <f>Table2[Profit]/Table2[Sales]</f>
        <v>0.35000000000000003</v>
      </c>
    </row>
    <row r="3502" spans="1:23" x14ac:dyDescent="0.25">
      <c r="A3502">
        <v>3501</v>
      </c>
      <c r="B3502" t="s">
        <v>9027</v>
      </c>
      <c r="C3502" s="1">
        <v>41907</v>
      </c>
      <c r="D3502" s="1">
        <v>41912</v>
      </c>
      <c r="E3502" t="s">
        <v>49</v>
      </c>
      <c r="F3502" t="s">
        <v>5115</v>
      </c>
      <c r="G3502" t="s">
        <v>5116</v>
      </c>
      <c r="H3502" t="s">
        <v>101</v>
      </c>
      <c r="I3502" t="s">
        <v>26</v>
      </c>
      <c r="J3502" t="s">
        <v>449</v>
      </c>
      <c r="K3502" t="s">
        <v>450</v>
      </c>
      <c r="L3502">
        <v>80013</v>
      </c>
      <c r="M3502" t="s">
        <v>43</v>
      </c>
      <c r="N3502" t="s">
        <v>6790</v>
      </c>
      <c r="O3502" t="s">
        <v>45</v>
      </c>
      <c r="P3502" t="s">
        <v>67</v>
      </c>
      <c r="Q3502" t="s">
        <v>6791</v>
      </c>
      <c r="R3502">
        <v>14.576000000000001</v>
      </c>
      <c r="S3502">
        <v>2</v>
      </c>
      <c r="T3502">
        <v>0.2</v>
      </c>
      <c r="U3502">
        <v>2.3685999999999998</v>
      </c>
      <c r="V3502" t="str">
        <f t="shared" si="54"/>
        <v>Barry Franz</v>
      </c>
      <c r="W3502">
        <f>Table2[Profit]/Table2[Sales]</f>
        <v>0.16249999999999998</v>
      </c>
    </row>
    <row r="3503" spans="1:23" x14ac:dyDescent="0.25">
      <c r="A3503">
        <v>3502</v>
      </c>
      <c r="B3503" t="s">
        <v>9028</v>
      </c>
      <c r="C3503" s="1">
        <v>42715</v>
      </c>
      <c r="D3503" s="1">
        <v>42715</v>
      </c>
      <c r="E3503" t="s">
        <v>1278</v>
      </c>
      <c r="F3503" t="s">
        <v>4951</v>
      </c>
      <c r="G3503" t="s">
        <v>4952</v>
      </c>
      <c r="H3503" t="s">
        <v>25</v>
      </c>
      <c r="I3503" t="s">
        <v>26</v>
      </c>
      <c r="J3503" t="s">
        <v>1857</v>
      </c>
      <c r="K3503" t="s">
        <v>42</v>
      </c>
      <c r="L3503">
        <v>92804</v>
      </c>
      <c r="M3503" t="s">
        <v>43</v>
      </c>
      <c r="N3503" t="s">
        <v>1080</v>
      </c>
      <c r="O3503" t="s">
        <v>45</v>
      </c>
      <c r="P3503" t="s">
        <v>74</v>
      </c>
      <c r="Q3503" t="s">
        <v>1081</v>
      </c>
      <c r="R3503">
        <v>209.6</v>
      </c>
      <c r="S3503">
        <v>5</v>
      </c>
      <c r="T3503">
        <v>0.2</v>
      </c>
      <c r="U3503">
        <v>68.12</v>
      </c>
      <c r="V3503" t="str">
        <f t="shared" si="54"/>
        <v>William Brown</v>
      </c>
      <c r="W3503">
        <f>Table2[Profit]/Table2[Sales]</f>
        <v>0.32500000000000001</v>
      </c>
    </row>
    <row r="3504" spans="1:23" x14ac:dyDescent="0.25">
      <c r="A3504">
        <v>3503</v>
      </c>
      <c r="B3504" t="s">
        <v>9031</v>
      </c>
      <c r="C3504" s="1">
        <v>42038</v>
      </c>
      <c r="D3504" s="1">
        <v>42040</v>
      </c>
      <c r="E3504" t="s">
        <v>22</v>
      </c>
      <c r="F3504" t="s">
        <v>1489</v>
      </c>
      <c r="G3504" t="s">
        <v>1490</v>
      </c>
      <c r="H3504" t="s">
        <v>40</v>
      </c>
      <c r="I3504" t="s">
        <v>26</v>
      </c>
      <c r="J3504" t="s">
        <v>3702</v>
      </c>
      <c r="K3504" t="s">
        <v>120</v>
      </c>
      <c r="L3504">
        <v>84062</v>
      </c>
      <c r="M3504" t="s">
        <v>43</v>
      </c>
      <c r="N3504" t="s">
        <v>3362</v>
      </c>
      <c r="O3504" t="s">
        <v>45</v>
      </c>
      <c r="P3504" t="s">
        <v>74</v>
      </c>
      <c r="Q3504" t="s">
        <v>3363</v>
      </c>
      <c r="R3504">
        <v>12.144</v>
      </c>
      <c r="S3504">
        <v>3</v>
      </c>
      <c r="T3504">
        <v>0.2</v>
      </c>
      <c r="U3504">
        <v>4.0986000000000002</v>
      </c>
      <c r="V3504" t="str">
        <f t="shared" si="54"/>
        <v>Ken Heidel</v>
      </c>
      <c r="W3504">
        <f>Table2[Profit]/Table2[Sales]</f>
        <v>0.33750000000000002</v>
      </c>
    </row>
    <row r="3505" spans="1:23" x14ac:dyDescent="0.25">
      <c r="A3505">
        <v>3504</v>
      </c>
      <c r="B3505" t="s">
        <v>9032</v>
      </c>
      <c r="C3505" s="1">
        <v>42733</v>
      </c>
      <c r="D3505" s="1">
        <v>42735</v>
      </c>
      <c r="E3505" t="s">
        <v>22</v>
      </c>
      <c r="F3505" t="s">
        <v>909</v>
      </c>
      <c r="G3505" t="s">
        <v>910</v>
      </c>
      <c r="H3505" t="s">
        <v>25</v>
      </c>
      <c r="I3505" t="s">
        <v>26</v>
      </c>
      <c r="J3505" t="s">
        <v>311</v>
      </c>
      <c r="K3505" t="s">
        <v>413</v>
      </c>
      <c r="L3505">
        <v>97477</v>
      </c>
      <c r="M3505" t="s">
        <v>43</v>
      </c>
      <c r="N3505" t="s">
        <v>8197</v>
      </c>
      <c r="O3505" t="s">
        <v>45</v>
      </c>
      <c r="P3505" t="s">
        <v>170</v>
      </c>
      <c r="Q3505" t="s">
        <v>7857</v>
      </c>
      <c r="R3505">
        <v>27.792000000000002</v>
      </c>
      <c r="S3505">
        <v>3</v>
      </c>
      <c r="T3505">
        <v>0.2</v>
      </c>
      <c r="U3505">
        <v>10.422000000000001</v>
      </c>
      <c r="V3505" t="str">
        <f t="shared" si="54"/>
        <v>Ken Lonsdale</v>
      </c>
      <c r="W3505">
        <f>Table2[Profit]/Table2[Sales]</f>
        <v>0.375</v>
      </c>
    </row>
    <row r="3506" spans="1:23" x14ac:dyDescent="0.25">
      <c r="A3506">
        <v>3505</v>
      </c>
      <c r="B3506" t="s">
        <v>9033</v>
      </c>
      <c r="C3506" s="1">
        <v>42978</v>
      </c>
      <c r="D3506" s="1">
        <v>42983</v>
      </c>
      <c r="E3506" t="s">
        <v>49</v>
      </c>
      <c r="F3506" t="s">
        <v>3692</v>
      </c>
      <c r="G3506" t="s">
        <v>3693</v>
      </c>
      <c r="H3506" t="s">
        <v>101</v>
      </c>
      <c r="I3506" t="s">
        <v>26</v>
      </c>
      <c r="J3506" t="s">
        <v>1948</v>
      </c>
      <c r="K3506" t="s">
        <v>413</v>
      </c>
      <c r="L3506">
        <v>97301</v>
      </c>
      <c r="M3506" t="s">
        <v>43</v>
      </c>
      <c r="N3506" t="s">
        <v>6657</v>
      </c>
      <c r="O3506" t="s">
        <v>45</v>
      </c>
      <c r="P3506" t="s">
        <v>572</v>
      </c>
      <c r="Q3506" t="s">
        <v>6658</v>
      </c>
      <c r="R3506">
        <v>6.2080000000000002</v>
      </c>
      <c r="S3506">
        <v>2</v>
      </c>
      <c r="T3506">
        <v>0.2</v>
      </c>
      <c r="U3506">
        <v>0.69840000000000002</v>
      </c>
      <c r="V3506" t="str">
        <f t="shared" si="54"/>
        <v>Michael Granlund</v>
      </c>
      <c r="W3506">
        <f>Table2[Profit]/Table2[Sales]</f>
        <v>0.1125</v>
      </c>
    </row>
    <row r="3507" spans="1:23" x14ac:dyDescent="0.25">
      <c r="A3507">
        <v>3506</v>
      </c>
      <c r="B3507" t="s">
        <v>9034</v>
      </c>
      <c r="C3507" s="1">
        <v>42770</v>
      </c>
      <c r="D3507" s="1">
        <v>42775</v>
      </c>
      <c r="E3507" t="s">
        <v>49</v>
      </c>
      <c r="F3507" t="s">
        <v>2302</v>
      </c>
      <c r="G3507" t="s">
        <v>2303</v>
      </c>
      <c r="H3507" t="s">
        <v>25</v>
      </c>
      <c r="I3507" t="s">
        <v>26</v>
      </c>
      <c r="J3507" t="s">
        <v>382</v>
      </c>
      <c r="K3507" t="s">
        <v>264</v>
      </c>
      <c r="L3507">
        <v>14609</v>
      </c>
      <c r="M3507" t="s">
        <v>145</v>
      </c>
      <c r="N3507" t="s">
        <v>3548</v>
      </c>
      <c r="O3507" t="s">
        <v>45</v>
      </c>
      <c r="P3507" t="s">
        <v>77</v>
      </c>
      <c r="Q3507" t="s">
        <v>3549</v>
      </c>
      <c r="R3507">
        <v>32.67</v>
      </c>
      <c r="S3507">
        <v>3</v>
      </c>
      <c r="T3507">
        <v>0</v>
      </c>
      <c r="U3507">
        <v>8.4941999999999993</v>
      </c>
      <c r="V3507" t="str">
        <f t="shared" si="54"/>
        <v>Jay Fein</v>
      </c>
      <c r="W3507">
        <f>Table2[Profit]/Table2[Sales]</f>
        <v>0.25999999999999995</v>
      </c>
    </row>
    <row r="3508" spans="1:23" x14ac:dyDescent="0.25">
      <c r="A3508">
        <v>3507</v>
      </c>
      <c r="B3508" t="s">
        <v>9035</v>
      </c>
      <c r="C3508" s="1">
        <v>41979</v>
      </c>
      <c r="D3508" s="1">
        <v>41981</v>
      </c>
      <c r="E3508" t="s">
        <v>185</v>
      </c>
      <c r="F3508" t="s">
        <v>2261</v>
      </c>
      <c r="G3508" t="s">
        <v>2262</v>
      </c>
      <c r="H3508" t="s">
        <v>40</v>
      </c>
      <c r="I3508" t="s">
        <v>26</v>
      </c>
      <c r="J3508" t="s">
        <v>41</v>
      </c>
      <c r="K3508" t="s">
        <v>42</v>
      </c>
      <c r="L3508">
        <v>90008</v>
      </c>
      <c r="M3508" t="s">
        <v>43</v>
      </c>
      <c r="N3508" t="s">
        <v>2832</v>
      </c>
      <c r="O3508" t="s">
        <v>45</v>
      </c>
      <c r="P3508" t="s">
        <v>58</v>
      </c>
      <c r="Q3508" t="s">
        <v>2833</v>
      </c>
      <c r="R3508">
        <v>1261.33</v>
      </c>
      <c r="S3508">
        <v>7</v>
      </c>
      <c r="T3508">
        <v>0</v>
      </c>
      <c r="U3508">
        <v>327.94580000000002</v>
      </c>
      <c r="V3508" t="str">
        <f t="shared" si="54"/>
        <v>Roland Schwarz</v>
      </c>
      <c r="W3508">
        <f>Table2[Profit]/Table2[Sales]</f>
        <v>0.26</v>
      </c>
    </row>
    <row r="3509" spans="1:23" x14ac:dyDescent="0.25">
      <c r="A3509">
        <v>3508</v>
      </c>
      <c r="B3509" t="s">
        <v>9036</v>
      </c>
      <c r="C3509" s="1">
        <v>42520</v>
      </c>
      <c r="D3509" s="1">
        <v>42524</v>
      </c>
      <c r="E3509" t="s">
        <v>49</v>
      </c>
      <c r="F3509" t="s">
        <v>5672</v>
      </c>
      <c r="G3509" t="s">
        <v>5673</v>
      </c>
      <c r="H3509" t="s">
        <v>101</v>
      </c>
      <c r="I3509" t="s">
        <v>26</v>
      </c>
      <c r="J3509" t="s">
        <v>41</v>
      </c>
      <c r="K3509" t="s">
        <v>42</v>
      </c>
      <c r="L3509">
        <v>90049</v>
      </c>
      <c r="M3509" t="s">
        <v>43</v>
      </c>
      <c r="N3509" t="s">
        <v>5859</v>
      </c>
      <c r="O3509" t="s">
        <v>45</v>
      </c>
      <c r="P3509" t="s">
        <v>89</v>
      </c>
      <c r="Q3509" t="s">
        <v>5860</v>
      </c>
      <c r="R3509">
        <v>38.880000000000003</v>
      </c>
      <c r="S3509">
        <v>6</v>
      </c>
      <c r="T3509">
        <v>0</v>
      </c>
      <c r="U3509">
        <v>18.662400000000002</v>
      </c>
      <c r="V3509" t="str">
        <f t="shared" si="54"/>
        <v>Nancy Lomonaco</v>
      </c>
      <c r="W3509">
        <f>Table2[Profit]/Table2[Sales]</f>
        <v>0.48000000000000004</v>
      </c>
    </row>
    <row r="3510" spans="1:23" x14ac:dyDescent="0.25">
      <c r="A3510">
        <v>3509</v>
      </c>
      <c r="B3510" t="s">
        <v>9037</v>
      </c>
      <c r="C3510" s="1">
        <v>42511</v>
      </c>
      <c r="D3510" s="1">
        <v>42516</v>
      </c>
      <c r="E3510" t="s">
        <v>49</v>
      </c>
      <c r="F3510" t="s">
        <v>1327</v>
      </c>
      <c r="G3510" t="s">
        <v>1328</v>
      </c>
      <c r="H3510" t="s">
        <v>40</v>
      </c>
      <c r="I3510" t="s">
        <v>26</v>
      </c>
      <c r="J3510" t="s">
        <v>808</v>
      </c>
      <c r="K3510" t="s">
        <v>103</v>
      </c>
      <c r="L3510">
        <v>75081</v>
      </c>
      <c r="M3510" t="s">
        <v>104</v>
      </c>
      <c r="N3510" t="s">
        <v>787</v>
      </c>
      <c r="O3510" t="s">
        <v>45</v>
      </c>
      <c r="P3510" t="s">
        <v>74</v>
      </c>
      <c r="Q3510" t="s">
        <v>788</v>
      </c>
      <c r="R3510">
        <v>1.964</v>
      </c>
      <c r="S3510">
        <v>2</v>
      </c>
      <c r="T3510">
        <v>0.8</v>
      </c>
      <c r="U3510">
        <v>-3.2406000000000001</v>
      </c>
      <c r="V3510" t="str">
        <f t="shared" si="54"/>
        <v>Alejandro Savely</v>
      </c>
      <c r="W3510">
        <f>Table2[Profit]/Table2[Sales]</f>
        <v>-1.6500000000000001</v>
      </c>
    </row>
    <row r="3511" spans="1:23" x14ac:dyDescent="0.25">
      <c r="A3511">
        <v>3510</v>
      </c>
      <c r="B3511" t="s">
        <v>9038</v>
      </c>
      <c r="C3511" s="1">
        <v>41860</v>
      </c>
      <c r="D3511" s="1">
        <v>41865</v>
      </c>
      <c r="E3511" t="s">
        <v>49</v>
      </c>
      <c r="F3511" t="s">
        <v>3506</v>
      </c>
      <c r="G3511" t="s">
        <v>3507</v>
      </c>
      <c r="H3511" t="s">
        <v>25</v>
      </c>
      <c r="I3511" t="s">
        <v>26</v>
      </c>
      <c r="J3511" t="s">
        <v>3419</v>
      </c>
      <c r="K3511" t="s">
        <v>42</v>
      </c>
      <c r="L3511">
        <v>93727</v>
      </c>
      <c r="M3511" t="s">
        <v>43</v>
      </c>
      <c r="N3511" t="s">
        <v>1743</v>
      </c>
      <c r="O3511" t="s">
        <v>45</v>
      </c>
      <c r="P3511" t="s">
        <v>89</v>
      </c>
      <c r="Q3511" t="s">
        <v>1744</v>
      </c>
      <c r="R3511">
        <v>5.98</v>
      </c>
      <c r="S3511">
        <v>1</v>
      </c>
      <c r="T3511">
        <v>0</v>
      </c>
      <c r="U3511">
        <v>2.6909999999999998</v>
      </c>
      <c r="V3511" t="str">
        <f t="shared" si="54"/>
        <v>Gene McClure</v>
      </c>
      <c r="W3511">
        <f>Table2[Profit]/Table2[Sales]</f>
        <v>0.44999999999999996</v>
      </c>
    </row>
    <row r="3512" spans="1:23" x14ac:dyDescent="0.25">
      <c r="A3512">
        <v>3511</v>
      </c>
      <c r="B3512" t="s">
        <v>9039</v>
      </c>
      <c r="C3512" s="1">
        <v>42618</v>
      </c>
      <c r="D3512" s="1">
        <v>42623</v>
      </c>
      <c r="E3512" t="s">
        <v>22</v>
      </c>
      <c r="F3512" t="s">
        <v>6558</v>
      </c>
      <c r="G3512" t="s">
        <v>6559</v>
      </c>
      <c r="H3512" t="s">
        <v>101</v>
      </c>
      <c r="I3512" t="s">
        <v>26</v>
      </c>
      <c r="J3512" t="s">
        <v>296</v>
      </c>
      <c r="K3512" t="s">
        <v>208</v>
      </c>
      <c r="L3512">
        <v>60653</v>
      </c>
      <c r="M3512" t="s">
        <v>104</v>
      </c>
      <c r="N3512" t="s">
        <v>2340</v>
      </c>
      <c r="O3512" t="s">
        <v>45</v>
      </c>
      <c r="P3512" t="s">
        <v>89</v>
      </c>
      <c r="Q3512" t="s">
        <v>2341</v>
      </c>
      <c r="R3512">
        <v>9.2479999999999993</v>
      </c>
      <c r="S3512">
        <v>2</v>
      </c>
      <c r="T3512">
        <v>0.2</v>
      </c>
      <c r="U3512">
        <v>3.3523999999999998</v>
      </c>
      <c r="V3512" t="str">
        <f t="shared" si="54"/>
        <v>Stephanie Ulpright</v>
      </c>
      <c r="W3512">
        <f>Table2[Profit]/Table2[Sales]</f>
        <v>0.36249999999999999</v>
      </c>
    </row>
    <row r="3513" spans="1:23" x14ac:dyDescent="0.25">
      <c r="A3513">
        <v>3512</v>
      </c>
      <c r="B3513" t="s">
        <v>9040</v>
      </c>
      <c r="C3513" s="1">
        <v>42574</v>
      </c>
      <c r="D3513" s="1">
        <v>42579</v>
      </c>
      <c r="E3513" t="s">
        <v>49</v>
      </c>
      <c r="F3513" t="s">
        <v>1974</v>
      </c>
      <c r="G3513" t="s">
        <v>1975</v>
      </c>
      <c r="H3513" t="s">
        <v>25</v>
      </c>
      <c r="I3513" t="s">
        <v>26</v>
      </c>
      <c r="J3513" t="s">
        <v>7117</v>
      </c>
      <c r="K3513" t="s">
        <v>103</v>
      </c>
      <c r="L3513">
        <v>78501</v>
      </c>
      <c r="M3513" t="s">
        <v>104</v>
      </c>
      <c r="N3513" t="s">
        <v>6111</v>
      </c>
      <c r="O3513" t="s">
        <v>45</v>
      </c>
      <c r="P3513" t="s">
        <v>67</v>
      </c>
      <c r="Q3513" t="s">
        <v>6112</v>
      </c>
      <c r="R3513">
        <v>4.4480000000000004</v>
      </c>
      <c r="S3513">
        <v>2</v>
      </c>
      <c r="T3513">
        <v>0.2</v>
      </c>
      <c r="U3513">
        <v>0.33360000000000001</v>
      </c>
      <c r="V3513" t="str">
        <f t="shared" si="54"/>
        <v>Chloris Kastensmidt</v>
      </c>
      <c r="W3513">
        <f>Table2[Profit]/Table2[Sales]</f>
        <v>7.4999999999999997E-2</v>
      </c>
    </row>
    <row r="3514" spans="1:23" x14ac:dyDescent="0.25">
      <c r="A3514">
        <v>3513</v>
      </c>
      <c r="B3514" t="s">
        <v>9041</v>
      </c>
      <c r="C3514" s="1">
        <v>42502</v>
      </c>
      <c r="D3514" s="1">
        <v>42507</v>
      </c>
      <c r="E3514" t="s">
        <v>49</v>
      </c>
      <c r="F3514" t="s">
        <v>7784</v>
      </c>
      <c r="G3514" t="s">
        <v>7785</v>
      </c>
      <c r="H3514" t="s">
        <v>25</v>
      </c>
      <c r="I3514" t="s">
        <v>26</v>
      </c>
      <c r="J3514" t="s">
        <v>94</v>
      </c>
      <c r="K3514" t="s">
        <v>95</v>
      </c>
      <c r="L3514">
        <v>98105</v>
      </c>
      <c r="M3514" t="s">
        <v>43</v>
      </c>
      <c r="N3514" t="s">
        <v>2304</v>
      </c>
      <c r="O3514" t="s">
        <v>45</v>
      </c>
      <c r="P3514" t="s">
        <v>170</v>
      </c>
      <c r="Q3514" t="s">
        <v>2305</v>
      </c>
      <c r="R3514">
        <v>54.9</v>
      </c>
      <c r="S3514">
        <v>5</v>
      </c>
      <c r="T3514">
        <v>0</v>
      </c>
      <c r="U3514">
        <v>26.901</v>
      </c>
      <c r="V3514" t="str">
        <f t="shared" si="54"/>
        <v>Jill Matthias</v>
      </c>
      <c r="W3514">
        <f>Table2[Profit]/Table2[Sales]</f>
        <v>0.49</v>
      </c>
    </row>
    <row r="3515" spans="1:23" x14ac:dyDescent="0.25">
      <c r="A3515">
        <v>3514</v>
      </c>
      <c r="B3515" t="s">
        <v>9042</v>
      </c>
      <c r="C3515" s="1">
        <v>42615</v>
      </c>
      <c r="D3515" s="1">
        <v>42619</v>
      </c>
      <c r="E3515" t="s">
        <v>49</v>
      </c>
      <c r="F3515" t="s">
        <v>4698</v>
      </c>
      <c r="G3515" t="s">
        <v>4699</v>
      </c>
      <c r="H3515" t="s">
        <v>25</v>
      </c>
      <c r="I3515" t="s">
        <v>26</v>
      </c>
      <c r="J3515" t="s">
        <v>460</v>
      </c>
      <c r="K3515" t="s">
        <v>87</v>
      </c>
      <c r="L3515">
        <v>28205</v>
      </c>
      <c r="M3515" t="s">
        <v>29</v>
      </c>
      <c r="N3515" t="s">
        <v>2440</v>
      </c>
      <c r="O3515" t="s">
        <v>45</v>
      </c>
      <c r="P3515" t="s">
        <v>74</v>
      </c>
      <c r="Q3515" t="s">
        <v>2441</v>
      </c>
      <c r="R3515">
        <v>22.911000000000001</v>
      </c>
      <c r="S3515">
        <v>7</v>
      </c>
      <c r="T3515">
        <v>0.7</v>
      </c>
      <c r="U3515">
        <v>-17.565100000000001</v>
      </c>
      <c r="V3515" t="str">
        <f t="shared" si="54"/>
        <v>Joe Elijah</v>
      </c>
      <c r="W3515">
        <f>Table2[Profit]/Table2[Sales]</f>
        <v>-0.76666666666666672</v>
      </c>
    </row>
    <row r="3516" spans="1:23" x14ac:dyDescent="0.25">
      <c r="A3516">
        <v>3515</v>
      </c>
      <c r="B3516" t="s">
        <v>9043</v>
      </c>
      <c r="C3516" s="1">
        <v>42937</v>
      </c>
      <c r="D3516" s="1">
        <v>42941</v>
      </c>
      <c r="E3516" t="s">
        <v>22</v>
      </c>
      <c r="F3516" t="s">
        <v>2110</v>
      </c>
      <c r="G3516" t="s">
        <v>2111</v>
      </c>
      <c r="H3516" t="s">
        <v>40</v>
      </c>
      <c r="I3516" t="s">
        <v>26</v>
      </c>
      <c r="J3516" t="s">
        <v>86</v>
      </c>
      <c r="K3516" t="s">
        <v>42</v>
      </c>
      <c r="L3516">
        <v>94521</v>
      </c>
      <c r="M3516" t="s">
        <v>43</v>
      </c>
      <c r="N3516" t="s">
        <v>5065</v>
      </c>
      <c r="O3516" t="s">
        <v>45</v>
      </c>
      <c r="P3516" t="s">
        <v>67</v>
      </c>
      <c r="Q3516" t="s">
        <v>5066</v>
      </c>
      <c r="R3516">
        <v>3.52</v>
      </c>
      <c r="S3516">
        <v>2</v>
      </c>
      <c r="T3516">
        <v>0</v>
      </c>
      <c r="U3516">
        <v>1.6896</v>
      </c>
      <c r="V3516" t="str">
        <f t="shared" si="54"/>
        <v>Anthony Rawles</v>
      </c>
      <c r="W3516">
        <f>Table2[Profit]/Table2[Sales]</f>
        <v>0.48</v>
      </c>
    </row>
    <row r="3517" spans="1:23" x14ac:dyDescent="0.25">
      <c r="A3517">
        <v>3516</v>
      </c>
      <c r="B3517" t="s">
        <v>9044</v>
      </c>
      <c r="C3517" s="1">
        <v>43003</v>
      </c>
      <c r="D3517" s="1">
        <v>43006</v>
      </c>
      <c r="E3517" t="s">
        <v>185</v>
      </c>
      <c r="F3517" t="s">
        <v>2784</v>
      </c>
      <c r="G3517" t="s">
        <v>2785</v>
      </c>
      <c r="H3517" t="s">
        <v>40</v>
      </c>
      <c r="I3517" t="s">
        <v>26</v>
      </c>
      <c r="J3517" t="s">
        <v>2220</v>
      </c>
      <c r="K3517" t="s">
        <v>144</v>
      </c>
      <c r="L3517">
        <v>19013</v>
      </c>
      <c r="M3517" t="s">
        <v>145</v>
      </c>
      <c r="N3517" t="s">
        <v>6560</v>
      </c>
      <c r="O3517" t="s">
        <v>45</v>
      </c>
      <c r="P3517" t="s">
        <v>74</v>
      </c>
      <c r="Q3517" t="s">
        <v>6561</v>
      </c>
      <c r="R3517">
        <v>8.5950000000000006</v>
      </c>
      <c r="S3517">
        <v>5</v>
      </c>
      <c r="T3517">
        <v>0.7</v>
      </c>
      <c r="U3517">
        <v>-6.3029999999999999</v>
      </c>
      <c r="V3517" t="str">
        <f t="shared" si="54"/>
        <v>Adam Hart</v>
      </c>
      <c r="W3517">
        <f>Table2[Profit]/Table2[Sales]</f>
        <v>-0.73333333333333328</v>
      </c>
    </row>
    <row r="3518" spans="1:23" x14ac:dyDescent="0.25">
      <c r="A3518">
        <v>3517</v>
      </c>
      <c r="B3518" t="s">
        <v>9045</v>
      </c>
      <c r="C3518" s="1">
        <v>42950</v>
      </c>
      <c r="D3518" s="1">
        <v>42953</v>
      </c>
      <c r="E3518" t="s">
        <v>22</v>
      </c>
      <c r="F3518" t="s">
        <v>5793</v>
      </c>
      <c r="G3518" t="s">
        <v>5794</v>
      </c>
      <c r="H3518" t="s">
        <v>25</v>
      </c>
      <c r="I3518" t="s">
        <v>26</v>
      </c>
      <c r="J3518" t="s">
        <v>41</v>
      </c>
      <c r="K3518" t="s">
        <v>42</v>
      </c>
      <c r="L3518">
        <v>90004</v>
      </c>
      <c r="M3518" t="s">
        <v>43</v>
      </c>
      <c r="N3518" t="s">
        <v>5160</v>
      </c>
      <c r="O3518" t="s">
        <v>45</v>
      </c>
      <c r="P3518" t="s">
        <v>58</v>
      </c>
      <c r="Q3518" t="s">
        <v>5161</v>
      </c>
      <c r="R3518">
        <v>99.87</v>
      </c>
      <c r="S3518">
        <v>3</v>
      </c>
      <c r="T3518">
        <v>0</v>
      </c>
      <c r="U3518">
        <v>23.968800000000002</v>
      </c>
      <c r="V3518" t="str">
        <f t="shared" si="54"/>
        <v>George Ashbrook</v>
      </c>
      <c r="W3518">
        <f>Table2[Profit]/Table2[Sales]</f>
        <v>0.24000000000000002</v>
      </c>
    </row>
    <row r="3519" spans="1:23" x14ac:dyDescent="0.25">
      <c r="A3519">
        <v>3518</v>
      </c>
      <c r="B3519" t="s">
        <v>9046</v>
      </c>
      <c r="C3519" s="1">
        <v>42302</v>
      </c>
      <c r="D3519" s="1">
        <v>42304</v>
      </c>
      <c r="E3519" t="s">
        <v>22</v>
      </c>
      <c r="F3519" t="s">
        <v>1908</v>
      </c>
      <c r="G3519" t="s">
        <v>1909</v>
      </c>
      <c r="H3519" t="s">
        <v>25</v>
      </c>
      <c r="I3519" t="s">
        <v>26</v>
      </c>
      <c r="J3519" t="s">
        <v>5356</v>
      </c>
      <c r="K3519" t="s">
        <v>1381</v>
      </c>
      <c r="L3519">
        <v>89431</v>
      </c>
      <c r="M3519" t="s">
        <v>43</v>
      </c>
      <c r="N3519" t="s">
        <v>4046</v>
      </c>
      <c r="O3519" t="s">
        <v>45</v>
      </c>
      <c r="P3519" t="s">
        <v>67</v>
      </c>
      <c r="Q3519" t="s">
        <v>4047</v>
      </c>
      <c r="R3519">
        <v>79.36</v>
      </c>
      <c r="S3519">
        <v>4</v>
      </c>
      <c r="T3519">
        <v>0</v>
      </c>
      <c r="U3519">
        <v>23.808</v>
      </c>
      <c r="V3519" t="str">
        <f t="shared" si="54"/>
        <v>Jennifer Ferguson</v>
      </c>
      <c r="W3519">
        <f>Table2[Profit]/Table2[Sales]</f>
        <v>0.3</v>
      </c>
    </row>
    <row r="3520" spans="1:23" x14ac:dyDescent="0.25">
      <c r="A3520">
        <v>3519</v>
      </c>
      <c r="B3520" t="s">
        <v>9047</v>
      </c>
      <c r="C3520" s="1">
        <v>42901</v>
      </c>
      <c r="D3520" s="1">
        <v>42905</v>
      </c>
      <c r="E3520" t="s">
        <v>22</v>
      </c>
      <c r="F3520" t="s">
        <v>1005</v>
      </c>
      <c r="G3520" t="s">
        <v>1006</v>
      </c>
      <c r="H3520" t="s">
        <v>40</v>
      </c>
      <c r="I3520" t="s">
        <v>26</v>
      </c>
      <c r="J3520" t="s">
        <v>41</v>
      </c>
      <c r="K3520" t="s">
        <v>42</v>
      </c>
      <c r="L3520">
        <v>90032</v>
      </c>
      <c r="M3520" t="s">
        <v>43</v>
      </c>
      <c r="N3520" t="s">
        <v>4661</v>
      </c>
      <c r="O3520" t="s">
        <v>70</v>
      </c>
      <c r="P3520" t="s">
        <v>71</v>
      </c>
      <c r="Q3520" t="s">
        <v>4662</v>
      </c>
      <c r="R3520">
        <v>119.96</v>
      </c>
      <c r="S3520">
        <v>1</v>
      </c>
      <c r="T3520">
        <v>0.2</v>
      </c>
      <c r="U3520">
        <v>7.4974999999999996</v>
      </c>
      <c r="V3520" t="str">
        <f t="shared" si="54"/>
        <v>Kristen Hastings</v>
      </c>
      <c r="W3520">
        <f>Table2[Profit]/Table2[Sales]</f>
        <v>6.25E-2</v>
      </c>
    </row>
    <row r="3521" spans="1:23" x14ac:dyDescent="0.25">
      <c r="A3521">
        <v>3520</v>
      </c>
      <c r="B3521" t="s">
        <v>9048</v>
      </c>
      <c r="C3521" s="1">
        <v>42013</v>
      </c>
      <c r="D3521" s="1">
        <v>42017</v>
      </c>
      <c r="E3521" t="s">
        <v>49</v>
      </c>
      <c r="F3521" t="s">
        <v>4394</v>
      </c>
      <c r="G3521" t="s">
        <v>4395</v>
      </c>
      <c r="H3521" t="s">
        <v>25</v>
      </c>
      <c r="I3521" t="s">
        <v>26</v>
      </c>
      <c r="J3521" t="s">
        <v>27</v>
      </c>
      <c r="K3521" t="s">
        <v>28</v>
      </c>
      <c r="L3521">
        <v>42420</v>
      </c>
      <c r="M3521" t="s">
        <v>29</v>
      </c>
      <c r="N3521" t="s">
        <v>1046</v>
      </c>
      <c r="O3521" t="s">
        <v>45</v>
      </c>
      <c r="P3521" t="s">
        <v>89</v>
      </c>
      <c r="Q3521" t="s">
        <v>183</v>
      </c>
      <c r="R3521">
        <v>106.32</v>
      </c>
      <c r="S3521">
        <v>3</v>
      </c>
      <c r="T3521">
        <v>0</v>
      </c>
      <c r="U3521">
        <v>49.970399999999998</v>
      </c>
      <c r="V3521" t="str">
        <f t="shared" si="54"/>
        <v>Craig Carroll</v>
      </c>
      <c r="W3521">
        <f>Table2[Profit]/Table2[Sales]</f>
        <v>0.47000000000000003</v>
      </c>
    </row>
    <row r="3522" spans="1:23" x14ac:dyDescent="0.25">
      <c r="A3522">
        <v>3521</v>
      </c>
      <c r="B3522" t="s">
        <v>9049</v>
      </c>
      <c r="C3522" s="1">
        <v>42044</v>
      </c>
      <c r="D3522" s="1">
        <v>42048</v>
      </c>
      <c r="E3522" t="s">
        <v>22</v>
      </c>
      <c r="F3522" t="s">
        <v>4442</v>
      </c>
      <c r="G3522" t="s">
        <v>4443</v>
      </c>
      <c r="H3522" t="s">
        <v>25</v>
      </c>
      <c r="I3522" t="s">
        <v>26</v>
      </c>
      <c r="J3522" t="s">
        <v>350</v>
      </c>
      <c r="K3522" t="s">
        <v>208</v>
      </c>
      <c r="L3522">
        <v>62521</v>
      </c>
      <c r="M3522" t="s">
        <v>104</v>
      </c>
      <c r="N3522" t="s">
        <v>1168</v>
      </c>
      <c r="O3522" t="s">
        <v>70</v>
      </c>
      <c r="P3522" t="s">
        <v>158</v>
      </c>
      <c r="Q3522" t="s">
        <v>1169</v>
      </c>
      <c r="R3522">
        <v>479.952</v>
      </c>
      <c r="S3522">
        <v>6</v>
      </c>
      <c r="T3522">
        <v>0.2</v>
      </c>
      <c r="U3522">
        <v>89.991</v>
      </c>
      <c r="V3522" t="str">
        <f t="shared" si="54"/>
        <v>Jill Fjeld</v>
      </c>
      <c r="W3522">
        <f>Table2[Profit]/Table2[Sales]</f>
        <v>0.1875</v>
      </c>
    </row>
    <row r="3523" spans="1:23" x14ac:dyDescent="0.25">
      <c r="A3523">
        <v>3522</v>
      </c>
      <c r="B3523" t="s">
        <v>9050</v>
      </c>
      <c r="C3523" s="1">
        <v>42601</v>
      </c>
      <c r="D3523" s="1">
        <v>42602</v>
      </c>
      <c r="E3523" t="s">
        <v>185</v>
      </c>
      <c r="F3523" t="s">
        <v>2146</v>
      </c>
      <c r="G3523" t="s">
        <v>2147</v>
      </c>
      <c r="H3523" t="s">
        <v>25</v>
      </c>
      <c r="I3523" t="s">
        <v>26</v>
      </c>
      <c r="J3523" t="s">
        <v>263</v>
      </c>
      <c r="K3523" t="s">
        <v>264</v>
      </c>
      <c r="L3523">
        <v>10009</v>
      </c>
      <c r="M3523" t="s">
        <v>145</v>
      </c>
      <c r="N3523" t="s">
        <v>3830</v>
      </c>
      <c r="O3523" t="s">
        <v>45</v>
      </c>
      <c r="P3523" t="s">
        <v>74</v>
      </c>
      <c r="Q3523" t="s">
        <v>3831</v>
      </c>
      <c r="R3523">
        <v>146.68799999999999</v>
      </c>
      <c r="S3523">
        <v>6</v>
      </c>
      <c r="T3523">
        <v>0.2</v>
      </c>
      <c r="U3523">
        <v>55.008000000000003</v>
      </c>
      <c r="V3523" t="str">
        <f t="shared" ref="V3523:V3586" si="55">TRIM(G3523)</f>
        <v>Resi Pölking</v>
      </c>
      <c r="W3523">
        <f>Table2[Profit]/Table2[Sales]</f>
        <v>0.37500000000000006</v>
      </c>
    </row>
    <row r="3524" spans="1:23" x14ac:dyDescent="0.25">
      <c r="A3524">
        <v>3523</v>
      </c>
      <c r="B3524" t="s">
        <v>9051</v>
      </c>
      <c r="C3524" s="1">
        <v>43045</v>
      </c>
      <c r="D3524" s="1">
        <v>43049</v>
      </c>
      <c r="E3524" t="s">
        <v>49</v>
      </c>
      <c r="F3524" t="s">
        <v>2168</v>
      </c>
      <c r="G3524" t="s">
        <v>2169</v>
      </c>
      <c r="H3524" t="s">
        <v>25</v>
      </c>
      <c r="I3524" t="s">
        <v>26</v>
      </c>
      <c r="J3524" t="s">
        <v>263</v>
      </c>
      <c r="K3524" t="s">
        <v>264</v>
      </c>
      <c r="L3524">
        <v>10011</v>
      </c>
      <c r="M3524" t="s">
        <v>145</v>
      </c>
      <c r="N3524" t="s">
        <v>7977</v>
      </c>
      <c r="O3524" t="s">
        <v>45</v>
      </c>
      <c r="P3524" t="s">
        <v>89</v>
      </c>
      <c r="Q3524" t="s">
        <v>7978</v>
      </c>
      <c r="R3524">
        <v>318.95999999999998</v>
      </c>
      <c r="S3524">
        <v>9</v>
      </c>
      <c r="T3524">
        <v>0</v>
      </c>
      <c r="U3524">
        <v>149.91120000000001</v>
      </c>
      <c r="V3524" t="str">
        <f t="shared" si="55"/>
        <v>Carol Darley</v>
      </c>
      <c r="W3524">
        <f>Table2[Profit]/Table2[Sales]</f>
        <v>0.47000000000000003</v>
      </c>
    </row>
    <row r="3525" spans="1:23" x14ac:dyDescent="0.25">
      <c r="A3525">
        <v>3524</v>
      </c>
      <c r="B3525" t="s">
        <v>9052</v>
      </c>
      <c r="C3525" s="1">
        <v>42364</v>
      </c>
      <c r="D3525" s="1">
        <v>42368</v>
      </c>
      <c r="E3525" t="s">
        <v>22</v>
      </c>
      <c r="F3525" t="s">
        <v>5751</v>
      </c>
      <c r="G3525" t="s">
        <v>5752</v>
      </c>
      <c r="H3525" t="s">
        <v>25</v>
      </c>
      <c r="I3525" t="s">
        <v>26</v>
      </c>
      <c r="J3525" t="s">
        <v>263</v>
      </c>
      <c r="K3525" t="s">
        <v>264</v>
      </c>
      <c r="L3525">
        <v>10009</v>
      </c>
      <c r="M3525" t="s">
        <v>145</v>
      </c>
      <c r="N3525" t="s">
        <v>7977</v>
      </c>
      <c r="O3525" t="s">
        <v>45</v>
      </c>
      <c r="P3525" t="s">
        <v>89</v>
      </c>
      <c r="Q3525" t="s">
        <v>7978</v>
      </c>
      <c r="R3525">
        <v>212.64</v>
      </c>
      <c r="S3525">
        <v>6</v>
      </c>
      <c r="T3525">
        <v>0</v>
      </c>
      <c r="U3525">
        <v>99.940799999999996</v>
      </c>
      <c r="V3525" t="str">
        <f t="shared" si="55"/>
        <v>David Flashing</v>
      </c>
      <c r="W3525">
        <f>Table2[Profit]/Table2[Sales]</f>
        <v>0.47000000000000003</v>
      </c>
    </row>
    <row r="3526" spans="1:23" x14ac:dyDescent="0.25">
      <c r="A3526">
        <v>3525</v>
      </c>
      <c r="B3526" t="s">
        <v>9053</v>
      </c>
      <c r="C3526" s="1">
        <v>41966</v>
      </c>
      <c r="D3526" s="1">
        <v>41971</v>
      </c>
      <c r="E3526" t="s">
        <v>49</v>
      </c>
      <c r="F3526" t="s">
        <v>2662</v>
      </c>
      <c r="G3526" t="s">
        <v>2663</v>
      </c>
      <c r="H3526" t="s">
        <v>25</v>
      </c>
      <c r="I3526" t="s">
        <v>26</v>
      </c>
      <c r="J3526" t="s">
        <v>616</v>
      </c>
      <c r="K3526" t="s">
        <v>303</v>
      </c>
      <c r="L3526">
        <v>85254</v>
      </c>
      <c r="M3526" t="s">
        <v>43</v>
      </c>
      <c r="N3526" t="s">
        <v>4589</v>
      </c>
      <c r="O3526" t="s">
        <v>45</v>
      </c>
      <c r="P3526" t="s">
        <v>170</v>
      </c>
      <c r="Q3526" t="s">
        <v>662</v>
      </c>
      <c r="R3526">
        <v>23.472000000000001</v>
      </c>
      <c r="S3526">
        <v>3</v>
      </c>
      <c r="T3526">
        <v>0.2</v>
      </c>
      <c r="U3526">
        <v>8.8019999999999996</v>
      </c>
      <c r="V3526" t="str">
        <f t="shared" si="55"/>
        <v>Sally Matthias</v>
      </c>
      <c r="W3526">
        <f>Table2[Profit]/Table2[Sales]</f>
        <v>0.37499999999999994</v>
      </c>
    </row>
    <row r="3527" spans="1:23" x14ac:dyDescent="0.25">
      <c r="A3527">
        <v>3526</v>
      </c>
      <c r="B3527" t="s">
        <v>9054</v>
      </c>
      <c r="C3527" s="1">
        <v>42583</v>
      </c>
      <c r="D3527" s="1">
        <v>42587</v>
      </c>
      <c r="E3527" t="s">
        <v>22</v>
      </c>
      <c r="F3527" t="s">
        <v>7115</v>
      </c>
      <c r="G3527" t="s">
        <v>7116</v>
      </c>
      <c r="H3527" t="s">
        <v>40</v>
      </c>
      <c r="I3527" t="s">
        <v>26</v>
      </c>
      <c r="J3527" t="s">
        <v>1590</v>
      </c>
      <c r="K3527" t="s">
        <v>103</v>
      </c>
      <c r="L3527">
        <v>79109</v>
      </c>
      <c r="M3527" t="s">
        <v>104</v>
      </c>
      <c r="N3527" t="s">
        <v>182</v>
      </c>
      <c r="O3527" t="s">
        <v>45</v>
      </c>
      <c r="P3527" t="s">
        <v>89</v>
      </c>
      <c r="Q3527" t="s">
        <v>183</v>
      </c>
      <c r="R3527">
        <v>19.648</v>
      </c>
      <c r="S3527">
        <v>2</v>
      </c>
      <c r="T3527">
        <v>0.2</v>
      </c>
      <c r="U3527">
        <v>6.6311999999999998</v>
      </c>
      <c r="V3527" t="str">
        <f t="shared" si="55"/>
        <v>Susan Gilcrest</v>
      </c>
      <c r="W3527">
        <f>Table2[Profit]/Table2[Sales]</f>
        <v>0.33749999999999997</v>
      </c>
    </row>
    <row r="3528" spans="1:23" x14ac:dyDescent="0.25">
      <c r="A3528">
        <v>3527</v>
      </c>
      <c r="B3528" t="s">
        <v>9055</v>
      </c>
      <c r="C3528" s="1">
        <v>41903</v>
      </c>
      <c r="D3528" s="1">
        <v>41906</v>
      </c>
      <c r="E3528" t="s">
        <v>185</v>
      </c>
      <c r="F3528" t="s">
        <v>3350</v>
      </c>
      <c r="G3528" t="s">
        <v>3351</v>
      </c>
      <c r="H3528" t="s">
        <v>25</v>
      </c>
      <c r="I3528" t="s">
        <v>26</v>
      </c>
      <c r="J3528" t="s">
        <v>143</v>
      </c>
      <c r="K3528" t="s">
        <v>144</v>
      </c>
      <c r="L3528">
        <v>19140</v>
      </c>
      <c r="M3528" t="s">
        <v>145</v>
      </c>
      <c r="N3528" t="s">
        <v>1361</v>
      </c>
      <c r="O3528" t="s">
        <v>45</v>
      </c>
      <c r="P3528" t="s">
        <v>74</v>
      </c>
      <c r="Q3528" t="s">
        <v>1362</v>
      </c>
      <c r="R3528">
        <v>6.57</v>
      </c>
      <c r="S3528">
        <v>3</v>
      </c>
      <c r="T3528">
        <v>0.7</v>
      </c>
      <c r="U3528">
        <v>-5.0369999999999999</v>
      </c>
      <c r="V3528" t="str">
        <f t="shared" si="55"/>
        <v>Larry Hughes</v>
      </c>
      <c r="W3528">
        <f>Table2[Profit]/Table2[Sales]</f>
        <v>-0.76666666666666661</v>
      </c>
    </row>
    <row r="3529" spans="1:23" x14ac:dyDescent="0.25">
      <c r="A3529">
        <v>3528</v>
      </c>
      <c r="B3529" t="s">
        <v>9056</v>
      </c>
      <c r="C3529" s="1">
        <v>42982</v>
      </c>
      <c r="D3529" s="1">
        <v>42986</v>
      </c>
      <c r="E3529" t="s">
        <v>49</v>
      </c>
      <c r="F3529" t="s">
        <v>3411</v>
      </c>
      <c r="G3529" t="s">
        <v>3412</v>
      </c>
      <c r="H3529" t="s">
        <v>25</v>
      </c>
      <c r="I3529" t="s">
        <v>26</v>
      </c>
      <c r="J3529" t="s">
        <v>2511</v>
      </c>
      <c r="K3529" t="s">
        <v>42</v>
      </c>
      <c r="L3529">
        <v>92704</v>
      </c>
      <c r="M3529" t="s">
        <v>43</v>
      </c>
      <c r="N3529" t="s">
        <v>7383</v>
      </c>
      <c r="O3529" t="s">
        <v>45</v>
      </c>
      <c r="P3529" t="s">
        <v>58</v>
      </c>
      <c r="Q3529" t="s">
        <v>7384</v>
      </c>
      <c r="R3529">
        <v>421.1</v>
      </c>
      <c r="S3529">
        <v>2</v>
      </c>
      <c r="T3529">
        <v>0</v>
      </c>
      <c r="U3529">
        <v>105.27500000000001</v>
      </c>
      <c r="V3529" t="str">
        <f t="shared" si="55"/>
        <v>Eva Jacobs</v>
      </c>
      <c r="W3529">
        <f>Table2[Profit]/Table2[Sales]</f>
        <v>0.25</v>
      </c>
    </row>
    <row r="3530" spans="1:23" x14ac:dyDescent="0.25">
      <c r="A3530">
        <v>3529</v>
      </c>
      <c r="B3530" t="s">
        <v>9057</v>
      </c>
      <c r="C3530" s="1">
        <v>42905</v>
      </c>
      <c r="D3530" s="1">
        <v>42907</v>
      </c>
      <c r="E3530" t="s">
        <v>22</v>
      </c>
      <c r="F3530" t="s">
        <v>4522</v>
      </c>
      <c r="G3530" t="s">
        <v>4523</v>
      </c>
      <c r="H3530" t="s">
        <v>40</v>
      </c>
      <c r="I3530" t="s">
        <v>26</v>
      </c>
      <c r="J3530" t="s">
        <v>600</v>
      </c>
      <c r="K3530" t="s">
        <v>491</v>
      </c>
      <c r="L3530">
        <v>43055</v>
      </c>
      <c r="M3530" t="s">
        <v>145</v>
      </c>
      <c r="N3530" t="s">
        <v>1268</v>
      </c>
      <c r="O3530" t="s">
        <v>31</v>
      </c>
      <c r="P3530" t="s">
        <v>35</v>
      </c>
      <c r="Q3530" t="s">
        <v>1269</v>
      </c>
      <c r="R3530">
        <v>760.11599999999999</v>
      </c>
      <c r="S3530">
        <v>6</v>
      </c>
      <c r="T3530">
        <v>0.3</v>
      </c>
      <c r="U3530">
        <v>-43.435200000000002</v>
      </c>
      <c r="V3530" t="str">
        <f t="shared" si="55"/>
        <v>Katharine Harms</v>
      </c>
      <c r="W3530">
        <f>Table2[Profit]/Table2[Sales]</f>
        <v>-5.7142857142857148E-2</v>
      </c>
    </row>
    <row r="3531" spans="1:23" x14ac:dyDescent="0.25">
      <c r="A3531">
        <v>3530</v>
      </c>
      <c r="B3531" t="s">
        <v>9058</v>
      </c>
      <c r="C3531" s="1">
        <v>42479</v>
      </c>
      <c r="D3531" s="1">
        <v>42486</v>
      </c>
      <c r="E3531" t="s">
        <v>49</v>
      </c>
      <c r="F3531" t="s">
        <v>283</v>
      </c>
      <c r="G3531" t="s">
        <v>284</v>
      </c>
      <c r="H3531" t="s">
        <v>25</v>
      </c>
      <c r="I3531" t="s">
        <v>26</v>
      </c>
      <c r="J3531" t="s">
        <v>263</v>
      </c>
      <c r="K3531" t="s">
        <v>264</v>
      </c>
      <c r="L3531">
        <v>10035</v>
      </c>
      <c r="M3531" t="s">
        <v>145</v>
      </c>
      <c r="N3531" t="s">
        <v>2748</v>
      </c>
      <c r="O3531" t="s">
        <v>70</v>
      </c>
      <c r="P3531" t="s">
        <v>71</v>
      </c>
      <c r="Q3531" t="s">
        <v>2749</v>
      </c>
      <c r="R3531">
        <v>25.98</v>
      </c>
      <c r="S3531">
        <v>2</v>
      </c>
      <c r="T3531">
        <v>0</v>
      </c>
      <c r="U3531">
        <v>0.77939999999999998</v>
      </c>
      <c r="V3531" t="str">
        <f t="shared" si="55"/>
        <v>Kunst Miller</v>
      </c>
      <c r="W3531">
        <f>Table2[Profit]/Table2[Sales]</f>
        <v>0.03</v>
      </c>
    </row>
    <row r="3532" spans="1:23" x14ac:dyDescent="0.25">
      <c r="A3532">
        <v>3531</v>
      </c>
      <c r="B3532" t="s">
        <v>9059</v>
      </c>
      <c r="C3532" s="1">
        <v>42495</v>
      </c>
      <c r="D3532" s="1">
        <v>42496</v>
      </c>
      <c r="E3532" t="s">
        <v>185</v>
      </c>
      <c r="F3532" t="s">
        <v>2868</v>
      </c>
      <c r="G3532" t="s">
        <v>2869</v>
      </c>
      <c r="H3532" t="s">
        <v>40</v>
      </c>
      <c r="I3532" t="s">
        <v>26</v>
      </c>
      <c r="J3532" t="s">
        <v>27</v>
      </c>
      <c r="K3532" t="s">
        <v>1381</v>
      </c>
      <c r="L3532">
        <v>89015</v>
      </c>
      <c r="M3532" t="s">
        <v>43</v>
      </c>
      <c r="N3532" t="s">
        <v>7319</v>
      </c>
      <c r="O3532" t="s">
        <v>31</v>
      </c>
      <c r="P3532" t="s">
        <v>55</v>
      </c>
      <c r="Q3532" t="s">
        <v>7320</v>
      </c>
      <c r="R3532">
        <v>1685.88</v>
      </c>
      <c r="S3532">
        <v>6</v>
      </c>
      <c r="T3532">
        <v>0</v>
      </c>
      <c r="U3532">
        <v>320.31720000000001</v>
      </c>
      <c r="V3532" t="str">
        <f t="shared" si="55"/>
        <v>Lindsay Williams</v>
      </c>
      <c r="W3532">
        <f>Table2[Profit]/Table2[Sales]</f>
        <v>0.19</v>
      </c>
    </row>
    <row r="3533" spans="1:23" x14ac:dyDescent="0.25">
      <c r="A3533">
        <v>3532</v>
      </c>
      <c r="B3533" t="s">
        <v>9060</v>
      </c>
      <c r="C3533" s="1">
        <v>41930</v>
      </c>
      <c r="D3533" s="1">
        <v>41935</v>
      </c>
      <c r="E3533" t="s">
        <v>22</v>
      </c>
      <c r="F3533" t="s">
        <v>4026</v>
      </c>
      <c r="G3533" t="s">
        <v>4027</v>
      </c>
      <c r="H3533" t="s">
        <v>25</v>
      </c>
      <c r="I3533" t="s">
        <v>26</v>
      </c>
      <c r="J3533" t="s">
        <v>94</v>
      </c>
      <c r="K3533" t="s">
        <v>95</v>
      </c>
      <c r="L3533">
        <v>98103</v>
      </c>
      <c r="M3533" t="s">
        <v>43</v>
      </c>
      <c r="N3533" t="s">
        <v>4250</v>
      </c>
      <c r="O3533" t="s">
        <v>45</v>
      </c>
      <c r="P3533" t="s">
        <v>89</v>
      </c>
      <c r="Q3533" t="s">
        <v>4251</v>
      </c>
      <c r="R3533">
        <v>61.96</v>
      </c>
      <c r="S3533">
        <v>2</v>
      </c>
      <c r="T3533">
        <v>0</v>
      </c>
      <c r="U3533">
        <v>27.882000000000001</v>
      </c>
      <c r="V3533" t="str">
        <f t="shared" si="55"/>
        <v>Ivan Gibson</v>
      </c>
      <c r="W3533">
        <f>Table2[Profit]/Table2[Sales]</f>
        <v>0.45</v>
      </c>
    </row>
    <row r="3534" spans="1:23" x14ac:dyDescent="0.25">
      <c r="A3534">
        <v>3533</v>
      </c>
      <c r="B3534" t="s">
        <v>9061</v>
      </c>
      <c r="C3534" s="1">
        <v>42779</v>
      </c>
      <c r="D3534" s="1">
        <v>42783</v>
      </c>
      <c r="E3534" t="s">
        <v>49</v>
      </c>
      <c r="F3534" t="s">
        <v>6194</v>
      </c>
      <c r="G3534" t="s">
        <v>6195</v>
      </c>
      <c r="H3534" t="s">
        <v>40</v>
      </c>
      <c r="I3534" t="s">
        <v>26</v>
      </c>
      <c r="J3534" t="s">
        <v>263</v>
      </c>
      <c r="K3534" t="s">
        <v>264</v>
      </c>
      <c r="L3534">
        <v>10009</v>
      </c>
      <c r="M3534" t="s">
        <v>145</v>
      </c>
      <c r="N3534" t="s">
        <v>5323</v>
      </c>
      <c r="O3534" t="s">
        <v>45</v>
      </c>
      <c r="P3534" t="s">
        <v>89</v>
      </c>
      <c r="Q3534" t="s">
        <v>5324</v>
      </c>
      <c r="R3534">
        <v>17.940000000000001</v>
      </c>
      <c r="S3534">
        <v>3</v>
      </c>
      <c r="T3534">
        <v>0</v>
      </c>
      <c r="U3534">
        <v>8.7905999999999995</v>
      </c>
      <c r="V3534" t="str">
        <f t="shared" si="55"/>
        <v>Jennifer Patt</v>
      </c>
      <c r="W3534">
        <f>Table2[Profit]/Table2[Sales]</f>
        <v>0.48999999999999994</v>
      </c>
    </row>
    <row r="3535" spans="1:23" x14ac:dyDescent="0.25">
      <c r="A3535">
        <v>3534</v>
      </c>
      <c r="B3535" t="s">
        <v>9062</v>
      </c>
      <c r="C3535" s="1">
        <v>43056</v>
      </c>
      <c r="D3535" s="1">
        <v>43063</v>
      </c>
      <c r="E3535" t="s">
        <v>49</v>
      </c>
      <c r="F3535" t="s">
        <v>506</v>
      </c>
      <c r="G3535" t="s">
        <v>507</v>
      </c>
      <c r="H3535" t="s">
        <v>40</v>
      </c>
      <c r="I3535" t="s">
        <v>26</v>
      </c>
      <c r="J3535" t="s">
        <v>94</v>
      </c>
      <c r="K3535" t="s">
        <v>95</v>
      </c>
      <c r="L3535">
        <v>98103</v>
      </c>
      <c r="M3535" t="s">
        <v>43</v>
      </c>
      <c r="N3535" t="s">
        <v>2024</v>
      </c>
      <c r="O3535" t="s">
        <v>45</v>
      </c>
      <c r="P3535" t="s">
        <v>74</v>
      </c>
      <c r="Q3535" t="s">
        <v>2025</v>
      </c>
      <c r="R3535">
        <v>13.904</v>
      </c>
      <c r="S3535">
        <v>2</v>
      </c>
      <c r="T3535">
        <v>0.2</v>
      </c>
      <c r="U3535">
        <v>4.5187999999999997</v>
      </c>
      <c r="V3535" t="str">
        <f t="shared" si="55"/>
        <v>Greg Guthrie</v>
      </c>
      <c r="W3535">
        <f>Table2[Profit]/Table2[Sales]</f>
        <v>0.32499999999999996</v>
      </c>
    </row>
    <row r="3536" spans="1:23" x14ac:dyDescent="0.25">
      <c r="A3536">
        <v>3535</v>
      </c>
      <c r="B3536" t="s">
        <v>9063</v>
      </c>
      <c r="C3536" s="1">
        <v>41659</v>
      </c>
      <c r="D3536" s="1">
        <v>41665</v>
      </c>
      <c r="E3536" t="s">
        <v>49</v>
      </c>
      <c r="F3536" t="s">
        <v>1307</v>
      </c>
      <c r="G3536" t="s">
        <v>1308</v>
      </c>
      <c r="H3536" t="s">
        <v>40</v>
      </c>
      <c r="I3536" t="s">
        <v>26</v>
      </c>
      <c r="J3536" t="s">
        <v>3716</v>
      </c>
      <c r="K3536" t="s">
        <v>328</v>
      </c>
      <c r="L3536">
        <v>37167</v>
      </c>
      <c r="M3536" t="s">
        <v>29</v>
      </c>
      <c r="N3536" t="s">
        <v>4666</v>
      </c>
      <c r="O3536" t="s">
        <v>45</v>
      </c>
      <c r="P3536" t="s">
        <v>74</v>
      </c>
      <c r="Q3536" t="s">
        <v>4667</v>
      </c>
      <c r="R3536">
        <v>67.194000000000003</v>
      </c>
      <c r="S3536">
        <v>1</v>
      </c>
      <c r="T3536">
        <v>0.7</v>
      </c>
      <c r="U3536">
        <v>-51.5154</v>
      </c>
      <c r="V3536" t="str">
        <f t="shared" si="55"/>
        <v>Muhammed MacIntyre</v>
      </c>
      <c r="W3536">
        <f>Table2[Profit]/Table2[Sales]</f>
        <v>-0.76666666666666661</v>
      </c>
    </row>
    <row r="3537" spans="1:23" x14ac:dyDescent="0.25">
      <c r="A3537">
        <v>3536</v>
      </c>
      <c r="B3537" t="s">
        <v>9064</v>
      </c>
      <c r="C3537" s="1">
        <v>43070</v>
      </c>
      <c r="D3537" s="1">
        <v>43077</v>
      </c>
      <c r="E3537" t="s">
        <v>49</v>
      </c>
      <c r="F3537" t="s">
        <v>50</v>
      </c>
      <c r="G3537" t="s">
        <v>51</v>
      </c>
      <c r="H3537" t="s">
        <v>25</v>
      </c>
      <c r="I3537" t="s">
        <v>26</v>
      </c>
      <c r="J3537" t="s">
        <v>94</v>
      </c>
      <c r="K3537" t="s">
        <v>95</v>
      </c>
      <c r="L3537">
        <v>98105</v>
      </c>
      <c r="M3537" t="s">
        <v>43</v>
      </c>
      <c r="N3537" t="s">
        <v>8479</v>
      </c>
      <c r="O3537" t="s">
        <v>45</v>
      </c>
      <c r="P3537" t="s">
        <v>89</v>
      </c>
      <c r="Q3537" t="s">
        <v>8480</v>
      </c>
      <c r="R3537">
        <v>41.86</v>
      </c>
      <c r="S3537">
        <v>7</v>
      </c>
      <c r="T3537">
        <v>0</v>
      </c>
      <c r="U3537">
        <v>18.837</v>
      </c>
      <c r="V3537" t="str">
        <f t="shared" si="55"/>
        <v>Sean O'Donnell</v>
      </c>
      <c r="W3537">
        <f>Table2[Profit]/Table2[Sales]</f>
        <v>0.45</v>
      </c>
    </row>
    <row r="3538" spans="1:23" x14ac:dyDescent="0.25">
      <c r="A3538">
        <v>3537</v>
      </c>
      <c r="B3538" t="s">
        <v>9065</v>
      </c>
      <c r="C3538" s="1">
        <v>42225</v>
      </c>
      <c r="D3538" s="1">
        <v>42232</v>
      </c>
      <c r="E3538" t="s">
        <v>49</v>
      </c>
      <c r="F3538" t="s">
        <v>7591</v>
      </c>
      <c r="G3538" t="s">
        <v>7592</v>
      </c>
      <c r="H3538" t="s">
        <v>40</v>
      </c>
      <c r="I3538" t="s">
        <v>26</v>
      </c>
      <c r="J3538" t="s">
        <v>263</v>
      </c>
      <c r="K3538" t="s">
        <v>264</v>
      </c>
      <c r="L3538">
        <v>10035</v>
      </c>
      <c r="M3538" t="s">
        <v>145</v>
      </c>
      <c r="N3538" t="s">
        <v>6438</v>
      </c>
      <c r="O3538" t="s">
        <v>31</v>
      </c>
      <c r="P3538" t="s">
        <v>64</v>
      </c>
      <c r="Q3538" t="s">
        <v>6439</v>
      </c>
      <c r="R3538">
        <v>10.02</v>
      </c>
      <c r="S3538">
        <v>3</v>
      </c>
      <c r="T3538">
        <v>0</v>
      </c>
      <c r="U3538">
        <v>4.4088000000000003</v>
      </c>
      <c r="V3538" t="str">
        <f t="shared" si="55"/>
        <v>Monica Federle</v>
      </c>
      <c r="W3538">
        <f>Table2[Profit]/Table2[Sales]</f>
        <v>0.44000000000000006</v>
      </c>
    </row>
    <row r="3539" spans="1:23" x14ac:dyDescent="0.25">
      <c r="A3539">
        <v>3538</v>
      </c>
      <c r="B3539" t="s">
        <v>9066</v>
      </c>
      <c r="C3539" s="1">
        <v>42640</v>
      </c>
      <c r="D3539" s="1">
        <v>42642</v>
      </c>
      <c r="E3539" t="s">
        <v>22</v>
      </c>
      <c r="F3539" t="s">
        <v>4175</v>
      </c>
      <c r="G3539" t="s">
        <v>4176</v>
      </c>
      <c r="H3539" t="s">
        <v>25</v>
      </c>
      <c r="I3539" t="s">
        <v>26</v>
      </c>
      <c r="J3539" t="s">
        <v>1712</v>
      </c>
      <c r="K3539" t="s">
        <v>1260</v>
      </c>
      <c r="L3539">
        <v>30318</v>
      </c>
      <c r="M3539" t="s">
        <v>29</v>
      </c>
      <c r="N3539" t="s">
        <v>5180</v>
      </c>
      <c r="O3539" t="s">
        <v>45</v>
      </c>
      <c r="P3539" t="s">
        <v>89</v>
      </c>
      <c r="Q3539" t="s">
        <v>5181</v>
      </c>
      <c r="R3539">
        <v>17.940000000000001</v>
      </c>
      <c r="S3539">
        <v>3</v>
      </c>
      <c r="T3539">
        <v>0</v>
      </c>
      <c r="U3539">
        <v>8.7905999999999995</v>
      </c>
      <c r="V3539" t="str">
        <f t="shared" si="55"/>
        <v>James Galang</v>
      </c>
      <c r="W3539">
        <f>Table2[Profit]/Table2[Sales]</f>
        <v>0.48999999999999994</v>
      </c>
    </row>
    <row r="3540" spans="1:23" x14ac:dyDescent="0.25">
      <c r="A3540">
        <v>3539</v>
      </c>
      <c r="B3540" t="s">
        <v>9067</v>
      </c>
      <c r="C3540" s="1">
        <v>42688</v>
      </c>
      <c r="D3540" s="1">
        <v>42694</v>
      </c>
      <c r="E3540" t="s">
        <v>49</v>
      </c>
      <c r="F3540" t="s">
        <v>5118</v>
      </c>
      <c r="G3540" t="s">
        <v>5119</v>
      </c>
      <c r="H3540" t="s">
        <v>25</v>
      </c>
      <c r="I3540" t="s">
        <v>26</v>
      </c>
      <c r="J3540" t="s">
        <v>600</v>
      </c>
      <c r="K3540" t="s">
        <v>242</v>
      </c>
      <c r="L3540">
        <v>19711</v>
      </c>
      <c r="M3540" t="s">
        <v>145</v>
      </c>
      <c r="N3540" t="s">
        <v>4412</v>
      </c>
      <c r="O3540" t="s">
        <v>45</v>
      </c>
      <c r="P3540" t="s">
        <v>89</v>
      </c>
      <c r="Q3540" t="s">
        <v>4413</v>
      </c>
      <c r="R3540">
        <v>16.45</v>
      </c>
      <c r="S3540">
        <v>5</v>
      </c>
      <c r="T3540">
        <v>0</v>
      </c>
      <c r="U3540">
        <v>7.5670000000000002</v>
      </c>
      <c r="V3540" t="str">
        <f t="shared" si="55"/>
        <v>Justin MacKendrick</v>
      </c>
      <c r="W3540">
        <f>Table2[Profit]/Table2[Sales]</f>
        <v>0.46</v>
      </c>
    </row>
    <row r="3541" spans="1:23" x14ac:dyDescent="0.25">
      <c r="A3541">
        <v>3540</v>
      </c>
      <c r="B3541" t="s">
        <v>9068</v>
      </c>
      <c r="C3541" s="1">
        <v>42476</v>
      </c>
      <c r="D3541" s="1">
        <v>42482</v>
      </c>
      <c r="E3541" t="s">
        <v>49</v>
      </c>
      <c r="F3541" t="s">
        <v>110</v>
      </c>
      <c r="G3541" t="s">
        <v>111</v>
      </c>
      <c r="H3541" t="s">
        <v>25</v>
      </c>
      <c r="I3541" t="s">
        <v>26</v>
      </c>
      <c r="J3541" t="s">
        <v>5545</v>
      </c>
      <c r="K3541" t="s">
        <v>328</v>
      </c>
      <c r="L3541">
        <v>37211</v>
      </c>
      <c r="M3541" t="s">
        <v>29</v>
      </c>
      <c r="N3541" t="s">
        <v>3487</v>
      </c>
      <c r="O3541" t="s">
        <v>70</v>
      </c>
      <c r="P3541" t="s">
        <v>158</v>
      </c>
      <c r="Q3541" t="s">
        <v>3488</v>
      </c>
      <c r="R3541">
        <v>35.167999999999999</v>
      </c>
      <c r="S3541">
        <v>4</v>
      </c>
      <c r="T3541">
        <v>0.2</v>
      </c>
      <c r="U3541">
        <v>8.3523999999999994</v>
      </c>
      <c r="V3541" t="str">
        <f t="shared" si="55"/>
        <v>Pete Kriz</v>
      </c>
      <c r="W3541">
        <f>Table2[Profit]/Table2[Sales]</f>
        <v>0.23749999999999999</v>
      </c>
    </row>
    <row r="3542" spans="1:23" x14ac:dyDescent="0.25">
      <c r="A3542">
        <v>3541</v>
      </c>
      <c r="B3542" t="s">
        <v>9069</v>
      </c>
      <c r="C3542" s="1">
        <v>43065</v>
      </c>
      <c r="D3542" s="1">
        <v>43070</v>
      </c>
      <c r="E3542" t="s">
        <v>49</v>
      </c>
      <c r="F3542" t="s">
        <v>4090</v>
      </c>
      <c r="G3542" t="s">
        <v>4091</v>
      </c>
      <c r="H3542" t="s">
        <v>101</v>
      </c>
      <c r="I3542" t="s">
        <v>26</v>
      </c>
      <c r="J3542" t="s">
        <v>1450</v>
      </c>
      <c r="K3542" t="s">
        <v>251</v>
      </c>
      <c r="L3542">
        <v>47374</v>
      </c>
      <c r="M3542" t="s">
        <v>104</v>
      </c>
      <c r="N3542" t="s">
        <v>3746</v>
      </c>
      <c r="O3542" t="s">
        <v>31</v>
      </c>
      <c r="P3542" t="s">
        <v>55</v>
      </c>
      <c r="Q3542" t="s">
        <v>3216</v>
      </c>
      <c r="R3542">
        <v>257.94</v>
      </c>
      <c r="S3542">
        <v>3</v>
      </c>
      <c r="T3542">
        <v>0</v>
      </c>
      <c r="U3542">
        <v>67.064400000000006</v>
      </c>
      <c r="V3542" t="str">
        <f t="shared" si="55"/>
        <v>Tonja Turnell</v>
      </c>
      <c r="W3542">
        <f>Table2[Profit]/Table2[Sales]</f>
        <v>0.26</v>
      </c>
    </row>
    <row r="3543" spans="1:23" x14ac:dyDescent="0.25">
      <c r="A3543">
        <v>3542</v>
      </c>
      <c r="B3543" t="s">
        <v>9070</v>
      </c>
      <c r="C3543" s="1">
        <v>42328</v>
      </c>
      <c r="D3543" s="1">
        <v>42335</v>
      </c>
      <c r="E3543" t="s">
        <v>49</v>
      </c>
      <c r="F3543" t="s">
        <v>2338</v>
      </c>
      <c r="G3543" t="s">
        <v>2339</v>
      </c>
      <c r="H3543" t="s">
        <v>25</v>
      </c>
      <c r="I3543" t="s">
        <v>26</v>
      </c>
      <c r="J3543" t="s">
        <v>1406</v>
      </c>
      <c r="K3543" t="s">
        <v>53</v>
      </c>
      <c r="L3543">
        <v>33180</v>
      </c>
      <c r="M3543" t="s">
        <v>29</v>
      </c>
      <c r="N3543" t="s">
        <v>2076</v>
      </c>
      <c r="O3543" t="s">
        <v>45</v>
      </c>
      <c r="P3543" t="s">
        <v>74</v>
      </c>
      <c r="Q3543" t="s">
        <v>2077</v>
      </c>
      <c r="R3543">
        <v>7.23</v>
      </c>
      <c r="S3543">
        <v>5</v>
      </c>
      <c r="T3543">
        <v>0.7</v>
      </c>
      <c r="U3543">
        <v>-5.7839999999999998</v>
      </c>
      <c r="V3543" t="str">
        <f t="shared" si="55"/>
        <v>Sung Shariari</v>
      </c>
      <c r="W3543">
        <f>Table2[Profit]/Table2[Sales]</f>
        <v>-0.79999999999999993</v>
      </c>
    </row>
    <row r="3544" spans="1:23" x14ac:dyDescent="0.25">
      <c r="A3544">
        <v>3543</v>
      </c>
      <c r="B3544" t="s">
        <v>9071</v>
      </c>
      <c r="C3544" s="1">
        <v>42985</v>
      </c>
      <c r="D3544" s="1">
        <v>42985</v>
      </c>
      <c r="E3544" t="s">
        <v>1278</v>
      </c>
      <c r="F3544" t="s">
        <v>1919</v>
      </c>
      <c r="G3544" t="s">
        <v>1920</v>
      </c>
      <c r="H3544" t="s">
        <v>25</v>
      </c>
      <c r="I3544" t="s">
        <v>26</v>
      </c>
      <c r="J3544" t="s">
        <v>9072</v>
      </c>
      <c r="K3544" t="s">
        <v>590</v>
      </c>
      <c r="L3544">
        <v>63301</v>
      </c>
      <c r="M3544" t="s">
        <v>104</v>
      </c>
      <c r="N3544" t="s">
        <v>2777</v>
      </c>
      <c r="O3544" t="s">
        <v>70</v>
      </c>
      <c r="P3544" t="s">
        <v>158</v>
      </c>
      <c r="Q3544" t="s">
        <v>2778</v>
      </c>
      <c r="R3544">
        <v>113.52</v>
      </c>
      <c r="S3544">
        <v>4</v>
      </c>
      <c r="T3544">
        <v>0</v>
      </c>
      <c r="U3544">
        <v>46.543199999999999</v>
      </c>
      <c r="V3544" t="str">
        <f t="shared" si="55"/>
        <v>Trudy Glocke</v>
      </c>
      <c r="W3544">
        <f>Table2[Profit]/Table2[Sales]</f>
        <v>0.41000000000000003</v>
      </c>
    </row>
    <row r="3545" spans="1:23" x14ac:dyDescent="0.25">
      <c r="A3545">
        <v>3544</v>
      </c>
      <c r="B3545" t="s">
        <v>9073</v>
      </c>
      <c r="C3545" s="1">
        <v>41967</v>
      </c>
      <c r="D3545" s="1">
        <v>41972</v>
      </c>
      <c r="E3545" t="s">
        <v>49</v>
      </c>
      <c r="F3545" t="s">
        <v>99</v>
      </c>
      <c r="G3545" t="s">
        <v>100</v>
      </c>
      <c r="H3545" t="s">
        <v>101</v>
      </c>
      <c r="I3545" t="s">
        <v>26</v>
      </c>
      <c r="J3545" t="s">
        <v>2930</v>
      </c>
      <c r="K3545" t="s">
        <v>312</v>
      </c>
      <c r="L3545">
        <v>23464</v>
      </c>
      <c r="M3545" t="s">
        <v>29</v>
      </c>
      <c r="N3545" t="s">
        <v>5575</v>
      </c>
      <c r="O3545" t="s">
        <v>31</v>
      </c>
      <c r="P3545" t="s">
        <v>64</v>
      </c>
      <c r="Q3545" t="s">
        <v>5576</v>
      </c>
      <c r="R3545">
        <v>111.15</v>
      </c>
      <c r="S3545">
        <v>5</v>
      </c>
      <c r="T3545">
        <v>0</v>
      </c>
      <c r="U3545">
        <v>48.905999999999999</v>
      </c>
      <c r="V3545" t="str">
        <f t="shared" si="55"/>
        <v>Harold Pawlan</v>
      </c>
      <c r="W3545">
        <f>Table2[Profit]/Table2[Sales]</f>
        <v>0.43999999999999995</v>
      </c>
    </row>
    <row r="3546" spans="1:23" x14ac:dyDescent="0.25">
      <c r="A3546">
        <v>3545</v>
      </c>
      <c r="B3546" t="s">
        <v>9074</v>
      </c>
      <c r="C3546" s="1">
        <v>42805</v>
      </c>
      <c r="D3546" s="1">
        <v>42810</v>
      </c>
      <c r="E3546" t="s">
        <v>49</v>
      </c>
      <c r="F3546" t="s">
        <v>8025</v>
      </c>
      <c r="G3546" t="s">
        <v>8026</v>
      </c>
      <c r="H3546" t="s">
        <v>101</v>
      </c>
      <c r="I3546" t="s">
        <v>26</v>
      </c>
      <c r="J3546" t="s">
        <v>143</v>
      </c>
      <c r="K3546" t="s">
        <v>144</v>
      </c>
      <c r="L3546">
        <v>19140</v>
      </c>
      <c r="M3546" t="s">
        <v>145</v>
      </c>
      <c r="N3546" t="s">
        <v>5512</v>
      </c>
      <c r="O3546" t="s">
        <v>70</v>
      </c>
      <c r="P3546" t="s">
        <v>71</v>
      </c>
      <c r="Q3546" t="s">
        <v>5513</v>
      </c>
      <c r="R3546">
        <v>776.85</v>
      </c>
      <c r="S3546">
        <v>5</v>
      </c>
      <c r="T3546">
        <v>0.4</v>
      </c>
      <c r="U3546">
        <v>-181.26499999999999</v>
      </c>
      <c r="V3546" t="str">
        <f t="shared" si="55"/>
        <v>Marc Harrigan</v>
      </c>
      <c r="W3546">
        <f>Table2[Profit]/Table2[Sales]</f>
        <v>-0.23333333333333331</v>
      </c>
    </row>
    <row r="3547" spans="1:23" x14ac:dyDescent="0.25">
      <c r="A3547">
        <v>3546</v>
      </c>
      <c r="B3547" t="s">
        <v>9075</v>
      </c>
      <c r="C3547" s="1">
        <v>42533</v>
      </c>
      <c r="D3547" s="1">
        <v>42538</v>
      </c>
      <c r="E3547" t="s">
        <v>49</v>
      </c>
      <c r="F3547" t="s">
        <v>4750</v>
      </c>
      <c r="G3547" t="s">
        <v>4751</v>
      </c>
      <c r="H3547" t="s">
        <v>25</v>
      </c>
      <c r="I3547" t="s">
        <v>26</v>
      </c>
      <c r="J3547" t="s">
        <v>1161</v>
      </c>
      <c r="K3547" t="s">
        <v>264</v>
      </c>
      <c r="L3547">
        <v>11561</v>
      </c>
      <c r="M3547" t="s">
        <v>145</v>
      </c>
      <c r="N3547" t="s">
        <v>4607</v>
      </c>
      <c r="O3547" t="s">
        <v>45</v>
      </c>
      <c r="P3547" t="s">
        <v>89</v>
      </c>
      <c r="Q3547" t="s">
        <v>4608</v>
      </c>
      <c r="R3547">
        <v>92.94</v>
      </c>
      <c r="S3547">
        <v>3</v>
      </c>
      <c r="T3547">
        <v>0</v>
      </c>
      <c r="U3547">
        <v>41.823</v>
      </c>
      <c r="V3547" t="str">
        <f t="shared" si="55"/>
        <v>Christy Brittain</v>
      </c>
      <c r="W3547">
        <f>Table2[Profit]/Table2[Sales]</f>
        <v>0.45</v>
      </c>
    </row>
    <row r="3548" spans="1:23" x14ac:dyDescent="0.25">
      <c r="A3548">
        <v>3547</v>
      </c>
      <c r="B3548" t="s">
        <v>9076</v>
      </c>
      <c r="C3548" s="1">
        <v>42181</v>
      </c>
      <c r="D3548" s="1">
        <v>42185</v>
      </c>
      <c r="E3548" t="s">
        <v>49</v>
      </c>
      <c r="F3548" t="s">
        <v>881</v>
      </c>
      <c r="G3548" t="s">
        <v>882</v>
      </c>
      <c r="H3548" t="s">
        <v>25</v>
      </c>
      <c r="I3548" t="s">
        <v>26</v>
      </c>
      <c r="J3548" t="s">
        <v>181</v>
      </c>
      <c r="K3548" t="s">
        <v>103</v>
      </c>
      <c r="L3548">
        <v>77070</v>
      </c>
      <c r="M3548" t="s">
        <v>104</v>
      </c>
      <c r="N3548" t="s">
        <v>4912</v>
      </c>
      <c r="O3548" t="s">
        <v>70</v>
      </c>
      <c r="P3548" t="s">
        <v>71</v>
      </c>
      <c r="Q3548" t="s">
        <v>4913</v>
      </c>
      <c r="R3548">
        <v>971.88</v>
      </c>
      <c r="S3548">
        <v>3</v>
      </c>
      <c r="T3548">
        <v>0.2</v>
      </c>
      <c r="U3548">
        <v>109.3365</v>
      </c>
      <c r="V3548" t="str">
        <f t="shared" si="55"/>
        <v>Valerie Dominguez</v>
      </c>
      <c r="W3548">
        <f>Table2[Profit]/Table2[Sales]</f>
        <v>0.1125</v>
      </c>
    </row>
    <row r="3549" spans="1:23" x14ac:dyDescent="0.25">
      <c r="A3549">
        <v>3548</v>
      </c>
      <c r="B3549" t="s">
        <v>9077</v>
      </c>
      <c r="C3549" s="1">
        <v>43091</v>
      </c>
      <c r="D3549" s="1">
        <v>43095</v>
      </c>
      <c r="E3549" t="s">
        <v>49</v>
      </c>
      <c r="F3549" t="s">
        <v>6073</v>
      </c>
      <c r="G3549" t="s">
        <v>6074</v>
      </c>
      <c r="H3549" t="s">
        <v>101</v>
      </c>
      <c r="I3549" t="s">
        <v>26</v>
      </c>
      <c r="J3549" t="s">
        <v>7688</v>
      </c>
      <c r="K3549" t="s">
        <v>351</v>
      </c>
      <c r="L3549">
        <v>35401</v>
      </c>
      <c r="M3549" t="s">
        <v>29</v>
      </c>
      <c r="N3549" t="s">
        <v>1815</v>
      </c>
      <c r="O3549" t="s">
        <v>31</v>
      </c>
      <c r="P3549" t="s">
        <v>35</v>
      </c>
      <c r="Q3549" t="s">
        <v>1816</v>
      </c>
      <c r="R3549">
        <v>141.96</v>
      </c>
      <c r="S3549">
        <v>2</v>
      </c>
      <c r="T3549">
        <v>0</v>
      </c>
      <c r="U3549">
        <v>35.49</v>
      </c>
      <c r="V3549" t="str">
        <f t="shared" si="55"/>
        <v>Sharelle Roach</v>
      </c>
      <c r="W3549">
        <f>Table2[Profit]/Table2[Sales]</f>
        <v>0.25</v>
      </c>
    </row>
    <row r="3550" spans="1:23" x14ac:dyDescent="0.25">
      <c r="A3550">
        <v>3549</v>
      </c>
      <c r="B3550" t="s">
        <v>9078</v>
      </c>
      <c r="C3550" s="1">
        <v>43091</v>
      </c>
      <c r="D3550" s="1">
        <v>43094</v>
      </c>
      <c r="E3550" t="s">
        <v>22</v>
      </c>
      <c r="F3550" t="s">
        <v>7263</v>
      </c>
      <c r="G3550" t="s">
        <v>7264</v>
      </c>
      <c r="H3550" t="s">
        <v>25</v>
      </c>
      <c r="I3550" t="s">
        <v>26</v>
      </c>
      <c r="J3550" t="s">
        <v>1799</v>
      </c>
      <c r="K3550" t="s">
        <v>303</v>
      </c>
      <c r="L3550">
        <v>85204</v>
      </c>
      <c r="M3550" t="s">
        <v>43</v>
      </c>
      <c r="N3550" t="s">
        <v>3699</v>
      </c>
      <c r="O3550" t="s">
        <v>31</v>
      </c>
      <c r="P3550" t="s">
        <v>55</v>
      </c>
      <c r="Q3550" t="s">
        <v>3700</v>
      </c>
      <c r="R3550">
        <v>182.55</v>
      </c>
      <c r="S3550">
        <v>2</v>
      </c>
      <c r="T3550">
        <v>0.5</v>
      </c>
      <c r="U3550">
        <v>-135.08699999999999</v>
      </c>
      <c r="V3550" t="str">
        <f t="shared" si="55"/>
        <v>Alex Grayson</v>
      </c>
      <c r="W3550">
        <f>Table2[Profit]/Table2[Sales]</f>
        <v>-0.73999999999999988</v>
      </c>
    </row>
    <row r="3551" spans="1:23" x14ac:dyDescent="0.25">
      <c r="A3551">
        <v>3550</v>
      </c>
      <c r="B3551" t="s">
        <v>9079</v>
      </c>
      <c r="C3551" s="1">
        <v>41921</v>
      </c>
      <c r="D3551" s="1">
        <v>41927</v>
      </c>
      <c r="E3551" t="s">
        <v>49</v>
      </c>
      <c r="F3551" t="s">
        <v>1372</v>
      </c>
      <c r="G3551" t="s">
        <v>1373</v>
      </c>
      <c r="H3551" t="s">
        <v>40</v>
      </c>
      <c r="I3551" t="s">
        <v>26</v>
      </c>
      <c r="J3551" t="s">
        <v>1507</v>
      </c>
      <c r="K3551" t="s">
        <v>87</v>
      </c>
      <c r="L3551">
        <v>28540</v>
      </c>
      <c r="M3551" t="s">
        <v>29</v>
      </c>
      <c r="N3551" t="s">
        <v>1600</v>
      </c>
      <c r="O3551" t="s">
        <v>45</v>
      </c>
      <c r="P3551" t="s">
        <v>89</v>
      </c>
      <c r="Q3551" t="s">
        <v>1601</v>
      </c>
      <c r="R3551">
        <v>88.768000000000001</v>
      </c>
      <c r="S3551">
        <v>2</v>
      </c>
      <c r="T3551">
        <v>0.2</v>
      </c>
      <c r="U3551">
        <v>31.0688</v>
      </c>
      <c r="V3551" t="str">
        <f t="shared" si="55"/>
        <v>Bart Pistole</v>
      </c>
      <c r="W3551">
        <f>Table2[Profit]/Table2[Sales]</f>
        <v>0.35</v>
      </c>
    </row>
    <row r="3552" spans="1:23" x14ac:dyDescent="0.25">
      <c r="A3552">
        <v>3551</v>
      </c>
      <c r="B3552" t="s">
        <v>9080</v>
      </c>
      <c r="C3552" s="1">
        <v>42348</v>
      </c>
      <c r="D3552" s="1">
        <v>42353</v>
      </c>
      <c r="E3552" t="s">
        <v>49</v>
      </c>
      <c r="F3552" t="s">
        <v>4043</v>
      </c>
      <c r="G3552" t="s">
        <v>4044</v>
      </c>
      <c r="H3552" t="s">
        <v>25</v>
      </c>
      <c r="I3552" t="s">
        <v>26</v>
      </c>
      <c r="J3552" t="s">
        <v>296</v>
      </c>
      <c r="K3552" t="s">
        <v>208</v>
      </c>
      <c r="L3552">
        <v>60610</v>
      </c>
      <c r="M3552" t="s">
        <v>104</v>
      </c>
      <c r="N3552" t="s">
        <v>3773</v>
      </c>
      <c r="O3552" t="s">
        <v>45</v>
      </c>
      <c r="P3552" t="s">
        <v>77</v>
      </c>
      <c r="Q3552" t="s">
        <v>3774</v>
      </c>
      <c r="R3552">
        <v>53.088000000000001</v>
      </c>
      <c r="S3552">
        <v>7</v>
      </c>
      <c r="T3552">
        <v>0.8</v>
      </c>
      <c r="U3552">
        <v>-108.8304</v>
      </c>
      <c r="V3552" t="str">
        <f t="shared" si="55"/>
        <v>Julia West</v>
      </c>
      <c r="W3552">
        <f>Table2[Profit]/Table2[Sales]</f>
        <v>-2.0499999999999998</v>
      </c>
    </row>
    <row r="3553" spans="1:23" x14ac:dyDescent="0.25">
      <c r="A3553">
        <v>3552</v>
      </c>
      <c r="B3553" t="s">
        <v>9081</v>
      </c>
      <c r="C3553" s="1">
        <v>42363</v>
      </c>
      <c r="D3553" s="1">
        <v>42365</v>
      </c>
      <c r="E3553" t="s">
        <v>22</v>
      </c>
      <c r="F3553" t="s">
        <v>239</v>
      </c>
      <c r="G3553" t="s">
        <v>240</v>
      </c>
      <c r="H3553" t="s">
        <v>25</v>
      </c>
      <c r="I3553" t="s">
        <v>26</v>
      </c>
      <c r="J3553" t="s">
        <v>490</v>
      </c>
      <c r="K3553" t="s">
        <v>1260</v>
      </c>
      <c r="L3553">
        <v>31907</v>
      </c>
      <c r="M3553" t="s">
        <v>29</v>
      </c>
      <c r="N3553" t="s">
        <v>8296</v>
      </c>
      <c r="O3553" t="s">
        <v>31</v>
      </c>
      <c r="P3553" t="s">
        <v>64</v>
      </c>
      <c r="Q3553" t="s">
        <v>8297</v>
      </c>
      <c r="R3553">
        <v>275.88</v>
      </c>
      <c r="S3553">
        <v>6</v>
      </c>
      <c r="T3553">
        <v>0</v>
      </c>
      <c r="U3553">
        <v>46.8996</v>
      </c>
      <c r="V3553" t="str">
        <f t="shared" si="55"/>
        <v>Lena Hernandez</v>
      </c>
      <c r="W3553">
        <f>Table2[Profit]/Table2[Sales]</f>
        <v>0.17</v>
      </c>
    </row>
    <row r="3554" spans="1:23" x14ac:dyDescent="0.25">
      <c r="A3554">
        <v>3553</v>
      </c>
      <c r="B3554" t="s">
        <v>9082</v>
      </c>
      <c r="C3554" s="1">
        <v>42854</v>
      </c>
      <c r="D3554" s="1">
        <v>42859</v>
      </c>
      <c r="E3554" t="s">
        <v>49</v>
      </c>
      <c r="F3554" t="s">
        <v>3381</v>
      </c>
      <c r="G3554" t="s">
        <v>3382</v>
      </c>
      <c r="H3554" t="s">
        <v>25</v>
      </c>
      <c r="I3554" t="s">
        <v>26</v>
      </c>
      <c r="J3554" t="s">
        <v>5936</v>
      </c>
      <c r="K3554" t="s">
        <v>781</v>
      </c>
      <c r="L3554">
        <v>7050</v>
      </c>
      <c r="M3554" t="s">
        <v>145</v>
      </c>
      <c r="N3554" t="s">
        <v>2883</v>
      </c>
      <c r="O3554" t="s">
        <v>45</v>
      </c>
      <c r="P3554" t="s">
        <v>46</v>
      </c>
      <c r="Q3554" t="s">
        <v>2884</v>
      </c>
      <c r="R3554">
        <v>4.91</v>
      </c>
      <c r="S3554">
        <v>1</v>
      </c>
      <c r="T3554">
        <v>0</v>
      </c>
      <c r="U3554">
        <v>2.4058999999999999</v>
      </c>
      <c r="V3554" t="str">
        <f t="shared" si="55"/>
        <v>Kean Thornton</v>
      </c>
      <c r="W3554">
        <f>Table2[Profit]/Table2[Sales]</f>
        <v>0.49</v>
      </c>
    </row>
    <row r="3555" spans="1:23" x14ac:dyDescent="0.25">
      <c r="A3555">
        <v>3554</v>
      </c>
      <c r="B3555" t="s">
        <v>9083</v>
      </c>
      <c r="C3555" s="1">
        <v>42457</v>
      </c>
      <c r="D3555" s="1">
        <v>42460</v>
      </c>
      <c r="E3555" t="s">
        <v>22</v>
      </c>
      <c r="F3555" t="s">
        <v>3456</v>
      </c>
      <c r="G3555" t="s">
        <v>3457</v>
      </c>
      <c r="H3555" t="s">
        <v>25</v>
      </c>
      <c r="I3555" t="s">
        <v>26</v>
      </c>
      <c r="J3555" t="s">
        <v>41</v>
      </c>
      <c r="K3555" t="s">
        <v>42</v>
      </c>
      <c r="L3555">
        <v>90032</v>
      </c>
      <c r="M3555" t="s">
        <v>43</v>
      </c>
      <c r="N3555" t="s">
        <v>878</v>
      </c>
      <c r="O3555" t="s">
        <v>45</v>
      </c>
      <c r="P3555" t="s">
        <v>58</v>
      </c>
      <c r="Q3555" t="s">
        <v>879</v>
      </c>
      <c r="R3555">
        <v>87.92</v>
      </c>
      <c r="S3555">
        <v>4</v>
      </c>
      <c r="T3555">
        <v>0</v>
      </c>
      <c r="U3555">
        <v>0.87919999999999998</v>
      </c>
      <c r="V3555" t="str">
        <f t="shared" si="55"/>
        <v>Chris Cortes</v>
      </c>
      <c r="W3555">
        <f>Table2[Profit]/Table2[Sales]</f>
        <v>0.01</v>
      </c>
    </row>
    <row r="3556" spans="1:23" x14ac:dyDescent="0.25">
      <c r="A3556">
        <v>3555</v>
      </c>
      <c r="B3556" t="s">
        <v>9086</v>
      </c>
      <c r="C3556" s="1">
        <v>42137</v>
      </c>
      <c r="D3556" s="1">
        <v>42142</v>
      </c>
      <c r="E3556" t="s">
        <v>22</v>
      </c>
      <c r="F3556" t="s">
        <v>3369</v>
      </c>
      <c r="G3556" t="s">
        <v>3370</v>
      </c>
      <c r="H3556" t="s">
        <v>101</v>
      </c>
      <c r="I3556" t="s">
        <v>26</v>
      </c>
      <c r="J3556" t="s">
        <v>296</v>
      </c>
      <c r="K3556" t="s">
        <v>208</v>
      </c>
      <c r="L3556">
        <v>60623</v>
      </c>
      <c r="M3556" t="s">
        <v>104</v>
      </c>
      <c r="N3556" t="s">
        <v>3335</v>
      </c>
      <c r="O3556" t="s">
        <v>70</v>
      </c>
      <c r="P3556" t="s">
        <v>71</v>
      </c>
      <c r="Q3556" t="s">
        <v>3336</v>
      </c>
      <c r="R3556">
        <v>222.38399999999999</v>
      </c>
      <c r="S3556">
        <v>2</v>
      </c>
      <c r="T3556">
        <v>0.2</v>
      </c>
      <c r="U3556">
        <v>16.678799999999999</v>
      </c>
      <c r="V3556" t="str">
        <f t="shared" si="55"/>
        <v>Ben Ferrer</v>
      </c>
      <c r="W3556">
        <f>Table2[Profit]/Table2[Sales]</f>
        <v>7.4999999999999997E-2</v>
      </c>
    </row>
    <row r="3557" spans="1:23" x14ac:dyDescent="0.25">
      <c r="A3557">
        <v>3556</v>
      </c>
      <c r="B3557" t="s">
        <v>9087</v>
      </c>
      <c r="C3557" s="1">
        <v>41824</v>
      </c>
      <c r="D3557" s="1">
        <v>41829</v>
      </c>
      <c r="E3557" t="s">
        <v>49</v>
      </c>
      <c r="F3557" t="s">
        <v>3903</v>
      </c>
      <c r="G3557" t="s">
        <v>3904</v>
      </c>
      <c r="H3557" t="s">
        <v>25</v>
      </c>
      <c r="I3557" t="s">
        <v>26</v>
      </c>
      <c r="J3557" t="s">
        <v>1450</v>
      </c>
      <c r="K3557" t="s">
        <v>312</v>
      </c>
      <c r="L3557">
        <v>23223</v>
      </c>
      <c r="M3557" t="s">
        <v>29</v>
      </c>
      <c r="N3557" t="s">
        <v>1329</v>
      </c>
      <c r="O3557" t="s">
        <v>45</v>
      </c>
      <c r="P3557" t="s">
        <v>89</v>
      </c>
      <c r="Q3557" t="s">
        <v>1330</v>
      </c>
      <c r="R3557">
        <v>21.84</v>
      </c>
      <c r="S3557">
        <v>3</v>
      </c>
      <c r="T3557">
        <v>0</v>
      </c>
      <c r="U3557">
        <v>10.92</v>
      </c>
      <c r="V3557" t="str">
        <f t="shared" si="55"/>
        <v>Maxwell Schwartz</v>
      </c>
      <c r="W3557">
        <f>Table2[Profit]/Table2[Sales]</f>
        <v>0.5</v>
      </c>
    </row>
    <row r="3558" spans="1:23" x14ac:dyDescent="0.25">
      <c r="A3558">
        <v>3557</v>
      </c>
      <c r="B3558" t="s">
        <v>9088</v>
      </c>
      <c r="C3558" s="1">
        <v>41751</v>
      </c>
      <c r="D3558" s="1">
        <v>41753</v>
      </c>
      <c r="E3558" t="s">
        <v>22</v>
      </c>
      <c r="F3558" t="s">
        <v>6269</v>
      </c>
      <c r="G3558" t="s">
        <v>6270</v>
      </c>
      <c r="H3558" t="s">
        <v>40</v>
      </c>
      <c r="I3558" t="s">
        <v>26</v>
      </c>
      <c r="J3558" t="s">
        <v>271</v>
      </c>
      <c r="K3558" t="s">
        <v>264</v>
      </c>
      <c r="L3558">
        <v>12180</v>
      </c>
      <c r="M3558" t="s">
        <v>145</v>
      </c>
      <c r="N3558" t="s">
        <v>6245</v>
      </c>
      <c r="O3558" t="s">
        <v>45</v>
      </c>
      <c r="P3558" t="s">
        <v>170</v>
      </c>
      <c r="Q3558" t="s">
        <v>662</v>
      </c>
      <c r="R3558">
        <v>247.84</v>
      </c>
      <c r="S3558">
        <v>8</v>
      </c>
      <c r="T3558">
        <v>0</v>
      </c>
      <c r="U3558">
        <v>121.44159999999999</v>
      </c>
      <c r="V3558" t="str">
        <f t="shared" si="55"/>
        <v>Aaron Hawkins</v>
      </c>
      <c r="W3558">
        <f>Table2[Profit]/Table2[Sales]</f>
        <v>0.49</v>
      </c>
    </row>
    <row r="3559" spans="1:23" x14ac:dyDescent="0.25">
      <c r="A3559">
        <v>3558</v>
      </c>
      <c r="B3559" t="s">
        <v>9089</v>
      </c>
      <c r="C3559" s="1">
        <v>42632</v>
      </c>
      <c r="D3559" s="1">
        <v>42635</v>
      </c>
      <c r="E3559" t="s">
        <v>185</v>
      </c>
      <c r="F3559" t="s">
        <v>2005</v>
      </c>
      <c r="G3559" t="s">
        <v>2006</v>
      </c>
      <c r="H3559" t="s">
        <v>25</v>
      </c>
      <c r="I3559" t="s">
        <v>26</v>
      </c>
      <c r="J3559" t="s">
        <v>3508</v>
      </c>
      <c r="K3559" t="s">
        <v>1388</v>
      </c>
      <c r="L3559">
        <v>2908</v>
      </c>
      <c r="M3559" t="s">
        <v>145</v>
      </c>
      <c r="N3559" t="s">
        <v>272</v>
      </c>
      <c r="O3559" t="s">
        <v>45</v>
      </c>
      <c r="P3559" t="s">
        <v>58</v>
      </c>
      <c r="Q3559" t="s">
        <v>273</v>
      </c>
      <c r="R3559">
        <v>69.52</v>
      </c>
      <c r="S3559">
        <v>2</v>
      </c>
      <c r="T3559">
        <v>0</v>
      </c>
      <c r="U3559">
        <v>17.38</v>
      </c>
      <c r="V3559" t="str">
        <f t="shared" si="55"/>
        <v>Clytie Kelty</v>
      </c>
      <c r="W3559">
        <f>Table2[Profit]/Table2[Sales]</f>
        <v>0.25</v>
      </c>
    </row>
    <row r="3560" spans="1:23" x14ac:dyDescent="0.25">
      <c r="A3560">
        <v>3559</v>
      </c>
      <c r="B3560" t="s">
        <v>9090</v>
      </c>
      <c r="C3560" s="1">
        <v>41842</v>
      </c>
      <c r="D3560" s="1">
        <v>41844</v>
      </c>
      <c r="E3560" t="s">
        <v>22</v>
      </c>
      <c r="F3560" t="s">
        <v>2203</v>
      </c>
      <c r="G3560" t="s">
        <v>2204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2504</v>
      </c>
      <c r="O3560" t="s">
        <v>45</v>
      </c>
      <c r="P3560" t="s">
        <v>67</v>
      </c>
      <c r="Q3560" t="s">
        <v>2505</v>
      </c>
      <c r="R3560">
        <v>11.52</v>
      </c>
      <c r="S3560">
        <v>4</v>
      </c>
      <c r="T3560">
        <v>0</v>
      </c>
      <c r="U3560">
        <v>3.2256</v>
      </c>
      <c r="V3560" t="str">
        <f t="shared" si="55"/>
        <v>Naresj Patel</v>
      </c>
      <c r="W3560">
        <f>Table2[Profit]/Table2[Sales]</f>
        <v>0.28000000000000003</v>
      </c>
    </row>
    <row r="3561" spans="1:23" x14ac:dyDescent="0.25">
      <c r="A3561">
        <v>3560</v>
      </c>
      <c r="B3561" t="s">
        <v>9091</v>
      </c>
      <c r="C3561" s="1">
        <v>43016</v>
      </c>
      <c r="D3561" s="1">
        <v>43022</v>
      </c>
      <c r="E3561" t="s">
        <v>49</v>
      </c>
      <c r="F3561" t="s">
        <v>2489</v>
      </c>
      <c r="G3561" t="s">
        <v>2490</v>
      </c>
      <c r="H3561" t="s">
        <v>25</v>
      </c>
      <c r="I3561" t="s">
        <v>26</v>
      </c>
      <c r="J3561" t="s">
        <v>263</v>
      </c>
      <c r="K3561" t="s">
        <v>264</v>
      </c>
      <c r="L3561">
        <v>10009</v>
      </c>
      <c r="M3561" t="s">
        <v>145</v>
      </c>
      <c r="N3561" t="s">
        <v>1530</v>
      </c>
      <c r="O3561" t="s">
        <v>31</v>
      </c>
      <c r="P3561" t="s">
        <v>35</v>
      </c>
      <c r="Q3561" t="s">
        <v>1531</v>
      </c>
      <c r="R3561">
        <v>145.76400000000001</v>
      </c>
      <c r="S3561">
        <v>2</v>
      </c>
      <c r="T3561">
        <v>0.1</v>
      </c>
      <c r="U3561">
        <v>3.2391999999999999</v>
      </c>
      <c r="V3561" t="str">
        <f t="shared" si="55"/>
        <v>Gary McGarr</v>
      </c>
      <c r="W3561">
        <f>Table2[Profit]/Table2[Sales]</f>
        <v>2.222222222222222E-2</v>
      </c>
    </row>
    <row r="3562" spans="1:23" x14ac:dyDescent="0.25">
      <c r="A3562">
        <v>3561</v>
      </c>
      <c r="B3562" t="s">
        <v>9092</v>
      </c>
      <c r="C3562" s="1">
        <v>42850</v>
      </c>
      <c r="D3562" s="1">
        <v>42852</v>
      </c>
      <c r="E3562" t="s">
        <v>22</v>
      </c>
      <c r="F3562" t="s">
        <v>5319</v>
      </c>
      <c r="G3562" t="s">
        <v>5320</v>
      </c>
      <c r="H3562" t="s">
        <v>25</v>
      </c>
      <c r="I3562" t="s">
        <v>26</v>
      </c>
      <c r="J3562" t="s">
        <v>126</v>
      </c>
      <c r="K3562" t="s">
        <v>42</v>
      </c>
      <c r="L3562">
        <v>94109</v>
      </c>
      <c r="M3562" t="s">
        <v>43</v>
      </c>
      <c r="N3562" t="s">
        <v>1401</v>
      </c>
      <c r="O3562" t="s">
        <v>70</v>
      </c>
      <c r="P3562" t="s">
        <v>158</v>
      </c>
      <c r="Q3562" t="s">
        <v>1402</v>
      </c>
      <c r="R3562">
        <v>107.97</v>
      </c>
      <c r="S3562">
        <v>3</v>
      </c>
      <c r="T3562">
        <v>0</v>
      </c>
      <c r="U3562">
        <v>22.6737</v>
      </c>
      <c r="V3562" t="str">
        <f t="shared" si="55"/>
        <v>Speros Goranitis</v>
      </c>
      <c r="W3562">
        <f>Table2[Profit]/Table2[Sales]</f>
        <v>0.21</v>
      </c>
    </row>
    <row r="3563" spans="1:23" x14ac:dyDescent="0.25">
      <c r="A3563">
        <v>3562</v>
      </c>
      <c r="B3563" t="s">
        <v>9093</v>
      </c>
      <c r="C3563" s="1">
        <v>42820</v>
      </c>
      <c r="D3563" s="1">
        <v>42824</v>
      </c>
      <c r="E3563" t="s">
        <v>49</v>
      </c>
      <c r="F3563" t="s">
        <v>812</v>
      </c>
      <c r="G3563" t="s">
        <v>813</v>
      </c>
      <c r="H3563" t="s">
        <v>40</v>
      </c>
      <c r="I3563" t="s">
        <v>26</v>
      </c>
      <c r="J3563" t="s">
        <v>181</v>
      </c>
      <c r="K3563" t="s">
        <v>103</v>
      </c>
      <c r="L3563">
        <v>77070</v>
      </c>
      <c r="M3563" t="s">
        <v>104</v>
      </c>
      <c r="N3563" t="s">
        <v>1401</v>
      </c>
      <c r="O3563" t="s">
        <v>70</v>
      </c>
      <c r="P3563" t="s">
        <v>158</v>
      </c>
      <c r="Q3563" t="s">
        <v>1402</v>
      </c>
      <c r="R3563">
        <v>143.96</v>
      </c>
      <c r="S3563">
        <v>5</v>
      </c>
      <c r="T3563">
        <v>0.2</v>
      </c>
      <c r="U3563">
        <v>1.7995000000000001</v>
      </c>
      <c r="V3563" t="str">
        <f t="shared" si="55"/>
        <v>Heather Kirkland</v>
      </c>
      <c r="W3563">
        <f>Table2[Profit]/Table2[Sales]</f>
        <v>1.2500000000000001E-2</v>
      </c>
    </row>
    <row r="3564" spans="1:23" x14ac:dyDescent="0.25">
      <c r="A3564">
        <v>3563</v>
      </c>
      <c r="B3564" t="s">
        <v>9094</v>
      </c>
      <c r="C3564" s="1">
        <v>42859</v>
      </c>
      <c r="D3564" s="1">
        <v>42865</v>
      </c>
      <c r="E3564" t="s">
        <v>49</v>
      </c>
      <c r="F3564" t="s">
        <v>4107</v>
      </c>
      <c r="G3564" t="s">
        <v>4108</v>
      </c>
      <c r="H3564" t="s">
        <v>40</v>
      </c>
      <c r="I3564" t="s">
        <v>26</v>
      </c>
      <c r="J3564" t="s">
        <v>143</v>
      </c>
      <c r="K3564" t="s">
        <v>144</v>
      </c>
      <c r="L3564">
        <v>19140</v>
      </c>
      <c r="M3564" t="s">
        <v>145</v>
      </c>
      <c r="N3564" t="s">
        <v>9029</v>
      </c>
      <c r="O3564" t="s">
        <v>45</v>
      </c>
      <c r="P3564" t="s">
        <v>74</v>
      </c>
      <c r="Q3564" t="s">
        <v>9030</v>
      </c>
      <c r="R3564">
        <v>2.202</v>
      </c>
      <c r="S3564">
        <v>2</v>
      </c>
      <c r="T3564">
        <v>0.7</v>
      </c>
      <c r="U3564">
        <v>-1.5414000000000001</v>
      </c>
      <c r="V3564" t="str">
        <f t="shared" si="55"/>
        <v>Muhammed Yedwab</v>
      </c>
      <c r="W3564">
        <f>Table2[Profit]/Table2[Sales]</f>
        <v>-0.70000000000000007</v>
      </c>
    </row>
    <row r="3565" spans="1:23" x14ac:dyDescent="0.25">
      <c r="A3565">
        <v>3564</v>
      </c>
      <c r="B3565" t="s">
        <v>9095</v>
      </c>
      <c r="C3565" s="1">
        <v>42688</v>
      </c>
      <c r="D3565" s="1">
        <v>42692</v>
      </c>
      <c r="E3565" t="s">
        <v>49</v>
      </c>
      <c r="F3565" t="s">
        <v>488</v>
      </c>
      <c r="G3565" t="s">
        <v>489</v>
      </c>
      <c r="H3565" t="s">
        <v>25</v>
      </c>
      <c r="I3565" t="s">
        <v>26</v>
      </c>
      <c r="J3565" t="s">
        <v>4400</v>
      </c>
      <c r="K3565" t="s">
        <v>2699</v>
      </c>
      <c r="L3565">
        <v>21215</v>
      </c>
      <c r="M3565" t="s">
        <v>145</v>
      </c>
      <c r="N3565" t="s">
        <v>6266</v>
      </c>
      <c r="O3565" t="s">
        <v>70</v>
      </c>
      <c r="P3565" t="s">
        <v>71</v>
      </c>
      <c r="Q3565" t="s">
        <v>6267</v>
      </c>
      <c r="R3565">
        <v>89.97</v>
      </c>
      <c r="S3565">
        <v>3</v>
      </c>
      <c r="T3565">
        <v>0</v>
      </c>
      <c r="U3565">
        <v>25.191600000000001</v>
      </c>
      <c r="V3565" t="str">
        <f t="shared" si="55"/>
        <v>Ryan Crowe</v>
      </c>
      <c r="W3565">
        <f>Table2[Profit]/Table2[Sales]</f>
        <v>0.28000000000000003</v>
      </c>
    </row>
    <row r="3566" spans="1:23" x14ac:dyDescent="0.25">
      <c r="A3566">
        <v>3565</v>
      </c>
      <c r="B3566" t="s">
        <v>9096</v>
      </c>
      <c r="C3566" s="1">
        <v>41645</v>
      </c>
      <c r="D3566" s="1">
        <v>41646</v>
      </c>
      <c r="E3566" t="s">
        <v>185</v>
      </c>
      <c r="F3566" t="s">
        <v>6479</v>
      </c>
      <c r="G3566" t="s">
        <v>6480</v>
      </c>
      <c r="H3566" t="s">
        <v>40</v>
      </c>
      <c r="I3566" t="s">
        <v>26</v>
      </c>
      <c r="J3566" t="s">
        <v>7537</v>
      </c>
      <c r="K3566" t="s">
        <v>1260</v>
      </c>
      <c r="L3566">
        <v>30605</v>
      </c>
      <c r="M3566" t="s">
        <v>29</v>
      </c>
      <c r="N3566" t="s">
        <v>1252</v>
      </c>
      <c r="O3566" t="s">
        <v>45</v>
      </c>
      <c r="P3566" t="s">
        <v>67</v>
      </c>
      <c r="Q3566" t="s">
        <v>1253</v>
      </c>
      <c r="R3566">
        <v>12.78</v>
      </c>
      <c r="S3566">
        <v>3</v>
      </c>
      <c r="T3566">
        <v>0</v>
      </c>
      <c r="U3566">
        <v>5.2397999999999998</v>
      </c>
      <c r="V3566" t="str">
        <f t="shared" si="55"/>
        <v>Jack O'Briant</v>
      </c>
      <c r="W3566">
        <f>Table2[Profit]/Table2[Sales]</f>
        <v>0.41000000000000003</v>
      </c>
    </row>
    <row r="3567" spans="1:23" x14ac:dyDescent="0.25">
      <c r="A3567">
        <v>3566</v>
      </c>
      <c r="B3567" t="s">
        <v>9097</v>
      </c>
      <c r="C3567" s="1">
        <v>42731</v>
      </c>
      <c r="D3567" s="1">
        <v>42734</v>
      </c>
      <c r="E3567" t="s">
        <v>22</v>
      </c>
      <c r="F3567" t="s">
        <v>5137</v>
      </c>
      <c r="G3567" t="s">
        <v>5138</v>
      </c>
      <c r="H3567" t="s">
        <v>25</v>
      </c>
      <c r="I3567" t="s">
        <v>26</v>
      </c>
      <c r="J3567" t="s">
        <v>2439</v>
      </c>
      <c r="K3567" t="s">
        <v>491</v>
      </c>
      <c r="L3567">
        <v>43130</v>
      </c>
      <c r="M3567" t="s">
        <v>145</v>
      </c>
      <c r="N3567" t="s">
        <v>4172</v>
      </c>
      <c r="O3567" t="s">
        <v>70</v>
      </c>
      <c r="P3567" t="s">
        <v>158</v>
      </c>
      <c r="Q3567" t="s">
        <v>4173</v>
      </c>
      <c r="R3567">
        <v>40</v>
      </c>
      <c r="S3567">
        <v>2</v>
      </c>
      <c r="T3567">
        <v>0.2</v>
      </c>
      <c r="U3567">
        <v>0.5</v>
      </c>
      <c r="V3567" t="str">
        <f t="shared" si="55"/>
        <v>Mitch Webber</v>
      </c>
      <c r="W3567">
        <f>Table2[Profit]/Table2[Sales]</f>
        <v>1.2500000000000001E-2</v>
      </c>
    </row>
    <row r="3568" spans="1:23" x14ac:dyDescent="0.25">
      <c r="A3568">
        <v>3567</v>
      </c>
      <c r="B3568" t="s">
        <v>9098</v>
      </c>
      <c r="C3568" s="1">
        <v>42855</v>
      </c>
      <c r="D3568" s="1">
        <v>42859</v>
      </c>
      <c r="E3568" t="s">
        <v>49</v>
      </c>
      <c r="F3568" t="s">
        <v>1060</v>
      </c>
      <c r="G3568" t="s">
        <v>1061</v>
      </c>
      <c r="H3568" t="s">
        <v>101</v>
      </c>
      <c r="I3568" t="s">
        <v>26</v>
      </c>
      <c r="J3568" t="s">
        <v>41</v>
      </c>
      <c r="K3568" t="s">
        <v>42</v>
      </c>
      <c r="L3568">
        <v>90032</v>
      </c>
      <c r="M3568" t="s">
        <v>43</v>
      </c>
      <c r="N3568" t="s">
        <v>2691</v>
      </c>
      <c r="O3568" t="s">
        <v>45</v>
      </c>
      <c r="P3568" t="s">
        <v>74</v>
      </c>
      <c r="Q3568" t="s">
        <v>2692</v>
      </c>
      <c r="R3568">
        <v>23.24</v>
      </c>
      <c r="S3568">
        <v>5</v>
      </c>
      <c r="T3568">
        <v>0.2</v>
      </c>
      <c r="U3568">
        <v>7.5529999999999999</v>
      </c>
      <c r="V3568" t="str">
        <f t="shared" si="55"/>
        <v>Nick Zandusky</v>
      </c>
      <c r="W3568">
        <f>Table2[Profit]/Table2[Sales]</f>
        <v>0.32500000000000001</v>
      </c>
    </row>
    <row r="3569" spans="1:23" x14ac:dyDescent="0.25">
      <c r="A3569">
        <v>3568</v>
      </c>
      <c r="B3569" t="s">
        <v>9099</v>
      </c>
      <c r="C3569" s="1">
        <v>42846</v>
      </c>
      <c r="D3569" s="1">
        <v>42848</v>
      </c>
      <c r="E3569" t="s">
        <v>185</v>
      </c>
      <c r="F3569" t="s">
        <v>458</v>
      </c>
      <c r="G3569" t="s">
        <v>459</v>
      </c>
      <c r="H3569" t="s">
        <v>25</v>
      </c>
      <c r="I3569" t="s">
        <v>26</v>
      </c>
      <c r="J3569" t="s">
        <v>4400</v>
      </c>
      <c r="K3569" t="s">
        <v>2699</v>
      </c>
      <c r="L3569">
        <v>21215</v>
      </c>
      <c r="M3569" t="s">
        <v>145</v>
      </c>
      <c r="N3569" t="s">
        <v>200</v>
      </c>
      <c r="O3569" t="s">
        <v>31</v>
      </c>
      <c r="P3569" t="s">
        <v>35</v>
      </c>
      <c r="Q3569" t="s">
        <v>201</v>
      </c>
      <c r="R3569">
        <v>908.82</v>
      </c>
      <c r="S3569">
        <v>9</v>
      </c>
      <c r="T3569">
        <v>0</v>
      </c>
      <c r="U3569">
        <v>227.20500000000001</v>
      </c>
      <c r="V3569" t="str">
        <f t="shared" si="55"/>
        <v>Janet Martin</v>
      </c>
      <c r="W3569">
        <f>Table2[Profit]/Table2[Sales]</f>
        <v>0.25</v>
      </c>
    </row>
    <row r="3570" spans="1:23" x14ac:dyDescent="0.25">
      <c r="A3570">
        <v>3569</v>
      </c>
      <c r="B3570" t="s">
        <v>9100</v>
      </c>
      <c r="C3570" s="1">
        <v>42964</v>
      </c>
      <c r="D3570" s="1">
        <v>42971</v>
      </c>
      <c r="E3570" t="s">
        <v>49</v>
      </c>
      <c r="F3570" t="s">
        <v>4353</v>
      </c>
      <c r="G3570" t="s">
        <v>4354</v>
      </c>
      <c r="H3570" t="s">
        <v>101</v>
      </c>
      <c r="I3570" t="s">
        <v>26</v>
      </c>
      <c r="J3570" t="s">
        <v>181</v>
      </c>
      <c r="K3570" t="s">
        <v>103</v>
      </c>
      <c r="L3570">
        <v>77095</v>
      </c>
      <c r="M3570" t="s">
        <v>104</v>
      </c>
      <c r="N3570" t="s">
        <v>6678</v>
      </c>
      <c r="O3570" t="s">
        <v>45</v>
      </c>
      <c r="P3570" t="s">
        <v>572</v>
      </c>
      <c r="Q3570" t="s">
        <v>6679</v>
      </c>
      <c r="R3570">
        <v>5.5519999999999996</v>
      </c>
      <c r="S3570">
        <v>2</v>
      </c>
      <c r="T3570">
        <v>0.2</v>
      </c>
      <c r="U3570">
        <v>-1.0409999999999999</v>
      </c>
      <c r="V3570" t="str">
        <f t="shared" si="55"/>
        <v>Emily Ducich</v>
      </c>
      <c r="W3570">
        <f>Table2[Profit]/Table2[Sales]</f>
        <v>-0.1875</v>
      </c>
    </row>
    <row r="3571" spans="1:23" x14ac:dyDescent="0.25">
      <c r="A3571">
        <v>3570</v>
      </c>
      <c r="B3571" t="s">
        <v>9101</v>
      </c>
      <c r="C3571" s="1">
        <v>42686</v>
      </c>
      <c r="D3571" s="1">
        <v>42689</v>
      </c>
      <c r="E3571" t="s">
        <v>185</v>
      </c>
      <c r="F3571" t="s">
        <v>924</v>
      </c>
      <c r="G3571" t="s">
        <v>925</v>
      </c>
      <c r="H3571" t="s">
        <v>101</v>
      </c>
      <c r="I3571" t="s">
        <v>26</v>
      </c>
      <c r="J3571" t="s">
        <v>941</v>
      </c>
      <c r="K3571" t="s">
        <v>42</v>
      </c>
      <c r="L3571">
        <v>92024</v>
      </c>
      <c r="M3571" t="s">
        <v>43</v>
      </c>
      <c r="N3571" t="s">
        <v>6199</v>
      </c>
      <c r="O3571" t="s">
        <v>70</v>
      </c>
      <c r="P3571" t="s">
        <v>71</v>
      </c>
      <c r="Q3571" t="s">
        <v>6200</v>
      </c>
      <c r="R3571">
        <v>203.976</v>
      </c>
      <c r="S3571">
        <v>3</v>
      </c>
      <c r="T3571">
        <v>0.2</v>
      </c>
      <c r="U3571">
        <v>25.497</v>
      </c>
      <c r="V3571" t="str">
        <f t="shared" si="55"/>
        <v>Dianna Wilson</v>
      </c>
      <c r="W3571">
        <f>Table2[Profit]/Table2[Sales]</f>
        <v>0.125</v>
      </c>
    </row>
    <row r="3572" spans="1:23" x14ac:dyDescent="0.25">
      <c r="A3572">
        <v>3571</v>
      </c>
      <c r="B3572" t="s">
        <v>9102</v>
      </c>
      <c r="C3572" s="1">
        <v>42644</v>
      </c>
      <c r="D3572" s="1">
        <v>42649</v>
      </c>
      <c r="E3572" t="s">
        <v>22</v>
      </c>
      <c r="F3572" t="s">
        <v>4309</v>
      </c>
      <c r="G3572" t="s">
        <v>4310</v>
      </c>
      <c r="H3572" t="s">
        <v>25</v>
      </c>
      <c r="I3572" t="s">
        <v>26</v>
      </c>
      <c r="J3572" t="s">
        <v>2298</v>
      </c>
      <c r="K3572" t="s">
        <v>53</v>
      </c>
      <c r="L3572">
        <v>33012</v>
      </c>
      <c r="M3572" t="s">
        <v>29</v>
      </c>
      <c r="N3572" t="s">
        <v>1206</v>
      </c>
      <c r="O3572" t="s">
        <v>45</v>
      </c>
      <c r="P3572" t="s">
        <v>74</v>
      </c>
      <c r="Q3572" t="s">
        <v>1207</v>
      </c>
      <c r="R3572">
        <v>5.3879999999999999</v>
      </c>
      <c r="S3572">
        <v>4</v>
      </c>
      <c r="T3572">
        <v>0.7</v>
      </c>
      <c r="U3572">
        <v>-4.49</v>
      </c>
      <c r="V3572" t="str">
        <f t="shared" si="55"/>
        <v>Jamie Kunitz</v>
      </c>
      <c r="W3572">
        <f>Table2[Profit]/Table2[Sales]</f>
        <v>-0.83333333333333337</v>
      </c>
    </row>
    <row r="3573" spans="1:23" x14ac:dyDescent="0.25">
      <c r="A3573">
        <v>3572</v>
      </c>
      <c r="B3573" t="s">
        <v>9103</v>
      </c>
      <c r="C3573" s="1">
        <v>42412</v>
      </c>
      <c r="D3573" s="1">
        <v>42414</v>
      </c>
      <c r="E3573" t="s">
        <v>185</v>
      </c>
      <c r="F3573" t="s">
        <v>2971</v>
      </c>
      <c r="G3573" t="s">
        <v>2972</v>
      </c>
      <c r="H3573" t="s">
        <v>25</v>
      </c>
      <c r="I3573" t="s">
        <v>26</v>
      </c>
      <c r="J3573" t="s">
        <v>1712</v>
      </c>
      <c r="K3573" t="s">
        <v>1260</v>
      </c>
      <c r="L3573">
        <v>30318</v>
      </c>
      <c r="M3573" t="s">
        <v>29</v>
      </c>
      <c r="N3573" t="s">
        <v>3441</v>
      </c>
      <c r="O3573" t="s">
        <v>45</v>
      </c>
      <c r="P3573" t="s">
        <v>58</v>
      </c>
      <c r="Q3573" t="s">
        <v>3442</v>
      </c>
      <c r="R3573">
        <v>1350.12</v>
      </c>
      <c r="S3573">
        <v>6</v>
      </c>
      <c r="T3573">
        <v>0</v>
      </c>
      <c r="U3573">
        <v>175.51560000000001</v>
      </c>
      <c r="V3573" t="str">
        <f t="shared" si="55"/>
        <v>John Stevenson</v>
      </c>
      <c r="W3573">
        <f>Table2[Profit]/Table2[Sales]</f>
        <v>0.13</v>
      </c>
    </row>
    <row r="3574" spans="1:23" x14ac:dyDescent="0.25">
      <c r="A3574">
        <v>3573</v>
      </c>
      <c r="B3574" t="s">
        <v>9104</v>
      </c>
      <c r="C3574" s="1">
        <v>42687</v>
      </c>
      <c r="D3574" s="1">
        <v>42691</v>
      </c>
      <c r="E3574" t="s">
        <v>49</v>
      </c>
      <c r="F3574" t="s">
        <v>1511</v>
      </c>
      <c r="G3574" t="s">
        <v>1512</v>
      </c>
      <c r="H3574" t="s">
        <v>101</v>
      </c>
      <c r="I3574" t="s">
        <v>26</v>
      </c>
      <c r="J3574" t="s">
        <v>94</v>
      </c>
      <c r="K3574" t="s">
        <v>95</v>
      </c>
      <c r="L3574">
        <v>98103</v>
      </c>
      <c r="M3574" t="s">
        <v>43</v>
      </c>
      <c r="N3574" t="s">
        <v>167</v>
      </c>
      <c r="O3574" t="s">
        <v>31</v>
      </c>
      <c r="P3574" t="s">
        <v>64</v>
      </c>
      <c r="Q3574" t="s">
        <v>5303</v>
      </c>
      <c r="R3574">
        <v>19.54</v>
      </c>
      <c r="S3574">
        <v>2</v>
      </c>
      <c r="T3574">
        <v>0</v>
      </c>
      <c r="U3574">
        <v>7.2298</v>
      </c>
      <c r="V3574" t="str">
        <f t="shared" si="55"/>
        <v>Philisse Overcash</v>
      </c>
      <c r="W3574">
        <f>Table2[Profit]/Table2[Sales]</f>
        <v>0.37</v>
      </c>
    </row>
    <row r="3575" spans="1:23" x14ac:dyDescent="0.25">
      <c r="A3575">
        <v>3574</v>
      </c>
      <c r="B3575" t="s">
        <v>9105</v>
      </c>
      <c r="C3575" s="1">
        <v>41755</v>
      </c>
      <c r="D3575" s="1">
        <v>41759</v>
      </c>
      <c r="E3575" t="s">
        <v>49</v>
      </c>
      <c r="F3575" t="s">
        <v>8025</v>
      </c>
      <c r="G3575" t="s">
        <v>8026</v>
      </c>
      <c r="H3575" t="s">
        <v>101</v>
      </c>
      <c r="I3575" t="s">
        <v>26</v>
      </c>
      <c r="J3575" t="s">
        <v>41</v>
      </c>
      <c r="K3575" t="s">
        <v>42</v>
      </c>
      <c r="L3575">
        <v>90036</v>
      </c>
      <c r="M3575" t="s">
        <v>43</v>
      </c>
      <c r="N3575" t="s">
        <v>4076</v>
      </c>
      <c r="O3575" t="s">
        <v>45</v>
      </c>
      <c r="P3575" t="s">
        <v>67</v>
      </c>
      <c r="Q3575" t="s">
        <v>4077</v>
      </c>
      <c r="R3575">
        <v>21.4</v>
      </c>
      <c r="S3575">
        <v>5</v>
      </c>
      <c r="T3575">
        <v>0</v>
      </c>
      <c r="U3575">
        <v>6.2060000000000004</v>
      </c>
      <c r="V3575" t="str">
        <f t="shared" si="55"/>
        <v>Marc Harrigan</v>
      </c>
      <c r="W3575">
        <f>Table2[Profit]/Table2[Sales]</f>
        <v>0.29000000000000004</v>
      </c>
    </row>
    <row r="3576" spans="1:23" x14ac:dyDescent="0.25">
      <c r="A3576">
        <v>3575</v>
      </c>
      <c r="B3576" t="s">
        <v>9106</v>
      </c>
      <c r="C3576" s="1">
        <v>42227</v>
      </c>
      <c r="D3576" s="1">
        <v>42231</v>
      </c>
      <c r="E3576" t="s">
        <v>49</v>
      </c>
      <c r="F3576" t="s">
        <v>1511</v>
      </c>
      <c r="G3576" t="s">
        <v>1512</v>
      </c>
      <c r="H3576" t="s">
        <v>101</v>
      </c>
      <c r="I3576" t="s">
        <v>26</v>
      </c>
      <c r="J3576" t="s">
        <v>263</v>
      </c>
      <c r="K3576" t="s">
        <v>264</v>
      </c>
      <c r="L3576">
        <v>10035</v>
      </c>
      <c r="M3576" t="s">
        <v>145</v>
      </c>
      <c r="N3576" t="s">
        <v>1022</v>
      </c>
      <c r="O3576" t="s">
        <v>45</v>
      </c>
      <c r="P3576" t="s">
        <v>67</v>
      </c>
      <c r="Q3576" t="s">
        <v>1023</v>
      </c>
      <c r="R3576">
        <v>11.96</v>
      </c>
      <c r="S3576">
        <v>2</v>
      </c>
      <c r="T3576">
        <v>0</v>
      </c>
      <c r="U3576">
        <v>3.1095999999999999</v>
      </c>
      <c r="V3576" t="str">
        <f t="shared" si="55"/>
        <v>Philisse Overcash</v>
      </c>
      <c r="W3576">
        <f>Table2[Profit]/Table2[Sales]</f>
        <v>0.25999999999999995</v>
      </c>
    </row>
    <row r="3577" spans="1:23" x14ac:dyDescent="0.25">
      <c r="A3577">
        <v>3576</v>
      </c>
      <c r="B3577" t="s">
        <v>9107</v>
      </c>
      <c r="C3577" s="1">
        <v>42701</v>
      </c>
      <c r="D3577" s="1">
        <v>42707</v>
      </c>
      <c r="E3577" t="s">
        <v>49</v>
      </c>
      <c r="F3577" t="s">
        <v>4286</v>
      </c>
      <c r="G3577" t="s">
        <v>4287</v>
      </c>
      <c r="H3577" t="s">
        <v>25</v>
      </c>
      <c r="I3577" t="s">
        <v>26</v>
      </c>
      <c r="J3577" t="s">
        <v>52</v>
      </c>
      <c r="K3577" t="s">
        <v>53</v>
      </c>
      <c r="L3577">
        <v>33311</v>
      </c>
      <c r="M3577" t="s">
        <v>29</v>
      </c>
      <c r="N3577" t="s">
        <v>5128</v>
      </c>
      <c r="O3577" t="s">
        <v>70</v>
      </c>
      <c r="P3577" t="s">
        <v>71</v>
      </c>
      <c r="Q3577" t="s">
        <v>5129</v>
      </c>
      <c r="R3577">
        <v>116.76</v>
      </c>
      <c r="S3577">
        <v>1</v>
      </c>
      <c r="T3577">
        <v>0.2</v>
      </c>
      <c r="U3577">
        <v>14.595000000000001</v>
      </c>
      <c r="V3577" t="str">
        <f t="shared" si="55"/>
        <v>Herbert Flentye</v>
      </c>
      <c r="W3577">
        <f>Table2[Profit]/Table2[Sales]</f>
        <v>0.125</v>
      </c>
    </row>
    <row r="3578" spans="1:23" x14ac:dyDescent="0.25">
      <c r="A3578">
        <v>3577</v>
      </c>
      <c r="B3578" t="s">
        <v>9108</v>
      </c>
      <c r="C3578" s="1">
        <v>42671</v>
      </c>
      <c r="D3578" s="1">
        <v>42671</v>
      </c>
      <c r="E3578" t="s">
        <v>1278</v>
      </c>
      <c r="F3578" t="s">
        <v>1258</v>
      </c>
      <c r="G3578" t="s">
        <v>1259</v>
      </c>
      <c r="H3578" t="s">
        <v>40</v>
      </c>
      <c r="I3578" t="s">
        <v>26</v>
      </c>
      <c r="J3578" t="s">
        <v>382</v>
      </c>
      <c r="K3578" t="s">
        <v>264</v>
      </c>
      <c r="L3578">
        <v>14609</v>
      </c>
      <c r="M3578" t="s">
        <v>145</v>
      </c>
      <c r="N3578" t="s">
        <v>9109</v>
      </c>
      <c r="O3578" t="s">
        <v>31</v>
      </c>
      <c r="P3578" t="s">
        <v>64</v>
      </c>
      <c r="Q3578" t="s">
        <v>9110</v>
      </c>
      <c r="R3578">
        <v>756.8</v>
      </c>
      <c r="S3578">
        <v>5</v>
      </c>
      <c r="T3578">
        <v>0</v>
      </c>
      <c r="U3578">
        <v>75.680000000000007</v>
      </c>
      <c r="V3578" t="str">
        <f t="shared" si="55"/>
        <v>Victoria Brennan</v>
      </c>
      <c r="W3578">
        <f>Table2[Profit]/Table2[Sales]</f>
        <v>0.10000000000000002</v>
      </c>
    </row>
    <row r="3579" spans="1:23" x14ac:dyDescent="0.25">
      <c r="A3579">
        <v>3578</v>
      </c>
      <c r="B3579" t="s">
        <v>9111</v>
      </c>
      <c r="C3579" s="1">
        <v>42002</v>
      </c>
      <c r="D3579" s="1">
        <v>42006</v>
      </c>
      <c r="E3579" t="s">
        <v>49</v>
      </c>
      <c r="F3579" t="s">
        <v>3692</v>
      </c>
      <c r="G3579" t="s">
        <v>3693</v>
      </c>
      <c r="H3579" t="s">
        <v>101</v>
      </c>
      <c r="I3579" t="s">
        <v>26</v>
      </c>
      <c r="J3579" t="s">
        <v>9072</v>
      </c>
      <c r="K3579" t="s">
        <v>208</v>
      </c>
      <c r="L3579">
        <v>60174</v>
      </c>
      <c r="M3579" t="s">
        <v>104</v>
      </c>
      <c r="N3579" t="s">
        <v>7420</v>
      </c>
      <c r="O3579" t="s">
        <v>31</v>
      </c>
      <c r="P3579" t="s">
        <v>64</v>
      </c>
      <c r="Q3579" t="s">
        <v>7421</v>
      </c>
      <c r="R3579">
        <v>8.7360000000000007</v>
      </c>
      <c r="S3579">
        <v>3</v>
      </c>
      <c r="T3579">
        <v>0.6</v>
      </c>
      <c r="U3579">
        <v>-4.8048000000000002</v>
      </c>
      <c r="V3579" t="str">
        <f t="shared" si="55"/>
        <v>Michael Granlund</v>
      </c>
      <c r="W3579">
        <f>Table2[Profit]/Table2[Sales]</f>
        <v>-0.54999999999999993</v>
      </c>
    </row>
    <row r="3580" spans="1:23" x14ac:dyDescent="0.25">
      <c r="A3580">
        <v>3579</v>
      </c>
      <c r="B3580" t="s">
        <v>9112</v>
      </c>
      <c r="C3580" s="1">
        <v>42257</v>
      </c>
      <c r="D3580" s="1">
        <v>42264</v>
      </c>
      <c r="E3580" t="s">
        <v>49</v>
      </c>
      <c r="F3580" t="s">
        <v>4033</v>
      </c>
      <c r="G3580" t="s">
        <v>4034</v>
      </c>
      <c r="H3580" t="s">
        <v>25</v>
      </c>
      <c r="I3580" t="s">
        <v>26</v>
      </c>
      <c r="J3580" t="s">
        <v>263</v>
      </c>
      <c r="K3580" t="s">
        <v>264</v>
      </c>
      <c r="L3580">
        <v>10024</v>
      </c>
      <c r="M3580" t="s">
        <v>145</v>
      </c>
      <c r="N3580" t="s">
        <v>5100</v>
      </c>
      <c r="O3580" t="s">
        <v>45</v>
      </c>
      <c r="P3580" t="s">
        <v>67</v>
      </c>
      <c r="Q3580" t="s">
        <v>5101</v>
      </c>
      <c r="R3580">
        <v>6.08</v>
      </c>
      <c r="S3580">
        <v>2</v>
      </c>
      <c r="T3580">
        <v>0</v>
      </c>
      <c r="U3580">
        <v>2.0672000000000001</v>
      </c>
      <c r="V3580" t="str">
        <f t="shared" si="55"/>
        <v>Bobby Odegard</v>
      </c>
      <c r="W3580">
        <f>Table2[Profit]/Table2[Sales]</f>
        <v>0.34</v>
      </c>
    </row>
    <row r="3581" spans="1:23" x14ac:dyDescent="0.25">
      <c r="A3581">
        <v>3580</v>
      </c>
      <c r="B3581" t="s">
        <v>9113</v>
      </c>
      <c r="C3581" s="1">
        <v>43010</v>
      </c>
      <c r="D3581" s="1">
        <v>43014</v>
      </c>
      <c r="E3581" t="s">
        <v>49</v>
      </c>
      <c r="F3581" t="s">
        <v>3623</v>
      </c>
      <c r="G3581" t="s">
        <v>3624</v>
      </c>
      <c r="H3581" t="s">
        <v>25</v>
      </c>
      <c r="I3581" t="s">
        <v>26</v>
      </c>
      <c r="J3581" t="s">
        <v>126</v>
      </c>
      <c r="K3581" t="s">
        <v>42</v>
      </c>
      <c r="L3581">
        <v>94109</v>
      </c>
      <c r="M3581" t="s">
        <v>43</v>
      </c>
      <c r="N3581" t="s">
        <v>2686</v>
      </c>
      <c r="O3581" t="s">
        <v>31</v>
      </c>
      <c r="P3581" t="s">
        <v>64</v>
      </c>
      <c r="Q3581" t="s">
        <v>2687</v>
      </c>
      <c r="R3581">
        <v>17.46</v>
      </c>
      <c r="S3581">
        <v>2</v>
      </c>
      <c r="T3581">
        <v>0</v>
      </c>
      <c r="U3581">
        <v>5.9363999999999999</v>
      </c>
      <c r="V3581" t="str">
        <f t="shared" si="55"/>
        <v>Chad McGuire</v>
      </c>
      <c r="W3581">
        <f>Table2[Profit]/Table2[Sales]</f>
        <v>0.33999999999999997</v>
      </c>
    </row>
    <row r="3582" spans="1:23" x14ac:dyDescent="0.25">
      <c r="A3582">
        <v>3581</v>
      </c>
      <c r="B3582" t="s">
        <v>9114</v>
      </c>
      <c r="C3582" s="1">
        <v>42624</v>
      </c>
      <c r="D3582" s="1">
        <v>42626</v>
      </c>
      <c r="E3582" t="s">
        <v>185</v>
      </c>
      <c r="F3582" t="s">
        <v>205</v>
      </c>
      <c r="G3582" t="s">
        <v>206</v>
      </c>
      <c r="H3582" t="s">
        <v>40</v>
      </c>
      <c r="I3582" t="s">
        <v>26</v>
      </c>
      <c r="J3582" t="s">
        <v>537</v>
      </c>
      <c r="K3582" t="s">
        <v>303</v>
      </c>
      <c r="L3582">
        <v>85023</v>
      </c>
      <c r="M3582" t="s">
        <v>43</v>
      </c>
      <c r="N3582" t="s">
        <v>3256</v>
      </c>
      <c r="O3582" t="s">
        <v>45</v>
      </c>
      <c r="P3582" t="s">
        <v>67</v>
      </c>
      <c r="Q3582" t="s">
        <v>3257</v>
      </c>
      <c r="R3582">
        <v>2.9119999999999999</v>
      </c>
      <c r="S3582">
        <v>2</v>
      </c>
      <c r="T3582">
        <v>0.2</v>
      </c>
      <c r="U3582">
        <v>0.91</v>
      </c>
      <c r="V3582" t="str">
        <f t="shared" si="55"/>
        <v>Linda Cazamias</v>
      </c>
      <c r="W3582">
        <f>Table2[Profit]/Table2[Sales]</f>
        <v>0.3125</v>
      </c>
    </row>
    <row r="3583" spans="1:23" x14ac:dyDescent="0.25">
      <c r="A3583">
        <v>3582</v>
      </c>
      <c r="B3583" t="s">
        <v>9115</v>
      </c>
      <c r="C3583" s="1">
        <v>42523</v>
      </c>
      <c r="D3583" s="1">
        <v>42527</v>
      </c>
      <c r="E3583" t="s">
        <v>49</v>
      </c>
      <c r="F3583" t="s">
        <v>4664</v>
      </c>
      <c r="G3583" t="s">
        <v>4665</v>
      </c>
      <c r="H3583" t="s">
        <v>40</v>
      </c>
      <c r="I3583" t="s">
        <v>26</v>
      </c>
      <c r="J3583" t="s">
        <v>94</v>
      </c>
      <c r="K3583" t="s">
        <v>95</v>
      </c>
      <c r="L3583">
        <v>98115</v>
      </c>
      <c r="M3583" t="s">
        <v>43</v>
      </c>
      <c r="N3583" t="s">
        <v>6901</v>
      </c>
      <c r="O3583" t="s">
        <v>45</v>
      </c>
      <c r="P3583" t="s">
        <v>89</v>
      </c>
      <c r="Q3583" t="s">
        <v>6902</v>
      </c>
      <c r="R3583">
        <v>30.18</v>
      </c>
      <c r="S3583">
        <v>3</v>
      </c>
      <c r="T3583">
        <v>0</v>
      </c>
      <c r="U3583">
        <v>13.8828</v>
      </c>
      <c r="V3583" t="str">
        <f t="shared" si="55"/>
        <v>Edward Hooks</v>
      </c>
      <c r="W3583">
        <f>Table2[Profit]/Table2[Sales]</f>
        <v>0.45999999999999996</v>
      </c>
    </row>
    <row r="3584" spans="1:23" x14ac:dyDescent="0.25">
      <c r="A3584">
        <v>3583</v>
      </c>
      <c r="B3584" t="s">
        <v>9116</v>
      </c>
      <c r="C3584" s="1">
        <v>43023</v>
      </c>
      <c r="D3584" s="1">
        <v>43027</v>
      </c>
      <c r="E3584" t="s">
        <v>49</v>
      </c>
      <c r="F3584" t="s">
        <v>4180</v>
      </c>
      <c r="G3584" t="s">
        <v>4181</v>
      </c>
      <c r="H3584" t="s">
        <v>25</v>
      </c>
      <c r="I3584" t="s">
        <v>26</v>
      </c>
      <c r="J3584" t="s">
        <v>9117</v>
      </c>
      <c r="K3584" t="s">
        <v>42</v>
      </c>
      <c r="L3584">
        <v>93010</v>
      </c>
      <c r="M3584" t="s">
        <v>43</v>
      </c>
      <c r="N3584" t="s">
        <v>4391</v>
      </c>
      <c r="O3584" t="s">
        <v>45</v>
      </c>
      <c r="P3584" t="s">
        <v>46</v>
      </c>
      <c r="Q3584" t="s">
        <v>4392</v>
      </c>
      <c r="R3584">
        <v>14.73</v>
      </c>
      <c r="S3584">
        <v>3</v>
      </c>
      <c r="T3584">
        <v>0</v>
      </c>
      <c r="U3584">
        <v>7.2176999999999998</v>
      </c>
      <c r="V3584" t="str">
        <f t="shared" si="55"/>
        <v>Marc Crier</v>
      </c>
      <c r="W3584">
        <f>Table2[Profit]/Table2[Sales]</f>
        <v>0.49</v>
      </c>
    </row>
    <row r="3585" spans="1:23" x14ac:dyDescent="0.25">
      <c r="A3585">
        <v>3584</v>
      </c>
      <c r="B3585" t="s">
        <v>9118</v>
      </c>
      <c r="C3585" s="1">
        <v>42274</v>
      </c>
      <c r="D3585" s="1">
        <v>42277</v>
      </c>
      <c r="E3585" t="s">
        <v>22</v>
      </c>
      <c r="F3585" t="s">
        <v>2476</v>
      </c>
      <c r="G3585" t="s">
        <v>2477</v>
      </c>
      <c r="H3585" t="s">
        <v>40</v>
      </c>
      <c r="I3585" t="s">
        <v>26</v>
      </c>
      <c r="J3585" t="s">
        <v>873</v>
      </c>
      <c r="K3585" t="s">
        <v>235</v>
      </c>
      <c r="L3585">
        <v>48205</v>
      </c>
      <c r="M3585" t="s">
        <v>104</v>
      </c>
      <c r="N3585" t="s">
        <v>4740</v>
      </c>
      <c r="O3585" t="s">
        <v>45</v>
      </c>
      <c r="P3585" t="s">
        <v>67</v>
      </c>
      <c r="Q3585" t="s">
        <v>4741</v>
      </c>
      <c r="R3585">
        <v>16.399999999999999</v>
      </c>
      <c r="S3585">
        <v>5</v>
      </c>
      <c r="T3585">
        <v>0</v>
      </c>
      <c r="U3585">
        <v>4.7560000000000002</v>
      </c>
      <c r="V3585" t="str">
        <f t="shared" si="55"/>
        <v>Helen Wasserman</v>
      </c>
      <c r="W3585">
        <f>Table2[Profit]/Table2[Sales]</f>
        <v>0.29000000000000004</v>
      </c>
    </row>
    <row r="3586" spans="1:23" x14ac:dyDescent="0.25">
      <c r="A3586">
        <v>3585</v>
      </c>
      <c r="B3586" t="s">
        <v>9119</v>
      </c>
      <c r="C3586" s="1">
        <v>42127</v>
      </c>
      <c r="D3586" s="1">
        <v>42130</v>
      </c>
      <c r="E3586" t="s">
        <v>185</v>
      </c>
      <c r="F3586" t="s">
        <v>447</v>
      </c>
      <c r="G3586" t="s">
        <v>448</v>
      </c>
      <c r="H3586" t="s">
        <v>25</v>
      </c>
      <c r="I3586" t="s">
        <v>26</v>
      </c>
      <c r="J3586" t="s">
        <v>126</v>
      </c>
      <c r="K3586" t="s">
        <v>42</v>
      </c>
      <c r="L3586">
        <v>94109</v>
      </c>
      <c r="M3586" t="s">
        <v>43</v>
      </c>
      <c r="N3586" t="s">
        <v>1734</v>
      </c>
      <c r="O3586" t="s">
        <v>45</v>
      </c>
      <c r="P3586" t="s">
        <v>67</v>
      </c>
      <c r="Q3586" t="s">
        <v>1735</v>
      </c>
      <c r="R3586">
        <v>8.82</v>
      </c>
      <c r="S3586">
        <v>3</v>
      </c>
      <c r="T3586">
        <v>0</v>
      </c>
      <c r="U3586">
        <v>2.5577999999999999</v>
      </c>
      <c r="V3586" t="str">
        <f t="shared" si="55"/>
        <v>Lena Cacioppo</v>
      </c>
      <c r="W3586">
        <f>Table2[Profit]/Table2[Sales]</f>
        <v>0.28999999999999998</v>
      </c>
    </row>
    <row r="3587" spans="1:23" x14ac:dyDescent="0.25">
      <c r="A3587">
        <v>3586</v>
      </c>
      <c r="B3587" t="s">
        <v>9120</v>
      </c>
      <c r="C3587" s="1">
        <v>42744</v>
      </c>
      <c r="D3587" s="1">
        <v>42748</v>
      </c>
      <c r="E3587" t="s">
        <v>49</v>
      </c>
      <c r="F3587" t="s">
        <v>3652</v>
      </c>
      <c r="G3587" t="s">
        <v>3653</v>
      </c>
      <c r="H3587" t="s">
        <v>25</v>
      </c>
      <c r="I3587" t="s">
        <v>26</v>
      </c>
      <c r="J3587" t="s">
        <v>143</v>
      </c>
      <c r="K3587" t="s">
        <v>144</v>
      </c>
      <c r="L3587">
        <v>19140</v>
      </c>
      <c r="M3587" t="s">
        <v>145</v>
      </c>
      <c r="N3587" t="s">
        <v>2177</v>
      </c>
      <c r="O3587" t="s">
        <v>45</v>
      </c>
      <c r="P3587" t="s">
        <v>74</v>
      </c>
      <c r="Q3587" t="s">
        <v>2178</v>
      </c>
      <c r="R3587">
        <v>274.49099999999999</v>
      </c>
      <c r="S3587">
        <v>3</v>
      </c>
      <c r="T3587">
        <v>0.7</v>
      </c>
      <c r="U3587">
        <v>-228.74250000000001</v>
      </c>
      <c r="V3587" t="str">
        <f t="shared" ref="V3587:V3650" si="56">TRIM(G3587)</f>
        <v>Beth Paige</v>
      </c>
      <c r="W3587">
        <f>Table2[Profit]/Table2[Sales]</f>
        <v>-0.83333333333333337</v>
      </c>
    </row>
    <row r="3588" spans="1:23" x14ac:dyDescent="0.25">
      <c r="A3588">
        <v>3587</v>
      </c>
      <c r="B3588" t="s">
        <v>9121</v>
      </c>
      <c r="C3588" s="1">
        <v>42762</v>
      </c>
      <c r="D3588" s="1">
        <v>42766</v>
      </c>
      <c r="E3588" t="s">
        <v>49</v>
      </c>
      <c r="F3588" t="s">
        <v>5109</v>
      </c>
      <c r="G3588" t="s">
        <v>5110</v>
      </c>
      <c r="H3588" t="s">
        <v>25</v>
      </c>
      <c r="I3588" t="s">
        <v>26</v>
      </c>
      <c r="J3588" t="s">
        <v>263</v>
      </c>
      <c r="K3588" t="s">
        <v>264</v>
      </c>
      <c r="L3588">
        <v>10035</v>
      </c>
      <c r="M3588" t="s">
        <v>145</v>
      </c>
      <c r="N3588" t="s">
        <v>7418</v>
      </c>
      <c r="O3588" t="s">
        <v>70</v>
      </c>
      <c r="P3588" t="s">
        <v>71</v>
      </c>
      <c r="Q3588" t="s">
        <v>7419</v>
      </c>
      <c r="R3588">
        <v>137.94</v>
      </c>
      <c r="S3588">
        <v>3</v>
      </c>
      <c r="T3588">
        <v>0</v>
      </c>
      <c r="U3588">
        <v>35.864400000000003</v>
      </c>
      <c r="V3588" t="str">
        <f t="shared" si="56"/>
        <v>Toby Gnade</v>
      </c>
      <c r="W3588">
        <f>Table2[Profit]/Table2[Sales]</f>
        <v>0.26</v>
      </c>
    </row>
    <row r="3589" spans="1:23" x14ac:dyDescent="0.25">
      <c r="A3589">
        <v>3588</v>
      </c>
      <c r="B3589" t="s">
        <v>9122</v>
      </c>
      <c r="C3589" s="1">
        <v>42980</v>
      </c>
      <c r="D3589" s="1">
        <v>42984</v>
      </c>
      <c r="E3589" t="s">
        <v>49</v>
      </c>
      <c r="F3589" t="s">
        <v>4084</v>
      </c>
      <c r="G3589" t="s">
        <v>4085</v>
      </c>
      <c r="H3589" t="s">
        <v>25</v>
      </c>
      <c r="I3589" t="s">
        <v>26</v>
      </c>
      <c r="J3589" t="s">
        <v>296</v>
      </c>
      <c r="K3589" t="s">
        <v>208</v>
      </c>
      <c r="L3589">
        <v>60623</v>
      </c>
      <c r="M3589" t="s">
        <v>104</v>
      </c>
      <c r="N3589" t="s">
        <v>2538</v>
      </c>
      <c r="O3589" t="s">
        <v>70</v>
      </c>
      <c r="P3589" t="s">
        <v>158</v>
      </c>
      <c r="Q3589" t="s">
        <v>2539</v>
      </c>
      <c r="R3589">
        <v>40.68</v>
      </c>
      <c r="S3589">
        <v>3</v>
      </c>
      <c r="T3589">
        <v>0.2</v>
      </c>
      <c r="U3589">
        <v>-7.1189999999999998</v>
      </c>
      <c r="V3589" t="str">
        <f t="shared" si="56"/>
        <v>Mick Crebagga</v>
      </c>
      <c r="W3589">
        <f>Table2[Profit]/Table2[Sales]</f>
        <v>-0.17499999999999999</v>
      </c>
    </row>
    <row r="3590" spans="1:23" x14ac:dyDescent="0.25">
      <c r="A3590">
        <v>3589</v>
      </c>
      <c r="B3590" t="s">
        <v>9123</v>
      </c>
      <c r="C3590" s="1">
        <v>42565</v>
      </c>
      <c r="D3590" s="1">
        <v>42569</v>
      </c>
      <c r="E3590" t="s">
        <v>49</v>
      </c>
      <c r="F3590" t="s">
        <v>1538</v>
      </c>
      <c r="G3590" t="s">
        <v>1539</v>
      </c>
      <c r="H3590" t="s">
        <v>25</v>
      </c>
      <c r="I3590" t="s">
        <v>26</v>
      </c>
      <c r="J3590" t="s">
        <v>126</v>
      </c>
      <c r="K3590" t="s">
        <v>42</v>
      </c>
      <c r="L3590">
        <v>94122</v>
      </c>
      <c r="M3590" t="s">
        <v>43</v>
      </c>
      <c r="N3590" t="s">
        <v>209</v>
      </c>
      <c r="O3590" t="s">
        <v>70</v>
      </c>
      <c r="P3590" t="s">
        <v>71</v>
      </c>
      <c r="Q3590" t="s">
        <v>210</v>
      </c>
      <c r="R3590">
        <v>110.376</v>
      </c>
      <c r="S3590">
        <v>3</v>
      </c>
      <c r="T3590">
        <v>0.2</v>
      </c>
      <c r="U3590">
        <v>12.417299999999999</v>
      </c>
      <c r="V3590" t="str">
        <f t="shared" si="56"/>
        <v>Raymond Buch</v>
      </c>
      <c r="W3590">
        <f>Table2[Profit]/Table2[Sales]</f>
        <v>0.11249999999999999</v>
      </c>
    </row>
    <row r="3591" spans="1:23" x14ac:dyDescent="0.25">
      <c r="A3591">
        <v>3590</v>
      </c>
      <c r="B3591" t="s">
        <v>9124</v>
      </c>
      <c r="C3591" s="1">
        <v>42790</v>
      </c>
      <c r="D3591" s="1">
        <v>42794</v>
      </c>
      <c r="E3591" t="s">
        <v>49</v>
      </c>
      <c r="F3591" t="s">
        <v>217</v>
      </c>
      <c r="G3591" t="s">
        <v>218</v>
      </c>
      <c r="H3591" t="s">
        <v>40</v>
      </c>
      <c r="I3591" t="s">
        <v>26</v>
      </c>
      <c r="J3591" t="s">
        <v>143</v>
      </c>
      <c r="K3591" t="s">
        <v>144</v>
      </c>
      <c r="L3591">
        <v>19134</v>
      </c>
      <c r="M3591" t="s">
        <v>145</v>
      </c>
      <c r="N3591" t="s">
        <v>3986</v>
      </c>
      <c r="O3591" t="s">
        <v>45</v>
      </c>
      <c r="P3591" t="s">
        <v>89</v>
      </c>
      <c r="Q3591" t="s">
        <v>3987</v>
      </c>
      <c r="R3591">
        <v>123.92</v>
      </c>
      <c r="S3591">
        <v>5</v>
      </c>
      <c r="T3591">
        <v>0.2</v>
      </c>
      <c r="U3591">
        <v>38.725000000000001</v>
      </c>
      <c r="V3591" t="str">
        <f t="shared" si="56"/>
        <v>Erin Smith</v>
      </c>
      <c r="W3591">
        <f>Table2[Profit]/Table2[Sales]</f>
        <v>0.3125</v>
      </c>
    </row>
    <row r="3592" spans="1:23" x14ac:dyDescent="0.25">
      <c r="A3592">
        <v>3591</v>
      </c>
      <c r="B3592" t="s">
        <v>9125</v>
      </c>
      <c r="C3592" s="1">
        <v>41840</v>
      </c>
      <c r="D3592" s="1">
        <v>41842</v>
      </c>
      <c r="E3592" t="s">
        <v>185</v>
      </c>
      <c r="F3592" t="s">
        <v>7242</v>
      </c>
      <c r="G3592" t="s">
        <v>7243</v>
      </c>
      <c r="H3592" t="s">
        <v>25</v>
      </c>
      <c r="I3592" t="s">
        <v>26</v>
      </c>
      <c r="J3592" t="s">
        <v>126</v>
      </c>
      <c r="K3592" t="s">
        <v>42</v>
      </c>
      <c r="L3592">
        <v>94122</v>
      </c>
      <c r="M3592" t="s">
        <v>43</v>
      </c>
      <c r="N3592" t="s">
        <v>1688</v>
      </c>
      <c r="O3592" t="s">
        <v>45</v>
      </c>
      <c r="P3592" t="s">
        <v>74</v>
      </c>
      <c r="Q3592" t="s">
        <v>1689</v>
      </c>
      <c r="R3592">
        <v>89.712000000000003</v>
      </c>
      <c r="S3592">
        <v>6</v>
      </c>
      <c r="T3592">
        <v>0.2</v>
      </c>
      <c r="U3592">
        <v>30.277799999999999</v>
      </c>
      <c r="V3592" t="str">
        <f t="shared" si="56"/>
        <v>Roger Demir</v>
      </c>
      <c r="W3592">
        <f>Table2[Profit]/Table2[Sales]</f>
        <v>0.33749999999999997</v>
      </c>
    </row>
    <row r="3593" spans="1:23" x14ac:dyDescent="0.25">
      <c r="A3593">
        <v>3592</v>
      </c>
      <c r="B3593" t="s">
        <v>9126</v>
      </c>
      <c r="C3593" s="1">
        <v>42807</v>
      </c>
      <c r="D3593" s="1">
        <v>42809</v>
      </c>
      <c r="E3593" t="s">
        <v>185</v>
      </c>
      <c r="F3593" t="s">
        <v>5407</v>
      </c>
      <c r="G3593" t="s">
        <v>5408</v>
      </c>
      <c r="H3593" t="s">
        <v>25</v>
      </c>
      <c r="I3593" t="s">
        <v>26</v>
      </c>
      <c r="J3593" t="s">
        <v>739</v>
      </c>
      <c r="K3593" t="s">
        <v>740</v>
      </c>
      <c r="L3593">
        <v>6824</v>
      </c>
      <c r="M3593" t="s">
        <v>145</v>
      </c>
      <c r="N3593" t="s">
        <v>4241</v>
      </c>
      <c r="O3593" t="s">
        <v>45</v>
      </c>
      <c r="P3593" t="s">
        <v>74</v>
      </c>
      <c r="Q3593" t="s">
        <v>4242</v>
      </c>
      <c r="R3593">
        <v>30.88</v>
      </c>
      <c r="S3593">
        <v>2</v>
      </c>
      <c r="T3593">
        <v>0</v>
      </c>
      <c r="U3593">
        <v>15.44</v>
      </c>
      <c r="V3593" t="str">
        <f t="shared" si="56"/>
        <v>Shahid Collister</v>
      </c>
      <c r="W3593">
        <f>Table2[Profit]/Table2[Sales]</f>
        <v>0.5</v>
      </c>
    </row>
    <row r="3594" spans="1:23" x14ac:dyDescent="0.25">
      <c r="A3594">
        <v>3593</v>
      </c>
      <c r="B3594" t="s">
        <v>9127</v>
      </c>
      <c r="C3594" s="1">
        <v>42437</v>
      </c>
      <c r="D3594" s="1">
        <v>42441</v>
      </c>
      <c r="E3594" t="s">
        <v>49</v>
      </c>
      <c r="F3594" t="s">
        <v>6036</v>
      </c>
      <c r="G3594" t="s">
        <v>6037</v>
      </c>
      <c r="H3594" t="s">
        <v>25</v>
      </c>
      <c r="I3594" t="s">
        <v>26</v>
      </c>
      <c r="J3594" t="s">
        <v>263</v>
      </c>
      <c r="K3594" t="s">
        <v>264</v>
      </c>
      <c r="L3594">
        <v>10011</v>
      </c>
      <c r="M3594" t="s">
        <v>145</v>
      </c>
      <c r="N3594" t="s">
        <v>1478</v>
      </c>
      <c r="O3594" t="s">
        <v>31</v>
      </c>
      <c r="P3594" t="s">
        <v>64</v>
      </c>
      <c r="Q3594" t="s">
        <v>1479</v>
      </c>
      <c r="R3594">
        <v>113.6</v>
      </c>
      <c r="S3594">
        <v>8</v>
      </c>
      <c r="T3594">
        <v>0</v>
      </c>
      <c r="U3594">
        <v>44.304000000000002</v>
      </c>
      <c r="V3594" t="str">
        <f t="shared" si="56"/>
        <v>Giulietta Baptist</v>
      </c>
      <c r="W3594">
        <f>Table2[Profit]/Table2[Sales]</f>
        <v>0.39</v>
      </c>
    </row>
    <row r="3595" spans="1:23" x14ac:dyDescent="0.25">
      <c r="A3595">
        <v>3594</v>
      </c>
      <c r="B3595" t="s">
        <v>9128</v>
      </c>
      <c r="C3595" s="1">
        <v>41980</v>
      </c>
      <c r="D3595" s="1">
        <v>41983</v>
      </c>
      <c r="E3595" t="s">
        <v>185</v>
      </c>
      <c r="F3595" t="s">
        <v>1892</v>
      </c>
      <c r="G3595" t="s">
        <v>1893</v>
      </c>
      <c r="H3595" t="s">
        <v>25</v>
      </c>
      <c r="I3595" t="s">
        <v>26</v>
      </c>
      <c r="J3595" t="s">
        <v>41</v>
      </c>
      <c r="K3595" t="s">
        <v>42</v>
      </c>
      <c r="L3595">
        <v>90049</v>
      </c>
      <c r="M3595" t="s">
        <v>43</v>
      </c>
      <c r="N3595" t="s">
        <v>2504</v>
      </c>
      <c r="O3595" t="s">
        <v>45</v>
      </c>
      <c r="P3595" t="s">
        <v>67</v>
      </c>
      <c r="Q3595" t="s">
        <v>2505</v>
      </c>
      <c r="R3595">
        <v>8.64</v>
      </c>
      <c r="S3595">
        <v>3</v>
      </c>
      <c r="T3595">
        <v>0</v>
      </c>
      <c r="U3595">
        <v>2.4192</v>
      </c>
      <c r="V3595" t="str">
        <f t="shared" si="56"/>
        <v>Frank Preis</v>
      </c>
      <c r="W3595">
        <f>Table2[Profit]/Table2[Sales]</f>
        <v>0.27999999999999997</v>
      </c>
    </row>
    <row r="3596" spans="1:23" x14ac:dyDescent="0.25">
      <c r="A3596">
        <v>3595</v>
      </c>
      <c r="B3596" t="s">
        <v>9129</v>
      </c>
      <c r="C3596" s="1">
        <v>42561</v>
      </c>
      <c r="D3596" s="1">
        <v>42561</v>
      </c>
      <c r="E3596" t="s">
        <v>1278</v>
      </c>
      <c r="F3596" t="s">
        <v>888</v>
      </c>
      <c r="G3596" t="s">
        <v>889</v>
      </c>
      <c r="H3596" t="s">
        <v>40</v>
      </c>
      <c r="I3596" t="s">
        <v>26</v>
      </c>
      <c r="J3596" t="s">
        <v>143</v>
      </c>
      <c r="K3596" t="s">
        <v>144</v>
      </c>
      <c r="L3596">
        <v>19143</v>
      </c>
      <c r="M3596" t="s">
        <v>145</v>
      </c>
      <c r="N3596" t="s">
        <v>9130</v>
      </c>
      <c r="O3596" t="s">
        <v>70</v>
      </c>
      <c r="P3596" t="s">
        <v>675</v>
      </c>
      <c r="Q3596" t="s">
        <v>9131</v>
      </c>
      <c r="R3596">
        <v>341.99099999999999</v>
      </c>
      <c r="S3596">
        <v>3</v>
      </c>
      <c r="T3596">
        <v>0.7</v>
      </c>
      <c r="U3596">
        <v>-319.19159999999999</v>
      </c>
      <c r="V3596" t="str">
        <f t="shared" si="56"/>
        <v>Erin Ashbrook</v>
      </c>
      <c r="W3596">
        <f>Table2[Profit]/Table2[Sales]</f>
        <v>-0.93333333333333335</v>
      </c>
    </row>
    <row r="3597" spans="1:23" x14ac:dyDescent="0.25">
      <c r="A3597">
        <v>3596</v>
      </c>
      <c r="B3597" t="s">
        <v>9132</v>
      </c>
      <c r="C3597" s="1">
        <v>42728</v>
      </c>
      <c r="D3597" s="1">
        <v>42734</v>
      </c>
      <c r="E3597" t="s">
        <v>49</v>
      </c>
      <c r="F3597" t="s">
        <v>2092</v>
      </c>
      <c r="G3597" t="s">
        <v>2093</v>
      </c>
      <c r="H3597" t="s">
        <v>25</v>
      </c>
      <c r="I3597" t="s">
        <v>26</v>
      </c>
      <c r="J3597" t="s">
        <v>622</v>
      </c>
      <c r="K3597" t="s">
        <v>42</v>
      </c>
      <c r="L3597">
        <v>95123</v>
      </c>
      <c r="M3597" t="s">
        <v>43</v>
      </c>
      <c r="N3597" t="s">
        <v>5952</v>
      </c>
      <c r="O3597" t="s">
        <v>31</v>
      </c>
      <c r="P3597" t="s">
        <v>64</v>
      </c>
      <c r="Q3597" t="s">
        <v>5953</v>
      </c>
      <c r="R3597">
        <v>43.96</v>
      </c>
      <c r="S3597">
        <v>7</v>
      </c>
      <c r="T3597">
        <v>0</v>
      </c>
      <c r="U3597">
        <v>18.463200000000001</v>
      </c>
      <c r="V3597" t="str">
        <f t="shared" si="56"/>
        <v>Sean Christensen</v>
      </c>
      <c r="W3597">
        <f>Table2[Profit]/Table2[Sales]</f>
        <v>0.42</v>
      </c>
    </row>
    <row r="3598" spans="1:23" x14ac:dyDescent="0.25">
      <c r="A3598">
        <v>3597</v>
      </c>
      <c r="B3598" t="s">
        <v>9133</v>
      </c>
      <c r="C3598" s="1">
        <v>42848</v>
      </c>
      <c r="D3598" s="1">
        <v>42850</v>
      </c>
      <c r="E3598" t="s">
        <v>22</v>
      </c>
      <c r="F3598" t="s">
        <v>2302</v>
      </c>
      <c r="G3598" t="s">
        <v>2303</v>
      </c>
      <c r="H3598" t="s">
        <v>25</v>
      </c>
      <c r="I3598" t="s">
        <v>26</v>
      </c>
      <c r="J3598" t="s">
        <v>596</v>
      </c>
      <c r="K3598" t="s">
        <v>42</v>
      </c>
      <c r="L3598">
        <v>91104</v>
      </c>
      <c r="M3598" t="s">
        <v>43</v>
      </c>
      <c r="N3598" t="s">
        <v>6023</v>
      </c>
      <c r="O3598" t="s">
        <v>31</v>
      </c>
      <c r="P3598" t="s">
        <v>64</v>
      </c>
      <c r="Q3598" t="s">
        <v>6024</v>
      </c>
      <c r="R3598">
        <v>66.36</v>
      </c>
      <c r="S3598">
        <v>7</v>
      </c>
      <c r="T3598">
        <v>0</v>
      </c>
      <c r="U3598">
        <v>26.544</v>
      </c>
      <c r="V3598" t="str">
        <f t="shared" si="56"/>
        <v>Jay Fein</v>
      </c>
      <c r="W3598">
        <f>Table2[Profit]/Table2[Sales]</f>
        <v>0.4</v>
      </c>
    </row>
    <row r="3599" spans="1:23" x14ac:dyDescent="0.25">
      <c r="A3599">
        <v>3598</v>
      </c>
      <c r="B3599" t="s">
        <v>9134</v>
      </c>
      <c r="C3599" s="1">
        <v>42964</v>
      </c>
      <c r="D3599" s="1">
        <v>42969</v>
      </c>
      <c r="E3599" t="s">
        <v>22</v>
      </c>
      <c r="F3599" t="s">
        <v>5151</v>
      </c>
      <c r="G3599" t="s">
        <v>5152</v>
      </c>
      <c r="H3599" t="s">
        <v>25</v>
      </c>
      <c r="I3599" t="s">
        <v>26</v>
      </c>
      <c r="J3599" t="s">
        <v>143</v>
      </c>
      <c r="K3599" t="s">
        <v>144</v>
      </c>
      <c r="L3599">
        <v>19134</v>
      </c>
      <c r="M3599" t="s">
        <v>145</v>
      </c>
      <c r="N3599" t="s">
        <v>1846</v>
      </c>
      <c r="O3599" t="s">
        <v>31</v>
      </c>
      <c r="P3599" t="s">
        <v>35</v>
      </c>
      <c r="Q3599" t="s">
        <v>1847</v>
      </c>
      <c r="R3599">
        <v>4416.174</v>
      </c>
      <c r="S3599">
        <v>9</v>
      </c>
      <c r="T3599">
        <v>0.3</v>
      </c>
      <c r="U3599">
        <v>-630.88199999999995</v>
      </c>
      <c r="V3599" t="str">
        <f t="shared" si="56"/>
        <v>Tom Prescott</v>
      </c>
      <c r="W3599">
        <f>Table2[Profit]/Table2[Sales]</f>
        <v>-0.14285714285714285</v>
      </c>
    </row>
    <row r="3600" spans="1:23" x14ac:dyDescent="0.25">
      <c r="A3600">
        <v>3599</v>
      </c>
      <c r="B3600" t="s">
        <v>9135</v>
      </c>
      <c r="C3600" s="1">
        <v>42877</v>
      </c>
      <c r="D3600" s="1">
        <v>42880</v>
      </c>
      <c r="E3600" t="s">
        <v>185</v>
      </c>
      <c r="F3600" t="s">
        <v>1791</v>
      </c>
      <c r="G3600" t="s">
        <v>1792</v>
      </c>
      <c r="H3600" t="s">
        <v>25</v>
      </c>
      <c r="I3600" t="s">
        <v>26</v>
      </c>
      <c r="J3600" t="s">
        <v>41</v>
      </c>
      <c r="K3600" t="s">
        <v>42</v>
      </c>
      <c r="L3600">
        <v>90049</v>
      </c>
      <c r="M3600" t="s">
        <v>43</v>
      </c>
      <c r="N3600" t="s">
        <v>7298</v>
      </c>
      <c r="O3600" t="s">
        <v>45</v>
      </c>
      <c r="P3600" t="s">
        <v>67</v>
      </c>
      <c r="Q3600" t="s">
        <v>7299</v>
      </c>
      <c r="R3600">
        <v>49.56</v>
      </c>
      <c r="S3600">
        <v>7</v>
      </c>
      <c r="T3600">
        <v>0</v>
      </c>
      <c r="U3600">
        <v>18.832799999999999</v>
      </c>
      <c r="V3600" t="str">
        <f t="shared" si="56"/>
        <v>Rob Lucas</v>
      </c>
      <c r="W3600">
        <f>Table2[Profit]/Table2[Sales]</f>
        <v>0.37999999999999995</v>
      </c>
    </row>
    <row r="3601" spans="1:23" x14ac:dyDescent="0.25">
      <c r="A3601">
        <v>3600</v>
      </c>
      <c r="B3601" t="s">
        <v>9136</v>
      </c>
      <c r="C3601" s="1">
        <v>42775</v>
      </c>
      <c r="D3601" s="1">
        <v>42779</v>
      </c>
      <c r="E3601" t="s">
        <v>49</v>
      </c>
      <c r="F3601" t="s">
        <v>5639</v>
      </c>
      <c r="G3601" t="s">
        <v>5640</v>
      </c>
      <c r="H3601" t="s">
        <v>25</v>
      </c>
      <c r="I3601" t="s">
        <v>26</v>
      </c>
      <c r="J3601" t="s">
        <v>41</v>
      </c>
      <c r="K3601" t="s">
        <v>42</v>
      </c>
      <c r="L3601">
        <v>90032</v>
      </c>
      <c r="M3601" t="s">
        <v>43</v>
      </c>
      <c r="N3601" t="s">
        <v>4063</v>
      </c>
      <c r="O3601" t="s">
        <v>45</v>
      </c>
      <c r="P3601" t="s">
        <v>58</v>
      </c>
      <c r="Q3601" t="s">
        <v>4064</v>
      </c>
      <c r="R3601">
        <v>354.9</v>
      </c>
      <c r="S3601">
        <v>5</v>
      </c>
      <c r="T3601">
        <v>0</v>
      </c>
      <c r="U3601">
        <v>17.745000000000001</v>
      </c>
      <c r="V3601" t="str">
        <f t="shared" si="56"/>
        <v>Sarah Bern</v>
      </c>
      <c r="W3601">
        <f>Table2[Profit]/Table2[Sales]</f>
        <v>0.05</v>
      </c>
    </row>
    <row r="3602" spans="1:23" x14ac:dyDescent="0.25">
      <c r="A3602">
        <v>3601</v>
      </c>
      <c r="B3602" t="s">
        <v>9137</v>
      </c>
      <c r="C3602" s="1">
        <v>41701</v>
      </c>
      <c r="D3602" s="1">
        <v>41706</v>
      </c>
      <c r="E3602" t="s">
        <v>49</v>
      </c>
      <c r="F3602" t="s">
        <v>2689</v>
      </c>
      <c r="G3602" t="s">
        <v>2690</v>
      </c>
      <c r="H3602" t="s">
        <v>40</v>
      </c>
      <c r="I3602" t="s">
        <v>26</v>
      </c>
      <c r="J3602" t="s">
        <v>490</v>
      </c>
      <c r="K3602" t="s">
        <v>491</v>
      </c>
      <c r="L3602">
        <v>43229</v>
      </c>
      <c r="M3602" t="s">
        <v>145</v>
      </c>
      <c r="N3602" t="s">
        <v>7926</v>
      </c>
      <c r="O3602" t="s">
        <v>45</v>
      </c>
      <c r="P3602" t="s">
        <v>46</v>
      </c>
      <c r="Q3602" t="s">
        <v>7927</v>
      </c>
      <c r="R3602">
        <v>15.12</v>
      </c>
      <c r="S3602">
        <v>3</v>
      </c>
      <c r="T3602">
        <v>0.2</v>
      </c>
      <c r="U3602">
        <v>4.9139999999999997</v>
      </c>
      <c r="V3602" t="str">
        <f t="shared" si="56"/>
        <v>Jill Stevenson</v>
      </c>
      <c r="W3602">
        <f>Table2[Profit]/Table2[Sales]</f>
        <v>0.32500000000000001</v>
      </c>
    </row>
    <row r="3603" spans="1:23" x14ac:dyDescent="0.25">
      <c r="A3603">
        <v>3602</v>
      </c>
      <c r="B3603" t="s">
        <v>9138</v>
      </c>
      <c r="C3603" s="1">
        <v>42159</v>
      </c>
      <c r="D3603" s="1">
        <v>42164</v>
      </c>
      <c r="E3603" t="s">
        <v>22</v>
      </c>
      <c r="F3603" t="s">
        <v>5986</v>
      </c>
      <c r="G3603" t="s">
        <v>5987</v>
      </c>
      <c r="H3603" t="s">
        <v>25</v>
      </c>
      <c r="I3603" t="s">
        <v>26</v>
      </c>
      <c r="J3603" t="s">
        <v>41</v>
      </c>
      <c r="K3603" t="s">
        <v>42</v>
      </c>
      <c r="L3603">
        <v>90008</v>
      </c>
      <c r="M3603" t="s">
        <v>43</v>
      </c>
      <c r="N3603" t="s">
        <v>6764</v>
      </c>
      <c r="O3603" t="s">
        <v>70</v>
      </c>
      <c r="P3603" t="s">
        <v>158</v>
      </c>
      <c r="Q3603" t="s">
        <v>6765</v>
      </c>
      <c r="R3603">
        <v>119.98</v>
      </c>
      <c r="S3603">
        <v>2</v>
      </c>
      <c r="T3603">
        <v>0</v>
      </c>
      <c r="U3603">
        <v>35.994</v>
      </c>
      <c r="V3603" t="str">
        <f t="shared" si="56"/>
        <v>Becky Pak</v>
      </c>
      <c r="W3603">
        <f>Table2[Profit]/Table2[Sales]</f>
        <v>0.3</v>
      </c>
    </row>
    <row r="3604" spans="1:23" x14ac:dyDescent="0.25">
      <c r="A3604">
        <v>3603</v>
      </c>
      <c r="B3604" t="s">
        <v>9139</v>
      </c>
      <c r="C3604" s="1">
        <v>42609</v>
      </c>
      <c r="D3604" s="1">
        <v>42615</v>
      </c>
      <c r="E3604" t="s">
        <v>49</v>
      </c>
      <c r="F3604" t="s">
        <v>5213</v>
      </c>
      <c r="G3604" t="s">
        <v>5214</v>
      </c>
      <c r="H3604" t="s">
        <v>40</v>
      </c>
      <c r="I3604" t="s">
        <v>26</v>
      </c>
      <c r="J3604" t="s">
        <v>7070</v>
      </c>
      <c r="K3604" t="s">
        <v>53</v>
      </c>
      <c r="L3604">
        <v>33021</v>
      </c>
      <c r="M3604" t="s">
        <v>29</v>
      </c>
      <c r="N3604" t="s">
        <v>9140</v>
      </c>
      <c r="O3604" t="s">
        <v>45</v>
      </c>
      <c r="P3604" t="s">
        <v>46</v>
      </c>
      <c r="Q3604" t="s">
        <v>9141</v>
      </c>
      <c r="R3604">
        <v>9.2159999999999993</v>
      </c>
      <c r="S3604">
        <v>4</v>
      </c>
      <c r="T3604">
        <v>0.2</v>
      </c>
      <c r="U3604">
        <v>3.3408000000000002</v>
      </c>
      <c r="V3604" t="str">
        <f t="shared" si="56"/>
        <v>Elizabeth Moffitt</v>
      </c>
      <c r="W3604">
        <f>Table2[Profit]/Table2[Sales]</f>
        <v>0.36250000000000004</v>
      </c>
    </row>
    <row r="3605" spans="1:23" x14ac:dyDescent="0.25">
      <c r="A3605">
        <v>3604</v>
      </c>
      <c r="B3605" t="s">
        <v>9142</v>
      </c>
      <c r="C3605" s="1">
        <v>42625</v>
      </c>
      <c r="D3605" s="1">
        <v>42631</v>
      </c>
      <c r="E3605" t="s">
        <v>49</v>
      </c>
      <c r="F3605" t="s">
        <v>2296</v>
      </c>
      <c r="G3605" t="s">
        <v>2297</v>
      </c>
      <c r="H3605" t="s">
        <v>40</v>
      </c>
      <c r="I3605" t="s">
        <v>26</v>
      </c>
      <c r="J3605" t="s">
        <v>560</v>
      </c>
      <c r="K3605" t="s">
        <v>235</v>
      </c>
      <c r="L3605">
        <v>48066</v>
      </c>
      <c r="M3605" t="s">
        <v>104</v>
      </c>
      <c r="N3605" t="s">
        <v>5075</v>
      </c>
      <c r="O3605" t="s">
        <v>45</v>
      </c>
      <c r="P3605" t="s">
        <v>89</v>
      </c>
      <c r="Q3605" t="s">
        <v>5076</v>
      </c>
      <c r="R3605">
        <v>68.52</v>
      </c>
      <c r="S3605">
        <v>3</v>
      </c>
      <c r="T3605">
        <v>0</v>
      </c>
      <c r="U3605">
        <v>31.519200000000001</v>
      </c>
      <c r="V3605" t="str">
        <f t="shared" si="56"/>
        <v>Steve Chapman</v>
      </c>
      <c r="W3605">
        <f>Table2[Profit]/Table2[Sales]</f>
        <v>0.46</v>
      </c>
    </row>
    <row r="3606" spans="1:23" x14ac:dyDescent="0.25">
      <c r="A3606">
        <v>3605</v>
      </c>
      <c r="B3606" t="s">
        <v>9143</v>
      </c>
      <c r="C3606" s="1">
        <v>42520</v>
      </c>
      <c r="D3606" s="1">
        <v>42525</v>
      </c>
      <c r="E3606" t="s">
        <v>49</v>
      </c>
      <c r="F3606" t="s">
        <v>6005</v>
      </c>
      <c r="G3606" t="s">
        <v>6006</v>
      </c>
      <c r="H3606" t="s">
        <v>101</v>
      </c>
      <c r="I3606" t="s">
        <v>26</v>
      </c>
      <c r="J3606" t="s">
        <v>6989</v>
      </c>
      <c r="K3606" t="s">
        <v>113</v>
      </c>
      <c r="L3606">
        <v>54880</v>
      </c>
      <c r="M3606" t="s">
        <v>104</v>
      </c>
      <c r="N3606" t="s">
        <v>706</v>
      </c>
      <c r="O3606" t="s">
        <v>45</v>
      </c>
      <c r="P3606" t="s">
        <v>77</v>
      </c>
      <c r="Q3606" t="s">
        <v>707</v>
      </c>
      <c r="R3606">
        <v>364.74</v>
      </c>
      <c r="S3606">
        <v>3</v>
      </c>
      <c r="T3606">
        <v>0</v>
      </c>
      <c r="U3606">
        <v>109.422</v>
      </c>
      <c r="V3606" t="str">
        <f t="shared" si="56"/>
        <v>Eugene Moren</v>
      </c>
      <c r="W3606">
        <f>Table2[Profit]/Table2[Sales]</f>
        <v>0.3</v>
      </c>
    </row>
    <row r="3607" spans="1:23" x14ac:dyDescent="0.25">
      <c r="A3607">
        <v>3606</v>
      </c>
      <c r="B3607" t="s">
        <v>9144</v>
      </c>
      <c r="C3607" s="1">
        <v>42896</v>
      </c>
      <c r="D3607" s="1">
        <v>42899</v>
      </c>
      <c r="E3607" t="s">
        <v>22</v>
      </c>
      <c r="F3607" t="s">
        <v>3587</v>
      </c>
      <c r="G3607" t="s">
        <v>3588</v>
      </c>
      <c r="H3607" t="s">
        <v>40</v>
      </c>
      <c r="I3607" t="s">
        <v>26</v>
      </c>
      <c r="J3607" t="s">
        <v>5299</v>
      </c>
      <c r="K3607" t="s">
        <v>42</v>
      </c>
      <c r="L3607">
        <v>91360</v>
      </c>
      <c r="M3607" t="s">
        <v>43</v>
      </c>
      <c r="N3607" t="s">
        <v>7654</v>
      </c>
      <c r="O3607" t="s">
        <v>45</v>
      </c>
      <c r="P3607" t="s">
        <v>67</v>
      </c>
      <c r="Q3607" t="s">
        <v>7655</v>
      </c>
      <c r="R3607">
        <v>14.7</v>
      </c>
      <c r="S3607">
        <v>7</v>
      </c>
      <c r="T3607">
        <v>0</v>
      </c>
      <c r="U3607">
        <v>4.1159999999999997</v>
      </c>
      <c r="V3607" t="str">
        <f t="shared" si="56"/>
        <v>George Zrebassa</v>
      </c>
      <c r="W3607">
        <f>Table2[Profit]/Table2[Sales]</f>
        <v>0.27999999999999997</v>
      </c>
    </row>
    <row r="3608" spans="1:23" x14ac:dyDescent="0.25">
      <c r="A3608">
        <v>3607</v>
      </c>
      <c r="B3608" t="s">
        <v>9145</v>
      </c>
      <c r="C3608" s="1">
        <v>43030</v>
      </c>
      <c r="D3608" s="1">
        <v>43036</v>
      </c>
      <c r="E3608" t="s">
        <v>49</v>
      </c>
      <c r="F3608" t="s">
        <v>4150</v>
      </c>
      <c r="G3608" t="s">
        <v>4151</v>
      </c>
      <c r="H3608" t="s">
        <v>40</v>
      </c>
      <c r="I3608" t="s">
        <v>26</v>
      </c>
      <c r="J3608" t="s">
        <v>143</v>
      </c>
      <c r="K3608" t="s">
        <v>144</v>
      </c>
      <c r="L3608">
        <v>19134</v>
      </c>
      <c r="M3608" t="s">
        <v>145</v>
      </c>
      <c r="N3608" t="s">
        <v>245</v>
      </c>
      <c r="O3608" t="s">
        <v>70</v>
      </c>
      <c r="P3608" t="s">
        <v>71</v>
      </c>
      <c r="Q3608" t="s">
        <v>246</v>
      </c>
      <c r="R3608">
        <v>32.700000000000003</v>
      </c>
      <c r="S3608">
        <v>5</v>
      </c>
      <c r="T3608">
        <v>0.4</v>
      </c>
      <c r="U3608">
        <v>-6.54</v>
      </c>
      <c r="V3608" t="str">
        <f t="shared" si="56"/>
        <v>Marina Lichtenstein</v>
      </c>
      <c r="W3608">
        <f>Table2[Profit]/Table2[Sales]</f>
        <v>-0.19999999999999998</v>
      </c>
    </row>
    <row r="3609" spans="1:23" x14ac:dyDescent="0.25">
      <c r="A3609">
        <v>3608</v>
      </c>
      <c r="B3609" t="s">
        <v>9146</v>
      </c>
      <c r="C3609" s="1">
        <v>42899</v>
      </c>
      <c r="D3609" s="1">
        <v>42903</v>
      </c>
      <c r="E3609" t="s">
        <v>49</v>
      </c>
      <c r="F3609" t="s">
        <v>380</v>
      </c>
      <c r="G3609" t="s">
        <v>381</v>
      </c>
      <c r="H3609" t="s">
        <v>25</v>
      </c>
      <c r="I3609" t="s">
        <v>26</v>
      </c>
      <c r="J3609" t="s">
        <v>311</v>
      </c>
      <c r="K3609" t="s">
        <v>312</v>
      </c>
      <c r="L3609">
        <v>22153</v>
      </c>
      <c r="M3609" t="s">
        <v>29</v>
      </c>
      <c r="N3609" t="s">
        <v>6238</v>
      </c>
      <c r="O3609" t="s">
        <v>45</v>
      </c>
      <c r="P3609" t="s">
        <v>67</v>
      </c>
      <c r="Q3609" t="s">
        <v>6239</v>
      </c>
      <c r="R3609">
        <v>181.86</v>
      </c>
      <c r="S3609">
        <v>7</v>
      </c>
      <c r="T3609">
        <v>0</v>
      </c>
      <c r="U3609">
        <v>50.9208</v>
      </c>
      <c r="V3609" t="str">
        <f t="shared" si="56"/>
        <v>Paul Gonzalez</v>
      </c>
      <c r="W3609">
        <f>Table2[Profit]/Table2[Sales]</f>
        <v>0.27999999999999997</v>
      </c>
    </row>
    <row r="3610" spans="1:23" x14ac:dyDescent="0.25">
      <c r="A3610">
        <v>3609</v>
      </c>
      <c r="B3610" t="s">
        <v>9147</v>
      </c>
      <c r="C3610" s="1">
        <v>41966</v>
      </c>
      <c r="D3610" s="1">
        <v>41969</v>
      </c>
      <c r="E3610" t="s">
        <v>22</v>
      </c>
      <c r="F3610" t="s">
        <v>3778</v>
      </c>
      <c r="G3610" t="s">
        <v>3779</v>
      </c>
      <c r="H3610" t="s">
        <v>40</v>
      </c>
      <c r="I3610" t="s">
        <v>26</v>
      </c>
      <c r="J3610" t="s">
        <v>181</v>
      </c>
      <c r="K3610" t="s">
        <v>103</v>
      </c>
      <c r="L3610">
        <v>77095</v>
      </c>
      <c r="M3610" t="s">
        <v>104</v>
      </c>
      <c r="N3610" t="s">
        <v>3476</v>
      </c>
      <c r="O3610" t="s">
        <v>31</v>
      </c>
      <c r="P3610" t="s">
        <v>35</v>
      </c>
      <c r="Q3610" t="s">
        <v>3477</v>
      </c>
      <c r="R3610">
        <v>155.37200000000001</v>
      </c>
      <c r="S3610">
        <v>2</v>
      </c>
      <c r="T3610">
        <v>0.3</v>
      </c>
      <c r="U3610">
        <v>-35.513599999999997</v>
      </c>
      <c r="V3610" t="str">
        <f t="shared" si="56"/>
        <v>Damala Kotsonis</v>
      </c>
      <c r="W3610">
        <f>Table2[Profit]/Table2[Sales]</f>
        <v>-0.22857142857142854</v>
      </c>
    </row>
    <row r="3611" spans="1:23" x14ac:dyDescent="0.25">
      <c r="A3611">
        <v>3610</v>
      </c>
      <c r="B3611" t="s">
        <v>9148</v>
      </c>
      <c r="C3611" s="1">
        <v>42963</v>
      </c>
      <c r="D3611" s="1">
        <v>42963</v>
      </c>
      <c r="E3611" t="s">
        <v>1278</v>
      </c>
      <c r="F3611" t="s">
        <v>6308</v>
      </c>
      <c r="G3611" t="s">
        <v>6309</v>
      </c>
      <c r="H3611" t="s">
        <v>25</v>
      </c>
      <c r="I3611" t="s">
        <v>26</v>
      </c>
      <c r="J3611" t="s">
        <v>375</v>
      </c>
      <c r="K3611" t="s">
        <v>328</v>
      </c>
      <c r="L3611">
        <v>38401</v>
      </c>
      <c r="M3611" t="s">
        <v>29</v>
      </c>
      <c r="N3611" t="s">
        <v>2017</v>
      </c>
      <c r="O3611" t="s">
        <v>45</v>
      </c>
      <c r="P3611" t="s">
        <v>74</v>
      </c>
      <c r="Q3611" t="s">
        <v>2018</v>
      </c>
      <c r="R3611">
        <v>13.428000000000001</v>
      </c>
      <c r="S3611">
        <v>3</v>
      </c>
      <c r="T3611">
        <v>0.7</v>
      </c>
      <c r="U3611">
        <v>-11.19</v>
      </c>
      <c r="V3611" t="str">
        <f t="shared" si="56"/>
        <v>Sarah Jordon</v>
      </c>
      <c r="W3611">
        <f>Table2[Profit]/Table2[Sales]</f>
        <v>-0.83333333333333326</v>
      </c>
    </row>
    <row r="3612" spans="1:23" x14ac:dyDescent="0.25">
      <c r="A3612">
        <v>3611</v>
      </c>
      <c r="B3612" t="s">
        <v>9149</v>
      </c>
      <c r="C3612" s="1">
        <v>42383</v>
      </c>
      <c r="D3612" s="1">
        <v>42389</v>
      </c>
      <c r="E3612" t="s">
        <v>49</v>
      </c>
      <c r="F3612" t="s">
        <v>1397</v>
      </c>
      <c r="G3612" t="s">
        <v>1398</v>
      </c>
      <c r="H3612" t="s">
        <v>25</v>
      </c>
      <c r="I3612" t="s">
        <v>26</v>
      </c>
      <c r="J3612" t="s">
        <v>86</v>
      </c>
      <c r="K3612" t="s">
        <v>87</v>
      </c>
      <c r="L3612">
        <v>28027</v>
      </c>
      <c r="M3612" t="s">
        <v>29</v>
      </c>
      <c r="N3612" t="s">
        <v>6645</v>
      </c>
      <c r="O3612" t="s">
        <v>45</v>
      </c>
      <c r="P3612" t="s">
        <v>89</v>
      </c>
      <c r="Q3612" t="s">
        <v>6646</v>
      </c>
      <c r="R3612">
        <v>89.567999999999998</v>
      </c>
      <c r="S3612">
        <v>2</v>
      </c>
      <c r="T3612">
        <v>0.2</v>
      </c>
      <c r="U3612">
        <v>32.468400000000003</v>
      </c>
      <c r="V3612" t="str">
        <f t="shared" si="56"/>
        <v>Anna Gayman</v>
      </c>
      <c r="W3612">
        <f>Table2[Profit]/Table2[Sales]</f>
        <v>0.36250000000000004</v>
      </c>
    </row>
    <row r="3613" spans="1:23" x14ac:dyDescent="0.25">
      <c r="A3613">
        <v>3612</v>
      </c>
      <c r="B3613" t="s">
        <v>9152</v>
      </c>
      <c r="C3613" s="1">
        <v>42629</v>
      </c>
      <c r="D3613" s="1">
        <v>42635</v>
      </c>
      <c r="E3613" t="s">
        <v>49</v>
      </c>
      <c r="F3613" t="s">
        <v>3857</v>
      </c>
      <c r="G3613" t="s">
        <v>3858</v>
      </c>
      <c r="H3613" t="s">
        <v>40</v>
      </c>
      <c r="I3613" t="s">
        <v>26</v>
      </c>
      <c r="J3613" t="s">
        <v>622</v>
      </c>
      <c r="K3613" t="s">
        <v>42</v>
      </c>
      <c r="L3613">
        <v>95123</v>
      </c>
      <c r="M3613" t="s">
        <v>43</v>
      </c>
      <c r="N3613" t="s">
        <v>4552</v>
      </c>
      <c r="O3613" t="s">
        <v>31</v>
      </c>
      <c r="P3613" t="s">
        <v>32</v>
      </c>
      <c r="Q3613" t="s">
        <v>4553</v>
      </c>
      <c r="R3613">
        <v>273.666</v>
      </c>
      <c r="S3613">
        <v>2</v>
      </c>
      <c r="T3613">
        <v>0.15</v>
      </c>
      <c r="U3613">
        <v>-12.878399999999999</v>
      </c>
      <c r="V3613" t="str">
        <f t="shared" si="56"/>
        <v>Keith Dawkins</v>
      </c>
      <c r="W3613">
        <f>Table2[Profit]/Table2[Sales]</f>
        <v>-4.7058823529411764E-2</v>
      </c>
    </row>
    <row r="3614" spans="1:23" x14ac:dyDescent="0.25">
      <c r="A3614">
        <v>3613</v>
      </c>
      <c r="B3614" t="s">
        <v>9153</v>
      </c>
      <c r="C3614" s="1">
        <v>42653</v>
      </c>
      <c r="D3614" s="1">
        <v>42657</v>
      </c>
      <c r="E3614" t="s">
        <v>49</v>
      </c>
      <c r="F3614" t="s">
        <v>3526</v>
      </c>
      <c r="G3614" t="s">
        <v>3527</v>
      </c>
      <c r="H3614" t="s">
        <v>40</v>
      </c>
      <c r="I3614" t="s">
        <v>26</v>
      </c>
      <c r="J3614" t="s">
        <v>4396</v>
      </c>
      <c r="K3614" t="s">
        <v>87</v>
      </c>
      <c r="L3614">
        <v>27405</v>
      </c>
      <c r="M3614" t="s">
        <v>29</v>
      </c>
      <c r="N3614" t="s">
        <v>1931</v>
      </c>
      <c r="O3614" t="s">
        <v>45</v>
      </c>
      <c r="P3614" t="s">
        <v>572</v>
      </c>
      <c r="Q3614" t="s">
        <v>1932</v>
      </c>
      <c r="R3614">
        <v>20.608000000000001</v>
      </c>
      <c r="S3614">
        <v>2</v>
      </c>
      <c r="T3614">
        <v>0.2</v>
      </c>
      <c r="U3614">
        <v>-4.3792</v>
      </c>
      <c r="V3614" t="str">
        <f t="shared" si="56"/>
        <v>Erica Bern</v>
      </c>
      <c r="W3614">
        <f>Table2[Profit]/Table2[Sales]</f>
        <v>-0.21249999999999999</v>
      </c>
    </row>
    <row r="3615" spans="1:23" x14ac:dyDescent="0.25">
      <c r="A3615">
        <v>3614</v>
      </c>
      <c r="B3615" t="s">
        <v>9154</v>
      </c>
      <c r="C3615" s="1">
        <v>42321</v>
      </c>
      <c r="D3615" s="1">
        <v>42325</v>
      </c>
      <c r="E3615" t="s">
        <v>49</v>
      </c>
      <c r="F3615" t="s">
        <v>5046</v>
      </c>
      <c r="G3615" t="s">
        <v>5047</v>
      </c>
      <c r="H3615" t="s">
        <v>101</v>
      </c>
      <c r="I3615" t="s">
        <v>26</v>
      </c>
      <c r="J3615" t="s">
        <v>7832</v>
      </c>
      <c r="K3615" t="s">
        <v>1738</v>
      </c>
      <c r="L3615">
        <v>59601</v>
      </c>
      <c r="M3615" t="s">
        <v>43</v>
      </c>
      <c r="N3615" t="s">
        <v>6199</v>
      </c>
      <c r="O3615" t="s">
        <v>70</v>
      </c>
      <c r="P3615" t="s">
        <v>71</v>
      </c>
      <c r="Q3615" t="s">
        <v>6200</v>
      </c>
      <c r="R3615">
        <v>339.96</v>
      </c>
      <c r="S3615">
        <v>5</v>
      </c>
      <c r="T3615">
        <v>0.2</v>
      </c>
      <c r="U3615">
        <v>42.494999999999997</v>
      </c>
      <c r="V3615" t="str">
        <f t="shared" si="56"/>
        <v>Arthur Wiediger</v>
      </c>
      <c r="W3615">
        <f>Table2[Profit]/Table2[Sales]</f>
        <v>0.125</v>
      </c>
    </row>
    <row r="3616" spans="1:23" x14ac:dyDescent="0.25">
      <c r="A3616">
        <v>3615</v>
      </c>
      <c r="B3616" t="s">
        <v>9155</v>
      </c>
      <c r="C3616" s="1">
        <v>41945</v>
      </c>
      <c r="D3616" s="1">
        <v>41949</v>
      </c>
      <c r="E3616" t="s">
        <v>49</v>
      </c>
      <c r="F3616" t="s">
        <v>3711</v>
      </c>
      <c r="G3616" t="s">
        <v>3712</v>
      </c>
      <c r="H3616" t="s">
        <v>101</v>
      </c>
      <c r="I3616" t="s">
        <v>26</v>
      </c>
      <c r="J3616" t="s">
        <v>52</v>
      </c>
      <c r="K3616" t="s">
        <v>53</v>
      </c>
      <c r="L3616">
        <v>33311</v>
      </c>
      <c r="M3616" t="s">
        <v>29</v>
      </c>
      <c r="N3616" t="s">
        <v>5361</v>
      </c>
      <c r="O3616" t="s">
        <v>70</v>
      </c>
      <c r="P3616" t="s">
        <v>158</v>
      </c>
      <c r="Q3616" t="s">
        <v>5362</v>
      </c>
      <c r="R3616">
        <v>799.92</v>
      </c>
      <c r="S3616">
        <v>10</v>
      </c>
      <c r="T3616">
        <v>0.2</v>
      </c>
      <c r="U3616">
        <v>239.976</v>
      </c>
      <c r="V3616" t="str">
        <f t="shared" si="56"/>
        <v>Julie Kriz</v>
      </c>
      <c r="W3616">
        <f>Table2[Profit]/Table2[Sales]</f>
        <v>0.3</v>
      </c>
    </row>
    <row r="3617" spans="1:23" x14ac:dyDescent="0.25">
      <c r="A3617">
        <v>3616</v>
      </c>
      <c r="B3617" t="s">
        <v>9156</v>
      </c>
      <c r="C3617" s="1">
        <v>42570</v>
      </c>
      <c r="D3617" s="1">
        <v>42572</v>
      </c>
      <c r="E3617" t="s">
        <v>185</v>
      </c>
      <c r="F3617" t="s">
        <v>3535</v>
      </c>
      <c r="G3617" t="s">
        <v>3536</v>
      </c>
      <c r="H3617" t="s">
        <v>101</v>
      </c>
      <c r="I3617" t="s">
        <v>26</v>
      </c>
      <c r="J3617" t="s">
        <v>126</v>
      </c>
      <c r="K3617" t="s">
        <v>42</v>
      </c>
      <c r="L3617">
        <v>94110</v>
      </c>
      <c r="M3617" t="s">
        <v>43</v>
      </c>
      <c r="N3617" t="s">
        <v>8951</v>
      </c>
      <c r="O3617" t="s">
        <v>70</v>
      </c>
      <c r="P3617" t="s">
        <v>71</v>
      </c>
      <c r="Q3617" t="s">
        <v>8952</v>
      </c>
      <c r="R3617">
        <v>35.984000000000002</v>
      </c>
      <c r="S3617">
        <v>2</v>
      </c>
      <c r="T3617">
        <v>0.2</v>
      </c>
      <c r="U3617">
        <v>4.4980000000000002</v>
      </c>
      <c r="V3617" t="str">
        <f t="shared" si="56"/>
        <v>Tracy Collins</v>
      </c>
      <c r="W3617">
        <f>Table2[Profit]/Table2[Sales]</f>
        <v>0.125</v>
      </c>
    </row>
    <row r="3618" spans="1:23" x14ac:dyDescent="0.25">
      <c r="A3618">
        <v>3617</v>
      </c>
      <c r="B3618" t="s">
        <v>9157</v>
      </c>
      <c r="C3618" s="1">
        <v>42504</v>
      </c>
      <c r="D3618" s="1">
        <v>42504</v>
      </c>
      <c r="E3618" t="s">
        <v>1278</v>
      </c>
      <c r="F3618" t="s">
        <v>2139</v>
      </c>
      <c r="G3618" t="s">
        <v>2140</v>
      </c>
      <c r="H3618" t="s">
        <v>40</v>
      </c>
      <c r="I3618" t="s">
        <v>26</v>
      </c>
      <c r="J3618" t="s">
        <v>7612</v>
      </c>
      <c r="K3618" t="s">
        <v>303</v>
      </c>
      <c r="L3618">
        <v>85364</v>
      </c>
      <c r="M3618" t="s">
        <v>43</v>
      </c>
      <c r="N3618" t="s">
        <v>900</v>
      </c>
      <c r="O3618" t="s">
        <v>70</v>
      </c>
      <c r="P3618" t="s">
        <v>158</v>
      </c>
      <c r="Q3618" t="s">
        <v>1760</v>
      </c>
      <c r="R3618">
        <v>185.52799999999999</v>
      </c>
      <c r="S3618">
        <v>7</v>
      </c>
      <c r="T3618">
        <v>0.2</v>
      </c>
      <c r="U3618">
        <v>48.701099999999997</v>
      </c>
      <c r="V3618" t="str">
        <f t="shared" si="56"/>
        <v>Tiffany House</v>
      </c>
      <c r="W3618">
        <f>Table2[Profit]/Table2[Sales]</f>
        <v>0.26250000000000001</v>
      </c>
    </row>
    <row r="3619" spans="1:23" x14ac:dyDescent="0.25">
      <c r="A3619">
        <v>3618</v>
      </c>
      <c r="B3619" t="s">
        <v>9158</v>
      </c>
      <c r="C3619" s="1">
        <v>42056</v>
      </c>
      <c r="D3619" s="1">
        <v>42062</v>
      </c>
      <c r="E3619" t="s">
        <v>49</v>
      </c>
      <c r="F3619" t="s">
        <v>5386</v>
      </c>
      <c r="G3619" t="s">
        <v>5387</v>
      </c>
      <c r="H3619" t="s">
        <v>25</v>
      </c>
      <c r="I3619" t="s">
        <v>26</v>
      </c>
      <c r="J3619" t="s">
        <v>375</v>
      </c>
      <c r="K3619" t="s">
        <v>2699</v>
      </c>
      <c r="L3619">
        <v>21044</v>
      </c>
      <c r="M3619" t="s">
        <v>145</v>
      </c>
      <c r="N3619" t="s">
        <v>1718</v>
      </c>
      <c r="O3619" t="s">
        <v>45</v>
      </c>
      <c r="P3619" t="s">
        <v>74</v>
      </c>
      <c r="Q3619" t="s">
        <v>1719</v>
      </c>
      <c r="R3619">
        <v>2541.98</v>
      </c>
      <c r="S3619">
        <v>2</v>
      </c>
      <c r="T3619">
        <v>0</v>
      </c>
      <c r="U3619">
        <v>1270.99</v>
      </c>
      <c r="V3619" t="str">
        <f t="shared" si="56"/>
        <v>Pierre Wener</v>
      </c>
      <c r="W3619">
        <f>Table2[Profit]/Table2[Sales]</f>
        <v>0.5</v>
      </c>
    </row>
    <row r="3620" spans="1:23" x14ac:dyDescent="0.25">
      <c r="A3620">
        <v>3619</v>
      </c>
      <c r="B3620" t="s">
        <v>9159</v>
      </c>
      <c r="C3620" s="1">
        <v>43024</v>
      </c>
      <c r="D3620" s="1">
        <v>43029</v>
      </c>
      <c r="E3620" t="s">
        <v>49</v>
      </c>
      <c r="F3620" t="s">
        <v>6219</v>
      </c>
      <c r="G3620" t="s">
        <v>6220</v>
      </c>
      <c r="H3620" t="s">
        <v>101</v>
      </c>
      <c r="I3620" t="s">
        <v>26</v>
      </c>
      <c r="J3620" t="s">
        <v>7612</v>
      </c>
      <c r="K3620" t="s">
        <v>303</v>
      </c>
      <c r="L3620">
        <v>85364</v>
      </c>
      <c r="M3620" t="s">
        <v>43</v>
      </c>
      <c r="N3620" t="s">
        <v>866</v>
      </c>
      <c r="O3620" t="s">
        <v>70</v>
      </c>
      <c r="P3620" t="s">
        <v>675</v>
      </c>
      <c r="Q3620" t="s">
        <v>867</v>
      </c>
      <c r="R3620">
        <v>599.98500000000001</v>
      </c>
      <c r="S3620">
        <v>5</v>
      </c>
      <c r="T3620">
        <v>0.7</v>
      </c>
      <c r="U3620">
        <v>-479.988</v>
      </c>
      <c r="V3620" t="str">
        <f t="shared" si="56"/>
        <v>Gary Hansen</v>
      </c>
      <c r="W3620">
        <f>Table2[Profit]/Table2[Sales]</f>
        <v>-0.79999999999999993</v>
      </c>
    </row>
    <row r="3621" spans="1:23" x14ac:dyDescent="0.25">
      <c r="A3621">
        <v>3620</v>
      </c>
      <c r="B3621" t="s">
        <v>9160</v>
      </c>
      <c r="C3621" s="1">
        <v>42908</v>
      </c>
      <c r="D3621" s="1">
        <v>42915</v>
      </c>
      <c r="E3621" t="s">
        <v>49</v>
      </c>
      <c r="F3621" t="s">
        <v>2453</v>
      </c>
      <c r="G3621" t="s">
        <v>2454</v>
      </c>
      <c r="H3621" t="s">
        <v>25</v>
      </c>
      <c r="I3621" t="s">
        <v>26</v>
      </c>
      <c r="J3621" t="s">
        <v>296</v>
      </c>
      <c r="K3621" t="s">
        <v>208</v>
      </c>
      <c r="L3621">
        <v>60653</v>
      </c>
      <c r="M3621" t="s">
        <v>104</v>
      </c>
      <c r="N3621" t="s">
        <v>3362</v>
      </c>
      <c r="O3621" t="s">
        <v>45</v>
      </c>
      <c r="P3621" t="s">
        <v>74</v>
      </c>
      <c r="Q3621" t="s">
        <v>3363</v>
      </c>
      <c r="R3621">
        <v>3.036</v>
      </c>
      <c r="S3621">
        <v>3</v>
      </c>
      <c r="T3621">
        <v>0.8</v>
      </c>
      <c r="U3621">
        <v>-5.0094000000000003</v>
      </c>
      <c r="V3621" t="str">
        <f t="shared" si="56"/>
        <v>Joe Kamberova</v>
      </c>
      <c r="W3621">
        <f>Table2[Profit]/Table2[Sales]</f>
        <v>-1.6500000000000001</v>
      </c>
    </row>
    <row r="3622" spans="1:23" x14ac:dyDescent="0.25">
      <c r="A3622">
        <v>3621</v>
      </c>
      <c r="B3622" t="s">
        <v>9161</v>
      </c>
      <c r="C3622" s="1">
        <v>42987</v>
      </c>
      <c r="D3622" s="1">
        <v>42991</v>
      </c>
      <c r="E3622" t="s">
        <v>49</v>
      </c>
      <c r="F3622" t="s">
        <v>806</v>
      </c>
      <c r="G3622" t="s">
        <v>807</v>
      </c>
      <c r="H3622" t="s">
        <v>25</v>
      </c>
      <c r="I3622" t="s">
        <v>26</v>
      </c>
      <c r="J3622" t="s">
        <v>2148</v>
      </c>
      <c r="K3622" t="s">
        <v>491</v>
      </c>
      <c r="L3622">
        <v>44105</v>
      </c>
      <c r="M3622" t="s">
        <v>145</v>
      </c>
      <c r="N3622" t="s">
        <v>1234</v>
      </c>
      <c r="O3622" t="s">
        <v>45</v>
      </c>
      <c r="P3622" t="s">
        <v>67</v>
      </c>
      <c r="Q3622" t="s">
        <v>1235</v>
      </c>
      <c r="R3622">
        <v>25.92</v>
      </c>
      <c r="S3622">
        <v>5</v>
      </c>
      <c r="T3622">
        <v>0.2</v>
      </c>
      <c r="U3622">
        <v>3.8879999999999999</v>
      </c>
      <c r="V3622" t="str">
        <f t="shared" si="56"/>
        <v>Logan Currie</v>
      </c>
      <c r="W3622">
        <f>Table2[Profit]/Table2[Sales]</f>
        <v>0.15</v>
      </c>
    </row>
    <row r="3623" spans="1:23" x14ac:dyDescent="0.25">
      <c r="A3623">
        <v>3622</v>
      </c>
      <c r="B3623" t="s">
        <v>9162</v>
      </c>
      <c r="C3623" s="1">
        <v>43022</v>
      </c>
      <c r="D3623" s="1">
        <v>43027</v>
      </c>
      <c r="E3623" t="s">
        <v>49</v>
      </c>
      <c r="F3623" t="s">
        <v>2611</v>
      </c>
      <c r="G3623" t="s">
        <v>2612</v>
      </c>
      <c r="H3623" t="s">
        <v>25</v>
      </c>
      <c r="I3623" t="s">
        <v>26</v>
      </c>
      <c r="J3623" t="s">
        <v>126</v>
      </c>
      <c r="K3623" t="s">
        <v>42</v>
      </c>
      <c r="L3623">
        <v>94110</v>
      </c>
      <c r="M3623" t="s">
        <v>43</v>
      </c>
      <c r="N3623" t="s">
        <v>2173</v>
      </c>
      <c r="O3623" t="s">
        <v>70</v>
      </c>
      <c r="P3623" t="s">
        <v>158</v>
      </c>
      <c r="Q3623" t="s">
        <v>2174</v>
      </c>
      <c r="R3623">
        <v>46.36</v>
      </c>
      <c r="S3623">
        <v>4</v>
      </c>
      <c r="T3623">
        <v>0</v>
      </c>
      <c r="U3623">
        <v>15.2988</v>
      </c>
      <c r="V3623" t="str">
        <f t="shared" si="56"/>
        <v>Berenike Kampe</v>
      </c>
      <c r="W3623">
        <f>Table2[Profit]/Table2[Sales]</f>
        <v>0.33</v>
      </c>
    </row>
    <row r="3624" spans="1:23" x14ac:dyDescent="0.25">
      <c r="A3624">
        <v>3623</v>
      </c>
      <c r="B3624" t="s">
        <v>9163</v>
      </c>
      <c r="C3624" s="1">
        <v>42541</v>
      </c>
      <c r="D3624" s="1">
        <v>42546</v>
      </c>
      <c r="E3624" t="s">
        <v>49</v>
      </c>
      <c r="F3624" t="s">
        <v>7180</v>
      </c>
      <c r="G3624" t="s">
        <v>7181</v>
      </c>
      <c r="H3624" t="s">
        <v>40</v>
      </c>
      <c r="I3624" t="s">
        <v>26</v>
      </c>
      <c r="J3624" t="s">
        <v>4745</v>
      </c>
      <c r="K3624" t="s">
        <v>641</v>
      </c>
      <c r="L3624">
        <v>73120</v>
      </c>
      <c r="M3624" t="s">
        <v>104</v>
      </c>
      <c r="N3624" t="s">
        <v>7506</v>
      </c>
      <c r="O3624" t="s">
        <v>70</v>
      </c>
      <c r="P3624" t="s">
        <v>158</v>
      </c>
      <c r="Q3624" t="s">
        <v>7507</v>
      </c>
      <c r="R3624">
        <v>6.9</v>
      </c>
      <c r="S3624">
        <v>1</v>
      </c>
      <c r="T3624">
        <v>0</v>
      </c>
      <c r="U3624">
        <v>0.55200000000000005</v>
      </c>
      <c r="V3624" t="str">
        <f t="shared" si="56"/>
        <v>Bill Shonely</v>
      </c>
      <c r="W3624">
        <f>Table2[Profit]/Table2[Sales]</f>
        <v>0.08</v>
      </c>
    </row>
    <row r="3625" spans="1:23" x14ac:dyDescent="0.25">
      <c r="A3625">
        <v>3624</v>
      </c>
      <c r="B3625" t="s">
        <v>9164</v>
      </c>
      <c r="C3625" s="1">
        <v>41884</v>
      </c>
      <c r="D3625" s="1">
        <v>41889</v>
      </c>
      <c r="E3625" t="s">
        <v>49</v>
      </c>
      <c r="F3625" t="s">
        <v>1139</v>
      </c>
      <c r="G3625" t="s">
        <v>1140</v>
      </c>
      <c r="H3625" t="s">
        <v>40</v>
      </c>
      <c r="I3625" t="s">
        <v>26</v>
      </c>
      <c r="J3625" t="s">
        <v>181</v>
      </c>
      <c r="K3625" t="s">
        <v>103</v>
      </c>
      <c r="L3625">
        <v>77095</v>
      </c>
      <c r="M3625" t="s">
        <v>104</v>
      </c>
      <c r="N3625" t="s">
        <v>5622</v>
      </c>
      <c r="O3625" t="s">
        <v>70</v>
      </c>
      <c r="P3625" t="s">
        <v>675</v>
      </c>
      <c r="Q3625" t="s">
        <v>5623</v>
      </c>
      <c r="R3625">
        <v>559.71</v>
      </c>
      <c r="S3625">
        <v>3</v>
      </c>
      <c r="T3625">
        <v>0.4</v>
      </c>
      <c r="U3625">
        <v>-121.2705</v>
      </c>
      <c r="V3625" t="str">
        <f t="shared" si="56"/>
        <v>Andy Gerbode</v>
      </c>
      <c r="W3625">
        <f>Table2[Profit]/Table2[Sales]</f>
        <v>-0.21666666666666665</v>
      </c>
    </row>
    <row r="3626" spans="1:23" x14ac:dyDescent="0.25">
      <c r="A3626">
        <v>3625</v>
      </c>
      <c r="B3626" t="s">
        <v>9165</v>
      </c>
      <c r="C3626" s="1">
        <v>42399</v>
      </c>
      <c r="D3626" s="1">
        <v>42400</v>
      </c>
      <c r="E3626" t="s">
        <v>185</v>
      </c>
      <c r="F3626" t="s">
        <v>512</v>
      </c>
      <c r="G3626" t="s">
        <v>513</v>
      </c>
      <c r="H3626" t="s">
        <v>25</v>
      </c>
      <c r="I3626" t="s">
        <v>26</v>
      </c>
      <c r="J3626" t="s">
        <v>126</v>
      </c>
      <c r="K3626" t="s">
        <v>42</v>
      </c>
      <c r="L3626">
        <v>94122</v>
      </c>
      <c r="M3626" t="s">
        <v>43</v>
      </c>
      <c r="N3626" t="s">
        <v>1181</v>
      </c>
      <c r="O3626" t="s">
        <v>45</v>
      </c>
      <c r="P3626" t="s">
        <v>58</v>
      </c>
      <c r="Q3626" t="s">
        <v>1182</v>
      </c>
      <c r="R3626">
        <v>305.01</v>
      </c>
      <c r="S3626">
        <v>9</v>
      </c>
      <c r="T3626">
        <v>0</v>
      </c>
      <c r="U3626">
        <v>76.252499999999998</v>
      </c>
      <c r="V3626" t="str">
        <f t="shared" si="56"/>
        <v>Steven Cartwright</v>
      </c>
      <c r="W3626">
        <f>Table2[Profit]/Table2[Sales]</f>
        <v>0.25</v>
      </c>
    </row>
    <row r="3627" spans="1:23" x14ac:dyDescent="0.25">
      <c r="A3627">
        <v>3626</v>
      </c>
      <c r="B3627" t="s">
        <v>9166</v>
      </c>
      <c r="C3627" s="1">
        <v>43073</v>
      </c>
      <c r="D3627" s="1">
        <v>43078</v>
      </c>
      <c r="E3627" t="s">
        <v>49</v>
      </c>
      <c r="F3627" t="s">
        <v>1962</v>
      </c>
      <c r="G3627" t="s">
        <v>1963</v>
      </c>
      <c r="H3627" t="s">
        <v>25</v>
      </c>
      <c r="I3627" t="s">
        <v>26</v>
      </c>
      <c r="J3627" t="s">
        <v>5545</v>
      </c>
      <c r="K3627" t="s">
        <v>328</v>
      </c>
      <c r="L3627">
        <v>37211</v>
      </c>
      <c r="M3627" t="s">
        <v>29</v>
      </c>
      <c r="N3627" t="s">
        <v>9167</v>
      </c>
      <c r="O3627" t="s">
        <v>70</v>
      </c>
      <c r="P3627" t="s">
        <v>675</v>
      </c>
      <c r="Q3627" t="s">
        <v>8853</v>
      </c>
      <c r="R3627">
        <v>649</v>
      </c>
      <c r="S3627">
        <v>2</v>
      </c>
      <c r="T3627">
        <v>0.5</v>
      </c>
      <c r="U3627">
        <v>-272.58</v>
      </c>
      <c r="V3627" t="str">
        <f t="shared" si="56"/>
        <v>Lena Radford</v>
      </c>
      <c r="W3627">
        <f>Table2[Profit]/Table2[Sales]</f>
        <v>-0.42</v>
      </c>
    </row>
    <row r="3628" spans="1:23" x14ac:dyDescent="0.25">
      <c r="A3628">
        <v>3627</v>
      </c>
      <c r="B3628" t="s">
        <v>9168</v>
      </c>
      <c r="C3628" s="1">
        <v>42392</v>
      </c>
      <c r="D3628" s="1">
        <v>42398</v>
      </c>
      <c r="E3628" t="s">
        <v>49</v>
      </c>
      <c r="F3628" t="s">
        <v>4750</v>
      </c>
      <c r="G3628" t="s">
        <v>4751</v>
      </c>
      <c r="H3628" t="s">
        <v>25</v>
      </c>
      <c r="I3628" t="s">
        <v>26</v>
      </c>
      <c r="J3628" t="s">
        <v>41</v>
      </c>
      <c r="K3628" t="s">
        <v>42</v>
      </c>
      <c r="L3628">
        <v>90036</v>
      </c>
      <c r="M3628" t="s">
        <v>43</v>
      </c>
      <c r="N3628" t="s">
        <v>7472</v>
      </c>
      <c r="O3628" t="s">
        <v>31</v>
      </c>
      <c r="P3628" t="s">
        <v>64</v>
      </c>
      <c r="Q3628" t="s">
        <v>7473</v>
      </c>
      <c r="R3628">
        <v>59.99</v>
      </c>
      <c r="S3628">
        <v>7</v>
      </c>
      <c r="T3628">
        <v>0</v>
      </c>
      <c r="U3628">
        <v>21.596399999999999</v>
      </c>
      <c r="V3628" t="str">
        <f t="shared" si="56"/>
        <v>Christy Brittain</v>
      </c>
      <c r="W3628">
        <f>Table2[Profit]/Table2[Sales]</f>
        <v>0.36</v>
      </c>
    </row>
    <row r="3629" spans="1:23" x14ac:dyDescent="0.25">
      <c r="A3629">
        <v>3628</v>
      </c>
      <c r="B3629" t="s">
        <v>9169</v>
      </c>
      <c r="C3629" s="1">
        <v>42150</v>
      </c>
      <c r="D3629" s="1">
        <v>42155</v>
      </c>
      <c r="E3629" t="s">
        <v>49</v>
      </c>
      <c r="F3629" t="s">
        <v>657</v>
      </c>
      <c r="G3629" t="s">
        <v>658</v>
      </c>
      <c r="H3629" t="s">
        <v>25</v>
      </c>
      <c r="I3629" t="s">
        <v>26</v>
      </c>
      <c r="J3629" t="s">
        <v>4036</v>
      </c>
      <c r="K3629" t="s">
        <v>95</v>
      </c>
      <c r="L3629">
        <v>98006</v>
      </c>
      <c r="M3629" t="s">
        <v>43</v>
      </c>
      <c r="N3629" t="s">
        <v>2013</v>
      </c>
      <c r="O3629" t="s">
        <v>31</v>
      </c>
      <c r="P3629" t="s">
        <v>64</v>
      </c>
      <c r="Q3629" t="s">
        <v>2014</v>
      </c>
      <c r="R3629">
        <v>20.239999999999998</v>
      </c>
      <c r="S3629">
        <v>1</v>
      </c>
      <c r="T3629">
        <v>0</v>
      </c>
      <c r="U3629">
        <v>7.8936000000000002</v>
      </c>
      <c r="V3629" t="str">
        <f t="shared" si="56"/>
        <v>Ruben Dartt</v>
      </c>
      <c r="W3629">
        <f>Table2[Profit]/Table2[Sales]</f>
        <v>0.39</v>
      </c>
    </row>
    <row r="3630" spans="1:23" x14ac:dyDescent="0.25">
      <c r="A3630">
        <v>3629</v>
      </c>
      <c r="B3630" t="s">
        <v>9170</v>
      </c>
      <c r="C3630" s="1">
        <v>41763</v>
      </c>
      <c r="D3630" s="1">
        <v>41764</v>
      </c>
      <c r="E3630" t="s">
        <v>185</v>
      </c>
      <c r="F3630" t="s">
        <v>3240</v>
      </c>
      <c r="G3630" t="s">
        <v>3241</v>
      </c>
      <c r="H3630" t="s">
        <v>25</v>
      </c>
      <c r="I3630" t="s">
        <v>26</v>
      </c>
      <c r="J3630" t="s">
        <v>181</v>
      </c>
      <c r="K3630" t="s">
        <v>103</v>
      </c>
      <c r="L3630">
        <v>77036</v>
      </c>
      <c r="M3630" t="s">
        <v>104</v>
      </c>
      <c r="N3630" t="s">
        <v>6649</v>
      </c>
      <c r="O3630" t="s">
        <v>45</v>
      </c>
      <c r="P3630" t="s">
        <v>67</v>
      </c>
      <c r="Q3630" t="s">
        <v>6650</v>
      </c>
      <c r="R3630">
        <v>37.840000000000003</v>
      </c>
      <c r="S3630">
        <v>2</v>
      </c>
      <c r="T3630">
        <v>0.2</v>
      </c>
      <c r="U3630">
        <v>2.8380000000000001</v>
      </c>
      <c r="V3630" t="str">
        <f t="shared" si="56"/>
        <v>Nat Carroll</v>
      </c>
      <c r="W3630">
        <f>Table2[Profit]/Table2[Sales]</f>
        <v>7.4999999999999997E-2</v>
      </c>
    </row>
    <row r="3631" spans="1:23" x14ac:dyDescent="0.25">
      <c r="A3631">
        <v>3630</v>
      </c>
      <c r="B3631" t="s">
        <v>9171</v>
      </c>
      <c r="C3631" s="1">
        <v>42045</v>
      </c>
      <c r="D3631" s="1">
        <v>42049</v>
      </c>
      <c r="E3631" t="s">
        <v>22</v>
      </c>
      <c r="F3631" t="s">
        <v>1993</v>
      </c>
      <c r="G3631" t="s">
        <v>1994</v>
      </c>
      <c r="H3631" t="s">
        <v>40</v>
      </c>
      <c r="I3631" t="s">
        <v>26</v>
      </c>
      <c r="J3631" t="s">
        <v>143</v>
      </c>
      <c r="K3631" t="s">
        <v>144</v>
      </c>
      <c r="L3631">
        <v>19143</v>
      </c>
      <c r="M3631" t="s">
        <v>145</v>
      </c>
      <c r="N3631" t="s">
        <v>4787</v>
      </c>
      <c r="O3631" t="s">
        <v>45</v>
      </c>
      <c r="P3631" t="s">
        <v>58</v>
      </c>
      <c r="Q3631" t="s">
        <v>4788</v>
      </c>
      <c r="R3631">
        <v>77.239999999999995</v>
      </c>
      <c r="S3631">
        <v>5</v>
      </c>
      <c r="T3631">
        <v>0.2</v>
      </c>
      <c r="U3631">
        <v>7.7240000000000002</v>
      </c>
      <c r="V3631" t="str">
        <f t="shared" si="56"/>
        <v>Nona Balk</v>
      </c>
      <c r="W3631">
        <f>Table2[Profit]/Table2[Sales]</f>
        <v>0.1</v>
      </c>
    </row>
    <row r="3632" spans="1:23" x14ac:dyDescent="0.25">
      <c r="A3632">
        <v>3631</v>
      </c>
      <c r="B3632" t="s">
        <v>9172</v>
      </c>
      <c r="C3632" s="1">
        <v>41961</v>
      </c>
      <c r="D3632" s="1">
        <v>41964</v>
      </c>
      <c r="E3632" t="s">
        <v>185</v>
      </c>
      <c r="F3632" t="s">
        <v>2453</v>
      </c>
      <c r="G3632" t="s">
        <v>2454</v>
      </c>
      <c r="H3632" t="s">
        <v>25</v>
      </c>
      <c r="I3632" t="s">
        <v>26</v>
      </c>
      <c r="J3632" t="s">
        <v>8525</v>
      </c>
      <c r="K3632" t="s">
        <v>208</v>
      </c>
      <c r="L3632">
        <v>60016</v>
      </c>
      <c r="M3632" t="s">
        <v>104</v>
      </c>
      <c r="N3632" t="s">
        <v>1097</v>
      </c>
      <c r="O3632" t="s">
        <v>31</v>
      </c>
      <c r="P3632" t="s">
        <v>55</v>
      </c>
      <c r="Q3632" t="s">
        <v>1098</v>
      </c>
      <c r="R3632">
        <v>292.10000000000002</v>
      </c>
      <c r="S3632">
        <v>4</v>
      </c>
      <c r="T3632">
        <v>0.5</v>
      </c>
      <c r="U3632">
        <v>-175.26</v>
      </c>
      <c r="V3632" t="str">
        <f t="shared" si="56"/>
        <v>Joe Kamberova</v>
      </c>
      <c r="W3632">
        <f>Table2[Profit]/Table2[Sales]</f>
        <v>-0.59999999999999987</v>
      </c>
    </row>
    <row r="3633" spans="1:23" x14ac:dyDescent="0.25">
      <c r="A3633">
        <v>3632</v>
      </c>
      <c r="B3633" t="s">
        <v>9173</v>
      </c>
      <c r="C3633" s="1">
        <v>42982</v>
      </c>
      <c r="D3633" s="1">
        <v>42986</v>
      </c>
      <c r="E3633" t="s">
        <v>49</v>
      </c>
      <c r="F3633" t="s">
        <v>8310</v>
      </c>
      <c r="G3633" t="s">
        <v>8311</v>
      </c>
      <c r="H3633" t="s">
        <v>25</v>
      </c>
      <c r="I3633" t="s">
        <v>26</v>
      </c>
      <c r="J3633" t="s">
        <v>3392</v>
      </c>
      <c r="K3633" t="s">
        <v>53</v>
      </c>
      <c r="L3633">
        <v>33437</v>
      </c>
      <c r="M3633" t="s">
        <v>29</v>
      </c>
      <c r="N3633" t="s">
        <v>694</v>
      </c>
      <c r="O3633" t="s">
        <v>31</v>
      </c>
      <c r="P3633" t="s">
        <v>35</v>
      </c>
      <c r="Q3633" t="s">
        <v>695</v>
      </c>
      <c r="R3633">
        <v>97.183999999999997</v>
      </c>
      <c r="S3633">
        <v>2</v>
      </c>
      <c r="T3633">
        <v>0.2</v>
      </c>
      <c r="U3633">
        <v>6.0739999999999998</v>
      </c>
      <c r="V3633" t="str">
        <f t="shared" si="56"/>
        <v>Doug O'Connell</v>
      </c>
      <c r="W3633">
        <f>Table2[Profit]/Table2[Sales]</f>
        <v>6.25E-2</v>
      </c>
    </row>
    <row r="3634" spans="1:23" x14ac:dyDescent="0.25">
      <c r="A3634">
        <v>3633</v>
      </c>
      <c r="B3634" t="s">
        <v>9174</v>
      </c>
      <c r="C3634" s="1">
        <v>41727</v>
      </c>
      <c r="D3634" s="1">
        <v>41731</v>
      </c>
      <c r="E3634" t="s">
        <v>49</v>
      </c>
      <c r="F3634" t="s">
        <v>1772</v>
      </c>
      <c r="G3634" t="s">
        <v>1773</v>
      </c>
      <c r="H3634" t="s">
        <v>25</v>
      </c>
      <c r="I3634" t="s">
        <v>26</v>
      </c>
      <c r="J3634" t="s">
        <v>4260</v>
      </c>
      <c r="K3634" t="s">
        <v>103</v>
      </c>
      <c r="L3634">
        <v>75023</v>
      </c>
      <c r="M3634" t="s">
        <v>104</v>
      </c>
      <c r="N3634" t="s">
        <v>1579</v>
      </c>
      <c r="O3634" t="s">
        <v>31</v>
      </c>
      <c r="P3634" t="s">
        <v>55</v>
      </c>
      <c r="Q3634" t="s">
        <v>1580</v>
      </c>
      <c r="R3634">
        <v>890.84100000000001</v>
      </c>
      <c r="S3634">
        <v>3</v>
      </c>
      <c r="T3634">
        <v>0.3</v>
      </c>
      <c r="U3634">
        <v>-152.71559999999999</v>
      </c>
      <c r="V3634" t="str">
        <f t="shared" si="56"/>
        <v>Mike Gockenbach</v>
      </c>
      <c r="W3634">
        <f>Table2[Profit]/Table2[Sales]</f>
        <v>-0.17142857142857143</v>
      </c>
    </row>
    <row r="3635" spans="1:23" x14ac:dyDescent="0.25">
      <c r="A3635">
        <v>3634</v>
      </c>
      <c r="B3635" t="s">
        <v>9175</v>
      </c>
      <c r="C3635" s="1">
        <v>42679</v>
      </c>
      <c r="D3635" s="1">
        <v>42681</v>
      </c>
      <c r="E3635" t="s">
        <v>22</v>
      </c>
      <c r="F3635" t="s">
        <v>934</v>
      </c>
      <c r="G3635" t="s">
        <v>935</v>
      </c>
      <c r="H3635" t="s">
        <v>25</v>
      </c>
      <c r="I3635" t="s">
        <v>26</v>
      </c>
      <c r="J3635" t="s">
        <v>622</v>
      </c>
      <c r="K3635" t="s">
        <v>42</v>
      </c>
      <c r="L3635">
        <v>95123</v>
      </c>
      <c r="M3635" t="s">
        <v>43</v>
      </c>
      <c r="N3635" t="s">
        <v>6530</v>
      </c>
      <c r="O3635" t="s">
        <v>70</v>
      </c>
      <c r="P3635" t="s">
        <v>158</v>
      </c>
      <c r="Q3635" t="s">
        <v>6531</v>
      </c>
      <c r="R3635">
        <v>72</v>
      </c>
      <c r="S3635">
        <v>4</v>
      </c>
      <c r="T3635">
        <v>0</v>
      </c>
      <c r="U3635">
        <v>12.96</v>
      </c>
      <c r="V3635" t="str">
        <f t="shared" si="56"/>
        <v>Logan Haushalter</v>
      </c>
      <c r="W3635">
        <f>Table2[Profit]/Table2[Sales]</f>
        <v>0.18000000000000002</v>
      </c>
    </row>
    <row r="3636" spans="1:23" x14ac:dyDescent="0.25">
      <c r="A3636">
        <v>3635</v>
      </c>
      <c r="B3636" t="s">
        <v>9176</v>
      </c>
      <c r="C3636" s="1">
        <v>42896</v>
      </c>
      <c r="D3636" s="1">
        <v>42900</v>
      </c>
      <c r="E3636" t="s">
        <v>22</v>
      </c>
      <c r="F3636" t="s">
        <v>1307</v>
      </c>
      <c r="G3636" t="s">
        <v>1308</v>
      </c>
      <c r="H3636" t="s">
        <v>40</v>
      </c>
      <c r="I3636" t="s">
        <v>26</v>
      </c>
      <c r="J3636" t="s">
        <v>263</v>
      </c>
      <c r="K3636" t="s">
        <v>264</v>
      </c>
      <c r="L3636">
        <v>10024</v>
      </c>
      <c r="M3636" t="s">
        <v>145</v>
      </c>
      <c r="N3636" t="s">
        <v>4763</v>
      </c>
      <c r="O3636" t="s">
        <v>45</v>
      </c>
      <c r="P3636" t="s">
        <v>266</v>
      </c>
      <c r="Q3636" t="s">
        <v>4764</v>
      </c>
      <c r="R3636">
        <v>14.13</v>
      </c>
      <c r="S3636">
        <v>3</v>
      </c>
      <c r="T3636">
        <v>0</v>
      </c>
      <c r="U3636">
        <v>0.70650000000000002</v>
      </c>
      <c r="V3636" t="str">
        <f t="shared" si="56"/>
        <v>Muhammed MacIntyre</v>
      </c>
      <c r="W3636">
        <f>Table2[Profit]/Table2[Sales]</f>
        <v>4.9999999999999996E-2</v>
      </c>
    </row>
    <row r="3637" spans="1:23" x14ac:dyDescent="0.25">
      <c r="A3637">
        <v>3636</v>
      </c>
      <c r="B3637" t="s">
        <v>9177</v>
      </c>
      <c r="C3637" s="1">
        <v>42226</v>
      </c>
      <c r="D3637" s="1">
        <v>42230</v>
      </c>
      <c r="E3637" t="s">
        <v>49</v>
      </c>
      <c r="F3637" t="s">
        <v>1844</v>
      </c>
      <c r="G3637" t="s">
        <v>1845</v>
      </c>
      <c r="H3637" t="s">
        <v>25</v>
      </c>
      <c r="I3637" t="s">
        <v>26</v>
      </c>
      <c r="J3637" t="s">
        <v>873</v>
      </c>
      <c r="K3637" t="s">
        <v>235</v>
      </c>
      <c r="L3637">
        <v>48227</v>
      </c>
      <c r="M3637" t="s">
        <v>104</v>
      </c>
      <c r="N3637" t="s">
        <v>2177</v>
      </c>
      <c r="O3637" t="s">
        <v>45</v>
      </c>
      <c r="P3637" t="s">
        <v>74</v>
      </c>
      <c r="Q3637" t="s">
        <v>3528</v>
      </c>
      <c r="R3637">
        <v>64.75</v>
      </c>
      <c r="S3637">
        <v>5</v>
      </c>
      <c r="T3637">
        <v>0</v>
      </c>
      <c r="U3637">
        <v>29.137499999999999</v>
      </c>
      <c r="V3637" t="str">
        <f t="shared" si="56"/>
        <v>Bill Donatelli</v>
      </c>
      <c r="W3637">
        <f>Table2[Profit]/Table2[Sales]</f>
        <v>0.45</v>
      </c>
    </row>
    <row r="3638" spans="1:23" x14ac:dyDescent="0.25">
      <c r="A3638">
        <v>3637</v>
      </c>
      <c r="B3638" t="s">
        <v>9178</v>
      </c>
      <c r="C3638" s="1">
        <v>42286</v>
      </c>
      <c r="D3638" s="1">
        <v>42290</v>
      </c>
      <c r="E3638" t="s">
        <v>49</v>
      </c>
      <c r="F3638" t="s">
        <v>5459</v>
      </c>
      <c r="G3638" t="s">
        <v>5460</v>
      </c>
      <c r="H3638" t="s">
        <v>25</v>
      </c>
      <c r="I3638" t="s">
        <v>26</v>
      </c>
      <c r="J3638" t="s">
        <v>1406</v>
      </c>
      <c r="K3638" t="s">
        <v>53</v>
      </c>
      <c r="L3638">
        <v>33178</v>
      </c>
      <c r="M3638" t="s">
        <v>29</v>
      </c>
      <c r="N3638" t="s">
        <v>2873</v>
      </c>
      <c r="O3638" t="s">
        <v>45</v>
      </c>
      <c r="P3638" t="s">
        <v>74</v>
      </c>
      <c r="Q3638" t="s">
        <v>2874</v>
      </c>
      <c r="R3638">
        <v>1.8720000000000001</v>
      </c>
      <c r="S3638">
        <v>2</v>
      </c>
      <c r="T3638">
        <v>0.7</v>
      </c>
      <c r="U3638">
        <v>-1.3104</v>
      </c>
      <c r="V3638" t="str">
        <f t="shared" si="56"/>
        <v>Sonia Cooley</v>
      </c>
      <c r="W3638">
        <f>Table2[Profit]/Table2[Sales]</f>
        <v>-0.7</v>
      </c>
    </row>
    <row r="3639" spans="1:23" x14ac:dyDescent="0.25">
      <c r="A3639">
        <v>3638</v>
      </c>
      <c r="B3639" t="s">
        <v>9179</v>
      </c>
      <c r="C3639" s="1">
        <v>42518</v>
      </c>
      <c r="D3639" s="1">
        <v>42523</v>
      </c>
      <c r="E3639" t="s">
        <v>49</v>
      </c>
      <c r="F3639" t="s">
        <v>1577</v>
      </c>
      <c r="G3639" t="s">
        <v>1578</v>
      </c>
      <c r="H3639" t="s">
        <v>101</v>
      </c>
      <c r="I3639" t="s">
        <v>26</v>
      </c>
      <c r="J3639" t="s">
        <v>1588</v>
      </c>
      <c r="K3639" t="s">
        <v>208</v>
      </c>
      <c r="L3639">
        <v>60068</v>
      </c>
      <c r="M3639" t="s">
        <v>104</v>
      </c>
      <c r="N3639" t="s">
        <v>4374</v>
      </c>
      <c r="O3639" t="s">
        <v>70</v>
      </c>
      <c r="P3639" t="s">
        <v>71</v>
      </c>
      <c r="Q3639" t="s">
        <v>4375</v>
      </c>
      <c r="R3639">
        <v>286.39999999999998</v>
      </c>
      <c r="S3639">
        <v>1</v>
      </c>
      <c r="T3639">
        <v>0.2</v>
      </c>
      <c r="U3639">
        <v>25.06</v>
      </c>
      <c r="V3639" t="str">
        <f t="shared" si="56"/>
        <v>Tanja Norvell</v>
      </c>
      <c r="W3639">
        <f>Table2[Profit]/Table2[Sales]</f>
        <v>8.7500000000000008E-2</v>
      </c>
    </row>
    <row r="3640" spans="1:23" x14ac:dyDescent="0.25">
      <c r="A3640">
        <v>3639</v>
      </c>
      <c r="B3640" t="s">
        <v>9180</v>
      </c>
      <c r="C3640" s="1">
        <v>42866</v>
      </c>
      <c r="D3640" s="1">
        <v>42871</v>
      </c>
      <c r="E3640" t="s">
        <v>22</v>
      </c>
      <c r="F3640" t="s">
        <v>1946</v>
      </c>
      <c r="G3640" t="s">
        <v>1947</v>
      </c>
      <c r="H3640" t="s">
        <v>25</v>
      </c>
      <c r="I3640" t="s">
        <v>26</v>
      </c>
      <c r="J3640" t="s">
        <v>263</v>
      </c>
      <c r="K3640" t="s">
        <v>264</v>
      </c>
      <c r="L3640">
        <v>10024</v>
      </c>
      <c r="M3640" t="s">
        <v>145</v>
      </c>
      <c r="N3640" t="s">
        <v>4145</v>
      </c>
      <c r="O3640" t="s">
        <v>45</v>
      </c>
      <c r="P3640" t="s">
        <v>67</v>
      </c>
      <c r="Q3640" t="s">
        <v>4146</v>
      </c>
      <c r="R3640">
        <v>43.92</v>
      </c>
      <c r="S3640">
        <v>3</v>
      </c>
      <c r="T3640">
        <v>0</v>
      </c>
      <c r="U3640">
        <v>12.736800000000001</v>
      </c>
      <c r="V3640" t="str">
        <f t="shared" si="56"/>
        <v>Zuschuss Carroll</v>
      </c>
      <c r="W3640">
        <f>Table2[Profit]/Table2[Sales]</f>
        <v>0.28999999999999998</v>
      </c>
    </row>
    <row r="3641" spans="1:23" x14ac:dyDescent="0.25">
      <c r="A3641">
        <v>3640</v>
      </c>
      <c r="B3641" t="s">
        <v>9181</v>
      </c>
      <c r="C3641" s="1">
        <v>42659</v>
      </c>
      <c r="D3641" s="1">
        <v>42663</v>
      </c>
      <c r="E3641" t="s">
        <v>49</v>
      </c>
      <c r="F3641" t="s">
        <v>1993</v>
      </c>
      <c r="G3641" t="s">
        <v>1994</v>
      </c>
      <c r="H3641" t="s">
        <v>40</v>
      </c>
      <c r="I3641" t="s">
        <v>26</v>
      </c>
      <c r="J3641" t="s">
        <v>263</v>
      </c>
      <c r="K3641" t="s">
        <v>264</v>
      </c>
      <c r="L3641">
        <v>10011</v>
      </c>
      <c r="M3641" t="s">
        <v>145</v>
      </c>
      <c r="N3641" t="s">
        <v>79</v>
      </c>
      <c r="O3641" t="s">
        <v>31</v>
      </c>
      <c r="P3641" t="s">
        <v>55</v>
      </c>
      <c r="Q3641" t="s">
        <v>80</v>
      </c>
      <c r="R3641">
        <v>142.18199999999999</v>
      </c>
      <c r="S3641">
        <v>1</v>
      </c>
      <c r="T3641">
        <v>0.4</v>
      </c>
      <c r="U3641">
        <v>-37.915199999999999</v>
      </c>
      <c r="V3641" t="str">
        <f t="shared" si="56"/>
        <v>Nona Balk</v>
      </c>
      <c r="W3641">
        <f>Table2[Profit]/Table2[Sales]</f>
        <v>-0.26666666666666666</v>
      </c>
    </row>
    <row r="3642" spans="1:23" x14ac:dyDescent="0.25">
      <c r="A3642">
        <v>3641</v>
      </c>
      <c r="B3642" t="s">
        <v>9182</v>
      </c>
      <c r="C3642" s="1">
        <v>43056</v>
      </c>
      <c r="D3642" s="1">
        <v>43060</v>
      </c>
      <c r="E3642" t="s">
        <v>49</v>
      </c>
      <c r="F3642" t="s">
        <v>4522</v>
      </c>
      <c r="G3642" t="s">
        <v>4523</v>
      </c>
      <c r="H3642" t="s">
        <v>40</v>
      </c>
      <c r="I3642" t="s">
        <v>26</v>
      </c>
      <c r="J3642" t="s">
        <v>9183</v>
      </c>
      <c r="K3642" t="s">
        <v>413</v>
      </c>
      <c r="L3642">
        <v>97123</v>
      </c>
      <c r="M3642" t="s">
        <v>43</v>
      </c>
      <c r="N3642" t="s">
        <v>8814</v>
      </c>
      <c r="O3642" t="s">
        <v>45</v>
      </c>
      <c r="P3642" t="s">
        <v>89</v>
      </c>
      <c r="Q3642" t="s">
        <v>8815</v>
      </c>
      <c r="R3642">
        <v>19.608000000000001</v>
      </c>
      <c r="S3642">
        <v>3</v>
      </c>
      <c r="T3642">
        <v>0.2</v>
      </c>
      <c r="U3642">
        <v>6.6177000000000001</v>
      </c>
      <c r="V3642" t="str">
        <f t="shared" si="56"/>
        <v>Katharine Harms</v>
      </c>
      <c r="W3642">
        <f>Table2[Profit]/Table2[Sales]</f>
        <v>0.33750000000000002</v>
      </c>
    </row>
    <row r="3643" spans="1:23" x14ac:dyDescent="0.25">
      <c r="A3643">
        <v>3642</v>
      </c>
      <c r="B3643" t="s">
        <v>9184</v>
      </c>
      <c r="C3643" s="1">
        <v>43065</v>
      </c>
      <c r="D3643" s="1">
        <v>43068</v>
      </c>
      <c r="E3643" t="s">
        <v>22</v>
      </c>
      <c r="F3643" t="s">
        <v>3608</v>
      </c>
      <c r="G3643" t="s">
        <v>3609</v>
      </c>
      <c r="H3643" t="s">
        <v>25</v>
      </c>
      <c r="I3643" t="s">
        <v>26</v>
      </c>
      <c r="J3643" t="s">
        <v>263</v>
      </c>
      <c r="K3643" t="s">
        <v>264</v>
      </c>
      <c r="L3643">
        <v>10009</v>
      </c>
      <c r="M3643" t="s">
        <v>145</v>
      </c>
      <c r="N3643" t="s">
        <v>3707</v>
      </c>
      <c r="O3643" t="s">
        <v>70</v>
      </c>
      <c r="P3643" t="s">
        <v>71</v>
      </c>
      <c r="Q3643" t="s">
        <v>5587</v>
      </c>
      <c r="R3643">
        <v>979.95</v>
      </c>
      <c r="S3643">
        <v>5</v>
      </c>
      <c r="T3643">
        <v>0</v>
      </c>
      <c r="U3643">
        <v>264.5865</v>
      </c>
      <c r="V3643" t="str">
        <f t="shared" si="56"/>
        <v>Michael Nguyen</v>
      </c>
      <c r="W3643">
        <f>Table2[Profit]/Table2[Sales]</f>
        <v>0.26999999999999996</v>
      </c>
    </row>
    <row r="3644" spans="1:23" x14ac:dyDescent="0.25">
      <c r="A3644">
        <v>3643</v>
      </c>
      <c r="B3644" t="s">
        <v>9185</v>
      </c>
      <c r="C3644" s="1">
        <v>42981</v>
      </c>
      <c r="D3644" s="1">
        <v>42985</v>
      </c>
      <c r="E3644" t="s">
        <v>49</v>
      </c>
      <c r="F3644" t="s">
        <v>4107</v>
      </c>
      <c r="G3644" t="s">
        <v>4108</v>
      </c>
      <c r="H3644" t="s">
        <v>40</v>
      </c>
      <c r="I3644" t="s">
        <v>26</v>
      </c>
      <c r="J3644" t="s">
        <v>296</v>
      </c>
      <c r="K3644" t="s">
        <v>208</v>
      </c>
      <c r="L3644">
        <v>60623</v>
      </c>
      <c r="M3644" t="s">
        <v>104</v>
      </c>
      <c r="N3644" t="s">
        <v>4313</v>
      </c>
      <c r="O3644" t="s">
        <v>45</v>
      </c>
      <c r="P3644" t="s">
        <v>89</v>
      </c>
      <c r="Q3644" t="s">
        <v>4314</v>
      </c>
      <c r="R3644">
        <v>8.9039999999999999</v>
      </c>
      <c r="S3644">
        <v>3</v>
      </c>
      <c r="T3644">
        <v>0.2</v>
      </c>
      <c r="U3644">
        <v>3.339</v>
      </c>
      <c r="V3644" t="str">
        <f t="shared" si="56"/>
        <v>Muhammed Yedwab</v>
      </c>
      <c r="W3644">
        <f>Table2[Profit]/Table2[Sales]</f>
        <v>0.375</v>
      </c>
    </row>
    <row r="3645" spans="1:23" x14ac:dyDescent="0.25">
      <c r="A3645">
        <v>3644</v>
      </c>
      <c r="B3645" t="s">
        <v>9186</v>
      </c>
      <c r="C3645" s="1">
        <v>43074</v>
      </c>
      <c r="D3645" s="1">
        <v>43077</v>
      </c>
      <c r="E3645" t="s">
        <v>185</v>
      </c>
      <c r="F3645" t="s">
        <v>1924</v>
      </c>
      <c r="G3645" t="s">
        <v>1925</v>
      </c>
      <c r="H3645" t="s">
        <v>25</v>
      </c>
      <c r="I3645" t="s">
        <v>26</v>
      </c>
      <c r="J3645" t="s">
        <v>263</v>
      </c>
      <c r="K3645" t="s">
        <v>264</v>
      </c>
      <c r="L3645">
        <v>10024</v>
      </c>
      <c r="M3645" t="s">
        <v>145</v>
      </c>
      <c r="N3645" t="s">
        <v>476</v>
      </c>
      <c r="O3645" t="s">
        <v>31</v>
      </c>
      <c r="P3645" t="s">
        <v>64</v>
      </c>
      <c r="Q3645" t="s">
        <v>477</v>
      </c>
      <c r="R3645">
        <v>41.96</v>
      </c>
      <c r="S3645">
        <v>2</v>
      </c>
      <c r="T3645">
        <v>0</v>
      </c>
      <c r="U3645">
        <v>10.909599999999999</v>
      </c>
      <c r="V3645" t="str">
        <f t="shared" si="56"/>
        <v>Carlos Soltero</v>
      </c>
      <c r="W3645">
        <f>Table2[Profit]/Table2[Sales]</f>
        <v>0.25999999999999995</v>
      </c>
    </row>
    <row r="3646" spans="1:23" x14ac:dyDescent="0.25">
      <c r="A3646">
        <v>3645</v>
      </c>
      <c r="B3646" t="s">
        <v>9187</v>
      </c>
      <c r="C3646" s="1">
        <v>43049</v>
      </c>
      <c r="D3646" s="1">
        <v>43056</v>
      </c>
      <c r="E3646" t="s">
        <v>49</v>
      </c>
      <c r="F3646" t="s">
        <v>2193</v>
      </c>
      <c r="G3646" t="s">
        <v>2194</v>
      </c>
      <c r="H3646" t="s">
        <v>25</v>
      </c>
      <c r="I3646" t="s">
        <v>26</v>
      </c>
      <c r="J3646" t="s">
        <v>7631</v>
      </c>
      <c r="K3646" t="s">
        <v>95</v>
      </c>
      <c r="L3646">
        <v>99301</v>
      </c>
      <c r="M3646" t="s">
        <v>43</v>
      </c>
      <c r="N3646" t="s">
        <v>5278</v>
      </c>
      <c r="O3646" t="s">
        <v>45</v>
      </c>
      <c r="P3646" t="s">
        <v>77</v>
      </c>
      <c r="Q3646" t="s">
        <v>5279</v>
      </c>
      <c r="R3646">
        <v>400.8</v>
      </c>
      <c r="S3646">
        <v>5</v>
      </c>
      <c r="T3646">
        <v>0</v>
      </c>
      <c r="U3646">
        <v>112.224</v>
      </c>
      <c r="V3646" t="str">
        <f t="shared" si="56"/>
        <v>Michael Chen</v>
      </c>
      <c r="W3646">
        <f>Table2[Profit]/Table2[Sales]</f>
        <v>0.28000000000000003</v>
      </c>
    </row>
    <row r="3647" spans="1:23" x14ac:dyDescent="0.25">
      <c r="A3647">
        <v>3646</v>
      </c>
      <c r="B3647" t="s">
        <v>9188</v>
      </c>
      <c r="C3647" s="1">
        <v>41716</v>
      </c>
      <c r="D3647" s="1">
        <v>41722</v>
      </c>
      <c r="E3647" t="s">
        <v>49</v>
      </c>
      <c r="F3647" t="s">
        <v>2760</v>
      </c>
      <c r="G3647" t="s">
        <v>2761</v>
      </c>
      <c r="H3647" t="s">
        <v>101</v>
      </c>
      <c r="I3647" t="s">
        <v>26</v>
      </c>
      <c r="J3647" t="s">
        <v>9189</v>
      </c>
      <c r="K3647" t="s">
        <v>42</v>
      </c>
      <c r="L3647">
        <v>91505</v>
      </c>
      <c r="M3647" t="s">
        <v>43</v>
      </c>
      <c r="N3647" t="s">
        <v>5106</v>
      </c>
      <c r="O3647" t="s">
        <v>31</v>
      </c>
      <c r="P3647" t="s">
        <v>64</v>
      </c>
      <c r="Q3647" t="s">
        <v>5107</v>
      </c>
      <c r="R3647">
        <v>111</v>
      </c>
      <c r="S3647">
        <v>2</v>
      </c>
      <c r="T3647">
        <v>0</v>
      </c>
      <c r="U3647">
        <v>14.43</v>
      </c>
      <c r="V3647" t="str">
        <f t="shared" si="56"/>
        <v>Sample Company A</v>
      </c>
      <c r="W3647">
        <f>Table2[Profit]/Table2[Sales]</f>
        <v>0.13</v>
      </c>
    </row>
    <row r="3648" spans="1:23" x14ac:dyDescent="0.25">
      <c r="A3648">
        <v>3647</v>
      </c>
      <c r="B3648" t="s">
        <v>9190</v>
      </c>
      <c r="C3648" s="1">
        <v>42686</v>
      </c>
      <c r="D3648" s="1">
        <v>42687</v>
      </c>
      <c r="E3648" t="s">
        <v>185</v>
      </c>
      <c r="F3648" t="s">
        <v>620</v>
      </c>
      <c r="G3648" t="s">
        <v>621</v>
      </c>
      <c r="H3648" t="s">
        <v>40</v>
      </c>
      <c r="I3648" t="s">
        <v>26</v>
      </c>
      <c r="J3648" t="s">
        <v>296</v>
      </c>
      <c r="K3648" t="s">
        <v>208</v>
      </c>
      <c r="L3648">
        <v>60623</v>
      </c>
      <c r="M3648" t="s">
        <v>104</v>
      </c>
      <c r="N3648" t="s">
        <v>4647</v>
      </c>
      <c r="O3648" t="s">
        <v>31</v>
      </c>
      <c r="P3648" t="s">
        <v>64</v>
      </c>
      <c r="Q3648" t="s">
        <v>4648</v>
      </c>
      <c r="R3648">
        <v>22.751999999999999</v>
      </c>
      <c r="S3648">
        <v>6</v>
      </c>
      <c r="T3648">
        <v>0.6</v>
      </c>
      <c r="U3648">
        <v>-8.532</v>
      </c>
      <c r="V3648" t="str">
        <f t="shared" si="56"/>
        <v>Stephanie Phelps</v>
      </c>
      <c r="W3648">
        <f>Table2[Profit]/Table2[Sales]</f>
        <v>-0.375</v>
      </c>
    </row>
    <row r="3649" spans="1:23" x14ac:dyDescent="0.25">
      <c r="A3649">
        <v>3648</v>
      </c>
      <c r="B3649" t="s">
        <v>9191</v>
      </c>
      <c r="C3649" s="1">
        <v>43034</v>
      </c>
      <c r="D3649" s="1">
        <v>43038</v>
      </c>
      <c r="E3649" t="s">
        <v>49</v>
      </c>
      <c r="F3649" t="s">
        <v>3807</v>
      </c>
      <c r="G3649" t="s">
        <v>3808</v>
      </c>
      <c r="H3649" t="s">
        <v>40</v>
      </c>
      <c r="I3649" t="s">
        <v>26</v>
      </c>
      <c r="J3649" t="s">
        <v>2439</v>
      </c>
      <c r="K3649" t="s">
        <v>144</v>
      </c>
      <c r="L3649">
        <v>17602</v>
      </c>
      <c r="M3649" t="s">
        <v>145</v>
      </c>
      <c r="N3649" t="s">
        <v>978</v>
      </c>
      <c r="O3649" t="s">
        <v>70</v>
      </c>
      <c r="P3649" t="s">
        <v>71</v>
      </c>
      <c r="Q3649" t="s">
        <v>979</v>
      </c>
      <c r="R3649">
        <v>61.542000000000002</v>
      </c>
      <c r="S3649">
        <v>1</v>
      </c>
      <c r="T3649">
        <v>0.4</v>
      </c>
      <c r="U3649">
        <v>-13.334099999999999</v>
      </c>
      <c r="V3649" t="str">
        <f t="shared" si="56"/>
        <v>Shaun Chance</v>
      </c>
      <c r="W3649">
        <f>Table2[Profit]/Table2[Sales]</f>
        <v>-0.21666666666666665</v>
      </c>
    </row>
    <row r="3650" spans="1:23" x14ac:dyDescent="0.25">
      <c r="A3650">
        <v>3649</v>
      </c>
      <c r="B3650" t="s">
        <v>9192</v>
      </c>
      <c r="C3650" s="1">
        <v>42105</v>
      </c>
      <c r="D3650" s="1">
        <v>42111</v>
      </c>
      <c r="E3650" t="s">
        <v>49</v>
      </c>
      <c r="F3650" t="s">
        <v>6391</v>
      </c>
      <c r="G3650" t="s">
        <v>6392</v>
      </c>
      <c r="H3650" t="s">
        <v>25</v>
      </c>
      <c r="I3650" t="s">
        <v>26</v>
      </c>
      <c r="J3650" t="s">
        <v>893</v>
      </c>
      <c r="K3650" t="s">
        <v>53</v>
      </c>
      <c r="L3650">
        <v>33614</v>
      </c>
      <c r="M3650" t="s">
        <v>29</v>
      </c>
      <c r="N3650" t="s">
        <v>1724</v>
      </c>
      <c r="O3650" t="s">
        <v>31</v>
      </c>
      <c r="P3650" t="s">
        <v>64</v>
      </c>
      <c r="Q3650" t="s">
        <v>1725</v>
      </c>
      <c r="R3650">
        <v>67.36</v>
      </c>
      <c r="S3650">
        <v>2</v>
      </c>
      <c r="T3650">
        <v>0.2</v>
      </c>
      <c r="U3650">
        <v>10.103999999999999</v>
      </c>
      <c r="V3650" t="str">
        <f t="shared" si="56"/>
        <v>Patrick Ryan</v>
      </c>
      <c r="W3650">
        <f>Table2[Profit]/Table2[Sales]</f>
        <v>0.15</v>
      </c>
    </row>
    <row r="3651" spans="1:23" x14ac:dyDescent="0.25">
      <c r="A3651">
        <v>3650</v>
      </c>
      <c r="B3651" t="s">
        <v>9193</v>
      </c>
      <c r="C3651" s="1">
        <v>42363</v>
      </c>
      <c r="D3651" s="1">
        <v>42368</v>
      </c>
      <c r="E3651" t="s">
        <v>49</v>
      </c>
      <c r="F3651" t="s">
        <v>5171</v>
      </c>
      <c r="G3651" t="s">
        <v>5172</v>
      </c>
      <c r="H3651" t="s">
        <v>25</v>
      </c>
      <c r="I3651" t="s">
        <v>26</v>
      </c>
      <c r="J3651" t="s">
        <v>263</v>
      </c>
      <c r="K3651" t="s">
        <v>264</v>
      </c>
      <c r="L3651">
        <v>10024</v>
      </c>
      <c r="M3651" t="s">
        <v>145</v>
      </c>
      <c r="N3651" t="s">
        <v>2668</v>
      </c>
      <c r="O3651" t="s">
        <v>70</v>
      </c>
      <c r="P3651" t="s">
        <v>158</v>
      </c>
      <c r="Q3651" t="s">
        <v>4177</v>
      </c>
      <c r="R3651">
        <v>843.9</v>
      </c>
      <c r="S3651">
        <v>2</v>
      </c>
      <c r="T3651">
        <v>0</v>
      </c>
      <c r="U3651">
        <v>371.31599999999997</v>
      </c>
      <c r="V3651" t="str">
        <f t="shared" ref="V3651:V3714" si="57">TRIM(G3651)</f>
        <v>Jim Karlsson</v>
      </c>
      <c r="W3651">
        <f>Table2[Profit]/Table2[Sales]</f>
        <v>0.44</v>
      </c>
    </row>
    <row r="3652" spans="1:23" x14ac:dyDescent="0.25">
      <c r="A3652">
        <v>3651</v>
      </c>
      <c r="B3652" t="s">
        <v>9194</v>
      </c>
      <c r="C3652" s="1">
        <v>42999</v>
      </c>
      <c r="D3652" s="1">
        <v>43001</v>
      </c>
      <c r="E3652" t="s">
        <v>185</v>
      </c>
      <c r="F3652" t="s">
        <v>5225</v>
      </c>
      <c r="G3652" t="s">
        <v>5226</v>
      </c>
      <c r="H3652" t="s">
        <v>40</v>
      </c>
      <c r="I3652" t="s">
        <v>26</v>
      </c>
      <c r="J3652" t="s">
        <v>41</v>
      </c>
      <c r="K3652" t="s">
        <v>42</v>
      </c>
      <c r="L3652">
        <v>90045</v>
      </c>
      <c r="M3652" t="s">
        <v>43</v>
      </c>
      <c r="N3652" t="s">
        <v>3930</v>
      </c>
      <c r="O3652" t="s">
        <v>45</v>
      </c>
      <c r="P3652" t="s">
        <v>58</v>
      </c>
      <c r="Q3652" t="s">
        <v>6433</v>
      </c>
      <c r="R3652">
        <v>15.51</v>
      </c>
      <c r="S3652">
        <v>1</v>
      </c>
      <c r="T3652">
        <v>0</v>
      </c>
      <c r="U3652">
        <v>3.8774999999999999</v>
      </c>
      <c r="V3652" t="str">
        <f t="shared" si="57"/>
        <v>Brendan Murry</v>
      </c>
      <c r="W3652">
        <f>Table2[Profit]/Table2[Sales]</f>
        <v>0.25</v>
      </c>
    </row>
    <row r="3653" spans="1:23" x14ac:dyDescent="0.25">
      <c r="A3653">
        <v>3652</v>
      </c>
      <c r="B3653" t="s">
        <v>9195</v>
      </c>
      <c r="C3653" s="1">
        <v>41993</v>
      </c>
      <c r="D3653" s="1">
        <v>41996</v>
      </c>
      <c r="E3653" t="s">
        <v>22</v>
      </c>
      <c r="F3653" t="s">
        <v>3449</v>
      </c>
      <c r="G3653" t="s">
        <v>3450</v>
      </c>
      <c r="H3653" t="s">
        <v>40</v>
      </c>
      <c r="I3653" t="s">
        <v>26</v>
      </c>
      <c r="J3653" t="s">
        <v>263</v>
      </c>
      <c r="K3653" t="s">
        <v>264</v>
      </c>
      <c r="L3653">
        <v>10035</v>
      </c>
      <c r="M3653" t="s">
        <v>145</v>
      </c>
      <c r="N3653" t="s">
        <v>6007</v>
      </c>
      <c r="O3653" t="s">
        <v>31</v>
      </c>
      <c r="P3653" t="s">
        <v>35</v>
      </c>
      <c r="Q3653" t="s">
        <v>6008</v>
      </c>
      <c r="R3653">
        <v>192.18600000000001</v>
      </c>
      <c r="S3653">
        <v>3</v>
      </c>
      <c r="T3653">
        <v>0.1</v>
      </c>
      <c r="U3653">
        <v>36.3018</v>
      </c>
      <c r="V3653" t="str">
        <f t="shared" si="57"/>
        <v>Suzanne McNair</v>
      </c>
      <c r="W3653">
        <f>Table2[Profit]/Table2[Sales]</f>
        <v>0.18888888888888888</v>
      </c>
    </row>
    <row r="3654" spans="1:23" x14ac:dyDescent="0.25">
      <c r="A3654">
        <v>3653</v>
      </c>
      <c r="B3654" t="s">
        <v>9196</v>
      </c>
      <c r="C3654" s="1">
        <v>42203</v>
      </c>
      <c r="D3654" s="1">
        <v>42206</v>
      </c>
      <c r="E3654" t="s">
        <v>185</v>
      </c>
      <c r="F3654" t="s">
        <v>2823</v>
      </c>
      <c r="G3654" t="s">
        <v>2824</v>
      </c>
      <c r="H3654" t="s">
        <v>40</v>
      </c>
      <c r="I3654" t="s">
        <v>26</v>
      </c>
      <c r="J3654" t="s">
        <v>263</v>
      </c>
      <c r="K3654" t="s">
        <v>264</v>
      </c>
      <c r="L3654">
        <v>10009</v>
      </c>
      <c r="M3654" t="s">
        <v>145</v>
      </c>
      <c r="N3654" t="s">
        <v>2504</v>
      </c>
      <c r="O3654" t="s">
        <v>45</v>
      </c>
      <c r="P3654" t="s">
        <v>67</v>
      </c>
      <c r="Q3654" t="s">
        <v>2505</v>
      </c>
      <c r="R3654">
        <v>5.76</v>
      </c>
      <c r="S3654">
        <v>2</v>
      </c>
      <c r="T3654">
        <v>0</v>
      </c>
      <c r="U3654">
        <v>1.6128</v>
      </c>
      <c r="V3654" t="str">
        <f t="shared" si="57"/>
        <v>Karen Carlisle</v>
      </c>
      <c r="W3654">
        <f>Table2[Profit]/Table2[Sales]</f>
        <v>0.28000000000000003</v>
      </c>
    </row>
    <row r="3655" spans="1:23" x14ac:dyDescent="0.25">
      <c r="A3655">
        <v>3654</v>
      </c>
      <c r="B3655" t="s">
        <v>9197</v>
      </c>
      <c r="C3655" s="1">
        <v>41846</v>
      </c>
      <c r="D3655" s="1">
        <v>41852</v>
      </c>
      <c r="E3655" t="s">
        <v>49</v>
      </c>
      <c r="F3655" t="s">
        <v>4057</v>
      </c>
      <c r="G3655" t="s">
        <v>4058</v>
      </c>
      <c r="H3655" t="s">
        <v>25</v>
      </c>
      <c r="I3655" t="s">
        <v>26</v>
      </c>
      <c r="J3655" t="s">
        <v>1712</v>
      </c>
      <c r="K3655" t="s">
        <v>1260</v>
      </c>
      <c r="L3655">
        <v>30318</v>
      </c>
      <c r="M3655" t="s">
        <v>29</v>
      </c>
      <c r="N3655" t="s">
        <v>5060</v>
      </c>
      <c r="O3655" t="s">
        <v>31</v>
      </c>
      <c r="P3655" t="s">
        <v>35</v>
      </c>
      <c r="Q3655" t="s">
        <v>5061</v>
      </c>
      <c r="R3655">
        <v>67.88</v>
      </c>
      <c r="S3655">
        <v>2</v>
      </c>
      <c r="T3655">
        <v>0</v>
      </c>
      <c r="U3655">
        <v>18.3276</v>
      </c>
      <c r="V3655" t="str">
        <f t="shared" si="57"/>
        <v>Sheri Gordon</v>
      </c>
      <c r="W3655">
        <f>Table2[Profit]/Table2[Sales]</f>
        <v>0.27</v>
      </c>
    </row>
    <row r="3656" spans="1:23" x14ac:dyDescent="0.25">
      <c r="A3656">
        <v>3655</v>
      </c>
      <c r="B3656" t="s">
        <v>9198</v>
      </c>
      <c r="C3656" s="1">
        <v>41999</v>
      </c>
      <c r="D3656" s="1">
        <v>42005</v>
      </c>
      <c r="E3656" t="s">
        <v>49</v>
      </c>
      <c r="F3656" t="s">
        <v>161</v>
      </c>
      <c r="G3656" t="s">
        <v>162</v>
      </c>
      <c r="H3656" t="s">
        <v>25</v>
      </c>
      <c r="I3656" t="s">
        <v>26</v>
      </c>
      <c r="J3656" t="s">
        <v>263</v>
      </c>
      <c r="K3656" t="s">
        <v>264</v>
      </c>
      <c r="L3656">
        <v>10009</v>
      </c>
      <c r="M3656" t="s">
        <v>145</v>
      </c>
      <c r="N3656" t="s">
        <v>3471</v>
      </c>
      <c r="O3656" t="s">
        <v>45</v>
      </c>
      <c r="P3656" t="s">
        <v>58</v>
      </c>
      <c r="Q3656" t="s">
        <v>3472</v>
      </c>
      <c r="R3656">
        <v>191.88</v>
      </c>
      <c r="S3656">
        <v>6</v>
      </c>
      <c r="T3656">
        <v>0</v>
      </c>
      <c r="U3656">
        <v>19.187999999999999</v>
      </c>
      <c r="V3656" t="str">
        <f t="shared" si="57"/>
        <v>Tracy Blumstein</v>
      </c>
      <c r="W3656">
        <f>Table2[Profit]/Table2[Sales]</f>
        <v>9.9999999999999992E-2</v>
      </c>
    </row>
    <row r="3657" spans="1:23" x14ac:dyDescent="0.25">
      <c r="A3657">
        <v>3656</v>
      </c>
      <c r="B3657" t="s">
        <v>9199</v>
      </c>
      <c r="C3657" s="1">
        <v>43080</v>
      </c>
      <c r="D3657" s="1">
        <v>43086</v>
      </c>
      <c r="E3657" t="s">
        <v>49</v>
      </c>
      <c r="F3657" t="s">
        <v>38</v>
      </c>
      <c r="G3657" t="s">
        <v>39</v>
      </c>
      <c r="H3657" t="s">
        <v>40</v>
      </c>
      <c r="I3657" t="s">
        <v>26</v>
      </c>
      <c r="J3657" t="s">
        <v>1507</v>
      </c>
      <c r="K3657" t="s">
        <v>53</v>
      </c>
      <c r="L3657">
        <v>32216</v>
      </c>
      <c r="M3657" t="s">
        <v>29</v>
      </c>
      <c r="N3657" t="s">
        <v>801</v>
      </c>
      <c r="O3657" t="s">
        <v>31</v>
      </c>
      <c r="P3657" t="s">
        <v>55</v>
      </c>
      <c r="Q3657" t="s">
        <v>802</v>
      </c>
      <c r="R3657">
        <v>721.875</v>
      </c>
      <c r="S3657">
        <v>6</v>
      </c>
      <c r="T3657">
        <v>0.45</v>
      </c>
      <c r="U3657">
        <v>-420</v>
      </c>
      <c r="V3657" t="str">
        <f t="shared" si="57"/>
        <v>Darrin Van Huff</v>
      </c>
      <c r="W3657">
        <f>Table2[Profit]/Table2[Sales]</f>
        <v>-0.58181818181818179</v>
      </c>
    </row>
    <row r="3658" spans="1:23" x14ac:dyDescent="0.25">
      <c r="A3658">
        <v>3657</v>
      </c>
      <c r="B3658" t="s">
        <v>9200</v>
      </c>
      <c r="C3658" s="1">
        <v>41701</v>
      </c>
      <c r="D3658" s="1">
        <v>41705</v>
      </c>
      <c r="E3658" t="s">
        <v>49</v>
      </c>
      <c r="F3658" t="s">
        <v>6541</v>
      </c>
      <c r="G3658" t="s">
        <v>6542</v>
      </c>
      <c r="H3658" t="s">
        <v>25</v>
      </c>
      <c r="I3658" t="s">
        <v>26</v>
      </c>
      <c r="J3658" t="s">
        <v>181</v>
      </c>
      <c r="K3658" t="s">
        <v>103</v>
      </c>
      <c r="L3658">
        <v>77095</v>
      </c>
      <c r="M3658" t="s">
        <v>104</v>
      </c>
      <c r="N3658" t="s">
        <v>4768</v>
      </c>
      <c r="O3658" t="s">
        <v>45</v>
      </c>
      <c r="P3658" t="s">
        <v>77</v>
      </c>
      <c r="Q3658" t="s">
        <v>4769</v>
      </c>
      <c r="R3658">
        <v>176.77199999999999</v>
      </c>
      <c r="S3658">
        <v>3</v>
      </c>
      <c r="T3658">
        <v>0.8</v>
      </c>
      <c r="U3658">
        <v>-459.60719999999998</v>
      </c>
      <c r="V3658" t="str">
        <f t="shared" si="57"/>
        <v>Sam Craven</v>
      </c>
      <c r="W3658">
        <f>Table2[Profit]/Table2[Sales]</f>
        <v>-2.6</v>
      </c>
    </row>
    <row r="3659" spans="1:23" x14ac:dyDescent="0.25">
      <c r="A3659">
        <v>3658</v>
      </c>
      <c r="B3659" t="s">
        <v>9201</v>
      </c>
      <c r="C3659" s="1">
        <v>43029</v>
      </c>
      <c r="D3659" s="1">
        <v>43035</v>
      </c>
      <c r="E3659" t="s">
        <v>49</v>
      </c>
      <c r="F3659" t="s">
        <v>697</v>
      </c>
      <c r="G3659" t="s">
        <v>698</v>
      </c>
      <c r="H3659" t="s">
        <v>40</v>
      </c>
      <c r="I3659" t="s">
        <v>26</v>
      </c>
      <c r="J3659" t="s">
        <v>2517</v>
      </c>
      <c r="K3659" t="s">
        <v>113</v>
      </c>
      <c r="L3659">
        <v>53209</v>
      </c>
      <c r="M3659" t="s">
        <v>104</v>
      </c>
      <c r="N3659" t="s">
        <v>2412</v>
      </c>
      <c r="O3659" t="s">
        <v>45</v>
      </c>
      <c r="P3659" t="s">
        <v>74</v>
      </c>
      <c r="Q3659" t="s">
        <v>2413</v>
      </c>
      <c r="R3659">
        <v>38.82</v>
      </c>
      <c r="S3659">
        <v>6</v>
      </c>
      <c r="T3659">
        <v>0</v>
      </c>
      <c r="U3659">
        <v>19.41</v>
      </c>
      <c r="V3659" t="str">
        <f t="shared" si="57"/>
        <v>Jennifer Braxton</v>
      </c>
      <c r="W3659">
        <f>Table2[Profit]/Table2[Sales]</f>
        <v>0.5</v>
      </c>
    </row>
    <row r="3660" spans="1:23" x14ac:dyDescent="0.25">
      <c r="A3660">
        <v>3659</v>
      </c>
      <c r="B3660" t="s">
        <v>9202</v>
      </c>
      <c r="C3660" s="1">
        <v>43049</v>
      </c>
      <c r="D3660" s="1">
        <v>43055</v>
      </c>
      <c r="E3660" t="s">
        <v>49</v>
      </c>
      <c r="F3660" t="s">
        <v>3972</v>
      </c>
      <c r="G3660" t="s">
        <v>3973</v>
      </c>
      <c r="H3660" t="s">
        <v>25</v>
      </c>
      <c r="I3660" t="s">
        <v>26</v>
      </c>
      <c r="J3660" t="s">
        <v>9203</v>
      </c>
      <c r="K3660" t="s">
        <v>42</v>
      </c>
      <c r="L3660">
        <v>95351</v>
      </c>
      <c r="M3660" t="s">
        <v>43</v>
      </c>
      <c r="N3660" t="s">
        <v>1558</v>
      </c>
      <c r="O3660" t="s">
        <v>70</v>
      </c>
      <c r="P3660" t="s">
        <v>158</v>
      </c>
      <c r="Q3660" t="s">
        <v>1559</v>
      </c>
      <c r="R3660">
        <v>111.79</v>
      </c>
      <c r="S3660">
        <v>7</v>
      </c>
      <c r="T3660">
        <v>0</v>
      </c>
      <c r="U3660">
        <v>43.598100000000002</v>
      </c>
      <c r="V3660" t="str">
        <f t="shared" si="57"/>
        <v>Gary Hwang</v>
      </c>
      <c r="W3660">
        <f>Table2[Profit]/Table2[Sales]</f>
        <v>0.39</v>
      </c>
    </row>
    <row r="3661" spans="1:23" x14ac:dyDescent="0.25">
      <c r="A3661">
        <v>3660</v>
      </c>
      <c r="B3661" t="s">
        <v>9204</v>
      </c>
      <c r="C3661" s="1">
        <v>42810</v>
      </c>
      <c r="D3661" s="1">
        <v>42812</v>
      </c>
      <c r="E3661" t="s">
        <v>22</v>
      </c>
      <c r="F3661" t="s">
        <v>3078</v>
      </c>
      <c r="G3661" t="s">
        <v>3079</v>
      </c>
      <c r="H3661" t="s">
        <v>101</v>
      </c>
      <c r="I3661" t="s">
        <v>26</v>
      </c>
      <c r="J3661" t="s">
        <v>1111</v>
      </c>
      <c r="K3661" t="s">
        <v>491</v>
      </c>
      <c r="L3661">
        <v>44107</v>
      </c>
      <c r="M3661" t="s">
        <v>145</v>
      </c>
      <c r="N3661" t="s">
        <v>3493</v>
      </c>
      <c r="O3661" t="s">
        <v>70</v>
      </c>
      <c r="P3661" t="s">
        <v>71</v>
      </c>
      <c r="Q3661" t="s">
        <v>3494</v>
      </c>
      <c r="R3661">
        <v>445.44</v>
      </c>
      <c r="S3661">
        <v>8</v>
      </c>
      <c r="T3661">
        <v>0.4</v>
      </c>
      <c r="U3661">
        <v>-81.664000000000001</v>
      </c>
      <c r="V3661" t="str">
        <f t="shared" si="57"/>
        <v>Matthew Grinstein</v>
      </c>
      <c r="W3661">
        <f>Table2[Profit]/Table2[Sales]</f>
        <v>-0.18333333333333335</v>
      </c>
    </row>
    <row r="3662" spans="1:23" x14ac:dyDescent="0.25">
      <c r="A3662">
        <v>3661</v>
      </c>
      <c r="B3662" t="s">
        <v>9205</v>
      </c>
      <c r="C3662" s="1">
        <v>42635</v>
      </c>
      <c r="D3662" s="1">
        <v>42642</v>
      </c>
      <c r="E3662" t="s">
        <v>49</v>
      </c>
      <c r="F3662" t="s">
        <v>3033</v>
      </c>
      <c r="G3662" t="s">
        <v>3034</v>
      </c>
      <c r="H3662" t="s">
        <v>101</v>
      </c>
      <c r="I3662" t="s">
        <v>26</v>
      </c>
      <c r="J3662" t="s">
        <v>143</v>
      </c>
      <c r="K3662" t="s">
        <v>144</v>
      </c>
      <c r="L3662">
        <v>19134</v>
      </c>
      <c r="M3662" t="s">
        <v>145</v>
      </c>
      <c r="N3662" t="s">
        <v>2382</v>
      </c>
      <c r="O3662" t="s">
        <v>45</v>
      </c>
      <c r="P3662" t="s">
        <v>46</v>
      </c>
      <c r="Q3662" t="s">
        <v>2383</v>
      </c>
      <c r="R3662">
        <v>16.52</v>
      </c>
      <c r="S3662">
        <v>5</v>
      </c>
      <c r="T3662">
        <v>0.2</v>
      </c>
      <c r="U3662">
        <v>5.3689999999999998</v>
      </c>
      <c r="V3662" t="str">
        <f t="shared" si="57"/>
        <v>Robert Dilbeck</v>
      </c>
      <c r="W3662">
        <f>Table2[Profit]/Table2[Sales]</f>
        <v>0.32500000000000001</v>
      </c>
    </row>
    <row r="3663" spans="1:23" x14ac:dyDescent="0.25">
      <c r="A3663">
        <v>3662</v>
      </c>
      <c r="B3663" t="s">
        <v>9206</v>
      </c>
      <c r="C3663" s="1">
        <v>42772</v>
      </c>
      <c r="D3663" s="1">
        <v>42779</v>
      </c>
      <c r="E3663" t="s">
        <v>49</v>
      </c>
      <c r="F3663" t="s">
        <v>3103</v>
      </c>
      <c r="G3663" t="s">
        <v>3104</v>
      </c>
      <c r="H3663" t="s">
        <v>101</v>
      </c>
      <c r="I3663" t="s">
        <v>26</v>
      </c>
      <c r="J3663" t="s">
        <v>126</v>
      </c>
      <c r="K3663" t="s">
        <v>42</v>
      </c>
      <c r="L3663">
        <v>94109</v>
      </c>
      <c r="M3663" t="s">
        <v>43</v>
      </c>
      <c r="N3663" t="s">
        <v>8479</v>
      </c>
      <c r="O3663" t="s">
        <v>45</v>
      </c>
      <c r="P3663" t="s">
        <v>89</v>
      </c>
      <c r="Q3663" t="s">
        <v>8480</v>
      </c>
      <c r="R3663">
        <v>29.9</v>
      </c>
      <c r="S3663">
        <v>5</v>
      </c>
      <c r="T3663">
        <v>0</v>
      </c>
      <c r="U3663">
        <v>13.455</v>
      </c>
      <c r="V3663" t="str">
        <f t="shared" si="57"/>
        <v>Skye Norling</v>
      </c>
      <c r="W3663">
        <f>Table2[Profit]/Table2[Sales]</f>
        <v>0.45</v>
      </c>
    </row>
    <row r="3664" spans="1:23" x14ac:dyDescent="0.25">
      <c r="A3664">
        <v>3663</v>
      </c>
      <c r="B3664" t="s">
        <v>9207</v>
      </c>
      <c r="C3664" s="1">
        <v>42369</v>
      </c>
      <c r="D3664" s="1">
        <v>42371</v>
      </c>
      <c r="E3664" t="s">
        <v>22</v>
      </c>
      <c r="F3664" t="s">
        <v>6483</v>
      </c>
      <c r="G3664" t="s">
        <v>6484</v>
      </c>
      <c r="H3664" t="s">
        <v>40</v>
      </c>
      <c r="I3664" t="s">
        <v>26</v>
      </c>
      <c r="J3664" t="s">
        <v>873</v>
      </c>
      <c r="K3664" t="s">
        <v>235</v>
      </c>
      <c r="L3664">
        <v>48205</v>
      </c>
      <c r="M3664" t="s">
        <v>104</v>
      </c>
      <c r="N3664" t="s">
        <v>3590</v>
      </c>
      <c r="O3664" t="s">
        <v>45</v>
      </c>
      <c r="P3664" t="s">
        <v>74</v>
      </c>
      <c r="Q3664" t="s">
        <v>3591</v>
      </c>
      <c r="R3664">
        <v>116.4</v>
      </c>
      <c r="S3664">
        <v>8</v>
      </c>
      <c r="T3664">
        <v>0</v>
      </c>
      <c r="U3664">
        <v>52.38</v>
      </c>
      <c r="V3664" t="str">
        <f t="shared" si="57"/>
        <v>Anna Häberlin</v>
      </c>
      <c r="W3664">
        <f>Table2[Profit]/Table2[Sales]</f>
        <v>0.45</v>
      </c>
    </row>
    <row r="3665" spans="1:23" x14ac:dyDescent="0.25">
      <c r="A3665">
        <v>3664</v>
      </c>
      <c r="B3665" t="s">
        <v>9208</v>
      </c>
      <c r="C3665" s="1">
        <v>42652</v>
      </c>
      <c r="D3665" s="1">
        <v>42657</v>
      </c>
      <c r="E3665" t="s">
        <v>49</v>
      </c>
      <c r="F3665" t="s">
        <v>5134</v>
      </c>
      <c r="G3665" t="s">
        <v>5135</v>
      </c>
      <c r="H3665" t="s">
        <v>101</v>
      </c>
      <c r="I3665" t="s">
        <v>26</v>
      </c>
      <c r="J3665" t="s">
        <v>537</v>
      </c>
      <c r="K3665" t="s">
        <v>303</v>
      </c>
      <c r="L3665">
        <v>85023</v>
      </c>
      <c r="M3665" t="s">
        <v>43</v>
      </c>
      <c r="N3665" t="s">
        <v>4037</v>
      </c>
      <c r="O3665" t="s">
        <v>45</v>
      </c>
      <c r="P3665" t="s">
        <v>67</v>
      </c>
      <c r="Q3665" t="s">
        <v>4038</v>
      </c>
      <c r="R3665">
        <v>1.4079999999999999</v>
      </c>
      <c r="S3665">
        <v>1</v>
      </c>
      <c r="T3665">
        <v>0.2</v>
      </c>
      <c r="U3665">
        <v>0.15840000000000001</v>
      </c>
      <c r="V3665" t="str">
        <f t="shared" si="57"/>
        <v>Maria Zettner</v>
      </c>
      <c r="W3665">
        <f>Table2[Profit]/Table2[Sales]</f>
        <v>0.11250000000000002</v>
      </c>
    </row>
    <row r="3666" spans="1:23" x14ac:dyDescent="0.25">
      <c r="A3666">
        <v>3665</v>
      </c>
      <c r="B3666" t="s">
        <v>9209</v>
      </c>
      <c r="C3666" s="1">
        <v>42003</v>
      </c>
      <c r="D3666" s="1">
        <v>42007</v>
      </c>
      <c r="E3666" t="s">
        <v>22</v>
      </c>
      <c r="F3666" t="s">
        <v>7674</v>
      </c>
      <c r="G3666" t="s">
        <v>7675</v>
      </c>
      <c r="H3666" t="s">
        <v>40</v>
      </c>
      <c r="I3666" t="s">
        <v>26</v>
      </c>
      <c r="J3666" t="s">
        <v>143</v>
      </c>
      <c r="K3666" t="s">
        <v>144</v>
      </c>
      <c r="L3666">
        <v>19143</v>
      </c>
      <c r="M3666" t="s">
        <v>145</v>
      </c>
      <c r="N3666" t="s">
        <v>2306</v>
      </c>
      <c r="O3666" t="s">
        <v>70</v>
      </c>
      <c r="P3666" t="s">
        <v>71</v>
      </c>
      <c r="Q3666" t="s">
        <v>2307</v>
      </c>
      <c r="R3666">
        <v>251.964</v>
      </c>
      <c r="S3666">
        <v>6</v>
      </c>
      <c r="T3666">
        <v>0.4</v>
      </c>
      <c r="U3666">
        <v>-50.392800000000001</v>
      </c>
      <c r="V3666" t="str">
        <f t="shared" si="57"/>
        <v>Alex Russell</v>
      </c>
      <c r="W3666">
        <f>Table2[Profit]/Table2[Sales]</f>
        <v>-0.2</v>
      </c>
    </row>
    <row r="3667" spans="1:23" x14ac:dyDescent="0.25">
      <c r="A3667">
        <v>3666</v>
      </c>
      <c r="B3667" t="s">
        <v>9210</v>
      </c>
      <c r="C3667" s="1">
        <v>42472</v>
      </c>
      <c r="D3667" s="1">
        <v>42474</v>
      </c>
      <c r="E3667" t="s">
        <v>185</v>
      </c>
      <c r="F3667" t="s">
        <v>5628</v>
      </c>
      <c r="G3667" t="s">
        <v>5629</v>
      </c>
      <c r="H3667" t="s">
        <v>25</v>
      </c>
      <c r="I3667" t="s">
        <v>26</v>
      </c>
      <c r="J3667" t="s">
        <v>41</v>
      </c>
      <c r="K3667" t="s">
        <v>42</v>
      </c>
      <c r="L3667">
        <v>90036</v>
      </c>
      <c r="M3667" t="s">
        <v>43</v>
      </c>
      <c r="N3667" t="s">
        <v>4485</v>
      </c>
      <c r="O3667" t="s">
        <v>45</v>
      </c>
      <c r="P3667" t="s">
        <v>89</v>
      </c>
      <c r="Q3667" t="s">
        <v>4486</v>
      </c>
      <c r="R3667">
        <v>19.440000000000001</v>
      </c>
      <c r="S3667">
        <v>3</v>
      </c>
      <c r="T3667">
        <v>0</v>
      </c>
      <c r="U3667">
        <v>9.3312000000000008</v>
      </c>
      <c r="V3667" t="str">
        <f t="shared" si="57"/>
        <v>Jason Fortune-</v>
      </c>
      <c r="W3667">
        <f>Table2[Profit]/Table2[Sales]</f>
        <v>0.48000000000000004</v>
      </c>
    </row>
    <row r="3668" spans="1:23" x14ac:dyDescent="0.25">
      <c r="A3668">
        <v>3667</v>
      </c>
      <c r="B3668" t="s">
        <v>9211</v>
      </c>
      <c r="C3668" s="1">
        <v>42702</v>
      </c>
      <c r="D3668" s="1">
        <v>42708</v>
      </c>
      <c r="E3668" t="s">
        <v>49</v>
      </c>
      <c r="F3668" t="s">
        <v>871</v>
      </c>
      <c r="G3668" t="s">
        <v>872</v>
      </c>
      <c r="H3668" t="s">
        <v>40</v>
      </c>
      <c r="I3668" t="s">
        <v>26</v>
      </c>
      <c r="J3668" t="s">
        <v>143</v>
      </c>
      <c r="K3668" t="s">
        <v>144</v>
      </c>
      <c r="L3668">
        <v>19140</v>
      </c>
      <c r="M3668" t="s">
        <v>145</v>
      </c>
      <c r="N3668" t="s">
        <v>3318</v>
      </c>
      <c r="O3668" t="s">
        <v>70</v>
      </c>
      <c r="P3668" t="s">
        <v>71</v>
      </c>
      <c r="Q3668" t="s">
        <v>3319</v>
      </c>
      <c r="R3668">
        <v>340.18200000000002</v>
      </c>
      <c r="S3668">
        <v>3</v>
      </c>
      <c r="T3668">
        <v>0.4</v>
      </c>
      <c r="U3668">
        <v>-73.706100000000006</v>
      </c>
      <c r="V3668" t="str">
        <f t="shared" si="57"/>
        <v>David Smith</v>
      </c>
      <c r="W3668">
        <f>Table2[Profit]/Table2[Sales]</f>
        <v>-0.21666666666666667</v>
      </c>
    </row>
    <row r="3669" spans="1:23" x14ac:dyDescent="0.25">
      <c r="A3669">
        <v>3668</v>
      </c>
      <c r="B3669" t="s">
        <v>9212</v>
      </c>
      <c r="C3669" s="1">
        <v>42840</v>
      </c>
      <c r="D3669" s="1">
        <v>42842</v>
      </c>
      <c r="E3669" t="s">
        <v>185</v>
      </c>
      <c r="F3669" t="s">
        <v>1372</v>
      </c>
      <c r="G3669" t="s">
        <v>1373</v>
      </c>
      <c r="H3669" t="s">
        <v>40</v>
      </c>
      <c r="I3669" t="s">
        <v>26</v>
      </c>
      <c r="J3669" t="s">
        <v>1406</v>
      </c>
      <c r="K3669" t="s">
        <v>53</v>
      </c>
      <c r="L3669">
        <v>33180</v>
      </c>
      <c r="M3669" t="s">
        <v>29</v>
      </c>
      <c r="N3669" t="s">
        <v>318</v>
      </c>
      <c r="O3669" t="s">
        <v>45</v>
      </c>
      <c r="P3669" t="s">
        <v>74</v>
      </c>
      <c r="Q3669" t="s">
        <v>6051</v>
      </c>
      <c r="R3669">
        <v>15.57</v>
      </c>
      <c r="S3669">
        <v>3</v>
      </c>
      <c r="T3669">
        <v>0.7</v>
      </c>
      <c r="U3669">
        <v>-11.936999999999999</v>
      </c>
      <c r="V3669" t="str">
        <f t="shared" si="57"/>
        <v>Bart Pistole</v>
      </c>
      <c r="W3669">
        <f>Table2[Profit]/Table2[Sales]</f>
        <v>-0.76666666666666661</v>
      </c>
    </row>
    <row r="3670" spans="1:23" x14ac:dyDescent="0.25">
      <c r="A3670">
        <v>3669</v>
      </c>
      <c r="B3670" t="s">
        <v>9213</v>
      </c>
      <c r="C3670" s="1">
        <v>42072</v>
      </c>
      <c r="D3670" s="1">
        <v>42074</v>
      </c>
      <c r="E3670" t="s">
        <v>22</v>
      </c>
      <c r="F3670" t="s">
        <v>5109</v>
      </c>
      <c r="G3670" t="s">
        <v>5110</v>
      </c>
      <c r="H3670" t="s">
        <v>25</v>
      </c>
      <c r="I3670" t="s">
        <v>26</v>
      </c>
      <c r="J3670" t="s">
        <v>4494</v>
      </c>
      <c r="K3670" t="s">
        <v>87</v>
      </c>
      <c r="L3670">
        <v>27604</v>
      </c>
      <c r="M3670" t="s">
        <v>29</v>
      </c>
      <c r="N3670" t="s">
        <v>3011</v>
      </c>
      <c r="O3670" t="s">
        <v>45</v>
      </c>
      <c r="P3670" t="s">
        <v>46</v>
      </c>
      <c r="Q3670" t="s">
        <v>3012</v>
      </c>
      <c r="R3670">
        <v>4.6079999999999997</v>
      </c>
      <c r="S3670">
        <v>2</v>
      </c>
      <c r="T3670">
        <v>0.2</v>
      </c>
      <c r="U3670">
        <v>1.6704000000000001</v>
      </c>
      <c r="V3670" t="str">
        <f t="shared" si="57"/>
        <v>Toby Gnade</v>
      </c>
      <c r="W3670">
        <f>Table2[Profit]/Table2[Sales]</f>
        <v>0.36250000000000004</v>
      </c>
    </row>
    <row r="3671" spans="1:23" x14ac:dyDescent="0.25">
      <c r="A3671">
        <v>3670</v>
      </c>
      <c r="B3671" t="s">
        <v>9214</v>
      </c>
      <c r="C3671" s="1">
        <v>41940</v>
      </c>
      <c r="D3671" s="1">
        <v>41944</v>
      </c>
      <c r="E3671" t="s">
        <v>49</v>
      </c>
      <c r="F3671" t="s">
        <v>3131</v>
      </c>
      <c r="G3671" t="s">
        <v>3132</v>
      </c>
      <c r="H3671" t="s">
        <v>40</v>
      </c>
      <c r="I3671" t="s">
        <v>26</v>
      </c>
      <c r="J3671" t="s">
        <v>9215</v>
      </c>
      <c r="K3671" t="s">
        <v>4436</v>
      </c>
      <c r="L3671">
        <v>67846</v>
      </c>
      <c r="M3671" t="s">
        <v>104</v>
      </c>
      <c r="N3671" t="s">
        <v>3677</v>
      </c>
      <c r="O3671" t="s">
        <v>70</v>
      </c>
      <c r="P3671" t="s">
        <v>71</v>
      </c>
      <c r="Q3671" t="s">
        <v>3678</v>
      </c>
      <c r="R3671">
        <v>257.98</v>
      </c>
      <c r="S3671">
        <v>2</v>
      </c>
      <c r="T3671">
        <v>0</v>
      </c>
      <c r="U3671">
        <v>74.8142</v>
      </c>
      <c r="V3671" t="str">
        <f t="shared" si="57"/>
        <v>Bill Tyler</v>
      </c>
      <c r="W3671">
        <f>Table2[Profit]/Table2[Sales]</f>
        <v>0.28999999999999998</v>
      </c>
    </row>
    <row r="3672" spans="1:23" x14ac:dyDescent="0.25">
      <c r="A3672">
        <v>3671</v>
      </c>
      <c r="B3672" t="s">
        <v>9216</v>
      </c>
      <c r="C3672" s="1">
        <v>42742</v>
      </c>
      <c r="D3672" s="1">
        <v>42744</v>
      </c>
      <c r="E3672" t="s">
        <v>22</v>
      </c>
      <c r="F3672" t="s">
        <v>3620</v>
      </c>
      <c r="G3672" t="s">
        <v>3621</v>
      </c>
      <c r="H3672" t="s">
        <v>25</v>
      </c>
      <c r="I3672" t="s">
        <v>26</v>
      </c>
      <c r="J3672" t="s">
        <v>1161</v>
      </c>
      <c r="K3672" t="s">
        <v>42</v>
      </c>
      <c r="L3672">
        <v>90805</v>
      </c>
      <c r="M3672" t="s">
        <v>43</v>
      </c>
      <c r="N3672" t="s">
        <v>57</v>
      </c>
      <c r="O3672" t="s">
        <v>45</v>
      </c>
      <c r="P3672" t="s">
        <v>58</v>
      </c>
      <c r="Q3672" t="s">
        <v>59</v>
      </c>
      <c r="R3672">
        <v>153.78</v>
      </c>
      <c r="S3672">
        <v>11</v>
      </c>
      <c r="T3672">
        <v>0</v>
      </c>
      <c r="U3672">
        <v>44.596200000000003</v>
      </c>
      <c r="V3672" t="str">
        <f t="shared" si="57"/>
        <v>Jamie Frazer</v>
      </c>
      <c r="W3672">
        <f>Table2[Profit]/Table2[Sales]</f>
        <v>0.29000000000000004</v>
      </c>
    </row>
    <row r="3673" spans="1:23" x14ac:dyDescent="0.25">
      <c r="A3673">
        <v>3672</v>
      </c>
      <c r="B3673" t="s">
        <v>9217</v>
      </c>
      <c r="C3673" s="1">
        <v>42960</v>
      </c>
      <c r="D3673" s="1">
        <v>42967</v>
      </c>
      <c r="E3673" t="s">
        <v>49</v>
      </c>
      <c r="F3673" t="s">
        <v>1279</v>
      </c>
      <c r="G3673" t="s">
        <v>1280</v>
      </c>
      <c r="H3673" t="s">
        <v>40</v>
      </c>
      <c r="I3673" t="s">
        <v>26</v>
      </c>
      <c r="J3673" t="s">
        <v>941</v>
      </c>
      <c r="K3673" t="s">
        <v>42</v>
      </c>
      <c r="L3673">
        <v>92037</v>
      </c>
      <c r="M3673" t="s">
        <v>43</v>
      </c>
      <c r="N3673" t="s">
        <v>1877</v>
      </c>
      <c r="O3673" t="s">
        <v>45</v>
      </c>
      <c r="P3673" t="s">
        <v>74</v>
      </c>
      <c r="Q3673" t="s">
        <v>1878</v>
      </c>
      <c r="R3673">
        <v>36.024000000000001</v>
      </c>
      <c r="S3673">
        <v>3</v>
      </c>
      <c r="T3673">
        <v>0.2</v>
      </c>
      <c r="U3673">
        <v>11.707800000000001</v>
      </c>
      <c r="V3673" t="str">
        <f t="shared" si="57"/>
        <v>Michael Kennedy</v>
      </c>
      <c r="W3673">
        <f>Table2[Profit]/Table2[Sales]</f>
        <v>0.32500000000000001</v>
      </c>
    </row>
    <row r="3674" spans="1:23" x14ac:dyDescent="0.25">
      <c r="A3674">
        <v>3673</v>
      </c>
      <c r="B3674" t="s">
        <v>9218</v>
      </c>
      <c r="C3674" s="1">
        <v>43041</v>
      </c>
      <c r="D3674" s="1">
        <v>43044</v>
      </c>
      <c r="E3674" t="s">
        <v>185</v>
      </c>
      <c r="F3674" t="s">
        <v>506</v>
      </c>
      <c r="G3674" t="s">
        <v>507</v>
      </c>
      <c r="H3674" t="s">
        <v>40</v>
      </c>
      <c r="I3674" t="s">
        <v>26</v>
      </c>
      <c r="J3674" t="s">
        <v>531</v>
      </c>
      <c r="K3674" t="s">
        <v>208</v>
      </c>
      <c r="L3674">
        <v>61701</v>
      </c>
      <c r="M3674" t="s">
        <v>104</v>
      </c>
      <c r="N3674" t="s">
        <v>868</v>
      </c>
      <c r="O3674" t="s">
        <v>45</v>
      </c>
      <c r="P3674" t="s">
        <v>67</v>
      </c>
      <c r="Q3674" t="s">
        <v>869</v>
      </c>
      <c r="R3674">
        <v>54.335999999999999</v>
      </c>
      <c r="S3674">
        <v>4</v>
      </c>
      <c r="T3674">
        <v>0.2</v>
      </c>
      <c r="U3674">
        <v>5.4336000000000002</v>
      </c>
      <c r="V3674" t="str">
        <f t="shared" si="57"/>
        <v>Greg Guthrie</v>
      </c>
      <c r="W3674">
        <f>Table2[Profit]/Table2[Sales]</f>
        <v>0.1</v>
      </c>
    </row>
    <row r="3675" spans="1:23" x14ac:dyDescent="0.25">
      <c r="A3675">
        <v>3674</v>
      </c>
      <c r="B3675" t="s">
        <v>9219</v>
      </c>
      <c r="C3675" s="1">
        <v>41901</v>
      </c>
      <c r="D3675" s="1">
        <v>41905</v>
      </c>
      <c r="E3675" t="s">
        <v>49</v>
      </c>
      <c r="F3675" t="s">
        <v>2484</v>
      </c>
      <c r="G3675" t="s">
        <v>2485</v>
      </c>
      <c r="H3675" t="s">
        <v>40</v>
      </c>
      <c r="I3675" t="s">
        <v>26</v>
      </c>
      <c r="J3675" t="s">
        <v>94</v>
      </c>
      <c r="K3675" t="s">
        <v>95</v>
      </c>
      <c r="L3675">
        <v>98115</v>
      </c>
      <c r="M3675" t="s">
        <v>43</v>
      </c>
      <c r="N3675" t="s">
        <v>1611</v>
      </c>
      <c r="O3675" t="s">
        <v>45</v>
      </c>
      <c r="P3675" t="s">
        <v>58</v>
      </c>
      <c r="Q3675" t="s">
        <v>1612</v>
      </c>
      <c r="R3675">
        <v>92.52</v>
      </c>
      <c r="S3675">
        <v>6</v>
      </c>
      <c r="T3675">
        <v>0</v>
      </c>
      <c r="U3675">
        <v>24.980399999999999</v>
      </c>
      <c r="V3675" t="str">
        <f t="shared" si="57"/>
        <v>Mike Caudle</v>
      </c>
      <c r="W3675">
        <f>Table2[Profit]/Table2[Sales]</f>
        <v>0.27</v>
      </c>
    </row>
    <row r="3676" spans="1:23" x14ac:dyDescent="0.25">
      <c r="A3676">
        <v>3675</v>
      </c>
      <c r="B3676" t="s">
        <v>9220</v>
      </c>
      <c r="C3676" s="1">
        <v>42155</v>
      </c>
      <c r="D3676" s="1">
        <v>42155</v>
      </c>
      <c r="E3676" t="s">
        <v>1278</v>
      </c>
      <c r="F3676" t="s">
        <v>8001</v>
      </c>
      <c r="G3676" t="s">
        <v>8002</v>
      </c>
      <c r="H3676" t="s">
        <v>25</v>
      </c>
      <c r="I3676" t="s">
        <v>26</v>
      </c>
      <c r="J3676" t="s">
        <v>1682</v>
      </c>
      <c r="K3676" t="s">
        <v>87</v>
      </c>
      <c r="L3676">
        <v>28314</v>
      </c>
      <c r="M3676" t="s">
        <v>29</v>
      </c>
      <c r="N3676" t="s">
        <v>4076</v>
      </c>
      <c r="O3676" t="s">
        <v>45</v>
      </c>
      <c r="P3676" t="s">
        <v>67</v>
      </c>
      <c r="Q3676" t="s">
        <v>4077</v>
      </c>
      <c r="R3676">
        <v>10.272</v>
      </c>
      <c r="S3676">
        <v>3</v>
      </c>
      <c r="T3676">
        <v>0.2</v>
      </c>
      <c r="U3676">
        <v>1.1556</v>
      </c>
      <c r="V3676" t="str">
        <f t="shared" si="57"/>
        <v>Muhammed Lee</v>
      </c>
      <c r="W3676">
        <f>Table2[Profit]/Table2[Sales]</f>
        <v>0.11249999999999999</v>
      </c>
    </row>
    <row r="3677" spans="1:23" x14ac:dyDescent="0.25">
      <c r="A3677">
        <v>3676</v>
      </c>
      <c r="B3677" t="s">
        <v>9221</v>
      </c>
      <c r="C3677" s="1">
        <v>42626</v>
      </c>
      <c r="D3677" s="1">
        <v>42631</v>
      </c>
      <c r="E3677" t="s">
        <v>49</v>
      </c>
      <c r="F3677" t="s">
        <v>117</v>
      </c>
      <c r="G3677" t="s">
        <v>118</v>
      </c>
      <c r="H3677" t="s">
        <v>25</v>
      </c>
      <c r="I3677" t="s">
        <v>26</v>
      </c>
      <c r="J3677" t="s">
        <v>2499</v>
      </c>
      <c r="K3677" t="s">
        <v>135</v>
      </c>
      <c r="L3677">
        <v>68104</v>
      </c>
      <c r="M3677" t="s">
        <v>104</v>
      </c>
      <c r="N3677" t="s">
        <v>4003</v>
      </c>
      <c r="O3677" t="s">
        <v>45</v>
      </c>
      <c r="P3677" t="s">
        <v>58</v>
      </c>
      <c r="Q3677" t="s">
        <v>4004</v>
      </c>
      <c r="R3677">
        <v>40.74</v>
      </c>
      <c r="S3677">
        <v>3</v>
      </c>
      <c r="T3677">
        <v>0</v>
      </c>
      <c r="U3677">
        <v>0.40739999999999998</v>
      </c>
      <c r="V3677" t="str">
        <f t="shared" si="57"/>
        <v>Alejandro Grove</v>
      </c>
      <c r="W3677">
        <f>Table2[Profit]/Table2[Sales]</f>
        <v>9.9999999999999985E-3</v>
      </c>
    </row>
    <row r="3678" spans="1:23" x14ac:dyDescent="0.25">
      <c r="A3678">
        <v>3677</v>
      </c>
      <c r="B3678" t="s">
        <v>9222</v>
      </c>
      <c r="C3678" s="1">
        <v>43068</v>
      </c>
      <c r="D3678" s="1">
        <v>43072</v>
      </c>
      <c r="E3678" t="s">
        <v>49</v>
      </c>
      <c r="F3678" t="s">
        <v>647</v>
      </c>
      <c r="G3678" t="s">
        <v>648</v>
      </c>
      <c r="H3678" t="s">
        <v>25</v>
      </c>
      <c r="I3678" t="s">
        <v>26</v>
      </c>
      <c r="J3678" t="s">
        <v>6103</v>
      </c>
      <c r="K3678" t="s">
        <v>328</v>
      </c>
      <c r="L3678">
        <v>37421</v>
      </c>
      <c r="M3678" t="s">
        <v>29</v>
      </c>
      <c r="N3678" t="s">
        <v>34</v>
      </c>
      <c r="O3678" t="s">
        <v>31</v>
      </c>
      <c r="P3678" t="s">
        <v>35</v>
      </c>
      <c r="Q3678" t="s">
        <v>36</v>
      </c>
      <c r="R3678">
        <v>390.36799999999999</v>
      </c>
      <c r="S3678">
        <v>2</v>
      </c>
      <c r="T3678">
        <v>0.2</v>
      </c>
      <c r="U3678">
        <v>48.795999999999999</v>
      </c>
      <c r="V3678" t="str">
        <f t="shared" si="57"/>
        <v>Ted Trevino</v>
      </c>
      <c r="W3678">
        <f>Table2[Profit]/Table2[Sales]</f>
        <v>0.125</v>
      </c>
    </row>
    <row r="3679" spans="1:23" x14ac:dyDescent="0.25">
      <c r="A3679">
        <v>3678</v>
      </c>
      <c r="B3679" t="s">
        <v>9223</v>
      </c>
      <c r="C3679" s="1">
        <v>43073</v>
      </c>
      <c r="D3679" s="1">
        <v>43076</v>
      </c>
      <c r="E3679" t="s">
        <v>22</v>
      </c>
      <c r="F3679" t="s">
        <v>3272</v>
      </c>
      <c r="G3679" t="s">
        <v>3273</v>
      </c>
      <c r="H3679" t="s">
        <v>25</v>
      </c>
      <c r="I3679" t="s">
        <v>26</v>
      </c>
      <c r="J3679" t="s">
        <v>739</v>
      </c>
      <c r="K3679" t="s">
        <v>491</v>
      </c>
      <c r="L3679">
        <v>45014</v>
      </c>
      <c r="M3679" t="s">
        <v>145</v>
      </c>
      <c r="N3679" t="s">
        <v>4607</v>
      </c>
      <c r="O3679" t="s">
        <v>45</v>
      </c>
      <c r="P3679" t="s">
        <v>89</v>
      </c>
      <c r="Q3679" t="s">
        <v>4608</v>
      </c>
      <c r="R3679">
        <v>74.352000000000004</v>
      </c>
      <c r="S3679">
        <v>3</v>
      </c>
      <c r="T3679">
        <v>0.2</v>
      </c>
      <c r="U3679">
        <v>23.234999999999999</v>
      </c>
      <c r="V3679" t="str">
        <f t="shared" si="57"/>
        <v>Larry Tron</v>
      </c>
      <c r="W3679">
        <f>Table2[Profit]/Table2[Sales]</f>
        <v>0.3125</v>
      </c>
    </row>
    <row r="3680" spans="1:23" x14ac:dyDescent="0.25">
      <c r="A3680">
        <v>3679</v>
      </c>
      <c r="B3680" t="s">
        <v>9224</v>
      </c>
      <c r="C3680" s="1">
        <v>42857</v>
      </c>
      <c r="D3680" s="1">
        <v>42861</v>
      </c>
      <c r="E3680" t="s">
        <v>49</v>
      </c>
      <c r="F3680" t="s">
        <v>7050</v>
      </c>
      <c r="G3680" t="s">
        <v>7051</v>
      </c>
      <c r="H3680" t="s">
        <v>25</v>
      </c>
      <c r="I3680" t="s">
        <v>26</v>
      </c>
      <c r="J3680" t="s">
        <v>41</v>
      </c>
      <c r="K3680" t="s">
        <v>42</v>
      </c>
      <c r="L3680">
        <v>90049</v>
      </c>
      <c r="M3680" t="s">
        <v>43</v>
      </c>
      <c r="N3680" t="s">
        <v>5699</v>
      </c>
      <c r="O3680" t="s">
        <v>45</v>
      </c>
      <c r="P3680" t="s">
        <v>89</v>
      </c>
      <c r="Q3680" t="s">
        <v>5700</v>
      </c>
      <c r="R3680">
        <v>15.7</v>
      </c>
      <c r="S3680">
        <v>5</v>
      </c>
      <c r="T3680">
        <v>0</v>
      </c>
      <c r="U3680">
        <v>7.0650000000000004</v>
      </c>
      <c r="V3680" t="str">
        <f t="shared" si="57"/>
        <v>Dorothy Dickinson</v>
      </c>
      <c r="W3680">
        <f>Table2[Profit]/Table2[Sales]</f>
        <v>0.45000000000000007</v>
      </c>
    </row>
    <row r="3681" spans="1:23" x14ac:dyDescent="0.25">
      <c r="A3681">
        <v>3680</v>
      </c>
      <c r="B3681" t="s">
        <v>9225</v>
      </c>
      <c r="C3681" s="1">
        <v>42729</v>
      </c>
      <c r="D3681" s="1">
        <v>42734</v>
      </c>
      <c r="E3681" t="s">
        <v>49</v>
      </c>
      <c r="F3681" t="s">
        <v>6642</v>
      </c>
      <c r="G3681" t="s">
        <v>6643</v>
      </c>
      <c r="H3681" t="s">
        <v>40</v>
      </c>
      <c r="I3681" t="s">
        <v>26</v>
      </c>
      <c r="J3681" t="s">
        <v>263</v>
      </c>
      <c r="K3681" t="s">
        <v>264</v>
      </c>
      <c r="L3681">
        <v>10024</v>
      </c>
      <c r="M3681" t="s">
        <v>145</v>
      </c>
      <c r="N3681" t="s">
        <v>3728</v>
      </c>
      <c r="O3681" t="s">
        <v>31</v>
      </c>
      <c r="P3681" t="s">
        <v>55</v>
      </c>
      <c r="Q3681" t="s">
        <v>3729</v>
      </c>
      <c r="R3681">
        <v>313.17599999999999</v>
      </c>
      <c r="S3681">
        <v>2</v>
      </c>
      <c r="T3681">
        <v>0.4</v>
      </c>
      <c r="U3681">
        <v>-120.0508</v>
      </c>
      <c r="V3681" t="str">
        <f t="shared" si="57"/>
        <v>Darren Budd</v>
      </c>
      <c r="W3681">
        <f>Table2[Profit]/Table2[Sales]</f>
        <v>-0.38333333333333336</v>
      </c>
    </row>
    <row r="3682" spans="1:23" x14ac:dyDescent="0.25">
      <c r="A3682">
        <v>3681</v>
      </c>
      <c r="B3682" t="s">
        <v>9226</v>
      </c>
      <c r="C3682" s="1">
        <v>41912</v>
      </c>
      <c r="D3682" s="1">
        <v>41912</v>
      </c>
      <c r="E3682" t="s">
        <v>1278</v>
      </c>
      <c r="F3682" t="s">
        <v>6094</v>
      </c>
      <c r="G3682" t="s">
        <v>6095</v>
      </c>
      <c r="H3682" t="s">
        <v>40</v>
      </c>
      <c r="I3682" t="s">
        <v>26</v>
      </c>
      <c r="J3682" t="s">
        <v>739</v>
      </c>
      <c r="K3682" t="s">
        <v>491</v>
      </c>
      <c r="L3682">
        <v>45014</v>
      </c>
      <c r="M3682" t="s">
        <v>145</v>
      </c>
      <c r="N3682" t="s">
        <v>809</v>
      </c>
      <c r="O3682" t="s">
        <v>45</v>
      </c>
      <c r="P3682" t="s">
        <v>77</v>
      </c>
      <c r="Q3682" t="s">
        <v>810</v>
      </c>
      <c r="R3682">
        <v>795.40800000000002</v>
      </c>
      <c r="S3682">
        <v>6</v>
      </c>
      <c r="T3682">
        <v>0.2</v>
      </c>
      <c r="U3682">
        <v>59.6556</v>
      </c>
      <c r="V3682" t="str">
        <f t="shared" si="57"/>
        <v>Dario Medina</v>
      </c>
      <c r="W3682">
        <f>Table2[Profit]/Table2[Sales]</f>
        <v>7.4999999999999997E-2</v>
      </c>
    </row>
    <row r="3683" spans="1:23" x14ac:dyDescent="0.25">
      <c r="A3683">
        <v>3682</v>
      </c>
      <c r="B3683" t="s">
        <v>9227</v>
      </c>
      <c r="C3683" s="1">
        <v>41832</v>
      </c>
      <c r="D3683" s="1">
        <v>41835</v>
      </c>
      <c r="E3683" t="s">
        <v>22</v>
      </c>
      <c r="F3683" t="s">
        <v>2068</v>
      </c>
      <c r="G3683" t="s">
        <v>2069</v>
      </c>
      <c r="H3683" t="s">
        <v>25</v>
      </c>
      <c r="I3683" t="s">
        <v>26</v>
      </c>
      <c r="J3683" t="s">
        <v>296</v>
      </c>
      <c r="K3683" t="s">
        <v>208</v>
      </c>
      <c r="L3683">
        <v>60610</v>
      </c>
      <c r="M3683" t="s">
        <v>104</v>
      </c>
      <c r="N3683" t="s">
        <v>4093</v>
      </c>
      <c r="O3683" t="s">
        <v>45</v>
      </c>
      <c r="P3683" t="s">
        <v>89</v>
      </c>
      <c r="Q3683" t="s">
        <v>4094</v>
      </c>
      <c r="R3683">
        <v>35.856000000000002</v>
      </c>
      <c r="S3683">
        <v>9</v>
      </c>
      <c r="T3683">
        <v>0.2</v>
      </c>
      <c r="U3683">
        <v>12.9978</v>
      </c>
      <c r="V3683" t="str">
        <f t="shared" si="57"/>
        <v>Max Engle</v>
      </c>
      <c r="W3683">
        <f>Table2[Profit]/Table2[Sales]</f>
        <v>0.36249999999999999</v>
      </c>
    </row>
    <row r="3684" spans="1:23" x14ac:dyDescent="0.25">
      <c r="A3684">
        <v>3683</v>
      </c>
      <c r="B3684" t="s">
        <v>9228</v>
      </c>
      <c r="C3684" s="1">
        <v>42621</v>
      </c>
      <c r="D3684" s="1">
        <v>42626</v>
      </c>
      <c r="E3684" t="s">
        <v>49</v>
      </c>
      <c r="F3684" t="s">
        <v>2531</v>
      </c>
      <c r="G3684" t="s">
        <v>2532</v>
      </c>
      <c r="H3684" t="s">
        <v>25</v>
      </c>
      <c r="I3684" t="s">
        <v>26</v>
      </c>
      <c r="J3684" t="s">
        <v>94</v>
      </c>
      <c r="K3684" t="s">
        <v>95</v>
      </c>
      <c r="L3684">
        <v>98103</v>
      </c>
      <c r="M3684" t="s">
        <v>43</v>
      </c>
      <c r="N3684" t="s">
        <v>1849</v>
      </c>
      <c r="O3684" t="s">
        <v>31</v>
      </c>
      <c r="P3684" t="s">
        <v>64</v>
      </c>
      <c r="Q3684" t="s">
        <v>1850</v>
      </c>
      <c r="R3684">
        <v>43.13</v>
      </c>
      <c r="S3684">
        <v>1</v>
      </c>
      <c r="T3684">
        <v>0</v>
      </c>
      <c r="U3684">
        <v>14.664199999999999</v>
      </c>
      <c r="V3684" t="str">
        <f t="shared" si="57"/>
        <v>Toby Ritter</v>
      </c>
      <c r="W3684">
        <f>Table2[Profit]/Table2[Sales]</f>
        <v>0.33999999999999997</v>
      </c>
    </row>
    <row r="3685" spans="1:23" x14ac:dyDescent="0.25">
      <c r="A3685">
        <v>3684</v>
      </c>
      <c r="B3685" t="s">
        <v>9229</v>
      </c>
      <c r="C3685" s="1">
        <v>42953</v>
      </c>
      <c r="D3685" s="1">
        <v>42957</v>
      </c>
      <c r="E3685" t="s">
        <v>49</v>
      </c>
      <c r="F3685" t="s">
        <v>1117</v>
      </c>
      <c r="G3685" t="s">
        <v>1118</v>
      </c>
      <c r="H3685" t="s">
        <v>25</v>
      </c>
      <c r="I3685" t="s">
        <v>26</v>
      </c>
      <c r="J3685" t="s">
        <v>263</v>
      </c>
      <c r="K3685" t="s">
        <v>264</v>
      </c>
      <c r="L3685">
        <v>10011</v>
      </c>
      <c r="M3685" t="s">
        <v>145</v>
      </c>
      <c r="N3685" t="s">
        <v>1394</v>
      </c>
      <c r="O3685" t="s">
        <v>45</v>
      </c>
      <c r="P3685" t="s">
        <v>572</v>
      </c>
      <c r="Q3685" t="s">
        <v>1395</v>
      </c>
      <c r="R3685">
        <v>70.12</v>
      </c>
      <c r="S3685">
        <v>4</v>
      </c>
      <c r="T3685">
        <v>0</v>
      </c>
      <c r="U3685">
        <v>21.036000000000001</v>
      </c>
      <c r="V3685" t="str">
        <f t="shared" si="57"/>
        <v>Shahid Hopkins</v>
      </c>
      <c r="W3685">
        <f>Table2[Profit]/Table2[Sales]</f>
        <v>0.3</v>
      </c>
    </row>
    <row r="3686" spans="1:23" x14ac:dyDescent="0.25">
      <c r="A3686">
        <v>3685</v>
      </c>
      <c r="B3686" t="s">
        <v>9230</v>
      </c>
      <c r="C3686" s="1">
        <v>42138</v>
      </c>
      <c r="D3686" s="1">
        <v>42143</v>
      </c>
      <c r="E3686" t="s">
        <v>49</v>
      </c>
      <c r="F3686" t="s">
        <v>987</v>
      </c>
      <c r="G3686" t="s">
        <v>988</v>
      </c>
      <c r="H3686" t="s">
        <v>40</v>
      </c>
      <c r="I3686" t="s">
        <v>26</v>
      </c>
      <c r="J3686" t="s">
        <v>9117</v>
      </c>
      <c r="K3686" t="s">
        <v>42</v>
      </c>
      <c r="L3686">
        <v>93010</v>
      </c>
      <c r="M3686" t="s">
        <v>43</v>
      </c>
      <c r="N3686" t="s">
        <v>2200</v>
      </c>
      <c r="O3686" t="s">
        <v>31</v>
      </c>
      <c r="P3686" t="s">
        <v>32</v>
      </c>
      <c r="Q3686" t="s">
        <v>2201</v>
      </c>
      <c r="R3686">
        <v>509.95749999999998</v>
      </c>
      <c r="S3686">
        <v>5</v>
      </c>
      <c r="T3686">
        <v>0.15</v>
      </c>
      <c r="U3686">
        <v>41.996499999999997</v>
      </c>
      <c r="V3686" t="str">
        <f t="shared" si="57"/>
        <v>Claudia Bergmann</v>
      </c>
      <c r="W3686">
        <f>Table2[Profit]/Table2[Sales]</f>
        <v>8.2352941176470587E-2</v>
      </c>
    </row>
    <row r="3687" spans="1:23" x14ac:dyDescent="0.25">
      <c r="A3687">
        <v>3686</v>
      </c>
      <c r="B3687" t="s">
        <v>9231</v>
      </c>
      <c r="C3687" s="1">
        <v>42755</v>
      </c>
      <c r="D3687" s="1">
        <v>42756</v>
      </c>
      <c r="E3687" t="s">
        <v>185</v>
      </c>
      <c r="F3687" t="s">
        <v>5050</v>
      </c>
      <c r="G3687" t="s">
        <v>5051</v>
      </c>
      <c r="H3687" t="s">
        <v>25</v>
      </c>
      <c r="I3687" t="s">
        <v>26</v>
      </c>
      <c r="J3687" t="s">
        <v>296</v>
      </c>
      <c r="K3687" t="s">
        <v>208</v>
      </c>
      <c r="L3687">
        <v>60653</v>
      </c>
      <c r="M3687" t="s">
        <v>104</v>
      </c>
      <c r="N3687" t="s">
        <v>2878</v>
      </c>
      <c r="O3687" t="s">
        <v>45</v>
      </c>
      <c r="P3687" t="s">
        <v>46</v>
      </c>
      <c r="Q3687" t="s">
        <v>2879</v>
      </c>
      <c r="R3687">
        <v>11.52</v>
      </c>
      <c r="S3687">
        <v>5</v>
      </c>
      <c r="T3687">
        <v>0.2</v>
      </c>
      <c r="U3687">
        <v>4.1760000000000002</v>
      </c>
      <c r="V3687" t="str">
        <f t="shared" si="57"/>
        <v>Maris LaWare</v>
      </c>
      <c r="W3687">
        <f>Table2[Profit]/Table2[Sales]</f>
        <v>0.36250000000000004</v>
      </c>
    </row>
    <row r="3688" spans="1:23" x14ac:dyDescent="0.25">
      <c r="A3688">
        <v>3687</v>
      </c>
      <c r="B3688" t="s">
        <v>9232</v>
      </c>
      <c r="C3688" s="1">
        <v>42520</v>
      </c>
      <c r="D3688" s="1">
        <v>42527</v>
      </c>
      <c r="E3688" t="s">
        <v>49</v>
      </c>
      <c r="F3688" t="s">
        <v>6162</v>
      </c>
      <c r="G3688" t="s">
        <v>6163</v>
      </c>
      <c r="H3688" t="s">
        <v>40</v>
      </c>
      <c r="I3688" t="s">
        <v>26</v>
      </c>
      <c r="J3688" t="s">
        <v>41</v>
      </c>
      <c r="K3688" t="s">
        <v>42</v>
      </c>
      <c r="L3688">
        <v>90032</v>
      </c>
      <c r="M3688" t="s">
        <v>43</v>
      </c>
      <c r="N3688" t="s">
        <v>6120</v>
      </c>
      <c r="O3688" t="s">
        <v>31</v>
      </c>
      <c r="P3688" t="s">
        <v>64</v>
      </c>
      <c r="Q3688" t="s">
        <v>6121</v>
      </c>
      <c r="R3688">
        <v>167.84</v>
      </c>
      <c r="S3688">
        <v>8</v>
      </c>
      <c r="T3688">
        <v>0</v>
      </c>
      <c r="U3688">
        <v>11.748799999999999</v>
      </c>
      <c r="V3688" t="str">
        <f t="shared" si="57"/>
        <v>Jason Gross</v>
      </c>
      <c r="W3688">
        <f>Table2[Profit]/Table2[Sales]</f>
        <v>6.9999999999999993E-2</v>
      </c>
    </row>
    <row r="3689" spans="1:23" x14ac:dyDescent="0.25">
      <c r="A3689">
        <v>3688</v>
      </c>
      <c r="B3689" t="s">
        <v>9233</v>
      </c>
      <c r="C3689" s="1">
        <v>41737</v>
      </c>
      <c r="D3689" s="1">
        <v>41741</v>
      </c>
      <c r="E3689" t="s">
        <v>49</v>
      </c>
      <c r="F3689" t="s">
        <v>2971</v>
      </c>
      <c r="G3689" t="s">
        <v>2972</v>
      </c>
      <c r="H3689" t="s">
        <v>25</v>
      </c>
      <c r="I3689" t="s">
        <v>26</v>
      </c>
      <c r="J3689" t="s">
        <v>2797</v>
      </c>
      <c r="K3689" t="s">
        <v>491</v>
      </c>
      <c r="L3689">
        <v>43615</v>
      </c>
      <c r="M3689" t="s">
        <v>145</v>
      </c>
      <c r="N3689" t="s">
        <v>7344</v>
      </c>
      <c r="O3689" t="s">
        <v>31</v>
      </c>
      <c r="P3689" t="s">
        <v>55</v>
      </c>
      <c r="Q3689" t="s">
        <v>7345</v>
      </c>
      <c r="R3689">
        <v>172.11</v>
      </c>
      <c r="S3689">
        <v>1</v>
      </c>
      <c r="T3689">
        <v>0.4</v>
      </c>
      <c r="U3689">
        <v>-94.660499999999999</v>
      </c>
      <c r="V3689" t="str">
        <f t="shared" si="57"/>
        <v>John Stevenson</v>
      </c>
      <c r="W3689">
        <f>Table2[Profit]/Table2[Sales]</f>
        <v>-0.54999999999999993</v>
      </c>
    </row>
    <row r="3690" spans="1:23" x14ac:dyDescent="0.25">
      <c r="A3690">
        <v>3689</v>
      </c>
      <c r="B3690" t="s">
        <v>9234</v>
      </c>
      <c r="C3690" s="1">
        <v>41843</v>
      </c>
      <c r="D3690" s="1">
        <v>41844</v>
      </c>
      <c r="E3690" t="s">
        <v>185</v>
      </c>
      <c r="F3690" t="s">
        <v>117</v>
      </c>
      <c r="G3690" t="s">
        <v>118</v>
      </c>
      <c r="H3690" t="s">
        <v>25</v>
      </c>
      <c r="I3690" t="s">
        <v>26</v>
      </c>
      <c r="J3690" t="s">
        <v>263</v>
      </c>
      <c r="K3690" t="s">
        <v>264</v>
      </c>
      <c r="L3690">
        <v>10011</v>
      </c>
      <c r="M3690" t="s">
        <v>145</v>
      </c>
      <c r="N3690" t="s">
        <v>3684</v>
      </c>
      <c r="O3690" t="s">
        <v>70</v>
      </c>
      <c r="P3690" t="s">
        <v>158</v>
      </c>
      <c r="Q3690" t="s">
        <v>3685</v>
      </c>
      <c r="R3690">
        <v>99.98</v>
      </c>
      <c r="S3690">
        <v>2</v>
      </c>
      <c r="T3690">
        <v>0</v>
      </c>
      <c r="U3690">
        <v>7.9984000000000002</v>
      </c>
      <c r="V3690" t="str">
        <f t="shared" si="57"/>
        <v>Alejandro Grove</v>
      </c>
      <c r="W3690">
        <f>Table2[Profit]/Table2[Sales]</f>
        <v>0.08</v>
      </c>
    </row>
    <row r="3691" spans="1:23" x14ac:dyDescent="0.25">
      <c r="A3691">
        <v>3690</v>
      </c>
      <c r="B3691" t="s">
        <v>9235</v>
      </c>
      <c r="C3691" s="1">
        <v>42885</v>
      </c>
      <c r="D3691" s="1">
        <v>42889</v>
      </c>
      <c r="E3691" t="s">
        <v>49</v>
      </c>
      <c r="F3691" t="s">
        <v>3692</v>
      </c>
      <c r="G3691" t="s">
        <v>3693</v>
      </c>
      <c r="H3691" t="s">
        <v>101</v>
      </c>
      <c r="I3691" t="s">
        <v>26</v>
      </c>
      <c r="J3691" t="s">
        <v>4192</v>
      </c>
      <c r="K3691" t="s">
        <v>413</v>
      </c>
      <c r="L3691">
        <v>97224</v>
      </c>
      <c r="M3691" t="s">
        <v>43</v>
      </c>
      <c r="N3691" t="s">
        <v>6897</v>
      </c>
      <c r="O3691" t="s">
        <v>70</v>
      </c>
      <c r="P3691" t="s">
        <v>71</v>
      </c>
      <c r="Q3691" t="s">
        <v>6898</v>
      </c>
      <c r="R3691">
        <v>156.792</v>
      </c>
      <c r="S3691">
        <v>1</v>
      </c>
      <c r="T3691">
        <v>0.2</v>
      </c>
      <c r="U3691">
        <v>17.639099999999999</v>
      </c>
      <c r="V3691" t="str">
        <f t="shared" si="57"/>
        <v>Michael Granlund</v>
      </c>
      <c r="W3691">
        <f>Table2[Profit]/Table2[Sales]</f>
        <v>0.11249999999999999</v>
      </c>
    </row>
    <row r="3692" spans="1:23" x14ac:dyDescent="0.25">
      <c r="A3692">
        <v>3691</v>
      </c>
      <c r="B3692" t="s">
        <v>9236</v>
      </c>
      <c r="C3692" s="1">
        <v>42442</v>
      </c>
      <c r="D3692" s="1">
        <v>42444</v>
      </c>
      <c r="E3692" t="s">
        <v>22</v>
      </c>
      <c r="F3692" t="s">
        <v>348</v>
      </c>
      <c r="G3692" t="s">
        <v>349</v>
      </c>
      <c r="H3692" t="s">
        <v>40</v>
      </c>
      <c r="I3692" t="s">
        <v>26</v>
      </c>
      <c r="J3692" t="s">
        <v>143</v>
      </c>
      <c r="K3692" t="s">
        <v>144</v>
      </c>
      <c r="L3692">
        <v>19134</v>
      </c>
      <c r="M3692" t="s">
        <v>145</v>
      </c>
      <c r="N3692" t="s">
        <v>679</v>
      </c>
      <c r="O3692" t="s">
        <v>31</v>
      </c>
      <c r="P3692" t="s">
        <v>35</v>
      </c>
      <c r="Q3692" t="s">
        <v>680</v>
      </c>
      <c r="R3692">
        <v>386.68</v>
      </c>
      <c r="S3692">
        <v>2</v>
      </c>
      <c r="T3692">
        <v>0.3</v>
      </c>
      <c r="U3692">
        <v>-5.524</v>
      </c>
      <c r="V3692" t="str">
        <f t="shared" si="57"/>
        <v>Stewart Carmichael</v>
      </c>
      <c r="W3692">
        <f>Table2[Profit]/Table2[Sales]</f>
        <v>-1.4285714285714285E-2</v>
      </c>
    </row>
    <row r="3693" spans="1:23" x14ac:dyDescent="0.25">
      <c r="A3693">
        <v>3692</v>
      </c>
      <c r="B3693" t="s">
        <v>9237</v>
      </c>
      <c r="C3693" s="1">
        <v>42835</v>
      </c>
      <c r="D3693" s="1">
        <v>42839</v>
      </c>
      <c r="E3693" t="s">
        <v>49</v>
      </c>
      <c r="F3693" t="s">
        <v>798</v>
      </c>
      <c r="G3693" t="s">
        <v>799</v>
      </c>
      <c r="H3693" t="s">
        <v>25</v>
      </c>
      <c r="I3693" t="s">
        <v>26</v>
      </c>
      <c r="J3693" t="s">
        <v>143</v>
      </c>
      <c r="K3693" t="s">
        <v>144</v>
      </c>
      <c r="L3693">
        <v>19143</v>
      </c>
      <c r="M3693" t="s">
        <v>145</v>
      </c>
      <c r="N3693" t="s">
        <v>5245</v>
      </c>
      <c r="O3693" t="s">
        <v>45</v>
      </c>
      <c r="P3693" t="s">
        <v>77</v>
      </c>
      <c r="Q3693" t="s">
        <v>5246</v>
      </c>
      <c r="R3693">
        <v>195.10400000000001</v>
      </c>
      <c r="S3693">
        <v>4</v>
      </c>
      <c r="T3693">
        <v>0.2</v>
      </c>
      <c r="U3693">
        <v>21.949200000000001</v>
      </c>
      <c r="V3693" t="str">
        <f t="shared" si="57"/>
        <v>Bruce Stewart</v>
      </c>
      <c r="W3693">
        <f>Table2[Profit]/Table2[Sales]</f>
        <v>0.1125</v>
      </c>
    </row>
    <row r="3694" spans="1:23" x14ac:dyDescent="0.25">
      <c r="A3694">
        <v>3693</v>
      </c>
      <c r="B3694" t="s">
        <v>9238</v>
      </c>
      <c r="C3694" s="1">
        <v>42546</v>
      </c>
      <c r="D3694" s="1">
        <v>42548</v>
      </c>
      <c r="E3694" t="s">
        <v>22</v>
      </c>
      <c r="F3694" t="s">
        <v>806</v>
      </c>
      <c r="G3694" t="s">
        <v>807</v>
      </c>
      <c r="H3694" t="s">
        <v>25</v>
      </c>
      <c r="I3694" t="s">
        <v>26</v>
      </c>
      <c r="J3694" t="s">
        <v>181</v>
      </c>
      <c r="K3694" t="s">
        <v>103</v>
      </c>
      <c r="L3694">
        <v>77070</v>
      </c>
      <c r="M3694" t="s">
        <v>104</v>
      </c>
      <c r="N3694" t="s">
        <v>297</v>
      </c>
      <c r="O3694" t="s">
        <v>31</v>
      </c>
      <c r="P3694" t="s">
        <v>35</v>
      </c>
      <c r="Q3694" t="s">
        <v>298</v>
      </c>
      <c r="R3694">
        <v>85.245999999999995</v>
      </c>
      <c r="S3694">
        <v>2</v>
      </c>
      <c r="T3694">
        <v>0.3</v>
      </c>
      <c r="U3694">
        <v>-6.0890000000000004</v>
      </c>
      <c r="V3694" t="str">
        <f t="shared" si="57"/>
        <v>Logan Currie</v>
      </c>
      <c r="W3694">
        <f>Table2[Profit]/Table2[Sales]</f>
        <v>-7.1428571428571438E-2</v>
      </c>
    </row>
    <row r="3695" spans="1:23" x14ac:dyDescent="0.25">
      <c r="A3695">
        <v>3694</v>
      </c>
      <c r="B3695" t="s">
        <v>9239</v>
      </c>
      <c r="C3695" s="1">
        <v>41715</v>
      </c>
      <c r="D3695" s="1">
        <v>41719</v>
      </c>
      <c r="E3695" t="s">
        <v>49</v>
      </c>
      <c r="F3695" t="s">
        <v>8517</v>
      </c>
      <c r="G3695" t="s">
        <v>8518</v>
      </c>
      <c r="H3695" t="s">
        <v>40</v>
      </c>
      <c r="I3695" t="s">
        <v>26</v>
      </c>
      <c r="J3695" t="s">
        <v>321</v>
      </c>
      <c r="K3695" t="s">
        <v>1473</v>
      </c>
      <c r="L3695">
        <v>39212</v>
      </c>
      <c r="M3695" t="s">
        <v>29</v>
      </c>
      <c r="N3695" t="s">
        <v>2047</v>
      </c>
      <c r="O3695" t="s">
        <v>45</v>
      </c>
      <c r="P3695" t="s">
        <v>74</v>
      </c>
      <c r="Q3695" t="s">
        <v>2048</v>
      </c>
      <c r="R3695">
        <v>11.43</v>
      </c>
      <c r="S3695">
        <v>3</v>
      </c>
      <c r="T3695">
        <v>0</v>
      </c>
      <c r="U3695">
        <v>5.3720999999999997</v>
      </c>
      <c r="V3695" t="str">
        <f t="shared" si="57"/>
        <v>Mark Haberlin</v>
      </c>
      <c r="W3695">
        <f>Table2[Profit]/Table2[Sales]</f>
        <v>0.47</v>
      </c>
    </row>
    <row r="3696" spans="1:23" x14ac:dyDescent="0.25">
      <c r="A3696">
        <v>3695</v>
      </c>
      <c r="B3696" t="s">
        <v>9240</v>
      </c>
      <c r="C3696" s="1">
        <v>41860</v>
      </c>
      <c r="D3696" s="1">
        <v>41864</v>
      </c>
      <c r="E3696" t="s">
        <v>49</v>
      </c>
      <c r="F3696" t="s">
        <v>7242</v>
      </c>
      <c r="G3696" t="s">
        <v>7243</v>
      </c>
      <c r="H3696" t="s">
        <v>25</v>
      </c>
      <c r="I3696" t="s">
        <v>26</v>
      </c>
      <c r="J3696" t="s">
        <v>537</v>
      </c>
      <c r="K3696" t="s">
        <v>303</v>
      </c>
      <c r="L3696">
        <v>85023</v>
      </c>
      <c r="M3696" t="s">
        <v>43</v>
      </c>
      <c r="N3696" t="s">
        <v>3086</v>
      </c>
      <c r="O3696" t="s">
        <v>45</v>
      </c>
      <c r="P3696" t="s">
        <v>266</v>
      </c>
      <c r="Q3696" t="s">
        <v>3087</v>
      </c>
      <c r="R3696">
        <v>4.4640000000000004</v>
      </c>
      <c r="S3696">
        <v>3</v>
      </c>
      <c r="T3696">
        <v>0.2</v>
      </c>
      <c r="U3696">
        <v>-0.9486</v>
      </c>
      <c r="V3696" t="str">
        <f t="shared" si="57"/>
        <v>Roger Demir</v>
      </c>
      <c r="W3696">
        <f>Table2[Profit]/Table2[Sales]</f>
        <v>-0.21249999999999997</v>
      </c>
    </row>
    <row r="3697" spans="1:23" x14ac:dyDescent="0.25">
      <c r="A3697">
        <v>3696</v>
      </c>
      <c r="B3697" t="s">
        <v>9241</v>
      </c>
      <c r="C3697" s="1">
        <v>42211</v>
      </c>
      <c r="D3697" s="1">
        <v>42216</v>
      </c>
      <c r="E3697" t="s">
        <v>49</v>
      </c>
      <c r="F3697" t="s">
        <v>1372</v>
      </c>
      <c r="G3697" t="s">
        <v>1373</v>
      </c>
      <c r="H3697" t="s">
        <v>40</v>
      </c>
      <c r="I3697" t="s">
        <v>26</v>
      </c>
      <c r="J3697" t="s">
        <v>8609</v>
      </c>
      <c r="K3697" t="s">
        <v>42</v>
      </c>
      <c r="L3697">
        <v>93030</v>
      </c>
      <c r="M3697" t="s">
        <v>43</v>
      </c>
      <c r="N3697" t="s">
        <v>2047</v>
      </c>
      <c r="O3697" t="s">
        <v>45</v>
      </c>
      <c r="P3697" t="s">
        <v>74</v>
      </c>
      <c r="Q3697" t="s">
        <v>2048</v>
      </c>
      <c r="R3697">
        <v>9.1440000000000001</v>
      </c>
      <c r="S3697">
        <v>3</v>
      </c>
      <c r="T3697">
        <v>0.2</v>
      </c>
      <c r="U3697">
        <v>3.0861000000000001</v>
      </c>
      <c r="V3697" t="str">
        <f t="shared" si="57"/>
        <v>Bart Pistole</v>
      </c>
      <c r="W3697">
        <f>Table2[Profit]/Table2[Sales]</f>
        <v>0.33750000000000002</v>
      </c>
    </row>
    <row r="3698" spans="1:23" x14ac:dyDescent="0.25">
      <c r="A3698">
        <v>3697</v>
      </c>
      <c r="B3698" t="s">
        <v>9242</v>
      </c>
      <c r="C3698" s="1">
        <v>41685</v>
      </c>
      <c r="D3698" s="1">
        <v>41689</v>
      </c>
      <c r="E3698" t="s">
        <v>49</v>
      </c>
      <c r="F3698" t="s">
        <v>2378</v>
      </c>
      <c r="G3698" t="s">
        <v>2379</v>
      </c>
      <c r="H3698" t="s">
        <v>40</v>
      </c>
      <c r="I3698" t="s">
        <v>26</v>
      </c>
      <c r="J3698" t="s">
        <v>94</v>
      </c>
      <c r="K3698" t="s">
        <v>95</v>
      </c>
      <c r="L3698">
        <v>98105</v>
      </c>
      <c r="M3698" t="s">
        <v>43</v>
      </c>
      <c r="N3698" t="s">
        <v>3357</v>
      </c>
      <c r="O3698" t="s">
        <v>45</v>
      </c>
      <c r="P3698" t="s">
        <v>74</v>
      </c>
      <c r="Q3698" t="s">
        <v>3358</v>
      </c>
      <c r="R3698">
        <v>21.36</v>
      </c>
      <c r="S3698">
        <v>5</v>
      </c>
      <c r="T3698">
        <v>0.2</v>
      </c>
      <c r="U3698">
        <v>7.2089999999999996</v>
      </c>
      <c r="V3698" t="str">
        <f t="shared" si="57"/>
        <v>Barry Französisch</v>
      </c>
      <c r="W3698">
        <f>Table2[Profit]/Table2[Sales]</f>
        <v>0.33749999999999997</v>
      </c>
    </row>
    <row r="3699" spans="1:23" x14ac:dyDescent="0.25">
      <c r="A3699">
        <v>3698</v>
      </c>
      <c r="B3699" t="s">
        <v>9243</v>
      </c>
      <c r="C3699" s="1">
        <v>42087</v>
      </c>
      <c r="D3699" s="1">
        <v>42090</v>
      </c>
      <c r="E3699" t="s">
        <v>22</v>
      </c>
      <c r="F3699" t="s">
        <v>3594</v>
      </c>
      <c r="G3699" t="s">
        <v>3595</v>
      </c>
      <c r="H3699" t="s">
        <v>40</v>
      </c>
      <c r="I3699" t="s">
        <v>26</v>
      </c>
      <c r="J3699" t="s">
        <v>7001</v>
      </c>
      <c r="K3699" t="s">
        <v>95</v>
      </c>
      <c r="L3699">
        <v>98042</v>
      </c>
      <c r="M3699" t="s">
        <v>43</v>
      </c>
      <c r="N3699" t="s">
        <v>5901</v>
      </c>
      <c r="O3699" t="s">
        <v>31</v>
      </c>
      <c r="P3699" t="s">
        <v>64</v>
      </c>
      <c r="Q3699" t="s">
        <v>5902</v>
      </c>
      <c r="R3699">
        <v>46.9</v>
      </c>
      <c r="S3699">
        <v>5</v>
      </c>
      <c r="T3699">
        <v>0</v>
      </c>
      <c r="U3699">
        <v>13.132</v>
      </c>
      <c r="V3699" t="str">
        <f t="shared" si="57"/>
        <v>Cathy Prescott</v>
      </c>
      <c r="W3699">
        <f>Table2[Profit]/Table2[Sales]</f>
        <v>0.28000000000000003</v>
      </c>
    </row>
    <row r="3700" spans="1:23" x14ac:dyDescent="0.25">
      <c r="A3700">
        <v>3699</v>
      </c>
      <c r="B3700" t="s">
        <v>9244</v>
      </c>
      <c r="C3700" s="1">
        <v>42980</v>
      </c>
      <c r="D3700" s="1">
        <v>42984</v>
      </c>
      <c r="E3700" t="s">
        <v>49</v>
      </c>
      <c r="F3700" t="s">
        <v>4474</v>
      </c>
      <c r="G3700" t="s">
        <v>4475</v>
      </c>
      <c r="H3700" t="s">
        <v>25</v>
      </c>
      <c r="I3700" t="s">
        <v>26</v>
      </c>
      <c r="J3700" t="s">
        <v>41</v>
      </c>
      <c r="K3700" t="s">
        <v>42</v>
      </c>
      <c r="L3700">
        <v>90049</v>
      </c>
      <c r="M3700" t="s">
        <v>43</v>
      </c>
      <c r="N3700" t="s">
        <v>2325</v>
      </c>
      <c r="O3700" t="s">
        <v>45</v>
      </c>
      <c r="P3700" t="s">
        <v>74</v>
      </c>
      <c r="Q3700" t="s">
        <v>2326</v>
      </c>
      <c r="R3700">
        <v>18.72</v>
      </c>
      <c r="S3700">
        <v>5</v>
      </c>
      <c r="T3700">
        <v>0.2</v>
      </c>
      <c r="U3700">
        <v>6.5519999999999996</v>
      </c>
      <c r="V3700" t="str">
        <f t="shared" si="57"/>
        <v>Janet Lee</v>
      </c>
      <c r="W3700">
        <f>Table2[Profit]/Table2[Sales]</f>
        <v>0.35</v>
      </c>
    </row>
    <row r="3701" spans="1:23" x14ac:dyDescent="0.25">
      <c r="A3701">
        <v>3700</v>
      </c>
      <c r="B3701" t="s">
        <v>9245</v>
      </c>
      <c r="C3701" s="1">
        <v>42324</v>
      </c>
      <c r="D3701" s="1">
        <v>42326</v>
      </c>
      <c r="E3701" t="s">
        <v>185</v>
      </c>
      <c r="F3701" t="s">
        <v>1624</v>
      </c>
      <c r="G3701" t="s">
        <v>1625</v>
      </c>
      <c r="H3701" t="s">
        <v>40</v>
      </c>
      <c r="I3701" t="s">
        <v>26</v>
      </c>
      <c r="J3701" t="s">
        <v>941</v>
      </c>
      <c r="K3701" t="s">
        <v>42</v>
      </c>
      <c r="L3701">
        <v>92105</v>
      </c>
      <c r="M3701" t="s">
        <v>43</v>
      </c>
      <c r="N3701" t="s">
        <v>701</v>
      </c>
      <c r="O3701" t="s">
        <v>45</v>
      </c>
      <c r="P3701" t="s">
        <v>46</v>
      </c>
      <c r="Q3701" t="s">
        <v>702</v>
      </c>
      <c r="R3701">
        <v>18.899999999999999</v>
      </c>
      <c r="S3701">
        <v>3</v>
      </c>
      <c r="T3701">
        <v>0</v>
      </c>
      <c r="U3701">
        <v>8.6940000000000008</v>
      </c>
      <c r="V3701" t="str">
        <f t="shared" si="57"/>
        <v>John Grady</v>
      </c>
      <c r="W3701">
        <f>Table2[Profit]/Table2[Sales]</f>
        <v>0.46000000000000008</v>
      </c>
    </row>
    <row r="3702" spans="1:23" x14ac:dyDescent="0.25">
      <c r="A3702">
        <v>3701</v>
      </c>
      <c r="B3702" t="s">
        <v>9246</v>
      </c>
      <c r="C3702" s="1">
        <v>41982</v>
      </c>
      <c r="D3702" s="1">
        <v>41984</v>
      </c>
      <c r="E3702" t="s">
        <v>185</v>
      </c>
      <c r="F3702" t="s">
        <v>8769</v>
      </c>
      <c r="G3702" t="s">
        <v>8770</v>
      </c>
      <c r="H3702" t="s">
        <v>40</v>
      </c>
      <c r="I3702" t="s">
        <v>26</v>
      </c>
      <c r="J3702" t="s">
        <v>3100</v>
      </c>
      <c r="K3702" t="s">
        <v>103</v>
      </c>
      <c r="L3702">
        <v>78521</v>
      </c>
      <c r="M3702" t="s">
        <v>104</v>
      </c>
      <c r="N3702" t="s">
        <v>561</v>
      </c>
      <c r="O3702" t="s">
        <v>45</v>
      </c>
      <c r="P3702" t="s">
        <v>89</v>
      </c>
      <c r="Q3702" t="s">
        <v>562</v>
      </c>
      <c r="R3702">
        <v>10.688000000000001</v>
      </c>
      <c r="S3702">
        <v>2</v>
      </c>
      <c r="T3702">
        <v>0.2</v>
      </c>
      <c r="U3702">
        <v>3.7408000000000001</v>
      </c>
      <c r="V3702" t="str">
        <f t="shared" si="57"/>
        <v>Victoria Pisteka</v>
      </c>
      <c r="W3702">
        <f>Table2[Profit]/Table2[Sales]</f>
        <v>0.35</v>
      </c>
    </row>
    <row r="3703" spans="1:23" x14ac:dyDescent="0.25">
      <c r="A3703">
        <v>3702</v>
      </c>
      <c r="B3703" t="s">
        <v>9247</v>
      </c>
      <c r="C3703" s="1">
        <v>42769</v>
      </c>
      <c r="D3703" s="1">
        <v>42773</v>
      </c>
      <c r="E3703" t="s">
        <v>22</v>
      </c>
      <c r="F3703" t="s">
        <v>2281</v>
      </c>
      <c r="G3703" t="s">
        <v>2282</v>
      </c>
      <c r="H3703" t="s">
        <v>101</v>
      </c>
      <c r="I3703" t="s">
        <v>26</v>
      </c>
      <c r="J3703" t="s">
        <v>296</v>
      </c>
      <c r="K3703" t="s">
        <v>208</v>
      </c>
      <c r="L3703">
        <v>60610</v>
      </c>
      <c r="M3703" t="s">
        <v>104</v>
      </c>
      <c r="N3703" t="s">
        <v>3002</v>
      </c>
      <c r="O3703" t="s">
        <v>45</v>
      </c>
      <c r="P3703" t="s">
        <v>89</v>
      </c>
      <c r="Q3703" t="s">
        <v>3003</v>
      </c>
      <c r="R3703">
        <v>5.1840000000000002</v>
      </c>
      <c r="S3703">
        <v>1</v>
      </c>
      <c r="T3703">
        <v>0.2</v>
      </c>
      <c r="U3703">
        <v>1.8144</v>
      </c>
      <c r="V3703" t="str">
        <f t="shared" si="57"/>
        <v>Ross DeVincentis</v>
      </c>
      <c r="W3703">
        <f>Table2[Profit]/Table2[Sales]</f>
        <v>0.35</v>
      </c>
    </row>
    <row r="3704" spans="1:23" x14ac:dyDescent="0.25">
      <c r="A3704">
        <v>3703</v>
      </c>
      <c r="B3704" t="s">
        <v>9248</v>
      </c>
      <c r="C3704" s="1">
        <v>43050</v>
      </c>
      <c r="D3704" s="1">
        <v>43053</v>
      </c>
      <c r="E3704" t="s">
        <v>185</v>
      </c>
      <c r="F3704" t="s">
        <v>5857</v>
      </c>
      <c r="G3704" t="s">
        <v>5858</v>
      </c>
      <c r="H3704" t="s">
        <v>25</v>
      </c>
      <c r="I3704" t="s">
        <v>26</v>
      </c>
      <c r="J3704" t="s">
        <v>5032</v>
      </c>
      <c r="K3704" t="s">
        <v>328</v>
      </c>
      <c r="L3704">
        <v>37918</v>
      </c>
      <c r="M3704" t="s">
        <v>29</v>
      </c>
      <c r="N3704" t="s">
        <v>2478</v>
      </c>
      <c r="O3704" t="s">
        <v>31</v>
      </c>
      <c r="P3704" t="s">
        <v>64</v>
      </c>
      <c r="Q3704" t="s">
        <v>2479</v>
      </c>
      <c r="R3704">
        <v>88.92</v>
      </c>
      <c r="S3704">
        <v>5</v>
      </c>
      <c r="T3704">
        <v>0.2</v>
      </c>
      <c r="U3704">
        <v>14.4495</v>
      </c>
      <c r="V3704" t="str">
        <f t="shared" si="57"/>
        <v>Michelle Huthwaite</v>
      </c>
      <c r="W3704">
        <f>Table2[Profit]/Table2[Sales]</f>
        <v>0.16250000000000001</v>
      </c>
    </row>
    <row r="3705" spans="1:23" x14ac:dyDescent="0.25">
      <c r="A3705">
        <v>3704</v>
      </c>
      <c r="B3705" t="s">
        <v>9249</v>
      </c>
      <c r="C3705" s="1">
        <v>42995</v>
      </c>
      <c r="D3705" s="1">
        <v>43000</v>
      </c>
      <c r="E3705" t="s">
        <v>22</v>
      </c>
      <c r="F3705" t="s">
        <v>2620</v>
      </c>
      <c r="G3705" t="s">
        <v>2621</v>
      </c>
      <c r="H3705" t="s">
        <v>101</v>
      </c>
      <c r="I3705" t="s">
        <v>26</v>
      </c>
      <c r="J3705" t="s">
        <v>181</v>
      </c>
      <c r="K3705" t="s">
        <v>103</v>
      </c>
      <c r="L3705">
        <v>77036</v>
      </c>
      <c r="M3705" t="s">
        <v>104</v>
      </c>
      <c r="N3705" t="s">
        <v>465</v>
      </c>
      <c r="O3705" t="s">
        <v>45</v>
      </c>
      <c r="P3705" t="s">
        <v>67</v>
      </c>
      <c r="Q3705" t="s">
        <v>466</v>
      </c>
      <c r="R3705">
        <v>9.9120000000000008</v>
      </c>
      <c r="S3705">
        <v>3</v>
      </c>
      <c r="T3705">
        <v>0.2</v>
      </c>
      <c r="U3705">
        <v>3.2214</v>
      </c>
      <c r="V3705" t="str">
        <f t="shared" si="57"/>
        <v>Sanjit Jacobs</v>
      </c>
      <c r="W3705">
        <f>Table2[Profit]/Table2[Sales]</f>
        <v>0.32499999999999996</v>
      </c>
    </row>
    <row r="3706" spans="1:23" x14ac:dyDescent="0.25">
      <c r="A3706">
        <v>3705</v>
      </c>
      <c r="B3706" t="s">
        <v>9250</v>
      </c>
      <c r="C3706" s="1">
        <v>42911</v>
      </c>
      <c r="D3706" s="1">
        <v>42917</v>
      </c>
      <c r="E3706" t="s">
        <v>49</v>
      </c>
      <c r="F3706" t="s">
        <v>2050</v>
      </c>
      <c r="G3706" t="s">
        <v>2051</v>
      </c>
      <c r="H3706" t="s">
        <v>25</v>
      </c>
      <c r="I3706" t="s">
        <v>26</v>
      </c>
      <c r="J3706" t="s">
        <v>6158</v>
      </c>
      <c r="K3706" t="s">
        <v>208</v>
      </c>
      <c r="L3706">
        <v>60440</v>
      </c>
      <c r="M3706" t="s">
        <v>104</v>
      </c>
      <c r="N3706" t="s">
        <v>3493</v>
      </c>
      <c r="O3706" t="s">
        <v>70</v>
      </c>
      <c r="P3706" t="s">
        <v>71</v>
      </c>
      <c r="Q3706" t="s">
        <v>3494</v>
      </c>
      <c r="R3706">
        <v>148.47999999999999</v>
      </c>
      <c r="S3706">
        <v>2</v>
      </c>
      <c r="T3706">
        <v>0.2</v>
      </c>
      <c r="U3706">
        <v>16.704000000000001</v>
      </c>
      <c r="V3706" t="str">
        <f t="shared" si="57"/>
        <v>Fred McMath</v>
      </c>
      <c r="W3706">
        <f>Table2[Profit]/Table2[Sales]</f>
        <v>0.11250000000000002</v>
      </c>
    </row>
    <row r="3707" spans="1:23" x14ac:dyDescent="0.25">
      <c r="A3707">
        <v>3706</v>
      </c>
      <c r="B3707" t="s">
        <v>9251</v>
      </c>
      <c r="C3707" s="1">
        <v>42581</v>
      </c>
      <c r="D3707" s="1">
        <v>42586</v>
      </c>
      <c r="E3707" t="s">
        <v>49</v>
      </c>
      <c r="F3707" t="s">
        <v>2847</v>
      </c>
      <c r="G3707" t="s">
        <v>2848</v>
      </c>
      <c r="H3707" t="s">
        <v>25</v>
      </c>
      <c r="I3707" t="s">
        <v>26</v>
      </c>
      <c r="J3707" t="s">
        <v>296</v>
      </c>
      <c r="K3707" t="s">
        <v>208</v>
      </c>
      <c r="L3707">
        <v>60623</v>
      </c>
      <c r="M3707" t="s">
        <v>104</v>
      </c>
      <c r="N3707" t="s">
        <v>5610</v>
      </c>
      <c r="O3707" t="s">
        <v>45</v>
      </c>
      <c r="P3707" t="s">
        <v>46</v>
      </c>
      <c r="Q3707" t="s">
        <v>5611</v>
      </c>
      <c r="R3707">
        <v>9.2479999999999993</v>
      </c>
      <c r="S3707">
        <v>4</v>
      </c>
      <c r="T3707">
        <v>0.2</v>
      </c>
      <c r="U3707">
        <v>3.1212</v>
      </c>
      <c r="V3707" t="str">
        <f t="shared" si="57"/>
        <v>Katherine Hughes</v>
      </c>
      <c r="W3707">
        <f>Table2[Profit]/Table2[Sales]</f>
        <v>0.33750000000000002</v>
      </c>
    </row>
    <row r="3708" spans="1:23" x14ac:dyDescent="0.25">
      <c r="A3708">
        <v>3707</v>
      </c>
      <c r="B3708" t="s">
        <v>9252</v>
      </c>
      <c r="C3708" s="1">
        <v>42110</v>
      </c>
      <c r="D3708" s="1">
        <v>42112</v>
      </c>
      <c r="E3708" t="s">
        <v>185</v>
      </c>
      <c r="F3708" t="s">
        <v>2684</v>
      </c>
      <c r="G3708" t="s">
        <v>2685</v>
      </c>
      <c r="H3708" t="s">
        <v>25</v>
      </c>
      <c r="I3708" t="s">
        <v>26</v>
      </c>
      <c r="J3708" t="s">
        <v>2205</v>
      </c>
      <c r="K3708" t="s">
        <v>312</v>
      </c>
      <c r="L3708">
        <v>22980</v>
      </c>
      <c r="M3708" t="s">
        <v>29</v>
      </c>
      <c r="N3708" t="s">
        <v>81</v>
      </c>
      <c r="O3708" t="s">
        <v>70</v>
      </c>
      <c r="P3708" t="s">
        <v>71</v>
      </c>
      <c r="Q3708" t="s">
        <v>82</v>
      </c>
      <c r="R3708">
        <v>569.64</v>
      </c>
      <c r="S3708">
        <v>2</v>
      </c>
      <c r="T3708">
        <v>0</v>
      </c>
      <c r="U3708">
        <v>148.10640000000001</v>
      </c>
      <c r="V3708" t="str">
        <f t="shared" si="57"/>
        <v>Lauren Leatherbury</v>
      </c>
      <c r="W3708">
        <f>Table2[Profit]/Table2[Sales]</f>
        <v>0.26</v>
      </c>
    </row>
    <row r="3709" spans="1:23" x14ac:dyDescent="0.25">
      <c r="A3709">
        <v>3708</v>
      </c>
      <c r="B3709" t="s">
        <v>9253</v>
      </c>
      <c r="C3709" s="1">
        <v>42105</v>
      </c>
      <c r="D3709" s="1">
        <v>42108</v>
      </c>
      <c r="E3709" t="s">
        <v>22</v>
      </c>
      <c r="F3709" t="s">
        <v>3945</v>
      </c>
      <c r="G3709" t="s">
        <v>3946</v>
      </c>
      <c r="H3709" t="s">
        <v>25</v>
      </c>
      <c r="I3709" t="s">
        <v>26</v>
      </c>
      <c r="J3709" t="s">
        <v>41</v>
      </c>
      <c r="K3709" t="s">
        <v>42</v>
      </c>
      <c r="L3709">
        <v>90004</v>
      </c>
      <c r="M3709" t="s">
        <v>43</v>
      </c>
      <c r="N3709" t="s">
        <v>7481</v>
      </c>
      <c r="O3709" t="s">
        <v>70</v>
      </c>
      <c r="P3709" t="s">
        <v>1204</v>
      </c>
      <c r="Q3709" t="s">
        <v>7482</v>
      </c>
      <c r="R3709">
        <v>639.96799999999996</v>
      </c>
      <c r="S3709">
        <v>4</v>
      </c>
      <c r="T3709">
        <v>0.2</v>
      </c>
      <c r="U3709">
        <v>215.98920000000001</v>
      </c>
      <c r="V3709" t="str">
        <f t="shared" si="57"/>
        <v>Andy Reiter</v>
      </c>
      <c r="W3709">
        <f>Table2[Profit]/Table2[Sales]</f>
        <v>0.33750000000000002</v>
      </c>
    </row>
    <row r="3710" spans="1:23" x14ac:dyDescent="0.25">
      <c r="A3710">
        <v>3709</v>
      </c>
      <c r="B3710" t="s">
        <v>9254</v>
      </c>
      <c r="C3710" s="1">
        <v>42062</v>
      </c>
      <c r="D3710" s="1">
        <v>42064</v>
      </c>
      <c r="E3710" t="s">
        <v>22</v>
      </c>
      <c r="F3710" t="s">
        <v>638</v>
      </c>
      <c r="G3710" t="s">
        <v>639</v>
      </c>
      <c r="H3710" t="s">
        <v>25</v>
      </c>
      <c r="I3710" t="s">
        <v>26</v>
      </c>
      <c r="J3710" t="s">
        <v>94</v>
      </c>
      <c r="K3710" t="s">
        <v>95</v>
      </c>
      <c r="L3710">
        <v>98105</v>
      </c>
      <c r="M3710" t="s">
        <v>43</v>
      </c>
      <c r="N3710" t="s">
        <v>1304</v>
      </c>
      <c r="O3710" t="s">
        <v>70</v>
      </c>
      <c r="P3710" t="s">
        <v>158</v>
      </c>
      <c r="Q3710" t="s">
        <v>1305</v>
      </c>
      <c r="R3710">
        <v>538.91999999999996</v>
      </c>
      <c r="S3710">
        <v>9</v>
      </c>
      <c r="T3710">
        <v>0</v>
      </c>
      <c r="U3710">
        <v>80.837999999999994</v>
      </c>
      <c r="V3710" t="str">
        <f t="shared" si="57"/>
        <v>Nora Paige</v>
      </c>
      <c r="W3710">
        <f>Table2[Profit]/Table2[Sales]</f>
        <v>0.15</v>
      </c>
    </row>
    <row r="3711" spans="1:23" x14ac:dyDescent="0.25">
      <c r="A3711">
        <v>3710</v>
      </c>
      <c r="B3711" t="s">
        <v>9255</v>
      </c>
      <c r="C3711" s="1">
        <v>42621</v>
      </c>
      <c r="D3711" s="1">
        <v>42628</v>
      </c>
      <c r="E3711" t="s">
        <v>49</v>
      </c>
      <c r="F3711" t="s">
        <v>3576</v>
      </c>
      <c r="G3711" t="s">
        <v>3577</v>
      </c>
      <c r="H3711" t="s">
        <v>25</v>
      </c>
      <c r="I3711" t="s">
        <v>26</v>
      </c>
      <c r="J3711" t="s">
        <v>6343</v>
      </c>
      <c r="K3711" t="s">
        <v>42</v>
      </c>
      <c r="L3711">
        <v>93277</v>
      </c>
      <c r="M3711" t="s">
        <v>43</v>
      </c>
      <c r="N3711" t="s">
        <v>5976</v>
      </c>
      <c r="O3711" t="s">
        <v>45</v>
      </c>
      <c r="P3711" t="s">
        <v>67</v>
      </c>
      <c r="Q3711" t="s">
        <v>5977</v>
      </c>
      <c r="R3711">
        <v>14.88</v>
      </c>
      <c r="S3711">
        <v>2</v>
      </c>
      <c r="T3711">
        <v>0</v>
      </c>
      <c r="U3711">
        <v>3.72</v>
      </c>
      <c r="V3711" t="str">
        <f t="shared" si="57"/>
        <v>Liz Preis</v>
      </c>
      <c r="W3711">
        <f>Table2[Profit]/Table2[Sales]</f>
        <v>0.25</v>
      </c>
    </row>
    <row r="3712" spans="1:23" x14ac:dyDescent="0.25">
      <c r="A3712">
        <v>3711</v>
      </c>
      <c r="B3712" t="s">
        <v>9256</v>
      </c>
      <c r="C3712" s="1">
        <v>42509</v>
      </c>
      <c r="D3712" s="1">
        <v>42513</v>
      </c>
      <c r="E3712" t="s">
        <v>49</v>
      </c>
      <c r="F3712" t="s">
        <v>6483</v>
      </c>
      <c r="G3712" t="s">
        <v>6484</v>
      </c>
      <c r="H3712" t="s">
        <v>40</v>
      </c>
      <c r="I3712" t="s">
        <v>26</v>
      </c>
      <c r="J3712" t="s">
        <v>41</v>
      </c>
      <c r="K3712" t="s">
        <v>42</v>
      </c>
      <c r="L3712">
        <v>90008</v>
      </c>
      <c r="M3712" t="s">
        <v>43</v>
      </c>
      <c r="N3712" t="s">
        <v>7174</v>
      </c>
      <c r="O3712" t="s">
        <v>45</v>
      </c>
      <c r="P3712" t="s">
        <v>77</v>
      </c>
      <c r="Q3712" t="s">
        <v>1416</v>
      </c>
      <c r="R3712">
        <v>87.84</v>
      </c>
      <c r="S3712">
        <v>8</v>
      </c>
      <c r="T3712">
        <v>0</v>
      </c>
      <c r="U3712">
        <v>23.716799999999999</v>
      </c>
      <c r="V3712" t="str">
        <f t="shared" si="57"/>
        <v>Anna Häberlin</v>
      </c>
      <c r="W3712">
        <f>Table2[Profit]/Table2[Sales]</f>
        <v>0.26999999999999996</v>
      </c>
    </row>
    <row r="3713" spans="1:23" x14ac:dyDescent="0.25">
      <c r="A3713">
        <v>3712</v>
      </c>
      <c r="B3713" t="s">
        <v>9257</v>
      </c>
      <c r="C3713" s="1">
        <v>43050</v>
      </c>
      <c r="D3713" s="1">
        <v>43054</v>
      </c>
      <c r="E3713" t="s">
        <v>22</v>
      </c>
      <c r="F3713" t="s">
        <v>2871</v>
      </c>
      <c r="G3713" t="s">
        <v>2872</v>
      </c>
      <c r="H3713" t="s">
        <v>101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2686</v>
      </c>
      <c r="O3713" t="s">
        <v>31</v>
      </c>
      <c r="P3713" t="s">
        <v>64</v>
      </c>
      <c r="Q3713" t="s">
        <v>2687</v>
      </c>
      <c r="R3713">
        <v>34.92</v>
      </c>
      <c r="S3713">
        <v>4</v>
      </c>
      <c r="T3713">
        <v>0</v>
      </c>
      <c r="U3713">
        <v>11.8728</v>
      </c>
      <c r="V3713" t="str">
        <f t="shared" si="57"/>
        <v>Thomas Brumley</v>
      </c>
      <c r="W3713">
        <f>Table2[Profit]/Table2[Sales]</f>
        <v>0.33999999999999997</v>
      </c>
    </row>
    <row r="3714" spans="1:23" x14ac:dyDescent="0.25">
      <c r="A3714">
        <v>3713</v>
      </c>
      <c r="B3714" t="s">
        <v>9258</v>
      </c>
      <c r="C3714" s="1">
        <v>41897</v>
      </c>
      <c r="D3714" s="1">
        <v>41902</v>
      </c>
      <c r="E3714" t="s">
        <v>49</v>
      </c>
      <c r="F3714" t="s">
        <v>3268</v>
      </c>
      <c r="G3714" t="s">
        <v>3269</v>
      </c>
      <c r="H3714" t="s">
        <v>25</v>
      </c>
      <c r="I3714" t="s">
        <v>26</v>
      </c>
      <c r="J3714" t="s">
        <v>263</v>
      </c>
      <c r="K3714" t="s">
        <v>264</v>
      </c>
      <c r="L3714">
        <v>10011</v>
      </c>
      <c r="M3714" t="s">
        <v>145</v>
      </c>
      <c r="N3714" t="s">
        <v>3133</v>
      </c>
      <c r="O3714" t="s">
        <v>45</v>
      </c>
      <c r="P3714" t="s">
        <v>89</v>
      </c>
      <c r="Q3714" t="s">
        <v>183</v>
      </c>
      <c r="R3714">
        <v>14.94</v>
      </c>
      <c r="S3714">
        <v>3</v>
      </c>
      <c r="T3714">
        <v>0</v>
      </c>
      <c r="U3714">
        <v>7.0217999999999998</v>
      </c>
      <c r="V3714" t="str">
        <f t="shared" si="57"/>
        <v>Alex Avila</v>
      </c>
      <c r="W3714">
        <f>Table2[Profit]/Table2[Sales]</f>
        <v>0.47000000000000003</v>
      </c>
    </row>
    <row r="3715" spans="1:23" x14ac:dyDescent="0.25">
      <c r="A3715">
        <v>3714</v>
      </c>
      <c r="B3715" t="s">
        <v>9259</v>
      </c>
      <c r="C3715" s="1">
        <v>42262</v>
      </c>
      <c r="D3715" s="1">
        <v>42267</v>
      </c>
      <c r="E3715" t="s">
        <v>49</v>
      </c>
      <c r="F3715" t="s">
        <v>4708</v>
      </c>
      <c r="G3715" t="s">
        <v>4709</v>
      </c>
      <c r="H3715" t="s">
        <v>40</v>
      </c>
      <c r="I3715" t="s">
        <v>26</v>
      </c>
      <c r="J3715" t="s">
        <v>143</v>
      </c>
      <c r="K3715" t="s">
        <v>144</v>
      </c>
      <c r="L3715">
        <v>19143</v>
      </c>
      <c r="M3715" t="s">
        <v>145</v>
      </c>
      <c r="N3715" t="s">
        <v>439</v>
      </c>
      <c r="O3715" t="s">
        <v>45</v>
      </c>
      <c r="P3715" t="s">
        <v>74</v>
      </c>
      <c r="Q3715" t="s">
        <v>440</v>
      </c>
      <c r="R3715">
        <v>3.5760000000000001</v>
      </c>
      <c r="S3715">
        <v>4</v>
      </c>
      <c r="T3715">
        <v>0.7</v>
      </c>
      <c r="U3715">
        <v>-2.8607999999999998</v>
      </c>
      <c r="V3715" t="str">
        <f t="shared" ref="V3715:V3778" si="58">TRIM(G3715)</f>
        <v>Ann Chong</v>
      </c>
      <c r="W3715">
        <f>Table2[Profit]/Table2[Sales]</f>
        <v>-0.79999999999999993</v>
      </c>
    </row>
    <row r="3716" spans="1:23" x14ac:dyDescent="0.25">
      <c r="A3716">
        <v>3715</v>
      </c>
      <c r="B3716" t="s">
        <v>9260</v>
      </c>
      <c r="C3716" s="1">
        <v>42552</v>
      </c>
      <c r="D3716" s="1">
        <v>42554</v>
      </c>
      <c r="E3716" t="s">
        <v>185</v>
      </c>
      <c r="F3716" t="s">
        <v>6005</v>
      </c>
      <c r="G3716" t="s">
        <v>6006</v>
      </c>
      <c r="H3716" t="s">
        <v>101</v>
      </c>
      <c r="I3716" t="s">
        <v>26</v>
      </c>
      <c r="J3716" t="s">
        <v>7684</v>
      </c>
      <c r="K3716" t="s">
        <v>120</v>
      </c>
      <c r="L3716">
        <v>84043</v>
      </c>
      <c r="M3716" t="s">
        <v>43</v>
      </c>
      <c r="N3716" t="s">
        <v>5312</v>
      </c>
      <c r="O3716" t="s">
        <v>70</v>
      </c>
      <c r="P3716" t="s">
        <v>1204</v>
      </c>
      <c r="Q3716" t="s">
        <v>5313</v>
      </c>
      <c r="R3716">
        <v>1499.95</v>
      </c>
      <c r="S3716">
        <v>5</v>
      </c>
      <c r="T3716">
        <v>0</v>
      </c>
      <c r="U3716">
        <v>449.98500000000001</v>
      </c>
      <c r="V3716" t="str">
        <f t="shared" si="58"/>
        <v>Eugene Moren</v>
      </c>
      <c r="W3716">
        <f>Table2[Profit]/Table2[Sales]</f>
        <v>0.3</v>
      </c>
    </row>
    <row r="3717" spans="1:23" x14ac:dyDescent="0.25">
      <c r="A3717">
        <v>3716</v>
      </c>
      <c r="B3717" t="s">
        <v>9261</v>
      </c>
      <c r="C3717" s="1">
        <v>42470</v>
      </c>
      <c r="D3717" s="1">
        <v>42475</v>
      </c>
      <c r="E3717" t="s">
        <v>49</v>
      </c>
      <c r="F3717" t="s">
        <v>3530</v>
      </c>
      <c r="G3717" t="s">
        <v>3531</v>
      </c>
      <c r="H3717" t="s">
        <v>40</v>
      </c>
      <c r="I3717" t="s">
        <v>26</v>
      </c>
      <c r="J3717" t="s">
        <v>296</v>
      </c>
      <c r="K3717" t="s">
        <v>208</v>
      </c>
      <c r="L3717">
        <v>60653</v>
      </c>
      <c r="M3717" t="s">
        <v>104</v>
      </c>
      <c r="N3717" t="s">
        <v>2907</v>
      </c>
      <c r="O3717" t="s">
        <v>45</v>
      </c>
      <c r="P3717" t="s">
        <v>67</v>
      </c>
      <c r="Q3717" t="s">
        <v>2908</v>
      </c>
      <c r="R3717">
        <v>13.568</v>
      </c>
      <c r="S3717">
        <v>4</v>
      </c>
      <c r="T3717">
        <v>0.2</v>
      </c>
      <c r="U3717">
        <v>3.2223999999999999</v>
      </c>
      <c r="V3717" t="str">
        <f t="shared" si="58"/>
        <v>Quincy Jones</v>
      </c>
      <c r="W3717">
        <f>Table2[Profit]/Table2[Sales]</f>
        <v>0.23749999999999999</v>
      </c>
    </row>
    <row r="3718" spans="1:23" x14ac:dyDescent="0.25">
      <c r="A3718">
        <v>3717</v>
      </c>
      <c r="B3718" t="s">
        <v>9262</v>
      </c>
      <c r="C3718" s="1">
        <v>41645</v>
      </c>
      <c r="D3718" s="1">
        <v>41649</v>
      </c>
      <c r="E3718" t="s">
        <v>49</v>
      </c>
      <c r="F3718" t="s">
        <v>3833</v>
      </c>
      <c r="G3718" t="s">
        <v>3834</v>
      </c>
      <c r="H3718" t="s">
        <v>101</v>
      </c>
      <c r="I3718" t="s">
        <v>26</v>
      </c>
      <c r="J3718" t="s">
        <v>27</v>
      </c>
      <c r="K3718" t="s">
        <v>28</v>
      </c>
      <c r="L3718">
        <v>42420</v>
      </c>
      <c r="M3718" t="s">
        <v>29</v>
      </c>
      <c r="N3718" t="s">
        <v>526</v>
      </c>
      <c r="O3718" t="s">
        <v>31</v>
      </c>
      <c r="P3718" t="s">
        <v>35</v>
      </c>
      <c r="Q3718" t="s">
        <v>527</v>
      </c>
      <c r="R3718">
        <v>2573.8200000000002</v>
      </c>
      <c r="S3718">
        <v>9</v>
      </c>
      <c r="T3718">
        <v>0</v>
      </c>
      <c r="U3718">
        <v>746.40779999999995</v>
      </c>
      <c r="V3718" t="str">
        <f t="shared" si="58"/>
        <v>Maria Etezadi</v>
      </c>
      <c r="W3718">
        <f>Table2[Profit]/Table2[Sales]</f>
        <v>0.28999999999999998</v>
      </c>
    </row>
    <row r="3719" spans="1:23" x14ac:dyDescent="0.25">
      <c r="A3719">
        <v>3718</v>
      </c>
      <c r="B3719" t="s">
        <v>9263</v>
      </c>
      <c r="C3719" s="1">
        <v>42614</v>
      </c>
      <c r="D3719" s="1">
        <v>42616</v>
      </c>
      <c r="E3719" t="s">
        <v>22</v>
      </c>
      <c r="F3719" t="s">
        <v>6326</v>
      </c>
      <c r="G3719" t="s">
        <v>6327</v>
      </c>
      <c r="H3719" t="s">
        <v>101</v>
      </c>
      <c r="I3719" t="s">
        <v>26</v>
      </c>
      <c r="J3719" t="s">
        <v>1441</v>
      </c>
      <c r="K3719" t="s">
        <v>42</v>
      </c>
      <c r="L3719">
        <v>92646</v>
      </c>
      <c r="M3719" t="s">
        <v>43</v>
      </c>
      <c r="N3719" t="s">
        <v>519</v>
      </c>
      <c r="O3719" t="s">
        <v>45</v>
      </c>
      <c r="P3719" t="s">
        <v>170</v>
      </c>
      <c r="Q3719" t="s">
        <v>520</v>
      </c>
      <c r="R3719">
        <v>12.78</v>
      </c>
      <c r="S3719">
        <v>1</v>
      </c>
      <c r="T3719">
        <v>0</v>
      </c>
      <c r="U3719">
        <v>5.7510000000000003</v>
      </c>
      <c r="V3719" t="str">
        <f t="shared" si="58"/>
        <v>Laurel Beltran</v>
      </c>
      <c r="W3719">
        <f>Table2[Profit]/Table2[Sales]</f>
        <v>0.45000000000000007</v>
      </c>
    </row>
    <row r="3720" spans="1:23" x14ac:dyDescent="0.25">
      <c r="A3720">
        <v>3719</v>
      </c>
      <c r="B3720" t="s">
        <v>9264</v>
      </c>
      <c r="C3720" s="1">
        <v>41905</v>
      </c>
      <c r="D3720" s="1">
        <v>41912</v>
      </c>
      <c r="E3720" t="s">
        <v>49</v>
      </c>
      <c r="F3720" t="s">
        <v>5797</v>
      </c>
      <c r="G3720" t="s">
        <v>5798</v>
      </c>
      <c r="H3720" t="s">
        <v>101</v>
      </c>
      <c r="I3720" t="s">
        <v>26</v>
      </c>
      <c r="J3720" t="s">
        <v>263</v>
      </c>
      <c r="K3720" t="s">
        <v>264</v>
      </c>
      <c r="L3720">
        <v>10011</v>
      </c>
      <c r="M3720" t="s">
        <v>145</v>
      </c>
      <c r="N3720" t="s">
        <v>318</v>
      </c>
      <c r="O3720" t="s">
        <v>45</v>
      </c>
      <c r="P3720" t="s">
        <v>74</v>
      </c>
      <c r="Q3720" t="s">
        <v>319</v>
      </c>
      <c r="R3720">
        <v>18.463999999999999</v>
      </c>
      <c r="S3720">
        <v>4</v>
      </c>
      <c r="T3720">
        <v>0.2</v>
      </c>
      <c r="U3720">
        <v>6.9240000000000004</v>
      </c>
      <c r="V3720" t="str">
        <f t="shared" si="58"/>
        <v>Julie Prescott</v>
      </c>
      <c r="W3720">
        <f>Table2[Profit]/Table2[Sales]</f>
        <v>0.37500000000000006</v>
      </c>
    </row>
    <row r="3721" spans="1:23" x14ac:dyDescent="0.25">
      <c r="A3721">
        <v>3720</v>
      </c>
      <c r="B3721" t="s">
        <v>9265</v>
      </c>
      <c r="C3721" s="1">
        <v>41988</v>
      </c>
      <c r="D3721" s="1">
        <v>41990</v>
      </c>
      <c r="E3721" t="s">
        <v>22</v>
      </c>
      <c r="F3721" t="s">
        <v>1552</v>
      </c>
      <c r="G3721" t="s">
        <v>1553</v>
      </c>
      <c r="H3721" t="s">
        <v>40</v>
      </c>
      <c r="I3721" t="s">
        <v>26</v>
      </c>
      <c r="J3721" t="s">
        <v>143</v>
      </c>
      <c r="K3721" t="s">
        <v>144</v>
      </c>
      <c r="L3721">
        <v>19140</v>
      </c>
      <c r="M3721" t="s">
        <v>145</v>
      </c>
      <c r="N3721" t="s">
        <v>4737</v>
      </c>
      <c r="O3721" t="s">
        <v>31</v>
      </c>
      <c r="P3721" t="s">
        <v>35</v>
      </c>
      <c r="Q3721" t="s">
        <v>4738</v>
      </c>
      <c r="R3721">
        <v>445.80200000000002</v>
      </c>
      <c r="S3721">
        <v>7</v>
      </c>
      <c r="T3721">
        <v>0.3</v>
      </c>
      <c r="U3721">
        <v>-108.2662</v>
      </c>
      <c r="V3721" t="str">
        <f t="shared" si="58"/>
        <v>Ed Braxton</v>
      </c>
      <c r="W3721">
        <f>Table2[Profit]/Table2[Sales]</f>
        <v>-0.24285714285714283</v>
      </c>
    </row>
    <row r="3722" spans="1:23" x14ac:dyDescent="0.25">
      <c r="A3722">
        <v>3721</v>
      </c>
      <c r="B3722" t="s">
        <v>9266</v>
      </c>
      <c r="C3722" s="1">
        <v>43097</v>
      </c>
      <c r="D3722" s="1">
        <v>43102</v>
      </c>
      <c r="E3722" t="s">
        <v>49</v>
      </c>
      <c r="F3722" t="s">
        <v>370</v>
      </c>
      <c r="G3722" t="s">
        <v>371</v>
      </c>
      <c r="H3722" t="s">
        <v>101</v>
      </c>
      <c r="I3722" t="s">
        <v>26</v>
      </c>
      <c r="J3722" t="s">
        <v>7272</v>
      </c>
      <c r="K3722" t="s">
        <v>7273</v>
      </c>
      <c r="L3722">
        <v>58103</v>
      </c>
      <c r="M3722" t="s">
        <v>104</v>
      </c>
      <c r="N3722" t="s">
        <v>9267</v>
      </c>
      <c r="O3722" t="s">
        <v>45</v>
      </c>
      <c r="P3722" t="s">
        <v>67</v>
      </c>
      <c r="Q3722" t="s">
        <v>2988</v>
      </c>
      <c r="R3722">
        <v>2.48</v>
      </c>
      <c r="S3722">
        <v>1</v>
      </c>
      <c r="T3722">
        <v>0</v>
      </c>
      <c r="U3722">
        <v>0.86799999999999999</v>
      </c>
      <c r="V3722" t="str">
        <f t="shared" si="58"/>
        <v>Christopher Schild</v>
      </c>
      <c r="W3722">
        <f>Table2[Profit]/Table2[Sales]</f>
        <v>0.35</v>
      </c>
    </row>
    <row r="3723" spans="1:23" x14ac:dyDescent="0.25">
      <c r="A3723">
        <v>3722</v>
      </c>
      <c r="B3723" t="s">
        <v>9268</v>
      </c>
      <c r="C3723" s="1">
        <v>42357</v>
      </c>
      <c r="D3723" s="1">
        <v>42362</v>
      </c>
      <c r="E3723" t="s">
        <v>22</v>
      </c>
      <c r="F3723" t="s">
        <v>2681</v>
      </c>
      <c r="G3723" t="s">
        <v>2682</v>
      </c>
      <c r="H3723" t="s">
        <v>101</v>
      </c>
      <c r="I3723" t="s">
        <v>26</v>
      </c>
      <c r="J3723" t="s">
        <v>241</v>
      </c>
      <c r="K3723" t="s">
        <v>2658</v>
      </c>
      <c r="L3723">
        <v>3820</v>
      </c>
      <c r="M3723" t="s">
        <v>145</v>
      </c>
      <c r="N3723" t="s">
        <v>5323</v>
      </c>
      <c r="O3723" t="s">
        <v>45</v>
      </c>
      <c r="P3723" t="s">
        <v>89</v>
      </c>
      <c r="Q3723" t="s">
        <v>5324</v>
      </c>
      <c r="R3723">
        <v>29.9</v>
      </c>
      <c r="S3723">
        <v>5</v>
      </c>
      <c r="T3723">
        <v>0</v>
      </c>
      <c r="U3723">
        <v>14.651</v>
      </c>
      <c r="V3723" t="str">
        <f t="shared" si="58"/>
        <v>Peter McVee</v>
      </c>
      <c r="W3723">
        <f>Table2[Profit]/Table2[Sales]</f>
        <v>0.49</v>
      </c>
    </row>
    <row r="3724" spans="1:23" x14ac:dyDescent="0.25">
      <c r="A3724">
        <v>3723</v>
      </c>
      <c r="B3724" t="s">
        <v>9269</v>
      </c>
      <c r="C3724" s="1">
        <v>43044</v>
      </c>
      <c r="D3724" s="1">
        <v>43048</v>
      </c>
      <c r="E3724" t="s">
        <v>49</v>
      </c>
      <c r="F3724" t="s">
        <v>6992</v>
      </c>
      <c r="G3724" t="s">
        <v>6993</v>
      </c>
      <c r="H3724" t="s">
        <v>25</v>
      </c>
      <c r="I3724" t="s">
        <v>26</v>
      </c>
      <c r="J3724" t="s">
        <v>941</v>
      </c>
      <c r="K3724" t="s">
        <v>42</v>
      </c>
      <c r="L3724">
        <v>92105</v>
      </c>
      <c r="M3724" t="s">
        <v>43</v>
      </c>
      <c r="N3724" t="s">
        <v>3289</v>
      </c>
      <c r="O3724" t="s">
        <v>45</v>
      </c>
      <c r="P3724" t="s">
        <v>89</v>
      </c>
      <c r="Q3724" t="s">
        <v>3290</v>
      </c>
      <c r="R3724">
        <v>12.96</v>
      </c>
      <c r="S3724">
        <v>2</v>
      </c>
      <c r="T3724">
        <v>0</v>
      </c>
      <c r="U3724">
        <v>6.2207999999999997</v>
      </c>
      <c r="V3724" t="str">
        <f t="shared" si="58"/>
        <v>Anna Andreadi</v>
      </c>
      <c r="W3724">
        <f>Table2[Profit]/Table2[Sales]</f>
        <v>0.47999999999999993</v>
      </c>
    </row>
    <row r="3725" spans="1:23" x14ac:dyDescent="0.25">
      <c r="A3725">
        <v>3724</v>
      </c>
      <c r="B3725" t="s">
        <v>9270</v>
      </c>
      <c r="C3725" s="1">
        <v>42257</v>
      </c>
      <c r="D3725" s="1">
        <v>42263</v>
      </c>
      <c r="E3725" t="s">
        <v>49</v>
      </c>
      <c r="F3725" t="s">
        <v>1159</v>
      </c>
      <c r="G3725" t="s">
        <v>1160</v>
      </c>
      <c r="H3725" t="s">
        <v>40</v>
      </c>
      <c r="I3725" t="s">
        <v>26</v>
      </c>
      <c r="J3725" t="s">
        <v>41</v>
      </c>
      <c r="K3725" t="s">
        <v>42</v>
      </c>
      <c r="L3725">
        <v>90032</v>
      </c>
      <c r="M3725" t="s">
        <v>43</v>
      </c>
      <c r="N3725" t="s">
        <v>405</v>
      </c>
      <c r="O3725" t="s">
        <v>31</v>
      </c>
      <c r="P3725" t="s">
        <v>64</v>
      </c>
      <c r="Q3725" t="s">
        <v>406</v>
      </c>
      <c r="R3725">
        <v>106.68</v>
      </c>
      <c r="S3725">
        <v>6</v>
      </c>
      <c r="T3725">
        <v>0</v>
      </c>
      <c r="U3725">
        <v>33.070799999999998</v>
      </c>
      <c r="V3725" t="str">
        <f t="shared" si="58"/>
        <v>Frank Atkinson</v>
      </c>
      <c r="W3725">
        <f>Table2[Profit]/Table2[Sales]</f>
        <v>0.30999999999999994</v>
      </c>
    </row>
    <row r="3726" spans="1:23" x14ac:dyDescent="0.25">
      <c r="A3726">
        <v>3725</v>
      </c>
      <c r="B3726" t="s">
        <v>9271</v>
      </c>
      <c r="C3726" s="1">
        <v>43055</v>
      </c>
      <c r="D3726" s="1">
        <v>43055</v>
      </c>
      <c r="E3726" t="s">
        <v>1278</v>
      </c>
      <c r="F3726" t="s">
        <v>4060</v>
      </c>
      <c r="G3726" t="s">
        <v>4061</v>
      </c>
      <c r="H3726" t="s">
        <v>25</v>
      </c>
      <c r="I3726" t="s">
        <v>26</v>
      </c>
      <c r="J3726" t="s">
        <v>8301</v>
      </c>
      <c r="K3726" t="s">
        <v>264</v>
      </c>
      <c r="L3726">
        <v>13501</v>
      </c>
      <c r="M3726" t="s">
        <v>145</v>
      </c>
      <c r="N3726" t="s">
        <v>7935</v>
      </c>
      <c r="O3726" t="s">
        <v>70</v>
      </c>
      <c r="P3726" t="s">
        <v>71</v>
      </c>
      <c r="Q3726" t="s">
        <v>7936</v>
      </c>
      <c r="R3726">
        <v>119.94</v>
      </c>
      <c r="S3726">
        <v>6</v>
      </c>
      <c r="T3726">
        <v>0</v>
      </c>
      <c r="U3726">
        <v>5.9969999999999999</v>
      </c>
      <c r="V3726" t="str">
        <f t="shared" si="58"/>
        <v>Charlotte Melton</v>
      </c>
      <c r="W3726">
        <f>Table2[Profit]/Table2[Sales]</f>
        <v>0.05</v>
      </c>
    </row>
    <row r="3727" spans="1:23" x14ac:dyDescent="0.25">
      <c r="A3727">
        <v>3726</v>
      </c>
      <c r="B3727" t="s">
        <v>9272</v>
      </c>
      <c r="C3727" s="1">
        <v>42989</v>
      </c>
      <c r="D3727" s="1">
        <v>42994</v>
      </c>
      <c r="E3727" t="s">
        <v>49</v>
      </c>
      <c r="F3727" t="s">
        <v>6298</v>
      </c>
      <c r="G3727" t="s">
        <v>6299</v>
      </c>
      <c r="H3727" t="s">
        <v>25</v>
      </c>
      <c r="I3727" t="s">
        <v>26</v>
      </c>
      <c r="J3727" t="s">
        <v>181</v>
      </c>
      <c r="K3727" t="s">
        <v>103</v>
      </c>
      <c r="L3727">
        <v>77070</v>
      </c>
      <c r="M3727" t="s">
        <v>104</v>
      </c>
      <c r="N3727" t="s">
        <v>5853</v>
      </c>
      <c r="O3727" t="s">
        <v>45</v>
      </c>
      <c r="P3727" t="s">
        <v>89</v>
      </c>
      <c r="Q3727" t="s">
        <v>5854</v>
      </c>
      <c r="R3727">
        <v>10.272</v>
      </c>
      <c r="S3727">
        <v>3</v>
      </c>
      <c r="T3727">
        <v>0.2</v>
      </c>
      <c r="U3727">
        <v>3.21</v>
      </c>
      <c r="V3727" t="str">
        <f t="shared" si="58"/>
        <v>Cindy Chapman</v>
      </c>
      <c r="W3727">
        <f>Table2[Profit]/Table2[Sales]</f>
        <v>0.3125</v>
      </c>
    </row>
    <row r="3728" spans="1:23" x14ac:dyDescent="0.25">
      <c r="A3728">
        <v>3727</v>
      </c>
      <c r="B3728" t="s">
        <v>9273</v>
      </c>
      <c r="C3728" s="1">
        <v>42930</v>
      </c>
      <c r="D3728" s="1">
        <v>42934</v>
      </c>
      <c r="E3728" t="s">
        <v>49</v>
      </c>
      <c r="F3728" t="s">
        <v>5682</v>
      </c>
      <c r="G3728" t="s">
        <v>5683</v>
      </c>
      <c r="H3728" t="s">
        <v>25</v>
      </c>
      <c r="I3728" t="s">
        <v>26</v>
      </c>
      <c r="J3728" t="s">
        <v>3888</v>
      </c>
      <c r="K3728" t="s">
        <v>42</v>
      </c>
      <c r="L3728">
        <v>92683</v>
      </c>
      <c r="M3728" t="s">
        <v>43</v>
      </c>
      <c r="N3728" t="s">
        <v>2919</v>
      </c>
      <c r="O3728" t="s">
        <v>45</v>
      </c>
      <c r="P3728" t="s">
        <v>74</v>
      </c>
      <c r="Q3728" t="s">
        <v>2920</v>
      </c>
      <c r="R3728">
        <v>4.4480000000000004</v>
      </c>
      <c r="S3728">
        <v>2</v>
      </c>
      <c r="T3728">
        <v>0.2</v>
      </c>
      <c r="U3728">
        <v>1.4456</v>
      </c>
      <c r="V3728" t="str">
        <f t="shared" si="58"/>
        <v>Toby Carlisle</v>
      </c>
      <c r="W3728">
        <f>Table2[Profit]/Table2[Sales]</f>
        <v>0.32499999999999996</v>
      </c>
    </row>
    <row r="3729" spans="1:23" x14ac:dyDescent="0.25">
      <c r="A3729">
        <v>3728</v>
      </c>
      <c r="B3729" t="s">
        <v>9274</v>
      </c>
      <c r="C3729" s="1">
        <v>42824</v>
      </c>
      <c r="D3729" s="1">
        <v>42824</v>
      </c>
      <c r="E3729" t="s">
        <v>1278</v>
      </c>
      <c r="F3729" t="s">
        <v>3963</v>
      </c>
      <c r="G3729" t="s">
        <v>3964</v>
      </c>
      <c r="H3729" t="s">
        <v>25</v>
      </c>
      <c r="I3729" t="s">
        <v>26</v>
      </c>
      <c r="J3729" t="s">
        <v>41</v>
      </c>
      <c r="K3729" t="s">
        <v>42</v>
      </c>
      <c r="L3729">
        <v>90036</v>
      </c>
      <c r="M3729" t="s">
        <v>43</v>
      </c>
      <c r="N3729" t="s">
        <v>5100</v>
      </c>
      <c r="O3729" t="s">
        <v>45</v>
      </c>
      <c r="P3729" t="s">
        <v>67</v>
      </c>
      <c r="Q3729" t="s">
        <v>5101</v>
      </c>
      <c r="R3729">
        <v>6.08</v>
      </c>
      <c r="S3729">
        <v>2</v>
      </c>
      <c r="T3729">
        <v>0</v>
      </c>
      <c r="U3729">
        <v>2.0672000000000001</v>
      </c>
      <c r="V3729" t="str">
        <f t="shared" si="58"/>
        <v>Tom Boeckenhauer</v>
      </c>
      <c r="W3729">
        <f>Table2[Profit]/Table2[Sales]</f>
        <v>0.34</v>
      </c>
    </row>
    <row r="3730" spans="1:23" x14ac:dyDescent="0.25">
      <c r="A3730">
        <v>3729</v>
      </c>
      <c r="B3730" t="s">
        <v>9275</v>
      </c>
      <c r="C3730" s="1">
        <v>42400</v>
      </c>
      <c r="D3730" s="1">
        <v>42404</v>
      </c>
      <c r="E3730" t="s">
        <v>22</v>
      </c>
      <c r="F3730" t="s">
        <v>7956</v>
      </c>
      <c r="G3730" t="s">
        <v>7957</v>
      </c>
      <c r="H3730" t="s">
        <v>40</v>
      </c>
      <c r="I3730" t="s">
        <v>26</v>
      </c>
      <c r="J3730" t="s">
        <v>9276</v>
      </c>
      <c r="K3730" t="s">
        <v>781</v>
      </c>
      <c r="L3730">
        <v>8401</v>
      </c>
      <c r="M3730" t="s">
        <v>145</v>
      </c>
      <c r="N3730" t="s">
        <v>4045</v>
      </c>
      <c r="O3730" t="s">
        <v>45</v>
      </c>
      <c r="P3730" t="s">
        <v>170</v>
      </c>
      <c r="Q3730" t="s">
        <v>662</v>
      </c>
      <c r="R3730">
        <v>23.36</v>
      </c>
      <c r="S3730">
        <v>2</v>
      </c>
      <c r="T3730">
        <v>0</v>
      </c>
      <c r="U3730">
        <v>11.68</v>
      </c>
      <c r="V3730" t="str">
        <f t="shared" si="58"/>
        <v>Jason Klamczynski</v>
      </c>
      <c r="W3730">
        <f>Table2[Profit]/Table2[Sales]</f>
        <v>0.5</v>
      </c>
    </row>
    <row r="3731" spans="1:23" x14ac:dyDescent="0.25">
      <c r="A3731">
        <v>3730</v>
      </c>
      <c r="B3731" t="s">
        <v>9277</v>
      </c>
      <c r="C3731" s="1">
        <v>42894</v>
      </c>
      <c r="D3731" s="1">
        <v>42899</v>
      </c>
      <c r="E3731" t="s">
        <v>49</v>
      </c>
      <c r="F3731" t="s">
        <v>4905</v>
      </c>
      <c r="G3731" t="s">
        <v>4906</v>
      </c>
      <c r="H3731" t="s">
        <v>25</v>
      </c>
      <c r="I3731" t="s">
        <v>26</v>
      </c>
      <c r="J3731" t="s">
        <v>4203</v>
      </c>
      <c r="K3731" t="s">
        <v>208</v>
      </c>
      <c r="L3731">
        <v>60076</v>
      </c>
      <c r="M3731" t="s">
        <v>104</v>
      </c>
      <c r="N3731" t="s">
        <v>1324</v>
      </c>
      <c r="O3731" t="s">
        <v>45</v>
      </c>
      <c r="P3731" t="s">
        <v>74</v>
      </c>
      <c r="Q3731" t="s">
        <v>1325</v>
      </c>
      <c r="R3731">
        <v>12.176</v>
      </c>
      <c r="S3731">
        <v>4</v>
      </c>
      <c r="T3731">
        <v>0.8</v>
      </c>
      <c r="U3731">
        <v>-18.872800000000002</v>
      </c>
      <c r="V3731" t="str">
        <f t="shared" si="58"/>
        <v>Ben Wallace</v>
      </c>
      <c r="W3731">
        <f>Table2[Profit]/Table2[Sales]</f>
        <v>-1.55</v>
      </c>
    </row>
    <row r="3732" spans="1:23" x14ac:dyDescent="0.25">
      <c r="A3732">
        <v>3731</v>
      </c>
      <c r="B3732" t="s">
        <v>9278</v>
      </c>
      <c r="C3732" s="1">
        <v>41945</v>
      </c>
      <c r="D3732" s="1">
        <v>41949</v>
      </c>
      <c r="E3732" t="s">
        <v>49</v>
      </c>
      <c r="F3732" t="s">
        <v>1117</v>
      </c>
      <c r="G3732" t="s">
        <v>1118</v>
      </c>
      <c r="H3732" t="s">
        <v>25</v>
      </c>
      <c r="I3732" t="s">
        <v>26</v>
      </c>
      <c r="J3732" t="s">
        <v>126</v>
      </c>
      <c r="K3732" t="s">
        <v>42</v>
      </c>
      <c r="L3732">
        <v>94122</v>
      </c>
      <c r="M3732" t="s">
        <v>43</v>
      </c>
      <c r="N3732" t="s">
        <v>4417</v>
      </c>
      <c r="O3732" t="s">
        <v>70</v>
      </c>
      <c r="P3732" t="s">
        <v>71</v>
      </c>
      <c r="Q3732" t="s">
        <v>4418</v>
      </c>
      <c r="R3732">
        <v>46.384</v>
      </c>
      <c r="S3732">
        <v>2</v>
      </c>
      <c r="T3732">
        <v>0.2</v>
      </c>
      <c r="U3732">
        <v>5.2182000000000004</v>
      </c>
      <c r="V3732" t="str">
        <f t="shared" si="58"/>
        <v>Shahid Hopkins</v>
      </c>
      <c r="W3732">
        <f>Table2[Profit]/Table2[Sales]</f>
        <v>0.1125</v>
      </c>
    </row>
    <row r="3733" spans="1:23" x14ac:dyDescent="0.25">
      <c r="A3733">
        <v>3732</v>
      </c>
      <c r="B3733" t="s">
        <v>9279</v>
      </c>
      <c r="C3733" s="1">
        <v>42930</v>
      </c>
      <c r="D3733" s="1">
        <v>42934</v>
      </c>
      <c r="E3733" t="s">
        <v>49</v>
      </c>
      <c r="F3733" t="s">
        <v>2084</v>
      </c>
      <c r="G3733" t="s">
        <v>2085</v>
      </c>
      <c r="H3733" t="s">
        <v>25</v>
      </c>
      <c r="I3733" t="s">
        <v>26</v>
      </c>
      <c r="J3733" t="s">
        <v>490</v>
      </c>
      <c r="K3733" t="s">
        <v>491</v>
      </c>
      <c r="L3733">
        <v>43229</v>
      </c>
      <c r="M3733" t="s">
        <v>145</v>
      </c>
      <c r="N3733" t="s">
        <v>3160</v>
      </c>
      <c r="O3733" t="s">
        <v>45</v>
      </c>
      <c r="P3733" t="s">
        <v>89</v>
      </c>
      <c r="Q3733" t="s">
        <v>3161</v>
      </c>
      <c r="R3733">
        <v>9.2479999999999993</v>
      </c>
      <c r="S3733">
        <v>2</v>
      </c>
      <c r="T3733">
        <v>0.2</v>
      </c>
      <c r="U3733">
        <v>3.3523999999999998</v>
      </c>
      <c r="V3733" t="str">
        <f t="shared" si="58"/>
        <v>John Lee</v>
      </c>
      <c r="W3733">
        <f>Table2[Profit]/Table2[Sales]</f>
        <v>0.36249999999999999</v>
      </c>
    </row>
    <row r="3734" spans="1:23" x14ac:dyDescent="0.25">
      <c r="A3734">
        <v>3733</v>
      </c>
      <c r="B3734" t="s">
        <v>9280</v>
      </c>
      <c r="C3734" s="1">
        <v>43078</v>
      </c>
      <c r="D3734" s="1">
        <v>43081</v>
      </c>
      <c r="E3734" t="s">
        <v>22</v>
      </c>
      <c r="F3734" t="s">
        <v>2084</v>
      </c>
      <c r="G3734" t="s">
        <v>2085</v>
      </c>
      <c r="H3734" t="s">
        <v>25</v>
      </c>
      <c r="I3734" t="s">
        <v>26</v>
      </c>
      <c r="J3734" t="s">
        <v>1450</v>
      </c>
      <c r="K3734" t="s">
        <v>28</v>
      </c>
      <c r="L3734">
        <v>40475</v>
      </c>
      <c r="M3734" t="s">
        <v>29</v>
      </c>
      <c r="N3734" t="s">
        <v>3452</v>
      </c>
      <c r="O3734" t="s">
        <v>45</v>
      </c>
      <c r="P3734" t="s">
        <v>74</v>
      </c>
      <c r="Q3734" t="s">
        <v>3453</v>
      </c>
      <c r="R3734">
        <v>29.36</v>
      </c>
      <c r="S3734">
        <v>2</v>
      </c>
      <c r="T3734">
        <v>0</v>
      </c>
      <c r="U3734">
        <v>13.505599999999999</v>
      </c>
      <c r="V3734" t="str">
        <f t="shared" si="58"/>
        <v>John Lee</v>
      </c>
      <c r="W3734">
        <f>Table2[Profit]/Table2[Sales]</f>
        <v>0.45999999999999996</v>
      </c>
    </row>
    <row r="3735" spans="1:23" x14ac:dyDescent="0.25">
      <c r="A3735">
        <v>3734</v>
      </c>
      <c r="B3735" t="s">
        <v>9281</v>
      </c>
      <c r="C3735" s="1">
        <v>42618</v>
      </c>
      <c r="D3735" s="1">
        <v>42624</v>
      </c>
      <c r="E3735" t="s">
        <v>49</v>
      </c>
      <c r="F3735" t="s">
        <v>1680</v>
      </c>
      <c r="G3735" t="s">
        <v>1681</v>
      </c>
      <c r="H3735" t="s">
        <v>25</v>
      </c>
      <c r="I3735" t="s">
        <v>26</v>
      </c>
      <c r="J3735" t="s">
        <v>2439</v>
      </c>
      <c r="K3735" t="s">
        <v>491</v>
      </c>
      <c r="L3735">
        <v>43130</v>
      </c>
      <c r="M3735" t="s">
        <v>145</v>
      </c>
      <c r="N3735" t="s">
        <v>2017</v>
      </c>
      <c r="O3735" t="s">
        <v>45</v>
      </c>
      <c r="P3735" t="s">
        <v>74</v>
      </c>
      <c r="Q3735" t="s">
        <v>2018</v>
      </c>
      <c r="R3735">
        <v>8.952</v>
      </c>
      <c r="S3735">
        <v>2</v>
      </c>
      <c r="T3735">
        <v>0.7</v>
      </c>
      <c r="U3735">
        <v>-7.46</v>
      </c>
      <c r="V3735" t="str">
        <f t="shared" si="58"/>
        <v>Maribeth Dona</v>
      </c>
      <c r="W3735">
        <f>Table2[Profit]/Table2[Sales]</f>
        <v>-0.83333333333333337</v>
      </c>
    </row>
    <row r="3736" spans="1:23" x14ac:dyDescent="0.25">
      <c r="A3736">
        <v>3735</v>
      </c>
      <c r="B3736" t="s">
        <v>9282</v>
      </c>
      <c r="C3736" s="1">
        <v>41892</v>
      </c>
      <c r="D3736" s="1">
        <v>41898</v>
      </c>
      <c r="E3736" t="s">
        <v>49</v>
      </c>
      <c r="F3736" t="s">
        <v>479</v>
      </c>
      <c r="G3736" t="s">
        <v>480</v>
      </c>
      <c r="H3736" t="s">
        <v>25</v>
      </c>
      <c r="I3736" t="s">
        <v>26</v>
      </c>
      <c r="J3736" t="s">
        <v>6092</v>
      </c>
      <c r="K3736" t="s">
        <v>413</v>
      </c>
      <c r="L3736">
        <v>97030</v>
      </c>
      <c r="M3736" t="s">
        <v>43</v>
      </c>
      <c r="N3736" t="s">
        <v>2992</v>
      </c>
      <c r="O3736" t="s">
        <v>45</v>
      </c>
      <c r="P3736" t="s">
        <v>170</v>
      </c>
      <c r="Q3736" t="s">
        <v>2993</v>
      </c>
      <c r="R3736">
        <v>21.728000000000002</v>
      </c>
      <c r="S3736">
        <v>7</v>
      </c>
      <c r="T3736">
        <v>0.2</v>
      </c>
      <c r="U3736">
        <v>7.6048</v>
      </c>
      <c r="V3736" t="str">
        <f t="shared" si="58"/>
        <v>Clay Ludtke</v>
      </c>
      <c r="W3736">
        <f>Table2[Profit]/Table2[Sales]</f>
        <v>0.35</v>
      </c>
    </row>
    <row r="3737" spans="1:23" x14ac:dyDescent="0.25">
      <c r="A3737">
        <v>3736</v>
      </c>
      <c r="B3737" t="s">
        <v>9283</v>
      </c>
      <c r="C3737" s="1">
        <v>43004</v>
      </c>
      <c r="D3737" s="1">
        <v>43004</v>
      </c>
      <c r="E3737" t="s">
        <v>1278</v>
      </c>
      <c r="F3737" t="s">
        <v>212</v>
      </c>
      <c r="G3737" t="s">
        <v>213</v>
      </c>
      <c r="H3737" t="s">
        <v>40</v>
      </c>
      <c r="I3737" t="s">
        <v>26</v>
      </c>
      <c r="J3737" t="s">
        <v>126</v>
      </c>
      <c r="K3737" t="s">
        <v>42</v>
      </c>
      <c r="L3737">
        <v>94109</v>
      </c>
      <c r="M3737" t="s">
        <v>43</v>
      </c>
      <c r="N3737" t="s">
        <v>6913</v>
      </c>
      <c r="O3737" t="s">
        <v>45</v>
      </c>
      <c r="P3737" t="s">
        <v>170</v>
      </c>
      <c r="Q3737" t="s">
        <v>662</v>
      </c>
      <c r="R3737">
        <v>71.88</v>
      </c>
      <c r="S3737">
        <v>6</v>
      </c>
      <c r="T3737">
        <v>0</v>
      </c>
      <c r="U3737">
        <v>33.064799999999998</v>
      </c>
      <c r="V3737" t="str">
        <f t="shared" si="58"/>
        <v>Ruben Ausman</v>
      </c>
      <c r="W3737">
        <f>Table2[Profit]/Table2[Sales]</f>
        <v>0.46</v>
      </c>
    </row>
    <row r="3738" spans="1:23" x14ac:dyDescent="0.25">
      <c r="A3738">
        <v>3737</v>
      </c>
      <c r="B3738" t="s">
        <v>9284</v>
      </c>
      <c r="C3738" s="1">
        <v>42538</v>
      </c>
      <c r="D3738" s="1">
        <v>42540</v>
      </c>
      <c r="E3738" t="s">
        <v>185</v>
      </c>
      <c r="F3738" t="s">
        <v>558</v>
      </c>
      <c r="G3738" t="s">
        <v>559</v>
      </c>
      <c r="H3738" t="s">
        <v>25</v>
      </c>
      <c r="I3738" t="s">
        <v>26</v>
      </c>
      <c r="J3738" t="s">
        <v>9285</v>
      </c>
      <c r="K3738" t="s">
        <v>450</v>
      </c>
      <c r="L3738">
        <v>80501</v>
      </c>
      <c r="M3738" t="s">
        <v>43</v>
      </c>
      <c r="N3738" t="s">
        <v>5286</v>
      </c>
      <c r="O3738" t="s">
        <v>31</v>
      </c>
      <c r="P3738" t="s">
        <v>64</v>
      </c>
      <c r="Q3738" t="s">
        <v>5287</v>
      </c>
      <c r="R3738">
        <v>266.35199999999998</v>
      </c>
      <c r="S3738">
        <v>3</v>
      </c>
      <c r="T3738">
        <v>0.2</v>
      </c>
      <c r="U3738">
        <v>-13.317600000000001</v>
      </c>
      <c r="V3738" t="str">
        <f t="shared" si="58"/>
        <v>Lena Creighton</v>
      </c>
      <c r="W3738">
        <f>Table2[Profit]/Table2[Sales]</f>
        <v>-5.000000000000001E-2</v>
      </c>
    </row>
    <row r="3739" spans="1:23" x14ac:dyDescent="0.25">
      <c r="A3739">
        <v>3738</v>
      </c>
      <c r="B3739" t="s">
        <v>9286</v>
      </c>
      <c r="C3739" s="1">
        <v>42791</v>
      </c>
      <c r="D3739" s="1">
        <v>42795</v>
      </c>
      <c r="E3739" t="s">
        <v>49</v>
      </c>
      <c r="F3739" t="s">
        <v>4920</v>
      </c>
      <c r="G3739" t="s">
        <v>4921</v>
      </c>
      <c r="H3739" t="s">
        <v>25</v>
      </c>
      <c r="I3739" t="s">
        <v>26</v>
      </c>
      <c r="J3739" t="s">
        <v>3451</v>
      </c>
      <c r="K3739" t="s">
        <v>87</v>
      </c>
      <c r="L3739">
        <v>27834</v>
      </c>
      <c r="M3739" t="s">
        <v>29</v>
      </c>
      <c r="N3739" t="s">
        <v>3134</v>
      </c>
      <c r="O3739" t="s">
        <v>31</v>
      </c>
      <c r="P3739" t="s">
        <v>35</v>
      </c>
      <c r="Q3739" t="s">
        <v>3135</v>
      </c>
      <c r="R3739">
        <v>196.78399999999999</v>
      </c>
      <c r="S3739">
        <v>2</v>
      </c>
      <c r="T3739">
        <v>0.2</v>
      </c>
      <c r="U3739">
        <v>-22.138200000000001</v>
      </c>
      <c r="V3739" t="str">
        <f t="shared" si="58"/>
        <v>Scot Wooten</v>
      </c>
      <c r="W3739">
        <f>Table2[Profit]/Table2[Sales]</f>
        <v>-0.11250000000000002</v>
      </c>
    </row>
    <row r="3740" spans="1:23" x14ac:dyDescent="0.25">
      <c r="A3740">
        <v>3739</v>
      </c>
      <c r="B3740" t="s">
        <v>9287</v>
      </c>
      <c r="C3740" s="1">
        <v>42825</v>
      </c>
      <c r="D3740" s="1">
        <v>42832</v>
      </c>
      <c r="E3740" t="s">
        <v>49</v>
      </c>
      <c r="F3740" t="s">
        <v>3559</v>
      </c>
      <c r="G3740" t="s">
        <v>3560</v>
      </c>
      <c r="H3740" t="s">
        <v>40</v>
      </c>
      <c r="I3740" t="s">
        <v>26</v>
      </c>
      <c r="J3740" t="s">
        <v>41</v>
      </c>
      <c r="K3740" t="s">
        <v>42</v>
      </c>
      <c r="L3740">
        <v>90004</v>
      </c>
      <c r="M3740" t="s">
        <v>43</v>
      </c>
      <c r="N3740" t="s">
        <v>2141</v>
      </c>
      <c r="O3740" t="s">
        <v>45</v>
      </c>
      <c r="P3740" t="s">
        <v>572</v>
      </c>
      <c r="Q3740" t="s">
        <v>2142</v>
      </c>
      <c r="R3740">
        <v>29.7</v>
      </c>
      <c r="S3740">
        <v>3</v>
      </c>
      <c r="T3740">
        <v>0</v>
      </c>
      <c r="U3740">
        <v>8.0190000000000001</v>
      </c>
      <c r="V3740" t="str">
        <f t="shared" si="58"/>
        <v>Henry Goldwyn</v>
      </c>
      <c r="W3740">
        <f>Table2[Profit]/Table2[Sales]</f>
        <v>0.27</v>
      </c>
    </row>
    <row r="3741" spans="1:23" x14ac:dyDescent="0.25">
      <c r="A3741">
        <v>3740</v>
      </c>
      <c r="B3741" t="s">
        <v>9288</v>
      </c>
      <c r="C3741" s="1">
        <v>43072</v>
      </c>
      <c r="D3741" s="1">
        <v>43077</v>
      </c>
      <c r="E3741" t="s">
        <v>49</v>
      </c>
      <c r="F3741" t="s">
        <v>5140</v>
      </c>
      <c r="G3741" t="s">
        <v>5141</v>
      </c>
      <c r="H3741" t="s">
        <v>25</v>
      </c>
      <c r="I3741" t="s">
        <v>26</v>
      </c>
      <c r="J3741" t="s">
        <v>181</v>
      </c>
      <c r="K3741" t="s">
        <v>103</v>
      </c>
      <c r="L3741">
        <v>77041</v>
      </c>
      <c r="M3741" t="s">
        <v>104</v>
      </c>
      <c r="N3741" t="s">
        <v>8797</v>
      </c>
      <c r="O3741" t="s">
        <v>31</v>
      </c>
      <c r="P3741" t="s">
        <v>64</v>
      </c>
      <c r="Q3741" t="s">
        <v>8798</v>
      </c>
      <c r="R3741">
        <v>13.592000000000001</v>
      </c>
      <c r="S3741">
        <v>2</v>
      </c>
      <c r="T3741">
        <v>0.6</v>
      </c>
      <c r="U3741">
        <v>-14.271599999999999</v>
      </c>
      <c r="V3741" t="str">
        <f t="shared" si="58"/>
        <v>Mark Van Huff</v>
      </c>
      <c r="W3741">
        <f>Table2[Profit]/Table2[Sales]</f>
        <v>-1.0499999999999998</v>
      </c>
    </row>
    <row r="3742" spans="1:23" x14ac:dyDescent="0.25">
      <c r="A3742">
        <v>3741</v>
      </c>
      <c r="B3742" t="s">
        <v>9289</v>
      </c>
      <c r="C3742" s="1">
        <v>42419</v>
      </c>
      <c r="D3742" s="1">
        <v>42422</v>
      </c>
      <c r="E3742" t="s">
        <v>22</v>
      </c>
      <c r="F3742" t="s">
        <v>1852</v>
      </c>
      <c r="G3742" t="s">
        <v>1853</v>
      </c>
      <c r="H3742" t="s">
        <v>25</v>
      </c>
      <c r="I3742" t="s">
        <v>26</v>
      </c>
      <c r="J3742" t="s">
        <v>126</v>
      </c>
      <c r="K3742" t="s">
        <v>42</v>
      </c>
      <c r="L3742">
        <v>94109</v>
      </c>
      <c r="M3742" t="s">
        <v>43</v>
      </c>
      <c r="N3742" t="s">
        <v>563</v>
      </c>
      <c r="O3742" t="s">
        <v>45</v>
      </c>
      <c r="P3742" t="s">
        <v>89</v>
      </c>
      <c r="Q3742" t="s">
        <v>564</v>
      </c>
      <c r="R3742">
        <v>70.88</v>
      </c>
      <c r="S3742">
        <v>2</v>
      </c>
      <c r="T3742">
        <v>0</v>
      </c>
      <c r="U3742">
        <v>33.313600000000001</v>
      </c>
      <c r="V3742" t="str">
        <f t="shared" si="58"/>
        <v>Greg Tran</v>
      </c>
      <c r="W3742">
        <f>Table2[Profit]/Table2[Sales]</f>
        <v>0.47000000000000003</v>
      </c>
    </row>
    <row r="3743" spans="1:23" x14ac:dyDescent="0.25">
      <c r="A3743">
        <v>3742</v>
      </c>
      <c r="B3743" t="s">
        <v>9290</v>
      </c>
      <c r="C3743" s="1">
        <v>43071</v>
      </c>
      <c r="D3743" s="1">
        <v>43075</v>
      </c>
      <c r="E3743" t="s">
        <v>49</v>
      </c>
      <c r="F3743" t="s">
        <v>4201</v>
      </c>
      <c r="G3743" t="s">
        <v>4202</v>
      </c>
      <c r="H3743" t="s">
        <v>40</v>
      </c>
      <c r="I3743" t="s">
        <v>26</v>
      </c>
      <c r="J3743" t="s">
        <v>800</v>
      </c>
      <c r="K3743" t="s">
        <v>450</v>
      </c>
      <c r="L3743">
        <v>80219</v>
      </c>
      <c r="M3743" t="s">
        <v>43</v>
      </c>
      <c r="N3743" t="s">
        <v>1502</v>
      </c>
      <c r="O3743" t="s">
        <v>45</v>
      </c>
      <c r="P3743" t="s">
        <v>58</v>
      </c>
      <c r="Q3743" t="s">
        <v>1503</v>
      </c>
      <c r="R3743">
        <v>114.288</v>
      </c>
      <c r="S3743">
        <v>1</v>
      </c>
      <c r="T3743">
        <v>0.2</v>
      </c>
      <c r="U3743">
        <v>12.8574</v>
      </c>
      <c r="V3743" t="str">
        <f t="shared" si="58"/>
        <v>Bill Stewart</v>
      </c>
      <c r="W3743">
        <f>Table2[Profit]/Table2[Sales]</f>
        <v>0.1125</v>
      </c>
    </row>
    <row r="3744" spans="1:23" x14ac:dyDescent="0.25">
      <c r="A3744">
        <v>3743</v>
      </c>
      <c r="B3744" t="s">
        <v>9291</v>
      </c>
      <c r="C3744" s="1">
        <v>41922</v>
      </c>
      <c r="D3744" s="1">
        <v>41927</v>
      </c>
      <c r="E3744" t="s">
        <v>49</v>
      </c>
      <c r="F3744" t="s">
        <v>9292</v>
      </c>
      <c r="G3744" t="s">
        <v>9293</v>
      </c>
      <c r="H3744" t="s">
        <v>40</v>
      </c>
      <c r="I3744" t="s">
        <v>26</v>
      </c>
      <c r="J3744" t="s">
        <v>1657</v>
      </c>
      <c r="K3744" t="s">
        <v>103</v>
      </c>
      <c r="L3744">
        <v>77340</v>
      </c>
      <c r="M3744" t="s">
        <v>104</v>
      </c>
      <c r="N3744" t="s">
        <v>6368</v>
      </c>
      <c r="O3744" t="s">
        <v>70</v>
      </c>
      <c r="P3744" t="s">
        <v>71</v>
      </c>
      <c r="Q3744" t="s">
        <v>6369</v>
      </c>
      <c r="R3744">
        <v>719.952</v>
      </c>
      <c r="S3744">
        <v>6</v>
      </c>
      <c r="T3744">
        <v>0.2</v>
      </c>
      <c r="U3744">
        <v>71.995199999999997</v>
      </c>
      <c r="V3744" t="str">
        <f t="shared" si="58"/>
        <v>Craig Molinari</v>
      </c>
      <c r="W3744">
        <f>Table2[Profit]/Table2[Sales]</f>
        <v>9.9999999999999992E-2</v>
      </c>
    </row>
    <row r="3745" spans="1:23" x14ac:dyDescent="0.25">
      <c r="A3745">
        <v>3744</v>
      </c>
      <c r="B3745" t="s">
        <v>9294</v>
      </c>
      <c r="C3745" s="1">
        <v>42618</v>
      </c>
      <c r="D3745" s="1">
        <v>42620</v>
      </c>
      <c r="E3745" t="s">
        <v>185</v>
      </c>
      <c r="F3745" t="s">
        <v>5213</v>
      </c>
      <c r="G3745" t="s">
        <v>5214</v>
      </c>
      <c r="H3745" t="s">
        <v>40</v>
      </c>
      <c r="I3745" t="s">
        <v>26</v>
      </c>
      <c r="J3745" t="s">
        <v>181</v>
      </c>
      <c r="K3745" t="s">
        <v>103</v>
      </c>
      <c r="L3745">
        <v>77036</v>
      </c>
      <c r="M3745" t="s">
        <v>104</v>
      </c>
      <c r="N3745" t="s">
        <v>5580</v>
      </c>
      <c r="O3745" t="s">
        <v>31</v>
      </c>
      <c r="P3745" t="s">
        <v>64</v>
      </c>
      <c r="Q3745" t="s">
        <v>5581</v>
      </c>
      <c r="R3745">
        <v>21.204000000000001</v>
      </c>
      <c r="S3745">
        <v>3</v>
      </c>
      <c r="T3745">
        <v>0.6</v>
      </c>
      <c r="U3745">
        <v>-11.6622</v>
      </c>
      <c r="V3745" t="str">
        <f t="shared" si="58"/>
        <v>Elizabeth Moffitt</v>
      </c>
      <c r="W3745">
        <f>Table2[Profit]/Table2[Sales]</f>
        <v>-0.55000000000000004</v>
      </c>
    </row>
    <row r="3746" spans="1:23" x14ac:dyDescent="0.25">
      <c r="A3746">
        <v>3745</v>
      </c>
      <c r="B3746" t="s">
        <v>9295</v>
      </c>
      <c r="C3746" s="1">
        <v>41963</v>
      </c>
      <c r="D3746" s="1">
        <v>41968</v>
      </c>
      <c r="E3746" t="s">
        <v>49</v>
      </c>
      <c r="F3746" t="s">
        <v>4522</v>
      </c>
      <c r="G3746" t="s">
        <v>4523</v>
      </c>
      <c r="H3746" t="s">
        <v>40</v>
      </c>
      <c r="I3746" t="s">
        <v>26</v>
      </c>
      <c r="J3746" t="s">
        <v>263</v>
      </c>
      <c r="K3746" t="s">
        <v>264</v>
      </c>
      <c r="L3746">
        <v>10024</v>
      </c>
      <c r="M3746" t="s">
        <v>145</v>
      </c>
      <c r="N3746" t="s">
        <v>8197</v>
      </c>
      <c r="O3746" t="s">
        <v>45</v>
      </c>
      <c r="P3746" t="s">
        <v>170</v>
      </c>
      <c r="Q3746" t="s">
        <v>7857</v>
      </c>
      <c r="R3746">
        <v>34.74</v>
      </c>
      <c r="S3746">
        <v>3</v>
      </c>
      <c r="T3746">
        <v>0</v>
      </c>
      <c r="U3746">
        <v>17.37</v>
      </c>
      <c r="V3746" t="str">
        <f t="shared" si="58"/>
        <v>Katharine Harms</v>
      </c>
      <c r="W3746">
        <f>Table2[Profit]/Table2[Sales]</f>
        <v>0.5</v>
      </c>
    </row>
    <row r="3747" spans="1:23" x14ac:dyDescent="0.25">
      <c r="A3747">
        <v>3746</v>
      </c>
      <c r="B3747" t="s">
        <v>9296</v>
      </c>
      <c r="C3747" s="1">
        <v>41769</v>
      </c>
      <c r="D3747" s="1">
        <v>41773</v>
      </c>
      <c r="E3747" t="s">
        <v>22</v>
      </c>
      <c r="F3747" t="s">
        <v>2586</v>
      </c>
      <c r="G3747" t="s">
        <v>2587</v>
      </c>
      <c r="H3747" t="s">
        <v>25</v>
      </c>
      <c r="I3747" t="s">
        <v>26</v>
      </c>
      <c r="J3747" t="s">
        <v>143</v>
      </c>
      <c r="K3747" t="s">
        <v>144</v>
      </c>
      <c r="L3747">
        <v>19134</v>
      </c>
      <c r="M3747" t="s">
        <v>145</v>
      </c>
      <c r="N3747" t="s">
        <v>3422</v>
      </c>
      <c r="O3747" t="s">
        <v>31</v>
      </c>
      <c r="P3747" t="s">
        <v>32</v>
      </c>
      <c r="Q3747" t="s">
        <v>3423</v>
      </c>
      <c r="R3747">
        <v>349.96499999999997</v>
      </c>
      <c r="S3747">
        <v>7</v>
      </c>
      <c r="T3747">
        <v>0.5</v>
      </c>
      <c r="U3747">
        <v>-216.97829999999999</v>
      </c>
      <c r="V3747" t="str">
        <f t="shared" si="58"/>
        <v>Art Foster</v>
      </c>
      <c r="W3747">
        <f>Table2[Profit]/Table2[Sales]</f>
        <v>-0.62</v>
      </c>
    </row>
    <row r="3748" spans="1:23" x14ac:dyDescent="0.25">
      <c r="A3748">
        <v>3747</v>
      </c>
      <c r="B3748" t="s">
        <v>9297</v>
      </c>
      <c r="C3748" s="1">
        <v>43066</v>
      </c>
      <c r="D3748" s="1">
        <v>43071</v>
      </c>
      <c r="E3748" t="s">
        <v>49</v>
      </c>
      <c r="F3748" t="s">
        <v>2729</v>
      </c>
      <c r="G3748" t="s">
        <v>2730</v>
      </c>
      <c r="H3748" t="s">
        <v>40</v>
      </c>
      <c r="I3748" t="s">
        <v>26</v>
      </c>
      <c r="J3748" t="s">
        <v>490</v>
      </c>
      <c r="K3748" t="s">
        <v>251</v>
      </c>
      <c r="L3748">
        <v>47201</v>
      </c>
      <c r="M3748" t="s">
        <v>104</v>
      </c>
      <c r="N3748" t="s">
        <v>3662</v>
      </c>
      <c r="O3748" t="s">
        <v>45</v>
      </c>
      <c r="P3748" t="s">
        <v>89</v>
      </c>
      <c r="Q3748" t="s">
        <v>3663</v>
      </c>
      <c r="R3748">
        <v>158.28</v>
      </c>
      <c r="S3748">
        <v>6</v>
      </c>
      <c r="T3748">
        <v>0</v>
      </c>
      <c r="U3748">
        <v>72.808800000000005</v>
      </c>
      <c r="V3748" t="str">
        <f t="shared" si="58"/>
        <v>Justin Ritter</v>
      </c>
      <c r="W3748">
        <f>Table2[Profit]/Table2[Sales]</f>
        <v>0.46</v>
      </c>
    </row>
    <row r="3749" spans="1:23" x14ac:dyDescent="0.25">
      <c r="A3749">
        <v>3748</v>
      </c>
      <c r="B3749" t="s">
        <v>9298</v>
      </c>
      <c r="C3749" s="1">
        <v>41944</v>
      </c>
      <c r="D3749" s="1">
        <v>41948</v>
      </c>
      <c r="E3749" t="s">
        <v>49</v>
      </c>
      <c r="F3749" t="s">
        <v>2863</v>
      </c>
      <c r="G3749" t="s">
        <v>2864</v>
      </c>
      <c r="H3749" t="s">
        <v>25</v>
      </c>
      <c r="I3749" t="s">
        <v>26</v>
      </c>
      <c r="J3749" t="s">
        <v>1161</v>
      </c>
      <c r="K3749" t="s">
        <v>264</v>
      </c>
      <c r="L3749">
        <v>11561</v>
      </c>
      <c r="M3749" t="s">
        <v>145</v>
      </c>
      <c r="N3749" t="s">
        <v>683</v>
      </c>
      <c r="O3749" t="s">
        <v>45</v>
      </c>
      <c r="P3749" t="s">
        <v>77</v>
      </c>
      <c r="Q3749" t="s">
        <v>684</v>
      </c>
      <c r="R3749">
        <v>533.94000000000005</v>
      </c>
      <c r="S3749">
        <v>3</v>
      </c>
      <c r="T3749">
        <v>0</v>
      </c>
      <c r="U3749">
        <v>154.8426</v>
      </c>
      <c r="V3749" t="str">
        <f t="shared" si="58"/>
        <v>Daniel Lacy</v>
      </c>
      <c r="W3749">
        <f>Table2[Profit]/Table2[Sales]</f>
        <v>0.28999999999999998</v>
      </c>
    </row>
    <row r="3750" spans="1:23" x14ac:dyDescent="0.25">
      <c r="A3750">
        <v>3749</v>
      </c>
      <c r="B3750" t="s">
        <v>9299</v>
      </c>
      <c r="C3750" s="1">
        <v>42734</v>
      </c>
      <c r="D3750" s="1">
        <v>42736</v>
      </c>
      <c r="E3750" t="s">
        <v>185</v>
      </c>
      <c r="F3750" t="s">
        <v>1762</v>
      </c>
      <c r="G3750" t="s">
        <v>1763</v>
      </c>
      <c r="H3750" t="s">
        <v>25</v>
      </c>
      <c r="I3750" t="s">
        <v>26</v>
      </c>
      <c r="J3750" t="s">
        <v>2439</v>
      </c>
      <c r="K3750" t="s">
        <v>144</v>
      </c>
      <c r="L3750">
        <v>17602</v>
      </c>
      <c r="M3750" t="s">
        <v>145</v>
      </c>
      <c r="N3750" t="s">
        <v>34</v>
      </c>
      <c r="O3750" t="s">
        <v>31</v>
      </c>
      <c r="P3750" t="s">
        <v>35</v>
      </c>
      <c r="Q3750" t="s">
        <v>36</v>
      </c>
      <c r="R3750">
        <v>170.786</v>
      </c>
      <c r="S3750">
        <v>1</v>
      </c>
      <c r="T3750">
        <v>0.3</v>
      </c>
      <c r="U3750">
        <v>0</v>
      </c>
      <c r="V3750" t="str">
        <f t="shared" si="58"/>
        <v>Brian Dahlen</v>
      </c>
      <c r="W3750">
        <f>Table2[Profit]/Table2[Sales]</f>
        <v>0</v>
      </c>
    </row>
    <row r="3751" spans="1:23" x14ac:dyDescent="0.25">
      <c r="A3751">
        <v>3750</v>
      </c>
      <c r="B3751" t="s">
        <v>9300</v>
      </c>
      <c r="C3751" s="1">
        <v>42616</v>
      </c>
      <c r="D3751" s="1">
        <v>42620</v>
      </c>
      <c r="E3751" t="s">
        <v>49</v>
      </c>
      <c r="F3751" t="s">
        <v>2161</v>
      </c>
      <c r="G3751" t="s">
        <v>2162</v>
      </c>
      <c r="H3751" t="s">
        <v>25</v>
      </c>
      <c r="I3751" t="s">
        <v>26</v>
      </c>
      <c r="J3751" t="s">
        <v>296</v>
      </c>
      <c r="K3751" t="s">
        <v>208</v>
      </c>
      <c r="L3751">
        <v>60610</v>
      </c>
      <c r="M3751" t="s">
        <v>104</v>
      </c>
      <c r="N3751" t="s">
        <v>7149</v>
      </c>
      <c r="O3751" t="s">
        <v>31</v>
      </c>
      <c r="P3751" t="s">
        <v>32</v>
      </c>
      <c r="Q3751" t="s">
        <v>7150</v>
      </c>
      <c r="R3751">
        <v>198.744</v>
      </c>
      <c r="S3751">
        <v>4</v>
      </c>
      <c r="T3751">
        <v>0.3</v>
      </c>
      <c r="U3751">
        <v>0</v>
      </c>
      <c r="V3751" t="str">
        <f t="shared" si="58"/>
        <v>Rob Beeghly</v>
      </c>
      <c r="W3751">
        <f>Table2[Profit]/Table2[Sales]</f>
        <v>0</v>
      </c>
    </row>
    <row r="3752" spans="1:23" x14ac:dyDescent="0.25">
      <c r="A3752">
        <v>3751</v>
      </c>
      <c r="B3752" t="s">
        <v>9301</v>
      </c>
      <c r="C3752" s="1">
        <v>43013</v>
      </c>
      <c r="D3752" s="1">
        <v>43015</v>
      </c>
      <c r="E3752" t="s">
        <v>185</v>
      </c>
      <c r="F3752" t="s">
        <v>1494</v>
      </c>
      <c r="G3752" t="s">
        <v>1495</v>
      </c>
      <c r="H3752" t="s">
        <v>101</v>
      </c>
      <c r="I3752" t="s">
        <v>26</v>
      </c>
      <c r="J3752" t="s">
        <v>800</v>
      </c>
      <c r="K3752" t="s">
        <v>450</v>
      </c>
      <c r="L3752">
        <v>80219</v>
      </c>
      <c r="M3752" t="s">
        <v>43</v>
      </c>
      <c r="N3752" t="s">
        <v>2629</v>
      </c>
      <c r="O3752" t="s">
        <v>70</v>
      </c>
      <c r="P3752" t="s">
        <v>158</v>
      </c>
      <c r="Q3752" t="s">
        <v>2630</v>
      </c>
      <c r="R3752">
        <v>63.823999999999998</v>
      </c>
      <c r="S3752">
        <v>2</v>
      </c>
      <c r="T3752">
        <v>0.2</v>
      </c>
      <c r="U3752">
        <v>13.5626</v>
      </c>
      <c r="V3752" t="str">
        <f t="shared" si="58"/>
        <v>Ross Baird</v>
      </c>
      <c r="W3752">
        <f>Table2[Profit]/Table2[Sales]</f>
        <v>0.21249999999999999</v>
      </c>
    </row>
    <row r="3753" spans="1:23" x14ac:dyDescent="0.25">
      <c r="A3753">
        <v>3752</v>
      </c>
      <c r="B3753" t="s">
        <v>9302</v>
      </c>
      <c r="C3753" s="1">
        <v>42399</v>
      </c>
      <c r="D3753" s="1">
        <v>42401</v>
      </c>
      <c r="E3753" t="s">
        <v>22</v>
      </c>
      <c r="F3753" t="s">
        <v>5446</v>
      </c>
      <c r="G3753" t="s">
        <v>5447</v>
      </c>
      <c r="H3753" t="s">
        <v>25</v>
      </c>
      <c r="I3753" t="s">
        <v>26</v>
      </c>
      <c r="J3753" t="s">
        <v>94</v>
      </c>
      <c r="K3753" t="s">
        <v>95</v>
      </c>
      <c r="L3753">
        <v>98103</v>
      </c>
      <c r="M3753" t="s">
        <v>43</v>
      </c>
      <c r="N3753" t="s">
        <v>5423</v>
      </c>
      <c r="O3753" t="s">
        <v>31</v>
      </c>
      <c r="P3753" t="s">
        <v>35</v>
      </c>
      <c r="Q3753" t="s">
        <v>5424</v>
      </c>
      <c r="R3753">
        <v>435.16800000000001</v>
      </c>
      <c r="S3753">
        <v>4</v>
      </c>
      <c r="T3753">
        <v>0.2</v>
      </c>
      <c r="U3753">
        <v>-59.835599999999999</v>
      </c>
      <c r="V3753" t="str">
        <f t="shared" si="58"/>
        <v>Tim Brockman</v>
      </c>
      <c r="W3753">
        <f>Table2[Profit]/Table2[Sales]</f>
        <v>-0.13749999999999998</v>
      </c>
    </row>
    <row r="3754" spans="1:23" x14ac:dyDescent="0.25">
      <c r="A3754">
        <v>3753</v>
      </c>
      <c r="B3754" t="s">
        <v>9303</v>
      </c>
      <c r="C3754" s="1">
        <v>42846</v>
      </c>
      <c r="D3754" s="1">
        <v>42848</v>
      </c>
      <c r="E3754" t="s">
        <v>185</v>
      </c>
      <c r="F3754" t="s">
        <v>3869</v>
      </c>
      <c r="G3754" t="s">
        <v>3870</v>
      </c>
      <c r="H3754" t="s">
        <v>40</v>
      </c>
      <c r="I3754" t="s">
        <v>26</v>
      </c>
      <c r="J3754" t="s">
        <v>181</v>
      </c>
      <c r="K3754" t="s">
        <v>103</v>
      </c>
      <c r="L3754">
        <v>77070</v>
      </c>
      <c r="M3754" t="s">
        <v>104</v>
      </c>
      <c r="N3754" t="s">
        <v>383</v>
      </c>
      <c r="O3754" t="s">
        <v>70</v>
      </c>
      <c r="P3754" t="s">
        <v>158</v>
      </c>
      <c r="Q3754" t="s">
        <v>384</v>
      </c>
      <c r="R3754">
        <v>47.975999999999999</v>
      </c>
      <c r="S3754">
        <v>3</v>
      </c>
      <c r="T3754">
        <v>0.2</v>
      </c>
      <c r="U3754">
        <v>8.3957999999999995</v>
      </c>
      <c r="V3754" t="str">
        <f t="shared" si="58"/>
        <v>Katherine Nockton</v>
      </c>
      <c r="W3754">
        <f>Table2[Profit]/Table2[Sales]</f>
        <v>0.17499999999999999</v>
      </c>
    </row>
    <row r="3755" spans="1:23" x14ac:dyDescent="0.25">
      <c r="A3755">
        <v>3754</v>
      </c>
      <c r="B3755" t="s">
        <v>9304</v>
      </c>
      <c r="C3755" s="1">
        <v>41978</v>
      </c>
      <c r="D3755" s="1">
        <v>41983</v>
      </c>
      <c r="E3755" t="s">
        <v>49</v>
      </c>
      <c r="F3755" t="s">
        <v>1791</v>
      </c>
      <c r="G3755" t="s">
        <v>1792</v>
      </c>
      <c r="H3755" t="s">
        <v>25</v>
      </c>
      <c r="I3755" t="s">
        <v>26</v>
      </c>
      <c r="J3755" t="s">
        <v>41</v>
      </c>
      <c r="K3755" t="s">
        <v>42</v>
      </c>
      <c r="L3755">
        <v>90045</v>
      </c>
      <c r="M3755" t="s">
        <v>43</v>
      </c>
      <c r="N3755" t="s">
        <v>1626</v>
      </c>
      <c r="O3755" t="s">
        <v>45</v>
      </c>
      <c r="P3755" t="s">
        <v>67</v>
      </c>
      <c r="Q3755" t="s">
        <v>1627</v>
      </c>
      <c r="R3755">
        <v>26.46</v>
      </c>
      <c r="S3755">
        <v>9</v>
      </c>
      <c r="T3755">
        <v>0</v>
      </c>
      <c r="U3755">
        <v>11.907</v>
      </c>
      <c r="V3755" t="str">
        <f t="shared" si="58"/>
        <v>Rob Lucas</v>
      </c>
      <c r="W3755">
        <f>Table2[Profit]/Table2[Sales]</f>
        <v>0.45</v>
      </c>
    </row>
    <row r="3756" spans="1:23" x14ac:dyDescent="0.25">
      <c r="A3756">
        <v>3755</v>
      </c>
      <c r="B3756" t="s">
        <v>9305</v>
      </c>
      <c r="C3756" s="1">
        <v>41933</v>
      </c>
      <c r="D3756" s="1">
        <v>41938</v>
      </c>
      <c r="E3756" t="s">
        <v>49</v>
      </c>
      <c r="F3756" t="s">
        <v>3227</v>
      </c>
      <c r="G3756" t="s">
        <v>3228</v>
      </c>
      <c r="H3756" t="s">
        <v>40</v>
      </c>
      <c r="I3756" t="s">
        <v>26</v>
      </c>
      <c r="J3756" t="s">
        <v>5411</v>
      </c>
      <c r="K3756" t="s">
        <v>312</v>
      </c>
      <c r="L3756">
        <v>23602</v>
      </c>
      <c r="M3756" t="s">
        <v>29</v>
      </c>
      <c r="N3756" t="s">
        <v>214</v>
      </c>
      <c r="O3756" t="s">
        <v>45</v>
      </c>
      <c r="P3756" t="s">
        <v>58</v>
      </c>
      <c r="Q3756" t="s">
        <v>215</v>
      </c>
      <c r="R3756">
        <v>194.7</v>
      </c>
      <c r="S3756">
        <v>5</v>
      </c>
      <c r="T3756">
        <v>0</v>
      </c>
      <c r="U3756">
        <v>9.7349999999999994</v>
      </c>
      <c r="V3756" t="str">
        <f t="shared" si="58"/>
        <v>Frank Hawley</v>
      </c>
      <c r="W3756">
        <f>Table2[Profit]/Table2[Sales]</f>
        <v>0.05</v>
      </c>
    </row>
    <row r="3757" spans="1:23" x14ac:dyDescent="0.25">
      <c r="A3757">
        <v>3756</v>
      </c>
      <c r="B3757" t="s">
        <v>9306</v>
      </c>
      <c r="C3757" s="1">
        <v>42346</v>
      </c>
      <c r="D3757" s="1">
        <v>42350</v>
      </c>
      <c r="E3757" t="s">
        <v>49</v>
      </c>
      <c r="F3757" t="s">
        <v>3725</v>
      </c>
      <c r="G3757" t="s">
        <v>3726</v>
      </c>
      <c r="H3757" t="s">
        <v>40</v>
      </c>
      <c r="I3757" t="s">
        <v>26</v>
      </c>
      <c r="J3757" t="s">
        <v>41</v>
      </c>
      <c r="K3757" t="s">
        <v>42</v>
      </c>
      <c r="L3757">
        <v>90036</v>
      </c>
      <c r="M3757" t="s">
        <v>43</v>
      </c>
      <c r="N3757" t="s">
        <v>114</v>
      </c>
      <c r="O3757" t="s">
        <v>45</v>
      </c>
      <c r="P3757" t="s">
        <v>58</v>
      </c>
      <c r="Q3757" t="s">
        <v>115</v>
      </c>
      <c r="R3757">
        <v>221.96</v>
      </c>
      <c r="S3757">
        <v>2</v>
      </c>
      <c r="T3757">
        <v>0</v>
      </c>
      <c r="U3757">
        <v>4.4391999999999996</v>
      </c>
      <c r="V3757" t="str">
        <f t="shared" si="58"/>
        <v>Yana Sorensen</v>
      </c>
      <c r="W3757">
        <f>Table2[Profit]/Table2[Sales]</f>
        <v>1.9999999999999997E-2</v>
      </c>
    </row>
    <row r="3758" spans="1:23" x14ac:dyDescent="0.25">
      <c r="A3758">
        <v>3757</v>
      </c>
      <c r="B3758" t="s">
        <v>9307</v>
      </c>
      <c r="C3758" s="1">
        <v>41945</v>
      </c>
      <c r="D3758" s="1">
        <v>41950</v>
      </c>
      <c r="E3758" t="s">
        <v>22</v>
      </c>
      <c r="F3758" t="s">
        <v>3353</v>
      </c>
      <c r="G3758" t="s">
        <v>3354</v>
      </c>
      <c r="H3758" t="s">
        <v>40</v>
      </c>
      <c r="I3758" t="s">
        <v>26</v>
      </c>
      <c r="J3758" t="s">
        <v>94</v>
      </c>
      <c r="K3758" t="s">
        <v>95</v>
      </c>
      <c r="L3758">
        <v>98115</v>
      </c>
      <c r="M3758" t="s">
        <v>43</v>
      </c>
      <c r="N3758" t="s">
        <v>3489</v>
      </c>
      <c r="O3758" t="s">
        <v>70</v>
      </c>
      <c r="P3758" t="s">
        <v>158</v>
      </c>
      <c r="Q3758" t="s">
        <v>3490</v>
      </c>
      <c r="R3758">
        <v>41.94</v>
      </c>
      <c r="S3758">
        <v>2</v>
      </c>
      <c r="T3758">
        <v>0</v>
      </c>
      <c r="U3758">
        <v>15.0984</v>
      </c>
      <c r="V3758" t="str">
        <f t="shared" si="58"/>
        <v>Steven Ward</v>
      </c>
      <c r="W3758">
        <f>Table2[Profit]/Table2[Sales]</f>
        <v>0.36000000000000004</v>
      </c>
    </row>
    <row r="3759" spans="1:23" x14ac:dyDescent="0.25">
      <c r="A3759">
        <v>3758</v>
      </c>
      <c r="B3759" t="s">
        <v>9308</v>
      </c>
      <c r="C3759" s="1">
        <v>42722</v>
      </c>
      <c r="D3759" s="1">
        <v>42725</v>
      </c>
      <c r="E3759" t="s">
        <v>185</v>
      </c>
      <c r="F3759" t="s">
        <v>417</v>
      </c>
      <c r="G3759" t="s">
        <v>418</v>
      </c>
      <c r="H3759" t="s">
        <v>101</v>
      </c>
      <c r="I3759" t="s">
        <v>26</v>
      </c>
      <c r="J3759" t="s">
        <v>2499</v>
      </c>
      <c r="K3759" t="s">
        <v>135</v>
      </c>
      <c r="L3759">
        <v>68104</v>
      </c>
      <c r="M3759" t="s">
        <v>104</v>
      </c>
      <c r="N3759" t="s">
        <v>1905</v>
      </c>
      <c r="O3759" t="s">
        <v>31</v>
      </c>
      <c r="P3759" t="s">
        <v>35</v>
      </c>
      <c r="Q3759" t="s">
        <v>1906</v>
      </c>
      <c r="R3759">
        <v>563.94000000000005</v>
      </c>
      <c r="S3759">
        <v>3</v>
      </c>
      <c r="T3759">
        <v>0</v>
      </c>
      <c r="U3759">
        <v>112.788</v>
      </c>
      <c r="V3759" t="str">
        <f t="shared" si="58"/>
        <v>Parhena Norris</v>
      </c>
      <c r="W3759">
        <f>Table2[Profit]/Table2[Sales]</f>
        <v>0.19999999999999998</v>
      </c>
    </row>
    <row r="3760" spans="1:23" x14ac:dyDescent="0.25">
      <c r="A3760">
        <v>3759</v>
      </c>
      <c r="B3760" t="s">
        <v>9309</v>
      </c>
      <c r="C3760" s="1">
        <v>42331</v>
      </c>
      <c r="D3760" s="1">
        <v>42335</v>
      </c>
      <c r="E3760" t="s">
        <v>22</v>
      </c>
      <c r="F3760" t="s">
        <v>2042</v>
      </c>
      <c r="G3760" t="s">
        <v>2043</v>
      </c>
      <c r="H3760" t="s">
        <v>25</v>
      </c>
      <c r="I3760" t="s">
        <v>26</v>
      </c>
      <c r="J3760" t="s">
        <v>993</v>
      </c>
      <c r="K3760" t="s">
        <v>781</v>
      </c>
      <c r="L3760">
        <v>7960</v>
      </c>
      <c r="M3760" t="s">
        <v>145</v>
      </c>
      <c r="N3760" t="s">
        <v>8034</v>
      </c>
      <c r="O3760" t="s">
        <v>45</v>
      </c>
      <c r="P3760" t="s">
        <v>77</v>
      </c>
      <c r="Q3760" t="s">
        <v>8035</v>
      </c>
      <c r="R3760">
        <v>2625.12</v>
      </c>
      <c r="S3760">
        <v>8</v>
      </c>
      <c r="T3760">
        <v>0</v>
      </c>
      <c r="U3760">
        <v>735.03359999999998</v>
      </c>
      <c r="V3760" t="str">
        <f t="shared" si="58"/>
        <v>Annie Thurman</v>
      </c>
      <c r="W3760">
        <f>Table2[Profit]/Table2[Sales]</f>
        <v>0.28000000000000003</v>
      </c>
    </row>
    <row r="3761" spans="1:23" x14ac:dyDescent="0.25">
      <c r="A3761">
        <v>3760</v>
      </c>
      <c r="B3761" t="s">
        <v>9310</v>
      </c>
      <c r="C3761" s="1">
        <v>42229</v>
      </c>
      <c r="D3761" s="1">
        <v>42232</v>
      </c>
      <c r="E3761" t="s">
        <v>185</v>
      </c>
      <c r="F3761" t="s">
        <v>6786</v>
      </c>
      <c r="G3761" t="s">
        <v>6787</v>
      </c>
      <c r="H3761" t="s">
        <v>25</v>
      </c>
      <c r="I3761" t="s">
        <v>26</v>
      </c>
      <c r="J3761" t="s">
        <v>143</v>
      </c>
      <c r="K3761" t="s">
        <v>144</v>
      </c>
      <c r="L3761">
        <v>19143</v>
      </c>
      <c r="M3761" t="s">
        <v>145</v>
      </c>
      <c r="N3761" t="s">
        <v>2757</v>
      </c>
      <c r="O3761" t="s">
        <v>45</v>
      </c>
      <c r="P3761" t="s">
        <v>58</v>
      </c>
      <c r="Q3761" t="s">
        <v>2758</v>
      </c>
      <c r="R3761">
        <v>422.85599999999999</v>
      </c>
      <c r="S3761">
        <v>3</v>
      </c>
      <c r="T3761">
        <v>0.2</v>
      </c>
      <c r="U3761">
        <v>15.857100000000001</v>
      </c>
      <c r="V3761" t="str">
        <f t="shared" si="58"/>
        <v>Ed Jacobs</v>
      </c>
      <c r="W3761">
        <f>Table2[Profit]/Table2[Sales]</f>
        <v>3.7500000000000006E-2</v>
      </c>
    </row>
    <row r="3762" spans="1:23" x14ac:dyDescent="0.25">
      <c r="A3762">
        <v>3761</v>
      </c>
      <c r="B3762" t="s">
        <v>9311</v>
      </c>
      <c r="C3762" s="1">
        <v>42110</v>
      </c>
      <c r="D3762" s="1">
        <v>42115</v>
      </c>
      <c r="E3762" t="s">
        <v>49</v>
      </c>
      <c r="F3762" t="s">
        <v>5899</v>
      </c>
      <c r="G3762" t="s">
        <v>5900</v>
      </c>
      <c r="H3762" t="s">
        <v>40</v>
      </c>
      <c r="I3762" t="s">
        <v>26</v>
      </c>
      <c r="J3762" t="s">
        <v>263</v>
      </c>
      <c r="K3762" t="s">
        <v>264</v>
      </c>
      <c r="L3762">
        <v>10024</v>
      </c>
      <c r="M3762" t="s">
        <v>145</v>
      </c>
      <c r="N3762" t="s">
        <v>274</v>
      </c>
      <c r="O3762" t="s">
        <v>31</v>
      </c>
      <c r="P3762" t="s">
        <v>35</v>
      </c>
      <c r="Q3762" t="s">
        <v>275</v>
      </c>
      <c r="R3762">
        <v>127.764</v>
      </c>
      <c r="S3762">
        <v>2</v>
      </c>
      <c r="T3762">
        <v>0.1</v>
      </c>
      <c r="U3762">
        <v>2.8391999999999999</v>
      </c>
      <c r="V3762" t="str">
        <f t="shared" si="58"/>
        <v>Denise Monton</v>
      </c>
      <c r="W3762">
        <f>Table2[Profit]/Table2[Sales]</f>
        <v>2.2222222222222223E-2</v>
      </c>
    </row>
    <row r="3763" spans="1:23" x14ac:dyDescent="0.25">
      <c r="A3763">
        <v>3762</v>
      </c>
      <c r="B3763" t="s">
        <v>9312</v>
      </c>
      <c r="C3763" s="1">
        <v>41719</v>
      </c>
      <c r="D3763" s="1">
        <v>41723</v>
      </c>
      <c r="E3763" t="s">
        <v>49</v>
      </c>
      <c r="F3763" t="s">
        <v>1005</v>
      </c>
      <c r="G3763" t="s">
        <v>1006</v>
      </c>
      <c r="H3763" t="s">
        <v>40</v>
      </c>
      <c r="I3763" t="s">
        <v>26</v>
      </c>
      <c r="J3763" t="s">
        <v>311</v>
      </c>
      <c r="K3763" t="s">
        <v>312</v>
      </c>
      <c r="L3763">
        <v>22153</v>
      </c>
      <c r="M3763" t="s">
        <v>29</v>
      </c>
      <c r="N3763" t="s">
        <v>6731</v>
      </c>
      <c r="O3763" t="s">
        <v>70</v>
      </c>
      <c r="P3763" t="s">
        <v>71</v>
      </c>
      <c r="Q3763" t="s">
        <v>6732</v>
      </c>
      <c r="R3763">
        <v>3499.93</v>
      </c>
      <c r="S3763">
        <v>7</v>
      </c>
      <c r="T3763">
        <v>0</v>
      </c>
      <c r="U3763">
        <v>909.98180000000002</v>
      </c>
      <c r="V3763" t="str">
        <f t="shared" si="58"/>
        <v>Kristen Hastings</v>
      </c>
      <c r="W3763">
        <f>Table2[Profit]/Table2[Sales]</f>
        <v>0.26</v>
      </c>
    </row>
    <row r="3764" spans="1:23" x14ac:dyDescent="0.25">
      <c r="A3764">
        <v>3763</v>
      </c>
      <c r="B3764" t="s">
        <v>9313</v>
      </c>
      <c r="C3764" s="1">
        <v>43055</v>
      </c>
      <c r="D3764" s="1">
        <v>43061</v>
      </c>
      <c r="E3764" t="s">
        <v>49</v>
      </c>
      <c r="F3764" t="s">
        <v>3852</v>
      </c>
      <c r="G3764" t="s">
        <v>3853</v>
      </c>
      <c r="H3764" t="s">
        <v>25</v>
      </c>
      <c r="I3764" t="s">
        <v>26</v>
      </c>
      <c r="J3764" t="s">
        <v>560</v>
      </c>
      <c r="K3764" t="s">
        <v>42</v>
      </c>
      <c r="L3764">
        <v>95661</v>
      </c>
      <c r="M3764" t="s">
        <v>43</v>
      </c>
      <c r="N3764" t="s">
        <v>4458</v>
      </c>
      <c r="O3764" t="s">
        <v>31</v>
      </c>
      <c r="P3764" t="s">
        <v>64</v>
      </c>
      <c r="Q3764" t="s">
        <v>4459</v>
      </c>
      <c r="R3764">
        <v>17.309999999999999</v>
      </c>
      <c r="S3764">
        <v>3</v>
      </c>
      <c r="T3764">
        <v>0</v>
      </c>
      <c r="U3764">
        <v>5.1929999999999996</v>
      </c>
      <c r="V3764" t="str">
        <f t="shared" si="58"/>
        <v>Mick Brown</v>
      </c>
      <c r="W3764">
        <f>Table2[Profit]/Table2[Sales]</f>
        <v>0.3</v>
      </c>
    </row>
    <row r="3765" spans="1:23" x14ac:dyDescent="0.25">
      <c r="A3765">
        <v>3764</v>
      </c>
      <c r="B3765" t="s">
        <v>9314</v>
      </c>
      <c r="C3765" s="1">
        <v>42272</v>
      </c>
      <c r="D3765" s="1">
        <v>42276</v>
      </c>
      <c r="E3765" t="s">
        <v>49</v>
      </c>
      <c r="F3765" t="s">
        <v>6971</v>
      </c>
      <c r="G3765" t="s">
        <v>6972</v>
      </c>
      <c r="H3765" t="s">
        <v>25</v>
      </c>
      <c r="I3765" t="s">
        <v>26</v>
      </c>
      <c r="J3765" t="s">
        <v>3049</v>
      </c>
      <c r="K3765" t="s">
        <v>208</v>
      </c>
      <c r="L3765">
        <v>61107</v>
      </c>
      <c r="M3765" t="s">
        <v>104</v>
      </c>
      <c r="N3765" t="s">
        <v>4893</v>
      </c>
      <c r="O3765" t="s">
        <v>45</v>
      </c>
      <c r="P3765" t="s">
        <v>67</v>
      </c>
      <c r="Q3765" t="s">
        <v>4894</v>
      </c>
      <c r="R3765">
        <v>128.744</v>
      </c>
      <c r="S3765">
        <v>7</v>
      </c>
      <c r="T3765">
        <v>0.2</v>
      </c>
      <c r="U3765">
        <v>12.8744</v>
      </c>
      <c r="V3765" t="str">
        <f t="shared" si="58"/>
        <v>Dana Kaydos</v>
      </c>
      <c r="W3765">
        <f>Table2[Profit]/Table2[Sales]</f>
        <v>9.9999999999999992E-2</v>
      </c>
    </row>
    <row r="3766" spans="1:23" x14ac:dyDescent="0.25">
      <c r="A3766">
        <v>3765</v>
      </c>
      <c r="B3766" t="s">
        <v>9315</v>
      </c>
      <c r="C3766" s="1">
        <v>42618</v>
      </c>
      <c r="D3766" s="1">
        <v>42622</v>
      </c>
      <c r="E3766" t="s">
        <v>49</v>
      </c>
      <c r="F3766" t="s">
        <v>1748</v>
      </c>
      <c r="G3766" t="s">
        <v>1749</v>
      </c>
      <c r="H3766" t="s">
        <v>25</v>
      </c>
      <c r="I3766" t="s">
        <v>26</v>
      </c>
      <c r="J3766" t="s">
        <v>143</v>
      </c>
      <c r="K3766" t="s">
        <v>144</v>
      </c>
      <c r="L3766">
        <v>19134</v>
      </c>
      <c r="M3766" t="s">
        <v>145</v>
      </c>
      <c r="N3766" t="s">
        <v>340</v>
      </c>
      <c r="O3766" t="s">
        <v>31</v>
      </c>
      <c r="P3766" t="s">
        <v>64</v>
      </c>
      <c r="Q3766" t="s">
        <v>341</v>
      </c>
      <c r="R3766">
        <v>58.247999999999998</v>
      </c>
      <c r="S3766">
        <v>9</v>
      </c>
      <c r="T3766">
        <v>0.2</v>
      </c>
      <c r="U3766">
        <v>11.6496</v>
      </c>
      <c r="V3766" t="str">
        <f t="shared" si="58"/>
        <v>Dean Braden</v>
      </c>
      <c r="W3766">
        <f>Table2[Profit]/Table2[Sales]</f>
        <v>0.2</v>
      </c>
    </row>
    <row r="3767" spans="1:23" x14ac:dyDescent="0.25">
      <c r="A3767">
        <v>3766</v>
      </c>
      <c r="B3767" t="s">
        <v>9316</v>
      </c>
      <c r="C3767" s="1">
        <v>42845</v>
      </c>
      <c r="D3767" s="1">
        <v>42849</v>
      </c>
      <c r="E3767" t="s">
        <v>49</v>
      </c>
      <c r="F3767" t="s">
        <v>5305</v>
      </c>
      <c r="G3767" t="s">
        <v>5306</v>
      </c>
      <c r="H3767" t="s">
        <v>25</v>
      </c>
      <c r="I3767" t="s">
        <v>26</v>
      </c>
      <c r="J3767" t="s">
        <v>873</v>
      </c>
      <c r="K3767" t="s">
        <v>235</v>
      </c>
      <c r="L3767">
        <v>48234</v>
      </c>
      <c r="M3767" t="s">
        <v>104</v>
      </c>
      <c r="N3767" t="s">
        <v>2070</v>
      </c>
      <c r="O3767" t="s">
        <v>45</v>
      </c>
      <c r="P3767" t="s">
        <v>74</v>
      </c>
      <c r="Q3767" t="s">
        <v>2071</v>
      </c>
      <c r="R3767">
        <v>146.86000000000001</v>
      </c>
      <c r="S3767">
        <v>7</v>
      </c>
      <c r="T3767">
        <v>0</v>
      </c>
      <c r="U3767">
        <v>70.492800000000003</v>
      </c>
      <c r="V3767" t="str">
        <f t="shared" si="58"/>
        <v>Christina VanderZanden</v>
      </c>
      <c r="W3767">
        <f>Table2[Profit]/Table2[Sales]</f>
        <v>0.48</v>
      </c>
    </row>
    <row r="3768" spans="1:23" x14ac:dyDescent="0.25">
      <c r="A3768">
        <v>3767</v>
      </c>
      <c r="B3768" t="s">
        <v>9317</v>
      </c>
      <c r="C3768" s="1">
        <v>42170</v>
      </c>
      <c r="D3768" s="1">
        <v>42174</v>
      </c>
      <c r="E3768" t="s">
        <v>49</v>
      </c>
      <c r="F3768" t="s">
        <v>1165</v>
      </c>
      <c r="G3768" t="s">
        <v>1166</v>
      </c>
      <c r="H3768" t="s">
        <v>40</v>
      </c>
      <c r="I3768" t="s">
        <v>26</v>
      </c>
      <c r="J3768" t="s">
        <v>41</v>
      </c>
      <c r="K3768" t="s">
        <v>42</v>
      </c>
      <c r="L3768">
        <v>90004</v>
      </c>
      <c r="M3768" t="s">
        <v>43</v>
      </c>
      <c r="N3768" t="s">
        <v>2056</v>
      </c>
      <c r="O3768" t="s">
        <v>70</v>
      </c>
      <c r="P3768" t="s">
        <v>71</v>
      </c>
      <c r="Q3768" t="s">
        <v>2057</v>
      </c>
      <c r="R3768">
        <v>225.57599999999999</v>
      </c>
      <c r="S3768">
        <v>3</v>
      </c>
      <c r="T3768">
        <v>0.2</v>
      </c>
      <c r="U3768">
        <v>22.557600000000001</v>
      </c>
      <c r="V3768" t="str">
        <f t="shared" si="58"/>
        <v>Grace Kelly</v>
      </c>
      <c r="W3768">
        <f>Table2[Profit]/Table2[Sales]</f>
        <v>0.1</v>
      </c>
    </row>
    <row r="3769" spans="1:23" x14ac:dyDescent="0.25">
      <c r="A3769">
        <v>3768</v>
      </c>
      <c r="B3769" t="s">
        <v>9318</v>
      </c>
      <c r="C3769" s="1">
        <v>41899</v>
      </c>
      <c r="D3769" s="1">
        <v>41904</v>
      </c>
      <c r="E3769" t="s">
        <v>49</v>
      </c>
      <c r="F3769" t="s">
        <v>2858</v>
      </c>
      <c r="G3769" t="s">
        <v>2859</v>
      </c>
      <c r="H3769" t="s">
        <v>25</v>
      </c>
      <c r="I3769" t="s">
        <v>26</v>
      </c>
      <c r="J3769" t="s">
        <v>311</v>
      </c>
      <c r="K3769" t="s">
        <v>413</v>
      </c>
      <c r="L3769">
        <v>97477</v>
      </c>
      <c r="M3769" t="s">
        <v>43</v>
      </c>
      <c r="N3769" t="s">
        <v>5443</v>
      </c>
      <c r="O3769" t="s">
        <v>45</v>
      </c>
      <c r="P3769" t="s">
        <v>67</v>
      </c>
      <c r="Q3769" t="s">
        <v>5444</v>
      </c>
      <c r="R3769">
        <v>5.2480000000000002</v>
      </c>
      <c r="S3769">
        <v>2</v>
      </c>
      <c r="T3769">
        <v>0.2</v>
      </c>
      <c r="U3769">
        <v>0.4592</v>
      </c>
      <c r="V3769" t="str">
        <f t="shared" si="58"/>
        <v>Joseph Airdo</v>
      </c>
      <c r="W3769">
        <f>Table2[Profit]/Table2[Sales]</f>
        <v>8.7499999999999994E-2</v>
      </c>
    </row>
    <row r="3770" spans="1:23" x14ac:dyDescent="0.25">
      <c r="A3770">
        <v>3769</v>
      </c>
      <c r="B3770" t="s">
        <v>9319</v>
      </c>
      <c r="C3770" s="1">
        <v>42559</v>
      </c>
      <c r="D3770" s="1">
        <v>42563</v>
      </c>
      <c r="E3770" t="s">
        <v>49</v>
      </c>
      <c r="F3770" t="s">
        <v>8085</v>
      </c>
      <c r="G3770" t="s">
        <v>8086</v>
      </c>
      <c r="H3770" t="s">
        <v>40</v>
      </c>
      <c r="I3770" t="s">
        <v>26</v>
      </c>
      <c r="J3770" t="s">
        <v>3508</v>
      </c>
      <c r="K3770" t="s">
        <v>1388</v>
      </c>
      <c r="L3770">
        <v>2908</v>
      </c>
      <c r="M3770" t="s">
        <v>145</v>
      </c>
      <c r="N3770" t="s">
        <v>2818</v>
      </c>
      <c r="O3770" t="s">
        <v>45</v>
      </c>
      <c r="P3770" t="s">
        <v>89</v>
      </c>
      <c r="Q3770" t="s">
        <v>2819</v>
      </c>
      <c r="R3770">
        <v>12.96</v>
      </c>
      <c r="S3770">
        <v>2</v>
      </c>
      <c r="T3770">
        <v>0</v>
      </c>
      <c r="U3770">
        <v>6.2207999999999997</v>
      </c>
      <c r="V3770" t="str">
        <f t="shared" si="58"/>
        <v>Thea Hudgings</v>
      </c>
      <c r="W3770">
        <f>Table2[Profit]/Table2[Sales]</f>
        <v>0.47999999999999993</v>
      </c>
    </row>
    <row r="3771" spans="1:23" x14ac:dyDescent="0.25">
      <c r="A3771">
        <v>3770</v>
      </c>
      <c r="B3771" t="s">
        <v>9320</v>
      </c>
      <c r="C3771" s="1">
        <v>42517</v>
      </c>
      <c r="D3771" s="1">
        <v>42521</v>
      </c>
      <c r="E3771" t="s">
        <v>49</v>
      </c>
      <c r="F3771" t="s">
        <v>4935</v>
      </c>
      <c r="G3771" t="s">
        <v>4936</v>
      </c>
      <c r="H3771" t="s">
        <v>25</v>
      </c>
      <c r="I3771" t="s">
        <v>26</v>
      </c>
      <c r="J3771" t="s">
        <v>296</v>
      </c>
      <c r="K3771" t="s">
        <v>208</v>
      </c>
      <c r="L3771">
        <v>60623</v>
      </c>
      <c r="M3771" t="s">
        <v>104</v>
      </c>
      <c r="N3771" t="s">
        <v>6120</v>
      </c>
      <c r="O3771" t="s">
        <v>31</v>
      </c>
      <c r="P3771" t="s">
        <v>64</v>
      </c>
      <c r="Q3771" t="s">
        <v>6121</v>
      </c>
      <c r="R3771">
        <v>25.175999999999998</v>
      </c>
      <c r="S3771">
        <v>3</v>
      </c>
      <c r="T3771">
        <v>0.6</v>
      </c>
      <c r="U3771">
        <v>-33.358199999999997</v>
      </c>
      <c r="V3771" t="str">
        <f t="shared" si="58"/>
        <v>Brian Stugart</v>
      </c>
      <c r="W3771">
        <f>Table2[Profit]/Table2[Sales]</f>
        <v>-1.325</v>
      </c>
    </row>
    <row r="3772" spans="1:23" x14ac:dyDescent="0.25">
      <c r="A3772">
        <v>3771</v>
      </c>
      <c r="B3772" t="s">
        <v>9321</v>
      </c>
      <c r="C3772" s="1">
        <v>43093</v>
      </c>
      <c r="D3772" s="1">
        <v>43096</v>
      </c>
      <c r="E3772" t="s">
        <v>185</v>
      </c>
      <c r="F3772" t="s">
        <v>4244</v>
      </c>
      <c r="G3772" t="s">
        <v>4245</v>
      </c>
      <c r="H3772" t="s">
        <v>25</v>
      </c>
      <c r="I3772" t="s">
        <v>26</v>
      </c>
      <c r="J3772" t="s">
        <v>808</v>
      </c>
      <c r="K3772" t="s">
        <v>103</v>
      </c>
      <c r="L3772">
        <v>75220</v>
      </c>
      <c r="M3772" t="s">
        <v>104</v>
      </c>
      <c r="N3772" t="s">
        <v>2087</v>
      </c>
      <c r="O3772" t="s">
        <v>45</v>
      </c>
      <c r="P3772" t="s">
        <v>58</v>
      </c>
      <c r="Q3772" t="s">
        <v>2088</v>
      </c>
      <c r="R3772">
        <v>264.32</v>
      </c>
      <c r="S3772">
        <v>2</v>
      </c>
      <c r="T3772">
        <v>0.2</v>
      </c>
      <c r="U3772">
        <v>19.824000000000002</v>
      </c>
      <c r="V3772" t="str">
        <f t="shared" si="58"/>
        <v>Neola Schneider</v>
      </c>
      <c r="W3772">
        <f>Table2[Profit]/Table2[Sales]</f>
        <v>7.5000000000000011E-2</v>
      </c>
    </row>
    <row r="3773" spans="1:23" x14ac:dyDescent="0.25">
      <c r="A3773">
        <v>3772</v>
      </c>
      <c r="B3773" t="s">
        <v>9322</v>
      </c>
      <c r="C3773" s="1">
        <v>42858</v>
      </c>
      <c r="D3773" s="1">
        <v>42862</v>
      </c>
      <c r="E3773" t="s">
        <v>49</v>
      </c>
      <c r="F3773" t="s">
        <v>1505</v>
      </c>
      <c r="G3773" t="s">
        <v>1506</v>
      </c>
      <c r="H3773" t="s">
        <v>25</v>
      </c>
      <c r="I3773" t="s">
        <v>26</v>
      </c>
      <c r="J3773" t="s">
        <v>126</v>
      </c>
      <c r="K3773" t="s">
        <v>42</v>
      </c>
      <c r="L3773">
        <v>94122</v>
      </c>
      <c r="M3773" t="s">
        <v>43</v>
      </c>
      <c r="N3773" t="s">
        <v>3002</v>
      </c>
      <c r="O3773" t="s">
        <v>45</v>
      </c>
      <c r="P3773" t="s">
        <v>89</v>
      </c>
      <c r="Q3773" t="s">
        <v>3003</v>
      </c>
      <c r="R3773">
        <v>25.92</v>
      </c>
      <c r="S3773">
        <v>4</v>
      </c>
      <c r="T3773">
        <v>0</v>
      </c>
      <c r="U3773">
        <v>12.441599999999999</v>
      </c>
      <c r="V3773" t="str">
        <f t="shared" si="58"/>
        <v>Mike Kennedy</v>
      </c>
      <c r="W3773">
        <f>Table2[Profit]/Table2[Sales]</f>
        <v>0.47999999999999993</v>
      </c>
    </row>
    <row r="3774" spans="1:23" x14ac:dyDescent="0.25">
      <c r="A3774">
        <v>3773</v>
      </c>
      <c r="B3774" t="s">
        <v>9323</v>
      </c>
      <c r="C3774" s="1">
        <v>41692</v>
      </c>
      <c r="D3774" s="1">
        <v>41694</v>
      </c>
      <c r="E3774" t="s">
        <v>185</v>
      </c>
      <c r="F3774" t="s">
        <v>1650</v>
      </c>
      <c r="G3774" t="s">
        <v>1651</v>
      </c>
      <c r="H3774" t="s">
        <v>25</v>
      </c>
      <c r="I3774" t="s">
        <v>26</v>
      </c>
      <c r="J3774" t="s">
        <v>7768</v>
      </c>
      <c r="K3774" t="s">
        <v>42</v>
      </c>
      <c r="L3774">
        <v>92553</v>
      </c>
      <c r="M3774" t="s">
        <v>43</v>
      </c>
      <c r="N3774" t="s">
        <v>2242</v>
      </c>
      <c r="O3774" t="s">
        <v>45</v>
      </c>
      <c r="P3774" t="s">
        <v>89</v>
      </c>
      <c r="Q3774" t="s">
        <v>2243</v>
      </c>
      <c r="R3774">
        <v>19.440000000000001</v>
      </c>
      <c r="S3774">
        <v>3</v>
      </c>
      <c r="T3774">
        <v>0</v>
      </c>
      <c r="U3774">
        <v>9.3312000000000008</v>
      </c>
      <c r="V3774" t="str">
        <f t="shared" si="58"/>
        <v>Sue Ann Reed</v>
      </c>
      <c r="W3774">
        <f>Table2[Profit]/Table2[Sales]</f>
        <v>0.48000000000000004</v>
      </c>
    </row>
    <row r="3775" spans="1:23" x14ac:dyDescent="0.25">
      <c r="A3775">
        <v>3774</v>
      </c>
      <c r="B3775" t="s">
        <v>9324</v>
      </c>
      <c r="C3775" s="1">
        <v>42043</v>
      </c>
      <c r="D3775" s="1">
        <v>42046</v>
      </c>
      <c r="E3775" t="s">
        <v>185</v>
      </c>
      <c r="F3775" t="s">
        <v>61</v>
      </c>
      <c r="G3775" t="s">
        <v>62</v>
      </c>
      <c r="H3775" t="s">
        <v>25</v>
      </c>
      <c r="I3775" t="s">
        <v>26</v>
      </c>
      <c r="J3775" t="s">
        <v>9215</v>
      </c>
      <c r="K3775" t="s">
        <v>4436</v>
      </c>
      <c r="L3775">
        <v>67846</v>
      </c>
      <c r="M3775" t="s">
        <v>104</v>
      </c>
      <c r="N3775" t="s">
        <v>5943</v>
      </c>
      <c r="O3775" t="s">
        <v>45</v>
      </c>
      <c r="P3775" t="s">
        <v>89</v>
      </c>
      <c r="Q3775" t="s">
        <v>5944</v>
      </c>
      <c r="R3775">
        <v>9.5399999999999991</v>
      </c>
      <c r="S3775">
        <v>2</v>
      </c>
      <c r="T3775">
        <v>0</v>
      </c>
      <c r="U3775">
        <v>4.2930000000000001</v>
      </c>
      <c r="V3775" t="str">
        <f t="shared" si="58"/>
        <v>Brosina Hoffman</v>
      </c>
      <c r="W3775">
        <f>Table2[Profit]/Table2[Sales]</f>
        <v>0.45000000000000007</v>
      </c>
    </row>
    <row r="3776" spans="1:23" x14ac:dyDescent="0.25">
      <c r="A3776">
        <v>3775</v>
      </c>
      <c r="B3776" t="s">
        <v>9325</v>
      </c>
      <c r="C3776" s="1">
        <v>42240</v>
      </c>
      <c r="D3776" s="1">
        <v>42244</v>
      </c>
      <c r="E3776" t="s">
        <v>22</v>
      </c>
      <c r="F3776" t="s">
        <v>5407</v>
      </c>
      <c r="G3776" t="s">
        <v>5408</v>
      </c>
      <c r="H3776" t="s">
        <v>25</v>
      </c>
      <c r="I3776" t="s">
        <v>26</v>
      </c>
      <c r="J3776" t="s">
        <v>263</v>
      </c>
      <c r="K3776" t="s">
        <v>264</v>
      </c>
      <c r="L3776">
        <v>10035</v>
      </c>
      <c r="M3776" t="s">
        <v>145</v>
      </c>
      <c r="N3776" t="s">
        <v>2015</v>
      </c>
      <c r="O3776" t="s">
        <v>31</v>
      </c>
      <c r="P3776" t="s">
        <v>64</v>
      </c>
      <c r="Q3776" t="s">
        <v>2016</v>
      </c>
      <c r="R3776">
        <v>14.91</v>
      </c>
      <c r="S3776">
        <v>3</v>
      </c>
      <c r="T3776">
        <v>0</v>
      </c>
      <c r="U3776">
        <v>4.6220999999999997</v>
      </c>
      <c r="V3776" t="str">
        <f t="shared" si="58"/>
        <v>Shahid Collister</v>
      </c>
      <c r="W3776">
        <f>Table2[Profit]/Table2[Sales]</f>
        <v>0.31</v>
      </c>
    </row>
    <row r="3777" spans="1:23" x14ac:dyDescent="0.25">
      <c r="A3777">
        <v>3776</v>
      </c>
      <c r="B3777" t="s">
        <v>9326</v>
      </c>
      <c r="C3777" s="1">
        <v>41973</v>
      </c>
      <c r="D3777" s="1">
        <v>41977</v>
      </c>
      <c r="E3777" t="s">
        <v>49</v>
      </c>
      <c r="F3777" t="s">
        <v>4941</v>
      </c>
      <c r="G3777" t="s">
        <v>4942</v>
      </c>
      <c r="H3777" t="s">
        <v>40</v>
      </c>
      <c r="I3777" t="s">
        <v>26</v>
      </c>
      <c r="J3777" t="s">
        <v>5921</v>
      </c>
      <c r="K3777" t="s">
        <v>53</v>
      </c>
      <c r="L3777">
        <v>32839</v>
      </c>
      <c r="M3777" t="s">
        <v>29</v>
      </c>
      <c r="N3777" t="s">
        <v>7585</v>
      </c>
      <c r="O3777" t="s">
        <v>45</v>
      </c>
      <c r="P3777" t="s">
        <v>74</v>
      </c>
      <c r="Q3777" t="s">
        <v>7586</v>
      </c>
      <c r="R3777">
        <v>6.6420000000000003</v>
      </c>
      <c r="S3777">
        <v>9</v>
      </c>
      <c r="T3777">
        <v>0.7</v>
      </c>
      <c r="U3777">
        <v>-4.4279999999999999</v>
      </c>
      <c r="V3777" t="str">
        <f t="shared" si="58"/>
        <v>Randy Ferguson</v>
      </c>
      <c r="W3777">
        <f>Table2[Profit]/Table2[Sales]</f>
        <v>-0.66666666666666663</v>
      </c>
    </row>
    <row r="3778" spans="1:23" x14ac:dyDescent="0.25">
      <c r="A3778">
        <v>3777</v>
      </c>
      <c r="B3778" t="s">
        <v>9327</v>
      </c>
      <c r="C3778" s="1">
        <v>42714</v>
      </c>
      <c r="D3778" s="1">
        <v>42720</v>
      </c>
      <c r="E3778" t="s">
        <v>49</v>
      </c>
      <c r="F3778" t="s">
        <v>5561</v>
      </c>
      <c r="G3778" t="s">
        <v>5562</v>
      </c>
      <c r="H3778" t="s">
        <v>25</v>
      </c>
      <c r="I3778" t="s">
        <v>26</v>
      </c>
      <c r="J3778" t="s">
        <v>4017</v>
      </c>
      <c r="K3778" t="s">
        <v>264</v>
      </c>
      <c r="L3778">
        <v>13601</v>
      </c>
      <c r="M3778" t="s">
        <v>145</v>
      </c>
      <c r="N3778" t="s">
        <v>5131</v>
      </c>
      <c r="O3778" t="s">
        <v>45</v>
      </c>
      <c r="P3778" t="s">
        <v>89</v>
      </c>
      <c r="Q3778" t="s">
        <v>5132</v>
      </c>
      <c r="R3778">
        <v>18.54</v>
      </c>
      <c r="S3778">
        <v>2</v>
      </c>
      <c r="T3778">
        <v>0</v>
      </c>
      <c r="U3778">
        <v>8.7138000000000009</v>
      </c>
      <c r="V3778" t="str">
        <f t="shared" si="58"/>
        <v>Chris McAfee</v>
      </c>
      <c r="W3778">
        <f>Table2[Profit]/Table2[Sales]</f>
        <v>0.47000000000000008</v>
      </c>
    </row>
    <row r="3779" spans="1:23" x14ac:dyDescent="0.25">
      <c r="A3779">
        <v>3778</v>
      </c>
      <c r="B3779" t="s">
        <v>9328</v>
      </c>
      <c r="C3779" s="1">
        <v>43035</v>
      </c>
      <c r="D3779" s="1">
        <v>43037</v>
      </c>
      <c r="E3779" t="s">
        <v>185</v>
      </c>
      <c r="F3779" t="s">
        <v>4000</v>
      </c>
      <c r="G3779" t="s">
        <v>4001</v>
      </c>
      <c r="H3779" t="s">
        <v>40</v>
      </c>
      <c r="I3779" t="s">
        <v>26</v>
      </c>
      <c r="J3779" t="s">
        <v>41</v>
      </c>
      <c r="K3779" t="s">
        <v>42</v>
      </c>
      <c r="L3779">
        <v>90032</v>
      </c>
      <c r="M3779" t="s">
        <v>43</v>
      </c>
      <c r="N3779" t="s">
        <v>79</v>
      </c>
      <c r="O3779" t="s">
        <v>31</v>
      </c>
      <c r="P3779" t="s">
        <v>55</v>
      </c>
      <c r="Q3779" t="s">
        <v>80</v>
      </c>
      <c r="R3779">
        <v>189.57599999999999</v>
      </c>
      <c r="S3779">
        <v>1</v>
      </c>
      <c r="T3779">
        <v>0.2</v>
      </c>
      <c r="U3779">
        <v>9.4787999999999997</v>
      </c>
      <c r="V3779" t="str">
        <f t="shared" ref="V3779:V3842" si="59">TRIM(G3779)</f>
        <v>Jim Mitchum</v>
      </c>
      <c r="W3779">
        <f>Table2[Profit]/Table2[Sales]</f>
        <v>0.05</v>
      </c>
    </row>
    <row r="3780" spans="1:23" x14ac:dyDescent="0.25">
      <c r="A3780">
        <v>3779</v>
      </c>
      <c r="B3780" t="s">
        <v>9329</v>
      </c>
      <c r="C3780" s="1">
        <v>41968</v>
      </c>
      <c r="D3780" s="1">
        <v>41972</v>
      </c>
      <c r="E3780" t="s">
        <v>49</v>
      </c>
      <c r="F3780" t="s">
        <v>4978</v>
      </c>
      <c r="G3780" t="s">
        <v>4979</v>
      </c>
      <c r="H3780" t="s">
        <v>25</v>
      </c>
      <c r="I3780" t="s">
        <v>26</v>
      </c>
      <c r="J3780" t="s">
        <v>41</v>
      </c>
      <c r="K3780" t="s">
        <v>42</v>
      </c>
      <c r="L3780">
        <v>90004</v>
      </c>
      <c r="M3780" t="s">
        <v>43</v>
      </c>
      <c r="N3780" t="s">
        <v>956</v>
      </c>
      <c r="O3780" t="s">
        <v>70</v>
      </c>
      <c r="P3780" t="s">
        <v>71</v>
      </c>
      <c r="Q3780" t="s">
        <v>957</v>
      </c>
      <c r="R3780">
        <v>539.91999999999996</v>
      </c>
      <c r="S3780">
        <v>5</v>
      </c>
      <c r="T3780">
        <v>0.2</v>
      </c>
      <c r="U3780">
        <v>47.243000000000002</v>
      </c>
      <c r="V3780" t="str">
        <f t="shared" si="59"/>
        <v>Richard Bierner</v>
      </c>
      <c r="W3780">
        <f>Table2[Profit]/Table2[Sales]</f>
        <v>8.7500000000000008E-2</v>
      </c>
    </row>
    <row r="3781" spans="1:23" x14ac:dyDescent="0.25">
      <c r="A3781">
        <v>3780</v>
      </c>
      <c r="B3781" t="s">
        <v>9330</v>
      </c>
      <c r="C3781" s="1">
        <v>41834</v>
      </c>
      <c r="D3781" s="1">
        <v>41840</v>
      </c>
      <c r="E3781" t="s">
        <v>49</v>
      </c>
      <c r="F3781" t="s">
        <v>8707</v>
      </c>
      <c r="G3781" t="s">
        <v>8708</v>
      </c>
      <c r="H3781" t="s">
        <v>101</v>
      </c>
      <c r="I3781" t="s">
        <v>26</v>
      </c>
      <c r="J3781" t="s">
        <v>600</v>
      </c>
      <c r="K3781" t="s">
        <v>242</v>
      </c>
      <c r="L3781">
        <v>19711</v>
      </c>
      <c r="M3781" t="s">
        <v>145</v>
      </c>
      <c r="N3781" t="s">
        <v>2481</v>
      </c>
      <c r="O3781" t="s">
        <v>45</v>
      </c>
      <c r="P3781" t="s">
        <v>77</v>
      </c>
      <c r="Q3781" t="s">
        <v>2482</v>
      </c>
      <c r="R3781">
        <v>39.479999999999997</v>
      </c>
      <c r="S3781">
        <v>1</v>
      </c>
      <c r="T3781">
        <v>0</v>
      </c>
      <c r="U3781">
        <v>11.054399999999999</v>
      </c>
      <c r="V3781" t="str">
        <f t="shared" si="59"/>
        <v>Shirley Schmidt</v>
      </c>
      <c r="W3781">
        <f>Table2[Profit]/Table2[Sales]</f>
        <v>0.28000000000000003</v>
      </c>
    </row>
    <row r="3782" spans="1:23" x14ac:dyDescent="0.25">
      <c r="A3782">
        <v>3781</v>
      </c>
      <c r="B3782" t="s">
        <v>9331</v>
      </c>
      <c r="C3782" s="1">
        <v>42147</v>
      </c>
      <c r="D3782" s="1">
        <v>42151</v>
      </c>
      <c r="E3782" t="s">
        <v>22</v>
      </c>
      <c r="F3782" t="s">
        <v>1152</v>
      </c>
      <c r="G3782" t="s">
        <v>1153</v>
      </c>
      <c r="H3782" t="s">
        <v>101</v>
      </c>
      <c r="I3782" t="s">
        <v>26</v>
      </c>
      <c r="J3782" t="s">
        <v>873</v>
      </c>
      <c r="K3782" t="s">
        <v>235</v>
      </c>
      <c r="L3782">
        <v>48234</v>
      </c>
      <c r="M3782" t="s">
        <v>104</v>
      </c>
      <c r="N3782" t="s">
        <v>4476</v>
      </c>
      <c r="O3782" t="s">
        <v>45</v>
      </c>
      <c r="P3782" t="s">
        <v>77</v>
      </c>
      <c r="Q3782" t="s">
        <v>4477</v>
      </c>
      <c r="R3782">
        <v>850.5</v>
      </c>
      <c r="S3782">
        <v>5</v>
      </c>
      <c r="T3782">
        <v>0.1</v>
      </c>
      <c r="U3782">
        <v>245.7</v>
      </c>
      <c r="V3782" t="str">
        <f t="shared" si="59"/>
        <v>Nathan Mautz</v>
      </c>
      <c r="W3782">
        <f>Table2[Profit]/Table2[Sales]</f>
        <v>0.28888888888888886</v>
      </c>
    </row>
    <row r="3783" spans="1:23" x14ac:dyDescent="0.25">
      <c r="A3783">
        <v>3782</v>
      </c>
      <c r="B3783" t="s">
        <v>9332</v>
      </c>
      <c r="C3783" s="1">
        <v>42329</v>
      </c>
      <c r="D3783" s="1">
        <v>42331</v>
      </c>
      <c r="E3783" t="s">
        <v>22</v>
      </c>
      <c r="F3783" t="s">
        <v>2577</v>
      </c>
      <c r="G3783" t="s">
        <v>2578</v>
      </c>
      <c r="H3783" t="s">
        <v>40</v>
      </c>
      <c r="I3783" t="s">
        <v>26</v>
      </c>
      <c r="J3783" t="s">
        <v>537</v>
      </c>
      <c r="K3783" t="s">
        <v>303</v>
      </c>
      <c r="L3783">
        <v>85023</v>
      </c>
      <c r="M3783" t="s">
        <v>43</v>
      </c>
      <c r="N3783" t="s">
        <v>6397</v>
      </c>
      <c r="O3783" t="s">
        <v>45</v>
      </c>
      <c r="P3783" t="s">
        <v>77</v>
      </c>
      <c r="Q3783" t="s">
        <v>6398</v>
      </c>
      <c r="R3783">
        <v>325.63200000000001</v>
      </c>
      <c r="S3783">
        <v>6</v>
      </c>
      <c r="T3783">
        <v>0.2</v>
      </c>
      <c r="U3783">
        <v>28.492799999999999</v>
      </c>
      <c r="V3783" t="str">
        <f t="shared" si="59"/>
        <v>Eudokia Martin</v>
      </c>
      <c r="W3783">
        <f>Table2[Profit]/Table2[Sales]</f>
        <v>8.7499999999999994E-2</v>
      </c>
    </row>
    <row r="3784" spans="1:23" x14ac:dyDescent="0.25">
      <c r="A3784">
        <v>3783</v>
      </c>
      <c r="B3784" t="s">
        <v>9333</v>
      </c>
      <c r="C3784" s="1">
        <v>41728</v>
      </c>
      <c r="D3784" s="1">
        <v>41730</v>
      </c>
      <c r="E3784" t="s">
        <v>185</v>
      </c>
      <c r="F3784" t="s">
        <v>755</v>
      </c>
      <c r="G3784" t="s">
        <v>756</v>
      </c>
      <c r="H3784" t="s">
        <v>101</v>
      </c>
      <c r="I3784" t="s">
        <v>26</v>
      </c>
      <c r="J3784" t="s">
        <v>3100</v>
      </c>
      <c r="K3784" t="s">
        <v>103</v>
      </c>
      <c r="L3784">
        <v>78521</v>
      </c>
      <c r="M3784" t="s">
        <v>104</v>
      </c>
      <c r="N3784" t="s">
        <v>2126</v>
      </c>
      <c r="O3784" t="s">
        <v>45</v>
      </c>
      <c r="P3784" t="s">
        <v>170</v>
      </c>
      <c r="Q3784" t="s">
        <v>2127</v>
      </c>
      <c r="R3784">
        <v>335.72</v>
      </c>
      <c r="S3784">
        <v>5</v>
      </c>
      <c r="T3784">
        <v>0.2</v>
      </c>
      <c r="U3784">
        <v>113.30549999999999</v>
      </c>
      <c r="V3784" t="str">
        <f t="shared" si="59"/>
        <v>Mark Packer</v>
      </c>
      <c r="W3784">
        <f>Table2[Profit]/Table2[Sales]</f>
        <v>0.33749999999999997</v>
      </c>
    </row>
    <row r="3785" spans="1:23" x14ac:dyDescent="0.25">
      <c r="A3785">
        <v>3784</v>
      </c>
      <c r="B3785" t="s">
        <v>9334</v>
      </c>
      <c r="C3785" s="1">
        <v>43098</v>
      </c>
      <c r="D3785" s="1">
        <v>43101</v>
      </c>
      <c r="E3785" t="s">
        <v>22</v>
      </c>
      <c r="F3785" t="s">
        <v>2847</v>
      </c>
      <c r="G3785" t="s">
        <v>2848</v>
      </c>
      <c r="H3785" t="s">
        <v>25</v>
      </c>
      <c r="I3785" t="s">
        <v>26</v>
      </c>
      <c r="J3785" t="s">
        <v>1459</v>
      </c>
      <c r="K3785" t="s">
        <v>28</v>
      </c>
      <c r="L3785">
        <v>40214</v>
      </c>
      <c r="M3785" t="s">
        <v>29</v>
      </c>
      <c r="N3785" t="s">
        <v>1154</v>
      </c>
      <c r="O3785" t="s">
        <v>31</v>
      </c>
      <c r="P3785" t="s">
        <v>35</v>
      </c>
      <c r="Q3785" t="s">
        <v>1155</v>
      </c>
      <c r="R3785">
        <v>1207.8399999999999</v>
      </c>
      <c r="S3785">
        <v>8</v>
      </c>
      <c r="T3785">
        <v>0</v>
      </c>
      <c r="U3785">
        <v>314.03840000000002</v>
      </c>
      <c r="V3785" t="str">
        <f t="shared" si="59"/>
        <v>Katherine Hughes</v>
      </c>
      <c r="W3785">
        <f>Table2[Profit]/Table2[Sales]</f>
        <v>0.26000000000000006</v>
      </c>
    </row>
    <row r="3786" spans="1:23" x14ac:dyDescent="0.25">
      <c r="A3786">
        <v>3785</v>
      </c>
      <c r="B3786" t="s">
        <v>9335</v>
      </c>
      <c r="C3786" s="1">
        <v>42796</v>
      </c>
      <c r="D3786" s="1">
        <v>42802</v>
      </c>
      <c r="E3786" t="s">
        <v>49</v>
      </c>
      <c r="F3786" t="s">
        <v>5063</v>
      </c>
      <c r="G3786" t="s">
        <v>5064</v>
      </c>
      <c r="H3786" t="s">
        <v>40</v>
      </c>
      <c r="I3786" t="s">
        <v>26</v>
      </c>
      <c r="J3786" t="s">
        <v>600</v>
      </c>
      <c r="K3786" t="s">
        <v>242</v>
      </c>
      <c r="L3786">
        <v>19711</v>
      </c>
      <c r="M3786" t="s">
        <v>145</v>
      </c>
      <c r="N3786" t="s">
        <v>6229</v>
      </c>
      <c r="O3786" t="s">
        <v>45</v>
      </c>
      <c r="P3786" t="s">
        <v>67</v>
      </c>
      <c r="Q3786" t="s">
        <v>6230</v>
      </c>
      <c r="R3786">
        <v>59.52</v>
      </c>
      <c r="S3786">
        <v>3</v>
      </c>
      <c r="T3786">
        <v>0</v>
      </c>
      <c r="U3786">
        <v>15.475199999999999</v>
      </c>
      <c r="V3786" t="str">
        <f t="shared" si="59"/>
        <v>Dorothy Badders</v>
      </c>
      <c r="W3786">
        <f>Table2[Profit]/Table2[Sales]</f>
        <v>0.25999999999999995</v>
      </c>
    </row>
    <row r="3787" spans="1:23" x14ac:dyDescent="0.25">
      <c r="A3787">
        <v>3786</v>
      </c>
      <c r="B3787" t="s">
        <v>9336</v>
      </c>
      <c r="C3787" s="1">
        <v>42649</v>
      </c>
      <c r="D3787" s="1">
        <v>42650</v>
      </c>
      <c r="E3787" t="s">
        <v>185</v>
      </c>
      <c r="F3787" t="s">
        <v>6326</v>
      </c>
      <c r="G3787" t="s">
        <v>6327</v>
      </c>
      <c r="H3787" t="s">
        <v>101</v>
      </c>
      <c r="I3787" t="s">
        <v>26</v>
      </c>
      <c r="J3787" t="s">
        <v>3524</v>
      </c>
      <c r="K3787" t="s">
        <v>450</v>
      </c>
      <c r="L3787">
        <v>81001</v>
      </c>
      <c r="M3787" t="s">
        <v>43</v>
      </c>
      <c r="N3787" t="s">
        <v>9337</v>
      </c>
      <c r="O3787" t="s">
        <v>70</v>
      </c>
      <c r="P3787" t="s">
        <v>675</v>
      </c>
      <c r="Q3787" t="s">
        <v>9338</v>
      </c>
      <c r="R3787">
        <v>703.71</v>
      </c>
      <c r="S3787">
        <v>6</v>
      </c>
      <c r="T3787">
        <v>0.7</v>
      </c>
      <c r="U3787">
        <v>-938.28</v>
      </c>
      <c r="V3787" t="str">
        <f t="shared" si="59"/>
        <v>Laurel Beltran</v>
      </c>
      <c r="W3787">
        <f>Table2[Profit]/Table2[Sales]</f>
        <v>-1.3333333333333333</v>
      </c>
    </row>
    <row r="3788" spans="1:23" x14ac:dyDescent="0.25">
      <c r="A3788">
        <v>3787</v>
      </c>
      <c r="B3788" t="s">
        <v>9339</v>
      </c>
      <c r="C3788" s="1">
        <v>42099</v>
      </c>
      <c r="D3788" s="1">
        <v>42105</v>
      </c>
      <c r="E3788" t="s">
        <v>49</v>
      </c>
      <c r="F3788" t="s">
        <v>5882</v>
      </c>
      <c r="G3788" t="s">
        <v>5883</v>
      </c>
      <c r="H3788" t="s">
        <v>40</v>
      </c>
      <c r="I3788" t="s">
        <v>26</v>
      </c>
      <c r="J3788" t="s">
        <v>41</v>
      </c>
      <c r="K3788" t="s">
        <v>42</v>
      </c>
      <c r="L3788">
        <v>90036</v>
      </c>
      <c r="M3788" t="s">
        <v>43</v>
      </c>
      <c r="N3788" t="s">
        <v>3337</v>
      </c>
      <c r="O3788" t="s">
        <v>31</v>
      </c>
      <c r="P3788" t="s">
        <v>35</v>
      </c>
      <c r="Q3788" t="s">
        <v>3338</v>
      </c>
      <c r="R3788">
        <v>892.22400000000005</v>
      </c>
      <c r="S3788">
        <v>3</v>
      </c>
      <c r="T3788">
        <v>0.2</v>
      </c>
      <c r="U3788">
        <v>89.222399999999993</v>
      </c>
      <c r="V3788" t="str">
        <f t="shared" si="59"/>
        <v>Carol Adams</v>
      </c>
      <c r="W3788">
        <f>Table2[Profit]/Table2[Sales]</f>
        <v>9.9999999999999992E-2</v>
      </c>
    </row>
    <row r="3789" spans="1:23" x14ac:dyDescent="0.25">
      <c r="A3789">
        <v>3788</v>
      </c>
      <c r="B3789" t="s">
        <v>9340</v>
      </c>
      <c r="C3789" s="1">
        <v>41891</v>
      </c>
      <c r="D3789" s="1">
        <v>41895</v>
      </c>
      <c r="E3789" t="s">
        <v>49</v>
      </c>
      <c r="F3789" t="s">
        <v>2863</v>
      </c>
      <c r="G3789" t="s">
        <v>2864</v>
      </c>
      <c r="H3789" t="s">
        <v>25</v>
      </c>
      <c r="I3789" t="s">
        <v>26</v>
      </c>
      <c r="J3789" t="s">
        <v>3451</v>
      </c>
      <c r="K3789" t="s">
        <v>87</v>
      </c>
      <c r="L3789">
        <v>27834</v>
      </c>
      <c r="M3789" t="s">
        <v>29</v>
      </c>
      <c r="N3789" t="s">
        <v>8636</v>
      </c>
      <c r="O3789" t="s">
        <v>70</v>
      </c>
      <c r="P3789" t="s">
        <v>675</v>
      </c>
      <c r="Q3789" t="s">
        <v>8637</v>
      </c>
      <c r="R3789">
        <v>1299.99</v>
      </c>
      <c r="S3789">
        <v>2</v>
      </c>
      <c r="T3789">
        <v>0.5</v>
      </c>
      <c r="U3789">
        <v>-571.99559999999997</v>
      </c>
      <c r="V3789" t="str">
        <f t="shared" si="59"/>
        <v>Daniel Lacy</v>
      </c>
      <c r="W3789">
        <f>Table2[Profit]/Table2[Sales]</f>
        <v>-0.43999999999999995</v>
      </c>
    </row>
    <row r="3790" spans="1:23" x14ac:dyDescent="0.25">
      <c r="A3790">
        <v>3789</v>
      </c>
      <c r="B3790" t="s">
        <v>9341</v>
      </c>
      <c r="C3790" s="1">
        <v>42444</v>
      </c>
      <c r="D3790" s="1">
        <v>42445</v>
      </c>
      <c r="E3790" t="s">
        <v>185</v>
      </c>
      <c r="F3790" t="s">
        <v>6595</v>
      </c>
      <c r="G3790" t="s">
        <v>6596</v>
      </c>
      <c r="H3790" t="s">
        <v>40</v>
      </c>
      <c r="I3790" t="s">
        <v>26</v>
      </c>
      <c r="J3790" t="s">
        <v>126</v>
      </c>
      <c r="K3790" t="s">
        <v>42</v>
      </c>
      <c r="L3790">
        <v>94110</v>
      </c>
      <c r="M3790" t="s">
        <v>43</v>
      </c>
      <c r="N3790" t="s">
        <v>3070</v>
      </c>
      <c r="O3790" t="s">
        <v>45</v>
      </c>
      <c r="P3790" t="s">
        <v>74</v>
      </c>
      <c r="Q3790" t="s">
        <v>3071</v>
      </c>
      <c r="R3790">
        <v>4.5439999999999996</v>
      </c>
      <c r="S3790">
        <v>2</v>
      </c>
      <c r="T3790">
        <v>0.2</v>
      </c>
      <c r="U3790">
        <v>1.6472</v>
      </c>
      <c r="V3790" t="str">
        <f t="shared" si="59"/>
        <v>Fred Chung</v>
      </c>
      <c r="W3790">
        <f>Table2[Profit]/Table2[Sales]</f>
        <v>0.36250000000000004</v>
      </c>
    </row>
    <row r="3791" spans="1:23" x14ac:dyDescent="0.25">
      <c r="A3791">
        <v>3790</v>
      </c>
      <c r="B3791" t="s">
        <v>9342</v>
      </c>
      <c r="C3791" s="1">
        <v>42365</v>
      </c>
      <c r="D3791" s="1">
        <v>42369</v>
      </c>
      <c r="E3791" t="s">
        <v>49</v>
      </c>
      <c r="F3791" t="s">
        <v>903</v>
      </c>
      <c r="G3791" t="s">
        <v>904</v>
      </c>
      <c r="H3791" t="s">
        <v>40</v>
      </c>
      <c r="I3791" t="s">
        <v>26</v>
      </c>
      <c r="J3791" t="s">
        <v>5073</v>
      </c>
      <c r="K3791" t="s">
        <v>491</v>
      </c>
      <c r="L3791">
        <v>43302</v>
      </c>
      <c r="M3791" t="s">
        <v>145</v>
      </c>
      <c r="N3791" t="s">
        <v>2842</v>
      </c>
      <c r="O3791" t="s">
        <v>31</v>
      </c>
      <c r="P3791" t="s">
        <v>55</v>
      </c>
      <c r="Q3791" t="s">
        <v>2843</v>
      </c>
      <c r="R3791">
        <v>1548.99</v>
      </c>
      <c r="S3791">
        <v>9</v>
      </c>
      <c r="T3791">
        <v>0.4</v>
      </c>
      <c r="U3791">
        <v>-464.697</v>
      </c>
      <c r="V3791" t="str">
        <f t="shared" si="59"/>
        <v>David Bremer</v>
      </c>
      <c r="W3791">
        <f>Table2[Profit]/Table2[Sales]</f>
        <v>-0.3</v>
      </c>
    </row>
    <row r="3792" spans="1:23" x14ac:dyDescent="0.25">
      <c r="A3792">
        <v>3791</v>
      </c>
      <c r="B3792" t="s">
        <v>9343</v>
      </c>
      <c r="C3792" s="1">
        <v>42954</v>
      </c>
      <c r="D3792" s="1">
        <v>42955</v>
      </c>
      <c r="E3792" t="s">
        <v>185</v>
      </c>
      <c r="F3792" t="s">
        <v>1974</v>
      </c>
      <c r="G3792" t="s">
        <v>1975</v>
      </c>
      <c r="H3792" t="s">
        <v>25</v>
      </c>
      <c r="I3792" t="s">
        <v>26</v>
      </c>
      <c r="J3792" t="s">
        <v>808</v>
      </c>
      <c r="K3792" t="s">
        <v>103</v>
      </c>
      <c r="L3792">
        <v>75081</v>
      </c>
      <c r="M3792" t="s">
        <v>104</v>
      </c>
      <c r="N3792" t="s">
        <v>451</v>
      </c>
      <c r="O3792" t="s">
        <v>70</v>
      </c>
      <c r="P3792" t="s">
        <v>158</v>
      </c>
      <c r="Q3792" t="s">
        <v>452</v>
      </c>
      <c r="R3792">
        <v>119.44799999999999</v>
      </c>
      <c r="S3792">
        <v>3</v>
      </c>
      <c r="T3792">
        <v>0.2</v>
      </c>
      <c r="U3792">
        <v>-13.437900000000001</v>
      </c>
      <c r="V3792" t="str">
        <f t="shared" si="59"/>
        <v>Chloris Kastensmidt</v>
      </c>
      <c r="W3792">
        <f>Table2[Profit]/Table2[Sales]</f>
        <v>-0.11250000000000002</v>
      </c>
    </row>
    <row r="3793" spans="1:23" x14ac:dyDescent="0.25">
      <c r="A3793">
        <v>3792</v>
      </c>
      <c r="B3793" t="s">
        <v>9344</v>
      </c>
      <c r="C3793" s="1">
        <v>42085</v>
      </c>
      <c r="D3793" s="1">
        <v>42090</v>
      </c>
      <c r="E3793" t="s">
        <v>49</v>
      </c>
      <c r="F3793" t="s">
        <v>9345</v>
      </c>
      <c r="G3793" t="s">
        <v>9346</v>
      </c>
      <c r="H3793" t="s">
        <v>40</v>
      </c>
      <c r="I3793" t="s">
        <v>26</v>
      </c>
      <c r="J3793" t="s">
        <v>1657</v>
      </c>
      <c r="K3793" t="s">
        <v>351</v>
      </c>
      <c r="L3793">
        <v>35810</v>
      </c>
      <c r="M3793" t="s">
        <v>29</v>
      </c>
      <c r="N3793" t="s">
        <v>7322</v>
      </c>
      <c r="O3793" t="s">
        <v>45</v>
      </c>
      <c r="P3793" t="s">
        <v>67</v>
      </c>
      <c r="Q3793" t="s">
        <v>7323</v>
      </c>
      <c r="R3793">
        <v>19.559999999999999</v>
      </c>
      <c r="S3793">
        <v>4</v>
      </c>
      <c r="T3793">
        <v>0</v>
      </c>
      <c r="U3793">
        <v>5.4767999999999999</v>
      </c>
      <c r="V3793" t="str">
        <f t="shared" si="59"/>
        <v>Fred Wasserman</v>
      </c>
      <c r="W3793">
        <f>Table2[Profit]/Table2[Sales]</f>
        <v>0.28000000000000003</v>
      </c>
    </row>
    <row r="3794" spans="1:23" x14ac:dyDescent="0.25">
      <c r="A3794">
        <v>3793</v>
      </c>
      <c r="B3794" t="s">
        <v>9347</v>
      </c>
      <c r="C3794" s="1">
        <v>42338</v>
      </c>
      <c r="D3794" s="1">
        <v>42340</v>
      </c>
      <c r="E3794" t="s">
        <v>22</v>
      </c>
      <c r="F3794" t="s">
        <v>5454</v>
      </c>
      <c r="G3794" t="s">
        <v>5455</v>
      </c>
      <c r="H3794" t="s">
        <v>25</v>
      </c>
      <c r="I3794" t="s">
        <v>26</v>
      </c>
      <c r="J3794" t="s">
        <v>1380</v>
      </c>
      <c r="K3794" t="s">
        <v>1381</v>
      </c>
      <c r="L3794">
        <v>89115</v>
      </c>
      <c r="M3794" t="s">
        <v>43</v>
      </c>
      <c r="N3794" t="s">
        <v>7603</v>
      </c>
      <c r="O3794" t="s">
        <v>31</v>
      </c>
      <c r="P3794" t="s">
        <v>64</v>
      </c>
      <c r="Q3794" t="s">
        <v>7604</v>
      </c>
      <c r="R3794">
        <v>80.959999999999994</v>
      </c>
      <c r="S3794">
        <v>4</v>
      </c>
      <c r="T3794">
        <v>0</v>
      </c>
      <c r="U3794">
        <v>29.145600000000002</v>
      </c>
      <c r="V3794" t="str">
        <f t="shared" si="59"/>
        <v>John Murray</v>
      </c>
      <c r="W3794">
        <f>Table2[Profit]/Table2[Sales]</f>
        <v>0.36000000000000004</v>
      </c>
    </row>
    <row r="3795" spans="1:23" x14ac:dyDescent="0.25">
      <c r="A3795">
        <v>3794</v>
      </c>
      <c r="B3795" t="s">
        <v>9348</v>
      </c>
      <c r="C3795" s="1">
        <v>41744</v>
      </c>
      <c r="D3795" s="1">
        <v>41744</v>
      </c>
      <c r="E3795" t="s">
        <v>1278</v>
      </c>
      <c r="F3795" t="s">
        <v>294</v>
      </c>
      <c r="G3795" t="s">
        <v>295</v>
      </c>
      <c r="H3795" t="s">
        <v>101</v>
      </c>
      <c r="I3795" t="s">
        <v>26</v>
      </c>
      <c r="J3795" t="s">
        <v>41</v>
      </c>
      <c r="K3795" t="s">
        <v>42</v>
      </c>
      <c r="L3795">
        <v>90049</v>
      </c>
      <c r="M3795" t="s">
        <v>43</v>
      </c>
      <c r="N3795" t="s">
        <v>2506</v>
      </c>
      <c r="O3795" t="s">
        <v>45</v>
      </c>
      <c r="P3795" t="s">
        <v>77</v>
      </c>
      <c r="Q3795" t="s">
        <v>2507</v>
      </c>
      <c r="R3795">
        <v>106.96</v>
      </c>
      <c r="S3795">
        <v>2</v>
      </c>
      <c r="T3795">
        <v>0</v>
      </c>
      <c r="U3795">
        <v>31.0184</v>
      </c>
      <c r="V3795" t="str">
        <f t="shared" si="59"/>
        <v>Paul Stevenson</v>
      </c>
      <c r="W3795">
        <f>Table2[Profit]/Table2[Sales]</f>
        <v>0.29000000000000004</v>
      </c>
    </row>
    <row r="3796" spans="1:23" x14ac:dyDescent="0.25">
      <c r="A3796">
        <v>3795</v>
      </c>
      <c r="B3796" t="s">
        <v>9349</v>
      </c>
      <c r="C3796" s="1">
        <v>42946</v>
      </c>
      <c r="D3796" s="1">
        <v>42949</v>
      </c>
      <c r="E3796" t="s">
        <v>185</v>
      </c>
      <c r="F3796" t="s">
        <v>6115</v>
      </c>
      <c r="G3796" t="s">
        <v>6116</v>
      </c>
      <c r="H3796" t="s">
        <v>101</v>
      </c>
      <c r="I3796" t="s">
        <v>26</v>
      </c>
      <c r="J3796" t="s">
        <v>1111</v>
      </c>
      <c r="K3796" t="s">
        <v>491</v>
      </c>
      <c r="L3796">
        <v>44107</v>
      </c>
      <c r="M3796" t="s">
        <v>145</v>
      </c>
      <c r="N3796" t="s">
        <v>2561</v>
      </c>
      <c r="O3796" t="s">
        <v>45</v>
      </c>
      <c r="P3796" t="s">
        <v>74</v>
      </c>
      <c r="Q3796" t="s">
        <v>2562</v>
      </c>
      <c r="R3796">
        <v>76.775999999999996</v>
      </c>
      <c r="S3796">
        <v>4</v>
      </c>
      <c r="T3796">
        <v>0.7</v>
      </c>
      <c r="U3796">
        <v>-53.743200000000002</v>
      </c>
      <c r="V3796" t="str">
        <f t="shared" si="59"/>
        <v>Tony Chapman</v>
      </c>
      <c r="W3796">
        <f>Table2[Profit]/Table2[Sales]</f>
        <v>-0.70000000000000007</v>
      </c>
    </row>
    <row r="3797" spans="1:23" x14ac:dyDescent="0.25">
      <c r="A3797">
        <v>3796</v>
      </c>
      <c r="B3797" t="s">
        <v>9350</v>
      </c>
      <c r="C3797" s="1">
        <v>42887</v>
      </c>
      <c r="D3797" s="1">
        <v>42891</v>
      </c>
      <c r="E3797" t="s">
        <v>49</v>
      </c>
      <c r="F3797" t="s">
        <v>474</v>
      </c>
      <c r="G3797" t="s">
        <v>475</v>
      </c>
      <c r="H3797" t="s">
        <v>40</v>
      </c>
      <c r="I3797" t="s">
        <v>26</v>
      </c>
      <c r="J3797" t="s">
        <v>134</v>
      </c>
      <c r="K3797" t="s">
        <v>135</v>
      </c>
      <c r="L3797">
        <v>68025</v>
      </c>
      <c r="M3797" t="s">
        <v>104</v>
      </c>
      <c r="N3797" t="s">
        <v>3188</v>
      </c>
      <c r="O3797" t="s">
        <v>45</v>
      </c>
      <c r="P3797" t="s">
        <v>74</v>
      </c>
      <c r="Q3797" t="s">
        <v>3189</v>
      </c>
      <c r="R3797">
        <v>53.9</v>
      </c>
      <c r="S3797">
        <v>5</v>
      </c>
      <c r="T3797">
        <v>0</v>
      </c>
      <c r="U3797">
        <v>25.872</v>
      </c>
      <c r="V3797" t="str">
        <f t="shared" si="59"/>
        <v>Cynthia Voltz</v>
      </c>
      <c r="W3797">
        <f>Table2[Profit]/Table2[Sales]</f>
        <v>0.48000000000000004</v>
      </c>
    </row>
    <row r="3798" spans="1:23" x14ac:dyDescent="0.25">
      <c r="A3798">
        <v>3797</v>
      </c>
      <c r="B3798" t="s">
        <v>9351</v>
      </c>
      <c r="C3798" s="1">
        <v>41646</v>
      </c>
      <c r="D3798" s="1">
        <v>41651</v>
      </c>
      <c r="E3798" t="s">
        <v>49</v>
      </c>
      <c r="F3798" t="s">
        <v>7370</v>
      </c>
      <c r="G3798" t="s">
        <v>7371</v>
      </c>
      <c r="H3798" t="s">
        <v>25</v>
      </c>
      <c r="I3798" t="s">
        <v>26</v>
      </c>
      <c r="J3798" t="s">
        <v>1657</v>
      </c>
      <c r="K3798" t="s">
        <v>103</v>
      </c>
      <c r="L3798">
        <v>77340</v>
      </c>
      <c r="M3798" t="s">
        <v>104</v>
      </c>
      <c r="N3798" t="s">
        <v>1690</v>
      </c>
      <c r="O3798" t="s">
        <v>31</v>
      </c>
      <c r="P3798" t="s">
        <v>64</v>
      </c>
      <c r="Q3798" t="s">
        <v>1691</v>
      </c>
      <c r="R3798">
        <v>76.727999999999994</v>
      </c>
      <c r="S3798">
        <v>3</v>
      </c>
      <c r="T3798">
        <v>0.6</v>
      </c>
      <c r="U3798">
        <v>-53.709600000000002</v>
      </c>
      <c r="V3798" t="str">
        <f t="shared" si="59"/>
        <v>Vivek Sundaresam</v>
      </c>
      <c r="W3798">
        <f>Table2[Profit]/Table2[Sales]</f>
        <v>-0.70000000000000007</v>
      </c>
    </row>
    <row r="3799" spans="1:23" x14ac:dyDescent="0.25">
      <c r="A3799">
        <v>3798</v>
      </c>
      <c r="B3799" t="s">
        <v>9352</v>
      </c>
      <c r="C3799" s="1">
        <v>43007</v>
      </c>
      <c r="D3799" s="1">
        <v>43009</v>
      </c>
      <c r="E3799" t="s">
        <v>185</v>
      </c>
      <c r="F3799" t="s">
        <v>5459</v>
      </c>
      <c r="G3799" t="s">
        <v>5460</v>
      </c>
      <c r="H3799" t="s">
        <v>25</v>
      </c>
      <c r="I3799" t="s">
        <v>26</v>
      </c>
      <c r="J3799" t="s">
        <v>41</v>
      </c>
      <c r="K3799" t="s">
        <v>42</v>
      </c>
      <c r="L3799">
        <v>90036</v>
      </c>
      <c r="M3799" t="s">
        <v>43</v>
      </c>
      <c r="N3799" t="s">
        <v>4573</v>
      </c>
      <c r="O3799" t="s">
        <v>45</v>
      </c>
      <c r="P3799" t="s">
        <v>67</v>
      </c>
      <c r="Q3799" t="s">
        <v>4574</v>
      </c>
      <c r="R3799">
        <v>99.2</v>
      </c>
      <c r="S3799">
        <v>5</v>
      </c>
      <c r="T3799">
        <v>0</v>
      </c>
      <c r="U3799">
        <v>25.792000000000002</v>
      </c>
      <c r="V3799" t="str">
        <f t="shared" si="59"/>
        <v>Sonia Cooley</v>
      </c>
      <c r="W3799">
        <f>Table2[Profit]/Table2[Sales]</f>
        <v>0.26</v>
      </c>
    </row>
    <row r="3800" spans="1:23" x14ac:dyDescent="0.25">
      <c r="A3800">
        <v>3799</v>
      </c>
      <c r="B3800" t="s">
        <v>9353</v>
      </c>
      <c r="C3800" s="1">
        <v>42991</v>
      </c>
      <c r="D3800" s="1">
        <v>42997</v>
      </c>
      <c r="E3800" t="s">
        <v>49</v>
      </c>
      <c r="F3800" t="s">
        <v>5319</v>
      </c>
      <c r="G3800" t="s">
        <v>5320</v>
      </c>
      <c r="H3800" t="s">
        <v>25</v>
      </c>
      <c r="I3800" t="s">
        <v>26</v>
      </c>
      <c r="J3800" t="s">
        <v>2455</v>
      </c>
      <c r="K3800" t="s">
        <v>87</v>
      </c>
      <c r="L3800">
        <v>28806</v>
      </c>
      <c r="M3800" t="s">
        <v>29</v>
      </c>
      <c r="N3800" t="s">
        <v>2707</v>
      </c>
      <c r="O3800" t="s">
        <v>45</v>
      </c>
      <c r="P3800" t="s">
        <v>67</v>
      </c>
      <c r="Q3800" t="s">
        <v>2708</v>
      </c>
      <c r="R3800">
        <v>15.92</v>
      </c>
      <c r="S3800">
        <v>5</v>
      </c>
      <c r="T3800">
        <v>0.2</v>
      </c>
      <c r="U3800">
        <v>2.786</v>
      </c>
      <c r="V3800" t="str">
        <f t="shared" si="59"/>
        <v>Speros Goranitis</v>
      </c>
      <c r="W3800">
        <f>Table2[Profit]/Table2[Sales]</f>
        <v>0.17500000000000002</v>
      </c>
    </row>
    <row r="3801" spans="1:23" x14ac:dyDescent="0.25">
      <c r="A3801">
        <v>3800</v>
      </c>
      <c r="B3801" t="s">
        <v>9354</v>
      </c>
      <c r="C3801" s="1">
        <v>41934</v>
      </c>
      <c r="D3801" s="1">
        <v>41938</v>
      </c>
      <c r="E3801" t="s">
        <v>49</v>
      </c>
      <c r="F3801" t="s">
        <v>5519</v>
      </c>
      <c r="G3801" t="s">
        <v>5520</v>
      </c>
      <c r="H3801" t="s">
        <v>40</v>
      </c>
      <c r="I3801" t="s">
        <v>26</v>
      </c>
      <c r="J3801" t="s">
        <v>2390</v>
      </c>
      <c r="K3801" t="s">
        <v>729</v>
      </c>
      <c r="L3801">
        <v>71111</v>
      </c>
      <c r="M3801" t="s">
        <v>29</v>
      </c>
      <c r="N3801" t="s">
        <v>6393</v>
      </c>
      <c r="O3801" t="s">
        <v>31</v>
      </c>
      <c r="P3801" t="s">
        <v>64</v>
      </c>
      <c r="Q3801" t="s">
        <v>6394</v>
      </c>
      <c r="R3801">
        <v>129.91999999999999</v>
      </c>
      <c r="S3801">
        <v>4</v>
      </c>
      <c r="T3801">
        <v>0</v>
      </c>
      <c r="U3801">
        <v>10.393599999999999</v>
      </c>
      <c r="V3801" t="str">
        <f t="shared" si="59"/>
        <v>Nicole Brennan</v>
      </c>
      <c r="W3801">
        <f>Table2[Profit]/Table2[Sales]</f>
        <v>0.08</v>
      </c>
    </row>
    <row r="3802" spans="1:23" x14ac:dyDescent="0.25">
      <c r="A3802">
        <v>3801</v>
      </c>
      <c r="B3802" t="s">
        <v>9355</v>
      </c>
      <c r="C3802" s="1">
        <v>42647</v>
      </c>
      <c r="D3802" s="1">
        <v>42651</v>
      </c>
      <c r="E3802" t="s">
        <v>49</v>
      </c>
      <c r="F3802" t="s">
        <v>5865</v>
      </c>
      <c r="G3802" t="s">
        <v>5866</v>
      </c>
      <c r="H3802" t="s">
        <v>101</v>
      </c>
      <c r="I3802" t="s">
        <v>26</v>
      </c>
      <c r="J3802" t="s">
        <v>3508</v>
      </c>
      <c r="K3802" t="s">
        <v>1388</v>
      </c>
      <c r="L3802">
        <v>2908</v>
      </c>
      <c r="M3802" t="s">
        <v>145</v>
      </c>
      <c r="N3802" t="s">
        <v>3835</v>
      </c>
      <c r="O3802" t="s">
        <v>45</v>
      </c>
      <c r="P3802" t="s">
        <v>74</v>
      </c>
      <c r="Q3802" t="s">
        <v>3836</v>
      </c>
      <c r="R3802">
        <v>30.4</v>
      </c>
      <c r="S3802">
        <v>1</v>
      </c>
      <c r="T3802">
        <v>0</v>
      </c>
      <c r="U3802">
        <v>13.984</v>
      </c>
      <c r="V3802" t="str">
        <f t="shared" si="59"/>
        <v>Daniel Raglin</v>
      </c>
      <c r="W3802">
        <f>Table2[Profit]/Table2[Sales]</f>
        <v>0.46</v>
      </c>
    </row>
    <row r="3803" spans="1:23" x14ac:dyDescent="0.25">
      <c r="A3803">
        <v>3802</v>
      </c>
      <c r="B3803" t="s">
        <v>9356</v>
      </c>
      <c r="C3803" s="1">
        <v>42335</v>
      </c>
      <c r="D3803" s="1">
        <v>42337</v>
      </c>
      <c r="E3803" t="s">
        <v>22</v>
      </c>
      <c r="F3803" t="s">
        <v>179</v>
      </c>
      <c r="G3803" t="s">
        <v>180</v>
      </c>
      <c r="H3803" t="s">
        <v>101</v>
      </c>
      <c r="I3803" t="s">
        <v>26</v>
      </c>
      <c r="J3803" t="s">
        <v>4010</v>
      </c>
      <c r="K3803" t="s">
        <v>1233</v>
      </c>
      <c r="L3803">
        <v>2149</v>
      </c>
      <c r="M3803" t="s">
        <v>145</v>
      </c>
      <c r="N3803" t="s">
        <v>2215</v>
      </c>
      <c r="O3803" t="s">
        <v>45</v>
      </c>
      <c r="P3803" t="s">
        <v>89</v>
      </c>
      <c r="Q3803" t="s">
        <v>2216</v>
      </c>
      <c r="R3803">
        <v>40.08</v>
      </c>
      <c r="S3803">
        <v>6</v>
      </c>
      <c r="T3803">
        <v>0</v>
      </c>
      <c r="U3803">
        <v>19.238399999999999</v>
      </c>
      <c r="V3803" t="str">
        <f t="shared" si="59"/>
        <v>Matt Abelman</v>
      </c>
      <c r="W3803">
        <f>Table2[Profit]/Table2[Sales]</f>
        <v>0.48</v>
      </c>
    </row>
    <row r="3804" spans="1:23" x14ac:dyDescent="0.25">
      <c r="A3804">
        <v>3803</v>
      </c>
      <c r="B3804" t="s">
        <v>9359</v>
      </c>
      <c r="C3804" s="1">
        <v>42861</v>
      </c>
      <c r="D3804" s="1">
        <v>42864</v>
      </c>
      <c r="E3804" t="s">
        <v>22</v>
      </c>
      <c r="F3804" t="s">
        <v>8440</v>
      </c>
      <c r="G3804" t="s">
        <v>8441</v>
      </c>
      <c r="H3804" t="s">
        <v>25</v>
      </c>
      <c r="I3804" t="s">
        <v>26</v>
      </c>
      <c r="J3804" t="s">
        <v>4878</v>
      </c>
      <c r="K3804" t="s">
        <v>42</v>
      </c>
      <c r="L3804">
        <v>91730</v>
      </c>
      <c r="M3804" t="s">
        <v>43</v>
      </c>
      <c r="N3804" t="s">
        <v>1813</v>
      </c>
      <c r="O3804" t="s">
        <v>45</v>
      </c>
      <c r="P3804" t="s">
        <v>77</v>
      </c>
      <c r="Q3804" t="s">
        <v>1814</v>
      </c>
      <c r="R3804">
        <v>152.94</v>
      </c>
      <c r="S3804">
        <v>3</v>
      </c>
      <c r="T3804">
        <v>0</v>
      </c>
      <c r="U3804">
        <v>41.293799999999997</v>
      </c>
      <c r="V3804" t="str">
        <f t="shared" si="59"/>
        <v>Trudy Schmidt</v>
      </c>
      <c r="W3804">
        <f>Table2[Profit]/Table2[Sales]</f>
        <v>0.26999999999999996</v>
      </c>
    </row>
    <row r="3805" spans="1:23" x14ac:dyDescent="0.25">
      <c r="A3805">
        <v>3804</v>
      </c>
      <c r="B3805" t="s">
        <v>9360</v>
      </c>
      <c r="C3805" s="1">
        <v>41920</v>
      </c>
      <c r="D3805" s="1">
        <v>41920</v>
      </c>
      <c r="E3805" t="s">
        <v>1278</v>
      </c>
      <c r="F3805" t="s">
        <v>1364</v>
      </c>
      <c r="G3805" t="s">
        <v>1365</v>
      </c>
      <c r="H3805" t="s">
        <v>25</v>
      </c>
      <c r="I3805" t="s">
        <v>26</v>
      </c>
      <c r="J3805" t="s">
        <v>460</v>
      </c>
      <c r="K3805" t="s">
        <v>87</v>
      </c>
      <c r="L3805">
        <v>28205</v>
      </c>
      <c r="M3805" t="s">
        <v>29</v>
      </c>
      <c r="N3805" t="s">
        <v>6879</v>
      </c>
      <c r="O3805" t="s">
        <v>70</v>
      </c>
      <c r="P3805" t="s">
        <v>158</v>
      </c>
      <c r="Q3805" t="s">
        <v>6880</v>
      </c>
      <c r="R3805">
        <v>23.472000000000001</v>
      </c>
      <c r="S3805">
        <v>3</v>
      </c>
      <c r="T3805">
        <v>0.2</v>
      </c>
      <c r="U3805">
        <v>4.9878</v>
      </c>
      <c r="V3805" t="str">
        <f t="shared" si="59"/>
        <v>Jack Garza</v>
      </c>
      <c r="W3805">
        <f>Table2[Profit]/Table2[Sales]</f>
        <v>0.21249999999999999</v>
      </c>
    </row>
    <row r="3806" spans="1:23" x14ac:dyDescent="0.25">
      <c r="A3806">
        <v>3805</v>
      </c>
      <c r="B3806" t="s">
        <v>9361</v>
      </c>
      <c r="C3806" s="1">
        <v>42004</v>
      </c>
      <c r="D3806" s="1">
        <v>42011</v>
      </c>
      <c r="E3806" t="s">
        <v>49</v>
      </c>
      <c r="F3806" t="s">
        <v>3738</v>
      </c>
      <c r="G3806" t="s">
        <v>3739</v>
      </c>
      <c r="H3806" t="s">
        <v>101</v>
      </c>
      <c r="I3806" t="s">
        <v>26</v>
      </c>
      <c r="J3806" t="s">
        <v>3508</v>
      </c>
      <c r="K3806" t="s">
        <v>1388</v>
      </c>
      <c r="L3806">
        <v>2908</v>
      </c>
      <c r="M3806" t="s">
        <v>145</v>
      </c>
      <c r="N3806" t="s">
        <v>7491</v>
      </c>
      <c r="O3806" t="s">
        <v>45</v>
      </c>
      <c r="P3806" t="s">
        <v>89</v>
      </c>
      <c r="Q3806" t="s">
        <v>7492</v>
      </c>
      <c r="R3806">
        <v>195.64</v>
      </c>
      <c r="S3806">
        <v>4</v>
      </c>
      <c r="T3806">
        <v>0</v>
      </c>
      <c r="U3806">
        <v>91.950800000000001</v>
      </c>
      <c r="V3806" t="str">
        <f t="shared" si="59"/>
        <v>Katherine Murray</v>
      </c>
      <c r="W3806">
        <f>Table2[Profit]/Table2[Sales]</f>
        <v>0.47000000000000003</v>
      </c>
    </row>
    <row r="3807" spans="1:23" x14ac:dyDescent="0.25">
      <c r="A3807">
        <v>3806</v>
      </c>
      <c r="B3807" t="s">
        <v>9362</v>
      </c>
      <c r="C3807" s="1">
        <v>42122</v>
      </c>
      <c r="D3807" s="1">
        <v>42125</v>
      </c>
      <c r="E3807" t="s">
        <v>185</v>
      </c>
      <c r="F3807" t="s">
        <v>1483</v>
      </c>
      <c r="G3807" t="s">
        <v>1484</v>
      </c>
      <c r="H3807" t="s">
        <v>101</v>
      </c>
      <c r="I3807" t="s">
        <v>26</v>
      </c>
      <c r="J3807" t="s">
        <v>5201</v>
      </c>
      <c r="K3807" t="s">
        <v>235</v>
      </c>
      <c r="L3807">
        <v>48640</v>
      </c>
      <c r="M3807" t="s">
        <v>104</v>
      </c>
      <c r="N3807" t="s">
        <v>6064</v>
      </c>
      <c r="O3807" t="s">
        <v>45</v>
      </c>
      <c r="P3807" t="s">
        <v>77</v>
      </c>
      <c r="Q3807" t="s">
        <v>6065</v>
      </c>
      <c r="R3807">
        <v>186.732</v>
      </c>
      <c r="S3807">
        <v>1</v>
      </c>
      <c r="T3807">
        <v>0.1</v>
      </c>
      <c r="U3807">
        <v>41.496000000000002</v>
      </c>
      <c r="V3807" t="str">
        <f t="shared" si="59"/>
        <v>Shirley Daniels</v>
      </c>
      <c r="W3807">
        <f>Table2[Profit]/Table2[Sales]</f>
        <v>0.22222222222222224</v>
      </c>
    </row>
    <row r="3808" spans="1:23" x14ac:dyDescent="0.25">
      <c r="A3808">
        <v>3807</v>
      </c>
      <c r="B3808" t="s">
        <v>9363</v>
      </c>
      <c r="C3808" s="1">
        <v>42049</v>
      </c>
      <c r="D3808" s="1">
        <v>42056</v>
      </c>
      <c r="E3808" t="s">
        <v>49</v>
      </c>
      <c r="F3808" t="s">
        <v>647</v>
      </c>
      <c r="G3808" t="s">
        <v>648</v>
      </c>
      <c r="H3808" t="s">
        <v>25</v>
      </c>
      <c r="I3808" t="s">
        <v>26</v>
      </c>
      <c r="J3808" t="s">
        <v>382</v>
      </c>
      <c r="K3808" t="s">
        <v>264</v>
      </c>
      <c r="L3808">
        <v>14609</v>
      </c>
      <c r="M3808" t="s">
        <v>145</v>
      </c>
      <c r="N3808" t="s">
        <v>9029</v>
      </c>
      <c r="O3808" t="s">
        <v>45</v>
      </c>
      <c r="P3808" t="s">
        <v>74</v>
      </c>
      <c r="Q3808" t="s">
        <v>9030</v>
      </c>
      <c r="R3808">
        <v>26.423999999999999</v>
      </c>
      <c r="S3808">
        <v>9</v>
      </c>
      <c r="T3808">
        <v>0.2</v>
      </c>
      <c r="U3808">
        <v>9.5786999999999995</v>
      </c>
      <c r="V3808" t="str">
        <f t="shared" si="59"/>
        <v>Ted Trevino</v>
      </c>
      <c r="W3808">
        <f>Table2[Profit]/Table2[Sales]</f>
        <v>0.36249999999999999</v>
      </c>
    </row>
    <row r="3809" spans="1:23" x14ac:dyDescent="0.25">
      <c r="A3809">
        <v>3808</v>
      </c>
      <c r="B3809" t="s">
        <v>9364</v>
      </c>
      <c r="C3809" s="1">
        <v>42699</v>
      </c>
      <c r="D3809" s="1">
        <v>42703</v>
      </c>
      <c r="E3809" t="s">
        <v>49</v>
      </c>
      <c r="F3809" t="s">
        <v>1516</v>
      </c>
      <c r="G3809" t="s">
        <v>1517</v>
      </c>
      <c r="H3809" t="s">
        <v>40</v>
      </c>
      <c r="I3809" t="s">
        <v>26</v>
      </c>
      <c r="J3809" t="s">
        <v>321</v>
      </c>
      <c r="K3809" t="s">
        <v>235</v>
      </c>
      <c r="L3809">
        <v>49201</v>
      </c>
      <c r="M3809" t="s">
        <v>104</v>
      </c>
      <c r="N3809" t="s">
        <v>2368</v>
      </c>
      <c r="O3809" t="s">
        <v>31</v>
      </c>
      <c r="P3809" t="s">
        <v>55</v>
      </c>
      <c r="Q3809" t="s">
        <v>2369</v>
      </c>
      <c r="R3809">
        <v>1568.61</v>
      </c>
      <c r="S3809">
        <v>9</v>
      </c>
      <c r="T3809">
        <v>0</v>
      </c>
      <c r="U3809">
        <v>329.40809999999999</v>
      </c>
      <c r="V3809" t="str">
        <f t="shared" si="59"/>
        <v>Brenda Bowman</v>
      </c>
      <c r="W3809">
        <f>Table2[Profit]/Table2[Sales]</f>
        <v>0.21000000000000002</v>
      </c>
    </row>
    <row r="3810" spans="1:23" x14ac:dyDescent="0.25">
      <c r="A3810">
        <v>3809</v>
      </c>
      <c r="B3810" t="s">
        <v>9367</v>
      </c>
      <c r="C3810" s="1">
        <v>42931</v>
      </c>
      <c r="D3810" s="1">
        <v>42933</v>
      </c>
      <c r="E3810" t="s">
        <v>185</v>
      </c>
      <c r="F3810" t="s">
        <v>5190</v>
      </c>
      <c r="G3810" t="s">
        <v>5191</v>
      </c>
      <c r="H3810" t="s">
        <v>40</v>
      </c>
      <c r="I3810" t="s">
        <v>26</v>
      </c>
      <c r="J3810" t="s">
        <v>4264</v>
      </c>
      <c r="K3810" t="s">
        <v>312</v>
      </c>
      <c r="L3810">
        <v>23434</v>
      </c>
      <c r="M3810" t="s">
        <v>29</v>
      </c>
      <c r="N3810" t="s">
        <v>3128</v>
      </c>
      <c r="O3810" t="s">
        <v>45</v>
      </c>
      <c r="P3810" t="s">
        <v>77</v>
      </c>
      <c r="Q3810" t="s">
        <v>3129</v>
      </c>
      <c r="R3810">
        <v>179.94</v>
      </c>
      <c r="S3810">
        <v>3</v>
      </c>
      <c r="T3810">
        <v>0</v>
      </c>
      <c r="U3810">
        <v>50.383200000000002</v>
      </c>
      <c r="V3810" t="str">
        <f t="shared" si="59"/>
        <v>Ricardo Sperren</v>
      </c>
      <c r="W3810">
        <f>Table2[Profit]/Table2[Sales]</f>
        <v>0.28000000000000003</v>
      </c>
    </row>
    <row r="3811" spans="1:23" x14ac:dyDescent="0.25">
      <c r="A3811">
        <v>3810</v>
      </c>
      <c r="B3811" t="s">
        <v>9368</v>
      </c>
      <c r="C3811" s="1">
        <v>42002</v>
      </c>
      <c r="D3811" s="1">
        <v>42007</v>
      </c>
      <c r="E3811" t="s">
        <v>49</v>
      </c>
      <c r="F3811" t="s">
        <v>3958</v>
      </c>
      <c r="G3811" t="s">
        <v>3959</v>
      </c>
      <c r="H3811" t="s">
        <v>25</v>
      </c>
      <c r="I3811" t="s">
        <v>26</v>
      </c>
      <c r="J3811" t="s">
        <v>983</v>
      </c>
      <c r="K3811" t="s">
        <v>42</v>
      </c>
      <c r="L3811">
        <v>94513</v>
      </c>
      <c r="M3811" t="s">
        <v>43</v>
      </c>
      <c r="N3811" t="s">
        <v>1643</v>
      </c>
      <c r="O3811" t="s">
        <v>45</v>
      </c>
      <c r="P3811" t="s">
        <v>46</v>
      </c>
      <c r="Q3811" t="s">
        <v>1644</v>
      </c>
      <c r="R3811">
        <v>88.8</v>
      </c>
      <c r="S3811">
        <v>6</v>
      </c>
      <c r="T3811">
        <v>0</v>
      </c>
      <c r="U3811">
        <v>44.4</v>
      </c>
      <c r="V3811" t="str">
        <f t="shared" si="59"/>
        <v>Arianne Irving</v>
      </c>
      <c r="W3811">
        <f>Table2[Profit]/Table2[Sales]</f>
        <v>0.5</v>
      </c>
    </row>
    <row r="3812" spans="1:23" x14ac:dyDescent="0.25">
      <c r="A3812">
        <v>3811</v>
      </c>
      <c r="B3812" t="s">
        <v>9369</v>
      </c>
      <c r="C3812" s="1">
        <v>42451</v>
      </c>
      <c r="D3812" s="1">
        <v>42451</v>
      </c>
      <c r="E3812" t="s">
        <v>1278</v>
      </c>
      <c r="F3812" t="s">
        <v>4180</v>
      </c>
      <c r="G3812" t="s">
        <v>4181</v>
      </c>
      <c r="H3812" t="s">
        <v>25</v>
      </c>
      <c r="I3812" t="s">
        <v>26</v>
      </c>
      <c r="J3812" t="s">
        <v>94</v>
      </c>
      <c r="K3812" t="s">
        <v>95</v>
      </c>
      <c r="L3812">
        <v>98103</v>
      </c>
      <c r="M3812" t="s">
        <v>43</v>
      </c>
      <c r="N3812" t="s">
        <v>4483</v>
      </c>
      <c r="O3812" t="s">
        <v>31</v>
      </c>
      <c r="P3812" t="s">
        <v>35</v>
      </c>
      <c r="Q3812" t="s">
        <v>4484</v>
      </c>
      <c r="R3812">
        <v>167.88800000000001</v>
      </c>
      <c r="S3812">
        <v>7</v>
      </c>
      <c r="T3812">
        <v>0.2</v>
      </c>
      <c r="U3812">
        <v>14.690200000000001</v>
      </c>
      <c r="V3812" t="str">
        <f t="shared" si="59"/>
        <v>Marc Crier</v>
      </c>
      <c r="W3812">
        <f>Table2[Profit]/Table2[Sales]</f>
        <v>8.7500000000000008E-2</v>
      </c>
    </row>
    <row r="3813" spans="1:23" x14ac:dyDescent="0.25">
      <c r="A3813">
        <v>3812</v>
      </c>
      <c r="B3813" t="s">
        <v>9370</v>
      </c>
      <c r="C3813" s="1">
        <v>42918</v>
      </c>
      <c r="D3813" s="1">
        <v>42921</v>
      </c>
      <c r="E3813" t="s">
        <v>185</v>
      </c>
      <c r="F3813" t="s">
        <v>4900</v>
      </c>
      <c r="G3813" t="s">
        <v>4901</v>
      </c>
      <c r="H3813" t="s">
        <v>101</v>
      </c>
      <c r="I3813" t="s">
        <v>26</v>
      </c>
      <c r="J3813" t="s">
        <v>181</v>
      </c>
      <c r="K3813" t="s">
        <v>103</v>
      </c>
      <c r="L3813">
        <v>77036</v>
      </c>
      <c r="M3813" t="s">
        <v>104</v>
      </c>
      <c r="N3813" t="s">
        <v>1706</v>
      </c>
      <c r="O3813" t="s">
        <v>45</v>
      </c>
      <c r="P3813" t="s">
        <v>89</v>
      </c>
      <c r="Q3813" t="s">
        <v>1707</v>
      </c>
      <c r="R3813">
        <v>163.96</v>
      </c>
      <c r="S3813">
        <v>5</v>
      </c>
      <c r="T3813">
        <v>0.2</v>
      </c>
      <c r="U3813">
        <v>59.435499999999998</v>
      </c>
      <c r="V3813" t="str">
        <f t="shared" si="59"/>
        <v>Adrian Hane</v>
      </c>
      <c r="W3813">
        <f>Table2[Profit]/Table2[Sales]</f>
        <v>0.36249999999999999</v>
      </c>
    </row>
    <row r="3814" spans="1:23" x14ac:dyDescent="0.25">
      <c r="A3814">
        <v>3813</v>
      </c>
      <c r="B3814" t="s">
        <v>9371</v>
      </c>
      <c r="C3814" s="1">
        <v>43083</v>
      </c>
      <c r="D3814" s="1">
        <v>43087</v>
      </c>
      <c r="E3814" t="s">
        <v>49</v>
      </c>
      <c r="F3814" t="s">
        <v>3369</v>
      </c>
      <c r="G3814" t="s">
        <v>3370</v>
      </c>
      <c r="H3814" t="s">
        <v>101</v>
      </c>
      <c r="I3814" t="s">
        <v>26</v>
      </c>
      <c r="J3814" t="s">
        <v>1465</v>
      </c>
      <c r="K3814" t="s">
        <v>1233</v>
      </c>
      <c r="L3814">
        <v>1841</v>
      </c>
      <c r="M3814" t="s">
        <v>145</v>
      </c>
      <c r="N3814" t="s">
        <v>1369</v>
      </c>
      <c r="O3814" t="s">
        <v>70</v>
      </c>
      <c r="P3814" t="s">
        <v>1204</v>
      </c>
      <c r="Q3814" t="s">
        <v>1370</v>
      </c>
      <c r="R3814">
        <v>1199.98</v>
      </c>
      <c r="S3814">
        <v>2</v>
      </c>
      <c r="T3814">
        <v>0</v>
      </c>
      <c r="U3814">
        <v>467.99220000000003</v>
      </c>
      <c r="V3814" t="str">
        <f t="shared" si="59"/>
        <v>Ben Ferrer</v>
      </c>
      <c r="W3814">
        <f>Table2[Profit]/Table2[Sales]</f>
        <v>0.39</v>
      </c>
    </row>
    <row r="3815" spans="1:23" x14ac:dyDescent="0.25">
      <c r="A3815">
        <v>3814</v>
      </c>
      <c r="B3815" t="s">
        <v>9372</v>
      </c>
      <c r="C3815" s="1">
        <v>42608</v>
      </c>
      <c r="D3815" s="1">
        <v>42615</v>
      </c>
      <c r="E3815" t="s">
        <v>49</v>
      </c>
      <c r="F3815" t="s">
        <v>84</v>
      </c>
      <c r="G3815" t="s">
        <v>85</v>
      </c>
      <c r="H3815" t="s">
        <v>25</v>
      </c>
      <c r="I3815" t="s">
        <v>26</v>
      </c>
      <c r="J3815" t="s">
        <v>873</v>
      </c>
      <c r="K3815" t="s">
        <v>235</v>
      </c>
      <c r="L3815">
        <v>48234</v>
      </c>
      <c r="M3815" t="s">
        <v>104</v>
      </c>
      <c r="N3815" t="s">
        <v>3160</v>
      </c>
      <c r="O3815" t="s">
        <v>45</v>
      </c>
      <c r="P3815" t="s">
        <v>89</v>
      </c>
      <c r="Q3815" t="s">
        <v>3161</v>
      </c>
      <c r="R3815">
        <v>11.56</v>
      </c>
      <c r="S3815">
        <v>2</v>
      </c>
      <c r="T3815">
        <v>0</v>
      </c>
      <c r="U3815">
        <v>5.6643999999999997</v>
      </c>
      <c r="V3815" t="str">
        <f t="shared" si="59"/>
        <v>Andrew Allen</v>
      </c>
      <c r="W3815">
        <f>Table2[Profit]/Table2[Sales]</f>
        <v>0.48999999999999994</v>
      </c>
    </row>
    <row r="3816" spans="1:23" x14ac:dyDescent="0.25">
      <c r="A3816">
        <v>3815</v>
      </c>
      <c r="B3816" t="s">
        <v>9373</v>
      </c>
      <c r="C3816" s="1">
        <v>43023</v>
      </c>
      <c r="D3816" s="1">
        <v>43027</v>
      </c>
      <c r="E3816" t="s">
        <v>49</v>
      </c>
      <c r="F3816" t="s">
        <v>3764</v>
      </c>
      <c r="G3816" t="s">
        <v>3765</v>
      </c>
      <c r="H3816" t="s">
        <v>40</v>
      </c>
      <c r="I3816" t="s">
        <v>26</v>
      </c>
      <c r="J3816" t="s">
        <v>151</v>
      </c>
      <c r="K3816" t="s">
        <v>120</v>
      </c>
      <c r="L3816">
        <v>84057</v>
      </c>
      <c r="M3816" t="s">
        <v>43</v>
      </c>
      <c r="N3816" t="s">
        <v>7328</v>
      </c>
      <c r="O3816" t="s">
        <v>45</v>
      </c>
      <c r="P3816" t="s">
        <v>67</v>
      </c>
      <c r="Q3816" t="s">
        <v>7329</v>
      </c>
      <c r="R3816">
        <v>11.68</v>
      </c>
      <c r="S3816">
        <v>2</v>
      </c>
      <c r="T3816">
        <v>0</v>
      </c>
      <c r="U3816">
        <v>4.2047999999999996</v>
      </c>
      <c r="V3816" t="str">
        <f t="shared" si="59"/>
        <v>Stuart Van</v>
      </c>
      <c r="W3816">
        <f>Table2[Profit]/Table2[Sales]</f>
        <v>0.36</v>
      </c>
    </row>
    <row r="3817" spans="1:23" x14ac:dyDescent="0.25">
      <c r="A3817">
        <v>3816</v>
      </c>
      <c r="B3817" t="s">
        <v>9374</v>
      </c>
      <c r="C3817" s="1">
        <v>41937</v>
      </c>
      <c r="D3817" s="1">
        <v>41941</v>
      </c>
      <c r="E3817" t="s">
        <v>49</v>
      </c>
      <c r="F3817" t="s">
        <v>6337</v>
      </c>
      <c r="G3817" t="s">
        <v>6338</v>
      </c>
      <c r="H3817" t="s">
        <v>25</v>
      </c>
      <c r="I3817" t="s">
        <v>26</v>
      </c>
      <c r="J3817" t="s">
        <v>143</v>
      </c>
      <c r="K3817" t="s">
        <v>144</v>
      </c>
      <c r="L3817">
        <v>19120</v>
      </c>
      <c r="M3817" t="s">
        <v>145</v>
      </c>
      <c r="N3817" t="s">
        <v>6981</v>
      </c>
      <c r="O3817" t="s">
        <v>70</v>
      </c>
      <c r="P3817" t="s">
        <v>158</v>
      </c>
      <c r="Q3817" t="s">
        <v>6982</v>
      </c>
      <c r="R3817">
        <v>40.776000000000003</v>
      </c>
      <c r="S3817">
        <v>3</v>
      </c>
      <c r="T3817">
        <v>0.2</v>
      </c>
      <c r="U3817">
        <v>0.50970000000000004</v>
      </c>
      <c r="V3817" t="str">
        <f t="shared" si="59"/>
        <v>Evan Henry</v>
      </c>
      <c r="W3817">
        <f>Table2[Profit]/Table2[Sales]</f>
        <v>1.2500000000000001E-2</v>
      </c>
    </row>
    <row r="3818" spans="1:23" x14ac:dyDescent="0.25">
      <c r="A3818">
        <v>3817</v>
      </c>
      <c r="B3818" t="s">
        <v>9375</v>
      </c>
      <c r="C3818" s="1">
        <v>42096</v>
      </c>
      <c r="D3818" s="1">
        <v>42101</v>
      </c>
      <c r="E3818" t="s">
        <v>49</v>
      </c>
      <c r="F3818" t="s">
        <v>1190</v>
      </c>
      <c r="G3818" t="s">
        <v>1191</v>
      </c>
      <c r="H3818" t="s">
        <v>25</v>
      </c>
      <c r="I3818" t="s">
        <v>26</v>
      </c>
      <c r="J3818" t="s">
        <v>1799</v>
      </c>
      <c r="K3818" t="s">
        <v>303</v>
      </c>
      <c r="L3818">
        <v>85204</v>
      </c>
      <c r="M3818" t="s">
        <v>43</v>
      </c>
      <c r="N3818" t="s">
        <v>6303</v>
      </c>
      <c r="O3818" t="s">
        <v>70</v>
      </c>
      <c r="P3818" t="s">
        <v>71</v>
      </c>
      <c r="Q3818" t="s">
        <v>6304</v>
      </c>
      <c r="R3818">
        <v>87.8</v>
      </c>
      <c r="S3818">
        <v>5</v>
      </c>
      <c r="T3818">
        <v>0.2</v>
      </c>
      <c r="U3818">
        <v>32.924999999999997</v>
      </c>
      <c r="V3818" t="str">
        <f t="shared" si="59"/>
        <v>John Lucas</v>
      </c>
      <c r="W3818">
        <f>Table2[Profit]/Table2[Sales]</f>
        <v>0.375</v>
      </c>
    </row>
    <row r="3819" spans="1:23" x14ac:dyDescent="0.25">
      <c r="A3819">
        <v>3818</v>
      </c>
      <c r="B3819" t="s">
        <v>9376</v>
      </c>
      <c r="C3819" s="1">
        <v>43036</v>
      </c>
      <c r="D3819" s="1">
        <v>43038</v>
      </c>
      <c r="E3819" t="s">
        <v>22</v>
      </c>
      <c r="F3819" t="s">
        <v>458</v>
      </c>
      <c r="G3819" t="s">
        <v>459</v>
      </c>
      <c r="H3819" t="s">
        <v>25</v>
      </c>
      <c r="I3819" t="s">
        <v>26</v>
      </c>
      <c r="J3819" t="s">
        <v>1682</v>
      </c>
      <c r="K3819" t="s">
        <v>87</v>
      </c>
      <c r="L3819">
        <v>28314</v>
      </c>
      <c r="M3819" t="s">
        <v>29</v>
      </c>
      <c r="N3819" t="s">
        <v>5729</v>
      </c>
      <c r="O3819" t="s">
        <v>31</v>
      </c>
      <c r="P3819" t="s">
        <v>64</v>
      </c>
      <c r="Q3819" t="s">
        <v>5730</v>
      </c>
      <c r="R3819">
        <v>77.951999999999998</v>
      </c>
      <c r="S3819">
        <v>3</v>
      </c>
      <c r="T3819">
        <v>0.2</v>
      </c>
      <c r="U3819">
        <v>15.590400000000001</v>
      </c>
      <c r="V3819" t="str">
        <f t="shared" si="59"/>
        <v>Janet Martin</v>
      </c>
      <c r="W3819">
        <f>Table2[Profit]/Table2[Sales]</f>
        <v>0.2</v>
      </c>
    </row>
    <row r="3820" spans="1:23" x14ac:dyDescent="0.25">
      <c r="A3820">
        <v>3819</v>
      </c>
      <c r="B3820" t="s">
        <v>9377</v>
      </c>
      <c r="C3820" s="1">
        <v>41978</v>
      </c>
      <c r="D3820" s="1">
        <v>41980</v>
      </c>
      <c r="E3820" t="s">
        <v>185</v>
      </c>
      <c r="F3820" t="s">
        <v>857</v>
      </c>
      <c r="G3820" t="s">
        <v>858</v>
      </c>
      <c r="H3820" t="s">
        <v>25</v>
      </c>
      <c r="I3820" t="s">
        <v>26</v>
      </c>
      <c r="J3820" t="s">
        <v>41</v>
      </c>
      <c r="K3820" t="s">
        <v>42</v>
      </c>
      <c r="L3820">
        <v>90032</v>
      </c>
      <c r="M3820" t="s">
        <v>43</v>
      </c>
      <c r="N3820" t="s">
        <v>2244</v>
      </c>
      <c r="O3820" t="s">
        <v>45</v>
      </c>
      <c r="P3820" t="s">
        <v>77</v>
      </c>
      <c r="Q3820" t="s">
        <v>2245</v>
      </c>
      <c r="R3820">
        <v>250.26</v>
      </c>
      <c r="S3820">
        <v>6</v>
      </c>
      <c r="T3820">
        <v>0</v>
      </c>
      <c r="U3820">
        <v>72.575400000000002</v>
      </c>
      <c r="V3820" t="str">
        <f t="shared" si="59"/>
        <v>Joni Blumstein</v>
      </c>
      <c r="W3820">
        <f>Table2[Profit]/Table2[Sales]</f>
        <v>0.29000000000000004</v>
      </c>
    </row>
    <row r="3821" spans="1:23" x14ac:dyDescent="0.25">
      <c r="A3821">
        <v>3820</v>
      </c>
      <c r="B3821" t="s">
        <v>9378</v>
      </c>
      <c r="C3821" s="1">
        <v>43042</v>
      </c>
      <c r="D3821" s="1">
        <v>43047</v>
      </c>
      <c r="E3821" t="s">
        <v>49</v>
      </c>
      <c r="F3821" t="s">
        <v>2346</v>
      </c>
      <c r="G3821" t="s">
        <v>2347</v>
      </c>
      <c r="H3821" t="s">
        <v>25</v>
      </c>
      <c r="I3821" t="s">
        <v>26</v>
      </c>
      <c r="J3821" t="s">
        <v>143</v>
      </c>
      <c r="K3821" t="s">
        <v>144</v>
      </c>
      <c r="L3821">
        <v>19140</v>
      </c>
      <c r="M3821" t="s">
        <v>145</v>
      </c>
      <c r="N3821" t="s">
        <v>6981</v>
      </c>
      <c r="O3821" t="s">
        <v>70</v>
      </c>
      <c r="P3821" t="s">
        <v>158</v>
      </c>
      <c r="Q3821" t="s">
        <v>6982</v>
      </c>
      <c r="R3821">
        <v>40.776000000000003</v>
      </c>
      <c r="S3821">
        <v>3</v>
      </c>
      <c r="T3821">
        <v>0.2</v>
      </c>
      <c r="U3821">
        <v>0.50970000000000004</v>
      </c>
      <c r="V3821" t="str">
        <f t="shared" si="59"/>
        <v>Peter Bühler</v>
      </c>
      <c r="W3821">
        <f>Table2[Profit]/Table2[Sales]</f>
        <v>1.2500000000000001E-2</v>
      </c>
    </row>
    <row r="3822" spans="1:23" x14ac:dyDescent="0.25">
      <c r="A3822">
        <v>3821</v>
      </c>
      <c r="B3822" t="s">
        <v>9379</v>
      </c>
      <c r="C3822" s="1">
        <v>42010</v>
      </c>
      <c r="D3822" s="1">
        <v>42016</v>
      </c>
      <c r="E3822" t="s">
        <v>49</v>
      </c>
      <c r="F3822" t="s">
        <v>3360</v>
      </c>
      <c r="G3822" t="s">
        <v>3361</v>
      </c>
      <c r="H3822" t="s">
        <v>40</v>
      </c>
      <c r="I3822" t="s">
        <v>26</v>
      </c>
      <c r="J3822" t="s">
        <v>1073</v>
      </c>
      <c r="K3822" t="s">
        <v>450</v>
      </c>
      <c r="L3822">
        <v>80906</v>
      </c>
      <c r="M3822" t="s">
        <v>43</v>
      </c>
      <c r="N3822" t="s">
        <v>3675</v>
      </c>
      <c r="O3822" t="s">
        <v>45</v>
      </c>
      <c r="P3822" t="s">
        <v>89</v>
      </c>
      <c r="Q3822" t="s">
        <v>3676</v>
      </c>
      <c r="R3822">
        <v>29.6</v>
      </c>
      <c r="S3822">
        <v>5</v>
      </c>
      <c r="T3822">
        <v>0.2</v>
      </c>
      <c r="U3822">
        <v>9.25</v>
      </c>
      <c r="V3822" t="str">
        <f t="shared" si="59"/>
        <v>Stefania Perrino</v>
      </c>
      <c r="W3822">
        <f>Table2[Profit]/Table2[Sales]</f>
        <v>0.3125</v>
      </c>
    </row>
    <row r="3823" spans="1:23" x14ac:dyDescent="0.25">
      <c r="A3823">
        <v>3822</v>
      </c>
      <c r="B3823" t="s">
        <v>9380</v>
      </c>
      <c r="C3823" s="1">
        <v>42987</v>
      </c>
      <c r="D3823" s="1">
        <v>42992</v>
      </c>
      <c r="E3823" t="s">
        <v>49</v>
      </c>
      <c r="F3823" t="s">
        <v>1755</v>
      </c>
      <c r="G3823" t="s">
        <v>1756</v>
      </c>
      <c r="H3823" t="s">
        <v>40</v>
      </c>
      <c r="I3823" t="s">
        <v>26</v>
      </c>
      <c r="J3823" t="s">
        <v>41</v>
      </c>
      <c r="K3823" t="s">
        <v>42</v>
      </c>
      <c r="L3823">
        <v>90032</v>
      </c>
      <c r="M3823" t="s">
        <v>43</v>
      </c>
      <c r="N3823" t="s">
        <v>4831</v>
      </c>
      <c r="O3823" t="s">
        <v>70</v>
      </c>
      <c r="P3823" t="s">
        <v>158</v>
      </c>
      <c r="Q3823" t="s">
        <v>4832</v>
      </c>
      <c r="R3823">
        <v>159.96</v>
      </c>
      <c r="S3823">
        <v>4</v>
      </c>
      <c r="T3823">
        <v>0</v>
      </c>
      <c r="U3823">
        <v>51.187199999999997</v>
      </c>
      <c r="V3823" t="str">
        <f t="shared" si="59"/>
        <v>Matt Connell</v>
      </c>
      <c r="W3823">
        <f>Table2[Profit]/Table2[Sales]</f>
        <v>0.31999999999999995</v>
      </c>
    </row>
    <row r="3824" spans="1:23" x14ac:dyDescent="0.25">
      <c r="A3824">
        <v>3823</v>
      </c>
      <c r="B3824" t="s">
        <v>9381</v>
      </c>
      <c r="C3824" s="1">
        <v>42009</v>
      </c>
      <c r="D3824" s="1">
        <v>42014</v>
      </c>
      <c r="E3824" t="s">
        <v>49</v>
      </c>
      <c r="F3824" t="s">
        <v>3387</v>
      </c>
      <c r="G3824" t="s">
        <v>3388</v>
      </c>
      <c r="H3824" t="s">
        <v>40</v>
      </c>
      <c r="I3824" t="s">
        <v>26</v>
      </c>
      <c r="J3824" t="s">
        <v>263</v>
      </c>
      <c r="K3824" t="s">
        <v>264</v>
      </c>
      <c r="L3824">
        <v>10009</v>
      </c>
      <c r="M3824" t="s">
        <v>145</v>
      </c>
      <c r="N3824" t="s">
        <v>6229</v>
      </c>
      <c r="O3824" t="s">
        <v>45</v>
      </c>
      <c r="P3824" t="s">
        <v>67</v>
      </c>
      <c r="Q3824" t="s">
        <v>6230</v>
      </c>
      <c r="R3824">
        <v>59.52</v>
      </c>
      <c r="S3824">
        <v>3</v>
      </c>
      <c r="T3824">
        <v>0</v>
      </c>
      <c r="U3824">
        <v>15.475199999999999</v>
      </c>
      <c r="V3824" t="str">
        <f t="shared" si="59"/>
        <v>Brooke Gillingham</v>
      </c>
      <c r="W3824">
        <f>Table2[Profit]/Table2[Sales]</f>
        <v>0.25999999999999995</v>
      </c>
    </row>
    <row r="3825" spans="1:23" x14ac:dyDescent="0.25">
      <c r="A3825">
        <v>3824</v>
      </c>
      <c r="B3825" t="s">
        <v>9382</v>
      </c>
      <c r="C3825" s="1">
        <v>42841</v>
      </c>
      <c r="D3825" s="1">
        <v>42845</v>
      </c>
      <c r="E3825" t="s">
        <v>49</v>
      </c>
      <c r="F3825" t="s">
        <v>2218</v>
      </c>
      <c r="G3825" t="s">
        <v>2219</v>
      </c>
      <c r="H3825" t="s">
        <v>101</v>
      </c>
      <c r="I3825" t="s">
        <v>26</v>
      </c>
      <c r="J3825" t="s">
        <v>126</v>
      </c>
      <c r="K3825" t="s">
        <v>42</v>
      </c>
      <c r="L3825">
        <v>94109</v>
      </c>
      <c r="M3825" t="s">
        <v>43</v>
      </c>
      <c r="N3825" t="s">
        <v>9383</v>
      </c>
      <c r="O3825" t="s">
        <v>45</v>
      </c>
      <c r="P3825" t="s">
        <v>77</v>
      </c>
      <c r="Q3825" t="s">
        <v>9384</v>
      </c>
      <c r="R3825">
        <v>40.74</v>
      </c>
      <c r="S3825">
        <v>3</v>
      </c>
      <c r="T3825">
        <v>0</v>
      </c>
      <c r="U3825">
        <v>12.222</v>
      </c>
      <c r="V3825" t="str">
        <f t="shared" si="59"/>
        <v>Jesus Ocampo</v>
      </c>
      <c r="W3825">
        <f>Table2[Profit]/Table2[Sales]</f>
        <v>0.3</v>
      </c>
    </row>
    <row r="3826" spans="1:23" x14ac:dyDescent="0.25">
      <c r="A3826">
        <v>3825</v>
      </c>
      <c r="B3826" t="s">
        <v>9385</v>
      </c>
      <c r="C3826" s="1">
        <v>42257</v>
      </c>
      <c r="D3826" s="1">
        <v>42261</v>
      </c>
      <c r="E3826" t="s">
        <v>49</v>
      </c>
      <c r="F3826" t="s">
        <v>7674</v>
      </c>
      <c r="G3826" t="s">
        <v>7675</v>
      </c>
      <c r="H3826" t="s">
        <v>40</v>
      </c>
      <c r="I3826" t="s">
        <v>26</v>
      </c>
      <c r="J3826" t="s">
        <v>1225</v>
      </c>
      <c r="K3826" t="s">
        <v>103</v>
      </c>
      <c r="L3826">
        <v>78745</v>
      </c>
      <c r="M3826" t="s">
        <v>104</v>
      </c>
      <c r="N3826" t="s">
        <v>4668</v>
      </c>
      <c r="O3826" t="s">
        <v>31</v>
      </c>
      <c r="P3826" t="s">
        <v>35</v>
      </c>
      <c r="Q3826" t="s">
        <v>4669</v>
      </c>
      <c r="R3826">
        <v>179.886</v>
      </c>
      <c r="S3826">
        <v>1</v>
      </c>
      <c r="T3826">
        <v>0.3</v>
      </c>
      <c r="U3826">
        <v>-2.5697999999999999</v>
      </c>
      <c r="V3826" t="str">
        <f t="shared" si="59"/>
        <v>Alex Russell</v>
      </c>
      <c r="W3826">
        <f>Table2[Profit]/Table2[Sales]</f>
        <v>-1.4285714285714285E-2</v>
      </c>
    </row>
    <row r="3827" spans="1:23" x14ac:dyDescent="0.25">
      <c r="A3827">
        <v>3826</v>
      </c>
      <c r="B3827" t="s">
        <v>9386</v>
      </c>
      <c r="C3827" s="1">
        <v>42638</v>
      </c>
      <c r="D3827" s="1">
        <v>42642</v>
      </c>
      <c r="E3827" t="s">
        <v>49</v>
      </c>
      <c r="F3827" t="s">
        <v>6379</v>
      </c>
      <c r="G3827" t="s">
        <v>6380</v>
      </c>
      <c r="H3827" t="s">
        <v>25</v>
      </c>
      <c r="I3827" t="s">
        <v>26</v>
      </c>
      <c r="J3827" t="s">
        <v>2148</v>
      </c>
      <c r="K3827" t="s">
        <v>491</v>
      </c>
      <c r="L3827">
        <v>44105</v>
      </c>
      <c r="M3827" t="s">
        <v>145</v>
      </c>
      <c r="N3827" t="s">
        <v>3243</v>
      </c>
      <c r="O3827" t="s">
        <v>45</v>
      </c>
      <c r="P3827" t="s">
        <v>77</v>
      </c>
      <c r="Q3827" t="s">
        <v>3244</v>
      </c>
      <c r="R3827">
        <v>286.25599999999997</v>
      </c>
      <c r="S3827">
        <v>1</v>
      </c>
      <c r="T3827">
        <v>0.2</v>
      </c>
      <c r="U3827">
        <v>17.890999999999998</v>
      </c>
      <c r="V3827" t="str">
        <f t="shared" si="59"/>
        <v>Tony Sayre</v>
      </c>
      <c r="W3827">
        <f>Table2[Profit]/Table2[Sales]</f>
        <v>6.25E-2</v>
      </c>
    </row>
    <row r="3828" spans="1:23" x14ac:dyDescent="0.25">
      <c r="A3828">
        <v>3827</v>
      </c>
      <c r="B3828" t="s">
        <v>9387</v>
      </c>
      <c r="C3828" s="1">
        <v>42079</v>
      </c>
      <c r="D3828" s="1">
        <v>42083</v>
      </c>
      <c r="E3828" t="s">
        <v>22</v>
      </c>
      <c r="F3828" t="s">
        <v>714</v>
      </c>
      <c r="G3828" t="s">
        <v>715</v>
      </c>
      <c r="H3828" t="s">
        <v>101</v>
      </c>
      <c r="I3828" t="s">
        <v>26</v>
      </c>
      <c r="J3828" t="s">
        <v>263</v>
      </c>
      <c r="K3828" t="s">
        <v>264</v>
      </c>
      <c r="L3828">
        <v>10009</v>
      </c>
      <c r="M3828" t="s">
        <v>145</v>
      </c>
      <c r="N3828" t="s">
        <v>7328</v>
      </c>
      <c r="O3828" t="s">
        <v>45</v>
      </c>
      <c r="P3828" t="s">
        <v>67</v>
      </c>
      <c r="Q3828" t="s">
        <v>7329</v>
      </c>
      <c r="R3828">
        <v>17.52</v>
      </c>
      <c r="S3828">
        <v>3</v>
      </c>
      <c r="T3828">
        <v>0</v>
      </c>
      <c r="U3828">
        <v>6.3071999999999999</v>
      </c>
      <c r="V3828" t="str">
        <f t="shared" si="59"/>
        <v>Jim Kriz</v>
      </c>
      <c r="W3828">
        <f>Table2[Profit]/Table2[Sales]</f>
        <v>0.36</v>
      </c>
    </row>
    <row r="3829" spans="1:23" x14ac:dyDescent="0.25">
      <c r="A3829">
        <v>3828</v>
      </c>
      <c r="B3829" t="s">
        <v>9388</v>
      </c>
      <c r="C3829" s="1">
        <v>42700</v>
      </c>
      <c r="D3829" s="1">
        <v>42706</v>
      </c>
      <c r="E3829" t="s">
        <v>49</v>
      </c>
      <c r="F3829" t="s">
        <v>5793</v>
      </c>
      <c r="G3829" t="s">
        <v>5794</v>
      </c>
      <c r="H3829" t="s">
        <v>25</v>
      </c>
      <c r="I3829" t="s">
        <v>26</v>
      </c>
      <c r="J3829" t="s">
        <v>4086</v>
      </c>
      <c r="K3829" t="s">
        <v>103</v>
      </c>
      <c r="L3829">
        <v>79907</v>
      </c>
      <c r="M3829" t="s">
        <v>104</v>
      </c>
      <c r="N3829" t="s">
        <v>3066</v>
      </c>
      <c r="O3829" t="s">
        <v>45</v>
      </c>
      <c r="P3829" t="s">
        <v>67</v>
      </c>
      <c r="Q3829" t="s">
        <v>3067</v>
      </c>
      <c r="R3829">
        <v>17.856000000000002</v>
      </c>
      <c r="S3829">
        <v>4</v>
      </c>
      <c r="T3829">
        <v>0.2</v>
      </c>
      <c r="U3829">
        <v>4.2408000000000001</v>
      </c>
      <c r="V3829" t="str">
        <f t="shared" si="59"/>
        <v>George Ashbrook</v>
      </c>
      <c r="W3829">
        <f>Table2[Profit]/Table2[Sales]</f>
        <v>0.23749999999999999</v>
      </c>
    </row>
    <row r="3830" spans="1:23" x14ac:dyDescent="0.25">
      <c r="A3830">
        <v>3829</v>
      </c>
      <c r="B3830" t="s">
        <v>9389</v>
      </c>
      <c r="C3830" s="1">
        <v>42639</v>
      </c>
      <c r="D3830" s="1">
        <v>42644</v>
      </c>
      <c r="E3830" t="s">
        <v>49</v>
      </c>
      <c r="F3830" t="s">
        <v>1577</v>
      </c>
      <c r="G3830" t="s">
        <v>1578</v>
      </c>
      <c r="H3830" t="s">
        <v>101</v>
      </c>
      <c r="I3830" t="s">
        <v>26</v>
      </c>
      <c r="J3830" t="s">
        <v>5531</v>
      </c>
      <c r="K3830" t="s">
        <v>53</v>
      </c>
      <c r="L3830">
        <v>32303</v>
      </c>
      <c r="M3830" t="s">
        <v>29</v>
      </c>
      <c r="N3830" t="s">
        <v>5325</v>
      </c>
      <c r="O3830" t="s">
        <v>70</v>
      </c>
      <c r="P3830" t="s">
        <v>158</v>
      </c>
      <c r="Q3830" t="s">
        <v>5326</v>
      </c>
      <c r="R3830">
        <v>431.976</v>
      </c>
      <c r="S3830">
        <v>3</v>
      </c>
      <c r="T3830">
        <v>0.2</v>
      </c>
      <c r="U3830">
        <v>-75.595799999999997</v>
      </c>
      <c r="V3830" t="str">
        <f t="shared" si="59"/>
        <v>Tanja Norvell</v>
      </c>
      <c r="W3830">
        <f>Table2[Profit]/Table2[Sales]</f>
        <v>-0.17499999999999999</v>
      </c>
    </row>
    <row r="3831" spans="1:23" x14ac:dyDescent="0.25">
      <c r="A3831">
        <v>3830</v>
      </c>
      <c r="B3831" t="s">
        <v>9390</v>
      </c>
      <c r="C3831" s="1">
        <v>42899</v>
      </c>
      <c r="D3831" s="1">
        <v>42905</v>
      </c>
      <c r="E3831" t="s">
        <v>49</v>
      </c>
      <c r="F3831" t="s">
        <v>614</v>
      </c>
      <c r="G3831" t="s">
        <v>615</v>
      </c>
      <c r="H3831" t="s">
        <v>101</v>
      </c>
      <c r="I3831" t="s">
        <v>26</v>
      </c>
      <c r="J3831" t="s">
        <v>94</v>
      </c>
      <c r="K3831" t="s">
        <v>95</v>
      </c>
      <c r="L3831">
        <v>98103</v>
      </c>
      <c r="M3831" t="s">
        <v>43</v>
      </c>
      <c r="N3831" t="s">
        <v>4737</v>
      </c>
      <c r="O3831" t="s">
        <v>31</v>
      </c>
      <c r="P3831" t="s">
        <v>35</v>
      </c>
      <c r="Q3831" t="s">
        <v>4738</v>
      </c>
      <c r="R3831">
        <v>291.13600000000002</v>
      </c>
      <c r="S3831">
        <v>4</v>
      </c>
      <c r="T3831">
        <v>0.2</v>
      </c>
      <c r="U3831">
        <v>-25.474399999999999</v>
      </c>
      <c r="V3831" t="str">
        <f t="shared" si="59"/>
        <v>Tamara Willingham</v>
      </c>
      <c r="W3831">
        <f>Table2[Profit]/Table2[Sales]</f>
        <v>-8.7499999999999994E-2</v>
      </c>
    </row>
    <row r="3832" spans="1:23" x14ac:dyDescent="0.25">
      <c r="A3832">
        <v>3831</v>
      </c>
      <c r="B3832" t="s">
        <v>9391</v>
      </c>
      <c r="C3832" s="1">
        <v>42996</v>
      </c>
      <c r="D3832" s="1">
        <v>42999</v>
      </c>
      <c r="E3832" t="s">
        <v>185</v>
      </c>
      <c r="F3832" t="s">
        <v>468</v>
      </c>
      <c r="G3832" t="s">
        <v>469</v>
      </c>
      <c r="H3832" t="s">
        <v>101</v>
      </c>
      <c r="I3832" t="s">
        <v>26</v>
      </c>
      <c r="J3832" t="s">
        <v>808</v>
      </c>
      <c r="K3832" t="s">
        <v>103</v>
      </c>
      <c r="L3832">
        <v>75220</v>
      </c>
      <c r="M3832" t="s">
        <v>104</v>
      </c>
      <c r="N3832" t="s">
        <v>367</v>
      </c>
      <c r="O3832" t="s">
        <v>45</v>
      </c>
      <c r="P3832" t="s">
        <v>170</v>
      </c>
      <c r="Q3832" t="s">
        <v>368</v>
      </c>
      <c r="R3832">
        <v>114.848</v>
      </c>
      <c r="S3832">
        <v>4</v>
      </c>
      <c r="T3832">
        <v>0.2</v>
      </c>
      <c r="U3832">
        <v>35.89</v>
      </c>
      <c r="V3832" t="str">
        <f t="shared" si="59"/>
        <v>Pete Armstrong</v>
      </c>
      <c r="W3832">
        <f>Table2[Profit]/Table2[Sales]</f>
        <v>0.3125</v>
      </c>
    </row>
    <row r="3833" spans="1:23" x14ac:dyDescent="0.25">
      <c r="A3833">
        <v>3832</v>
      </c>
      <c r="B3833" t="s">
        <v>9392</v>
      </c>
      <c r="C3833" s="1">
        <v>42888</v>
      </c>
      <c r="D3833" s="1">
        <v>42894</v>
      </c>
      <c r="E3833" t="s">
        <v>49</v>
      </c>
      <c r="F3833" t="s">
        <v>3927</v>
      </c>
      <c r="G3833" t="s">
        <v>3928</v>
      </c>
      <c r="H3833" t="s">
        <v>25</v>
      </c>
      <c r="I3833" t="s">
        <v>26</v>
      </c>
      <c r="J3833" t="s">
        <v>181</v>
      </c>
      <c r="K3833" t="s">
        <v>103</v>
      </c>
      <c r="L3833">
        <v>77070</v>
      </c>
      <c r="M3833" t="s">
        <v>104</v>
      </c>
      <c r="N3833" t="s">
        <v>2215</v>
      </c>
      <c r="O3833" t="s">
        <v>45</v>
      </c>
      <c r="P3833" t="s">
        <v>89</v>
      </c>
      <c r="Q3833" t="s">
        <v>2216</v>
      </c>
      <c r="R3833">
        <v>10.688000000000001</v>
      </c>
      <c r="S3833">
        <v>2</v>
      </c>
      <c r="T3833">
        <v>0.2</v>
      </c>
      <c r="U3833">
        <v>3.7408000000000001</v>
      </c>
      <c r="V3833" t="str">
        <f t="shared" si="59"/>
        <v>John Dryer</v>
      </c>
      <c r="W3833">
        <f>Table2[Profit]/Table2[Sales]</f>
        <v>0.35</v>
      </c>
    </row>
    <row r="3834" spans="1:23" x14ac:dyDescent="0.25">
      <c r="A3834">
        <v>3833</v>
      </c>
      <c r="B3834" t="s">
        <v>9393</v>
      </c>
      <c r="C3834" s="1">
        <v>42505</v>
      </c>
      <c r="D3834" s="1">
        <v>42509</v>
      </c>
      <c r="E3834" t="s">
        <v>22</v>
      </c>
      <c r="F3834" t="s">
        <v>3608</v>
      </c>
      <c r="G3834" t="s">
        <v>3609</v>
      </c>
      <c r="H3834" t="s">
        <v>25</v>
      </c>
      <c r="I3834" t="s">
        <v>26</v>
      </c>
      <c r="J3834" t="s">
        <v>311</v>
      </c>
      <c r="K3834" t="s">
        <v>491</v>
      </c>
      <c r="L3834">
        <v>45503</v>
      </c>
      <c r="M3834" t="s">
        <v>145</v>
      </c>
      <c r="N3834" t="s">
        <v>5641</v>
      </c>
      <c r="O3834" t="s">
        <v>45</v>
      </c>
      <c r="P3834" t="s">
        <v>89</v>
      </c>
      <c r="Q3834" t="s">
        <v>5642</v>
      </c>
      <c r="R3834">
        <v>15.231999999999999</v>
      </c>
      <c r="S3834">
        <v>4</v>
      </c>
      <c r="T3834">
        <v>0.2</v>
      </c>
      <c r="U3834">
        <v>5.5216000000000003</v>
      </c>
      <c r="V3834" t="str">
        <f t="shared" si="59"/>
        <v>Michael Nguyen</v>
      </c>
      <c r="W3834">
        <f>Table2[Profit]/Table2[Sales]</f>
        <v>0.36250000000000004</v>
      </c>
    </row>
    <row r="3835" spans="1:23" x14ac:dyDescent="0.25">
      <c r="A3835">
        <v>3834</v>
      </c>
      <c r="B3835" t="s">
        <v>9394</v>
      </c>
      <c r="C3835" s="1">
        <v>42993</v>
      </c>
      <c r="D3835" s="1">
        <v>42998</v>
      </c>
      <c r="E3835" t="s">
        <v>49</v>
      </c>
      <c r="F3835" t="s">
        <v>3506</v>
      </c>
      <c r="G3835" t="s">
        <v>3507</v>
      </c>
      <c r="H3835" t="s">
        <v>25</v>
      </c>
      <c r="I3835" t="s">
        <v>26</v>
      </c>
      <c r="J3835" t="s">
        <v>94</v>
      </c>
      <c r="K3835" t="s">
        <v>95</v>
      </c>
      <c r="L3835">
        <v>98103</v>
      </c>
      <c r="M3835" t="s">
        <v>43</v>
      </c>
      <c r="N3835" t="s">
        <v>672</v>
      </c>
      <c r="O3835" t="s">
        <v>45</v>
      </c>
      <c r="P3835" t="s">
        <v>67</v>
      </c>
      <c r="Q3835" t="s">
        <v>673</v>
      </c>
      <c r="R3835">
        <v>12.42</v>
      </c>
      <c r="S3835">
        <v>3</v>
      </c>
      <c r="T3835">
        <v>0</v>
      </c>
      <c r="U3835">
        <v>5.2164000000000001</v>
      </c>
      <c r="V3835" t="str">
        <f t="shared" si="59"/>
        <v>Gene McClure</v>
      </c>
      <c r="W3835">
        <f>Table2[Profit]/Table2[Sales]</f>
        <v>0.42000000000000004</v>
      </c>
    </row>
    <row r="3836" spans="1:23" x14ac:dyDescent="0.25">
      <c r="A3836">
        <v>3835</v>
      </c>
      <c r="B3836" t="s">
        <v>9395</v>
      </c>
      <c r="C3836" s="1">
        <v>42604</v>
      </c>
      <c r="D3836" s="1">
        <v>42608</v>
      </c>
      <c r="E3836" t="s">
        <v>49</v>
      </c>
      <c r="F3836" t="s">
        <v>3055</v>
      </c>
      <c r="G3836" t="s">
        <v>3056</v>
      </c>
      <c r="H3836" t="s">
        <v>40</v>
      </c>
      <c r="I3836" t="s">
        <v>26</v>
      </c>
      <c r="J3836" t="s">
        <v>94</v>
      </c>
      <c r="K3836" t="s">
        <v>95</v>
      </c>
      <c r="L3836">
        <v>98105</v>
      </c>
      <c r="M3836" t="s">
        <v>43</v>
      </c>
      <c r="N3836" t="s">
        <v>2606</v>
      </c>
      <c r="O3836" t="s">
        <v>45</v>
      </c>
      <c r="P3836" t="s">
        <v>89</v>
      </c>
      <c r="Q3836" t="s">
        <v>2607</v>
      </c>
      <c r="R3836">
        <v>19.440000000000001</v>
      </c>
      <c r="S3836">
        <v>3</v>
      </c>
      <c r="T3836">
        <v>0</v>
      </c>
      <c r="U3836">
        <v>9.3312000000000008</v>
      </c>
      <c r="V3836" t="str">
        <f t="shared" si="59"/>
        <v>Deirdre Greer</v>
      </c>
      <c r="W3836">
        <f>Table2[Profit]/Table2[Sales]</f>
        <v>0.48000000000000004</v>
      </c>
    </row>
    <row r="3837" spans="1:23" x14ac:dyDescent="0.25">
      <c r="A3837">
        <v>3836</v>
      </c>
      <c r="B3837" t="s">
        <v>9396</v>
      </c>
      <c r="C3837" s="1">
        <v>41789</v>
      </c>
      <c r="D3837" s="1">
        <v>41796</v>
      </c>
      <c r="E3837" t="s">
        <v>49</v>
      </c>
      <c r="F3837" t="s">
        <v>4175</v>
      </c>
      <c r="G3837" t="s">
        <v>4176</v>
      </c>
      <c r="H3837" t="s">
        <v>25</v>
      </c>
      <c r="I3837" t="s">
        <v>26</v>
      </c>
      <c r="J3837" t="s">
        <v>263</v>
      </c>
      <c r="K3837" t="s">
        <v>264</v>
      </c>
      <c r="L3837">
        <v>10024</v>
      </c>
      <c r="M3837" t="s">
        <v>145</v>
      </c>
      <c r="N3837" t="s">
        <v>2750</v>
      </c>
      <c r="O3837" t="s">
        <v>45</v>
      </c>
      <c r="P3837" t="s">
        <v>74</v>
      </c>
      <c r="Q3837" t="s">
        <v>2751</v>
      </c>
      <c r="R3837">
        <v>70.367999999999995</v>
      </c>
      <c r="S3837">
        <v>4</v>
      </c>
      <c r="T3837">
        <v>0.2</v>
      </c>
      <c r="U3837">
        <v>26.388000000000002</v>
      </c>
      <c r="V3837" t="str">
        <f t="shared" si="59"/>
        <v>James Galang</v>
      </c>
      <c r="W3837">
        <f>Table2[Profit]/Table2[Sales]</f>
        <v>0.37500000000000006</v>
      </c>
    </row>
    <row r="3838" spans="1:23" x14ac:dyDescent="0.25">
      <c r="A3838">
        <v>3837</v>
      </c>
      <c r="B3838" t="s">
        <v>9397</v>
      </c>
      <c r="C3838" s="1">
        <v>43087</v>
      </c>
      <c r="D3838" s="1">
        <v>43089</v>
      </c>
      <c r="E3838" t="s">
        <v>185</v>
      </c>
      <c r="F3838" t="s">
        <v>7263</v>
      </c>
      <c r="G3838" t="s">
        <v>7264</v>
      </c>
      <c r="H3838" t="s">
        <v>25</v>
      </c>
      <c r="I3838" t="s">
        <v>26</v>
      </c>
      <c r="J3838" t="s">
        <v>460</v>
      </c>
      <c r="K3838" t="s">
        <v>87</v>
      </c>
      <c r="L3838">
        <v>28205</v>
      </c>
      <c r="M3838" t="s">
        <v>29</v>
      </c>
      <c r="N3838" t="s">
        <v>4037</v>
      </c>
      <c r="O3838" t="s">
        <v>45</v>
      </c>
      <c r="P3838" t="s">
        <v>67</v>
      </c>
      <c r="Q3838" t="s">
        <v>4038</v>
      </c>
      <c r="R3838">
        <v>12.672000000000001</v>
      </c>
      <c r="S3838">
        <v>9</v>
      </c>
      <c r="T3838">
        <v>0.2</v>
      </c>
      <c r="U3838">
        <v>1.4256</v>
      </c>
      <c r="V3838" t="str">
        <f t="shared" si="59"/>
        <v>Alex Grayson</v>
      </c>
      <c r="W3838">
        <f>Table2[Profit]/Table2[Sales]</f>
        <v>0.11249999999999999</v>
      </c>
    </row>
    <row r="3839" spans="1:23" x14ac:dyDescent="0.25">
      <c r="A3839">
        <v>3838</v>
      </c>
      <c r="B3839" t="s">
        <v>9398</v>
      </c>
      <c r="C3839" s="1">
        <v>42946</v>
      </c>
      <c r="D3839" s="1">
        <v>42953</v>
      </c>
      <c r="E3839" t="s">
        <v>49</v>
      </c>
      <c r="F3839" t="s">
        <v>2302</v>
      </c>
      <c r="G3839" t="s">
        <v>2303</v>
      </c>
      <c r="H3839" t="s">
        <v>25</v>
      </c>
      <c r="I3839" t="s">
        <v>26</v>
      </c>
      <c r="J3839" t="s">
        <v>4400</v>
      </c>
      <c r="K3839" t="s">
        <v>2699</v>
      </c>
      <c r="L3839">
        <v>21215</v>
      </c>
      <c r="M3839" t="s">
        <v>145</v>
      </c>
      <c r="N3839" t="s">
        <v>3191</v>
      </c>
      <c r="O3839" t="s">
        <v>70</v>
      </c>
      <c r="P3839" t="s">
        <v>71</v>
      </c>
      <c r="Q3839" t="s">
        <v>3192</v>
      </c>
      <c r="R3839">
        <v>89.95</v>
      </c>
      <c r="S3839">
        <v>5</v>
      </c>
      <c r="T3839">
        <v>0</v>
      </c>
      <c r="U3839">
        <v>43.176000000000002</v>
      </c>
      <c r="V3839" t="str">
        <f t="shared" si="59"/>
        <v>Jay Fein</v>
      </c>
      <c r="W3839">
        <f>Table2[Profit]/Table2[Sales]</f>
        <v>0.48</v>
      </c>
    </row>
    <row r="3840" spans="1:23" x14ac:dyDescent="0.25">
      <c r="A3840">
        <v>3839</v>
      </c>
      <c r="B3840" t="s">
        <v>9399</v>
      </c>
      <c r="C3840" s="1">
        <v>41964</v>
      </c>
      <c r="D3840" s="1">
        <v>41969</v>
      </c>
      <c r="E3840" t="s">
        <v>49</v>
      </c>
      <c r="F3840" t="s">
        <v>5741</v>
      </c>
      <c r="G3840" t="s">
        <v>5742</v>
      </c>
      <c r="H3840" t="s">
        <v>101</v>
      </c>
      <c r="I3840" t="s">
        <v>26</v>
      </c>
      <c r="J3840" t="s">
        <v>126</v>
      </c>
      <c r="K3840" t="s">
        <v>42</v>
      </c>
      <c r="L3840">
        <v>94110</v>
      </c>
      <c r="M3840" t="s">
        <v>43</v>
      </c>
      <c r="N3840" t="s">
        <v>4412</v>
      </c>
      <c r="O3840" t="s">
        <v>45</v>
      </c>
      <c r="P3840" t="s">
        <v>89</v>
      </c>
      <c r="Q3840" t="s">
        <v>4413</v>
      </c>
      <c r="R3840">
        <v>6.58</v>
      </c>
      <c r="S3840">
        <v>2</v>
      </c>
      <c r="T3840">
        <v>0</v>
      </c>
      <c r="U3840">
        <v>3.0268000000000002</v>
      </c>
      <c r="V3840" t="str">
        <f t="shared" si="59"/>
        <v>Steve Carroll</v>
      </c>
      <c r="W3840">
        <f>Table2[Profit]/Table2[Sales]</f>
        <v>0.46</v>
      </c>
    </row>
    <row r="3841" spans="1:23" x14ac:dyDescent="0.25">
      <c r="A3841">
        <v>3840</v>
      </c>
      <c r="B3841" t="s">
        <v>9400</v>
      </c>
      <c r="C3841" s="1">
        <v>42271</v>
      </c>
      <c r="D3841" s="1">
        <v>42273</v>
      </c>
      <c r="E3841" t="s">
        <v>22</v>
      </c>
      <c r="F3841" t="s">
        <v>5417</v>
      </c>
      <c r="G3841" t="s">
        <v>5418</v>
      </c>
      <c r="H3841" t="s">
        <v>25</v>
      </c>
      <c r="I3841" t="s">
        <v>26</v>
      </c>
      <c r="J3841" t="s">
        <v>1299</v>
      </c>
      <c r="K3841" t="s">
        <v>303</v>
      </c>
      <c r="L3841">
        <v>85705</v>
      </c>
      <c r="M3841" t="s">
        <v>43</v>
      </c>
      <c r="N3841" t="s">
        <v>6303</v>
      </c>
      <c r="O3841" t="s">
        <v>70</v>
      </c>
      <c r="P3841" t="s">
        <v>71</v>
      </c>
      <c r="Q3841" t="s">
        <v>6304</v>
      </c>
      <c r="R3841">
        <v>35.119999999999997</v>
      </c>
      <c r="S3841">
        <v>2</v>
      </c>
      <c r="T3841">
        <v>0.2</v>
      </c>
      <c r="U3841">
        <v>13.17</v>
      </c>
      <c r="V3841" t="str">
        <f t="shared" si="59"/>
        <v>Carlos Meador</v>
      </c>
      <c r="W3841">
        <f>Table2[Profit]/Table2[Sales]</f>
        <v>0.375</v>
      </c>
    </row>
    <row r="3842" spans="1:23" x14ac:dyDescent="0.25">
      <c r="A3842">
        <v>3841</v>
      </c>
      <c r="B3842" t="s">
        <v>9401</v>
      </c>
      <c r="C3842" s="1">
        <v>42967</v>
      </c>
      <c r="D3842" s="1">
        <v>42974</v>
      </c>
      <c r="E3842" t="s">
        <v>49</v>
      </c>
      <c r="F3842" t="s">
        <v>3381</v>
      </c>
      <c r="G3842" t="s">
        <v>3382</v>
      </c>
      <c r="H3842" t="s">
        <v>25</v>
      </c>
      <c r="I3842" t="s">
        <v>26</v>
      </c>
      <c r="J3842" t="s">
        <v>41</v>
      </c>
      <c r="K3842" t="s">
        <v>42</v>
      </c>
      <c r="L3842">
        <v>90036</v>
      </c>
      <c r="M3842" t="s">
        <v>43</v>
      </c>
      <c r="N3842" t="s">
        <v>3793</v>
      </c>
      <c r="O3842" t="s">
        <v>45</v>
      </c>
      <c r="P3842" t="s">
        <v>89</v>
      </c>
      <c r="Q3842" t="s">
        <v>3794</v>
      </c>
      <c r="R3842">
        <v>25.92</v>
      </c>
      <c r="S3842">
        <v>4</v>
      </c>
      <c r="T3842">
        <v>0</v>
      </c>
      <c r="U3842">
        <v>12.441599999999999</v>
      </c>
      <c r="V3842" t="str">
        <f t="shared" si="59"/>
        <v>Kean Thornton</v>
      </c>
      <c r="W3842">
        <f>Table2[Profit]/Table2[Sales]</f>
        <v>0.47999999999999993</v>
      </c>
    </row>
    <row r="3843" spans="1:23" x14ac:dyDescent="0.25">
      <c r="A3843">
        <v>3842</v>
      </c>
      <c r="B3843" t="s">
        <v>9402</v>
      </c>
      <c r="C3843" s="1">
        <v>42538</v>
      </c>
      <c r="D3843" s="1">
        <v>42543</v>
      </c>
      <c r="E3843" t="s">
        <v>49</v>
      </c>
      <c r="F3843" t="s">
        <v>2375</v>
      </c>
      <c r="G3843" t="s">
        <v>2376</v>
      </c>
      <c r="H3843" t="s">
        <v>40</v>
      </c>
      <c r="I3843" t="s">
        <v>26</v>
      </c>
      <c r="J3843" t="s">
        <v>7520</v>
      </c>
      <c r="K3843" t="s">
        <v>740</v>
      </c>
      <c r="L3843">
        <v>6708</v>
      </c>
      <c r="M3843" t="s">
        <v>145</v>
      </c>
      <c r="N3843" t="s">
        <v>5696</v>
      </c>
      <c r="O3843" t="s">
        <v>45</v>
      </c>
      <c r="P3843" t="s">
        <v>74</v>
      </c>
      <c r="Q3843" t="s">
        <v>5697</v>
      </c>
      <c r="R3843">
        <v>7.96</v>
      </c>
      <c r="S3843">
        <v>2</v>
      </c>
      <c r="T3843">
        <v>0</v>
      </c>
      <c r="U3843">
        <v>3.7412000000000001</v>
      </c>
      <c r="V3843" t="str">
        <f t="shared" ref="V3843:V3906" si="60">TRIM(G3843)</f>
        <v>Christine Phan</v>
      </c>
      <c r="W3843">
        <f>Table2[Profit]/Table2[Sales]</f>
        <v>0.47000000000000003</v>
      </c>
    </row>
    <row r="3844" spans="1:23" x14ac:dyDescent="0.25">
      <c r="A3844">
        <v>3843</v>
      </c>
      <c r="B3844" t="s">
        <v>9403</v>
      </c>
      <c r="C3844" s="1">
        <v>42357</v>
      </c>
      <c r="D3844" s="1">
        <v>42361</v>
      </c>
      <c r="E3844" t="s">
        <v>49</v>
      </c>
      <c r="F3844" t="s">
        <v>7101</v>
      </c>
      <c r="G3844" t="s">
        <v>7102</v>
      </c>
      <c r="H3844" t="s">
        <v>101</v>
      </c>
      <c r="I3844" t="s">
        <v>26</v>
      </c>
      <c r="J3844" t="s">
        <v>296</v>
      </c>
      <c r="K3844" t="s">
        <v>208</v>
      </c>
      <c r="L3844">
        <v>60610</v>
      </c>
      <c r="M3844" t="s">
        <v>104</v>
      </c>
      <c r="N3844" t="s">
        <v>3039</v>
      </c>
      <c r="O3844" t="s">
        <v>70</v>
      </c>
      <c r="P3844" t="s">
        <v>158</v>
      </c>
      <c r="Q3844" t="s">
        <v>3040</v>
      </c>
      <c r="R3844">
        <v>25.488</v>
      </c>
      <c r="S3844">
        <v>2</v>
      </c>
      <c r="T3844">
        <v>0.2</v>
      </c>
      <c r="U3844">
        <v>4.7789999999999999</v>
      </c>
      <c r="V3844" t="str">
        <f t="shared" si="60"/>
        <v>Eileen Kiefer</v>
      </c>
      <c r="W3844">
        <f>Table2[Profit]/Table2[Sales]</f>
        <v>0.1875</v>
      </c>
    </row>
    <row r="3845" spans="1:23" x14ac:dyDescent="0.25">
      <c r="A3845">
        <v>3844</v>
      </c>
      <c r="B3845" t="s">
        <v>9404</v>
      </c>
      <c r="C3845" s="1">
        <v>42155</v>
      </c>
      <c r="D3845" s="1">
        <v>42157</v>
      </c>
      <c r="E3845" t="s">
        <v>22</v>
      </c>
      <c r="F3845" t="s">
        <v>1655</v>
      </c>
      <c r="G3845" t="s">
        <v>1656</v>
      </c>
      <c r="H3845" t="s">
        <v>101</v>
      </c>
      <c r="I3845" t="s">
        <v>26</v>
      </c>
      <c r="J3845" t="s">
        <v>1161</v>
      </c>
      <c r="K3845" t="s">
        <v>264</v>
      </c>
      <c r="L3845">
        <v>11561</v>
      </c>
      <c r="M3845" t="s">
        <v>145</v>
      </c>
      <c r="N3845" t="s">
        <v>994</v>
      </c>
      <c r="O3845" t="s">
        <v>45</v>
      </c>
      <c r="P3845" t="s">
        <v>266</v>
      </c>
      <c r="Q3845" t="s">
        <v>995</v>
      </c>
      <c r="R3845">
        <v>7.56</v>
      </c>
      <c r="S3845">
        <v>6</v>
      </c>
      <c r="T3845">
        <v>0</v>
      </c>
      <c r="U3845">
        <v>0.3024</v>
      </c>
      <c r="V3845" t="str">
        <f t="shared" si="60"/>
        <v>Carl Weiss</v>
      </c>
      <c r="W3845">
        <f>Table2[Profit]/Table2[Sales]</f>
        <v>0.04</v>
      </c>
    </row>
    <row r="3846" spans="1:23" x14ac:dyDescent="0.25">
      <c r="A3846">
        <v>3845</v>
      </c>
      <c r="B3846" t="s">
        <v>9405</v>
      </c>
      <c r="C3846" s="1">
        <v>42173</v>
      </c>
      <c r="D3846" s="1">
        <v>42179</v>
      </c>
      <c r="E3846" t="s">
        <v>49</v>
      </c>
      <c r="F3846" t="s">
        <v>1418</v>
      </c>
      <c r="G3846" t="s">
        <v>1419</v>
      </c>
      <c r="H3846" t="s">
        <v>25</v>
      </c>
      <c r="I3846" t="s">
        <v>26</v>
      </c>
      <c r="J3846" t="s">
        <v>1119</v>
      </c>
      <c r="K3846" t="s">
        <v>312</v>
      </c>
      <c r="L3846">
        <v>22204</v>
      </c>
      <c r="M3846" t="s">
        <v>29</v>
      </c>
      <c r="N3846" t="s">
        <v>6183</v>
      </c>
      <c r="O3846" t="s">
        <v>31</v>
      </c>
      <c r="P3846" t="s">
        <v>64</v>
      </c>
      <c r="Q3846" t="s">
        <v>6184</v>
      </c>
      <c r="R3846">
        <v>60.84</v>
      </c>
      <c r="S3846">
        <v>3</v>
      </c>
      <c r="T3846">
        <v>0</v>
      </c>
      <c r="U3846">
        <v>19.468800000000002</v>
      </c>
      <c r="V3846" t="str">
        <f t="shared" si="60"/>
        <v>Keith Herrera</v>
      </c>
      <c r="W3846">
        <f>Table2[Profit]/Table2[Sales]</f>
        <v>0.32</v>
      </c>
    </row>
    <row r="3847" spans="1:23" x14ac:dyDescent="0.25">
      <c r="A3847">
        <v>3846</v>
      </c>
      <c r="B3847" t="s">
        <v>9406</v>
      </c>
      <c r="C3847" s="1">
        <v>42338</v>
      </c>
      <c r="D3847" s="1">
        <v>42341</v>
      </c>
      <c r="E3847" t="s">
        <v>185</v>
      </c>
      <c r="F3847" t="s">
        <v>3680</v>
      </c>
      <c r="G3847" t="s">
        <v>3681</v>
      </c>
      <c r="H3847" t="s">
        <v>40</v>
      </c>
      <c r="I3847" t="s">
        <v>26</v>
      </c>
      <c r="J3847" t="s">
        <v>1507</v>
      </c>
      <c r="K3847" t="s">
        <v>87</v>
      </c>
      <c r="L3847">
        <v>28540</v>
      </c>
      <c r="M3847" t="s">
        <v>29</v>
      </c>
      <c r="N3847" t="s">
        <v>5925</v>
      </c>
      <c r="O3847" t="s">
        <v>31</v>
      </c>
      <c r="P3847" t="s">
        <v>64</v>
      </c>
      <c r="Q3847" t="s">
        <v>5926</v>
      </c>
      <c r="R3847">
        <v>17.088000000000001</v>
      </c>
      <c r="S3847">
        <v>2</v>
      </c>
      <c r="T3847">
        <v>0.2</v>
      </c>
      <c r="U3847">
        <v>1.0680000000000001</v>
      </c>
      <c r="V3847" t="str">
        <f t="shared" si="60"/>
        <v>Ann Blume</v>
      </c>
      <c r="W3847">
        <f>Table2[Profit]/Table2[Sales]</f>
        <v>6.25E-2</v>
      </c>
    </row>
    <row r="3848" spans="1:23" x14ac:dyDescent="0.25">
      <c r="A3848">
        <v>3847</v>
      </c>
      <c r="B3848" t="s">
        <v>9407</v>
      </c>
      <c r="C3848" s="1">
        <v>42359</v>
      </c>
      <c r="D3848" s="1">
        <v>42361</v>
      </c>
      <c r="E3848" t="s">
        <v>22</v>
      </c>
      <c r="F3848" t="s">
        <v>2784</v>
      </c>
      <c r="G3848" t="s">
        <v>2785</v>
      </c>
      <c r="H3848" t="s">
        <v>40</v>
      </c>
      <c r="I3848" t="s">
        <v>26</v>
      </c>
      <c r="J3848" t="s">
        <v>490</v>
      </c>
      <c r="K3848" t="s">
        <v>491</v>
      </c>
      <c r="L3848">
        <v>43229</v>
      </c>
      <c r="M3848" t="s">
        <v>145</v>
      </c>
      <c r="N3848" t="s">
        <v>3320</v>
      </c>
      <c r="O3848" t="s">
        <v>45</v>
      </c>
      <c r="P3848" t="s">
        <v>67</v>
      </c>
      <c r="Q3848" t="s">
        <v>3321</v>
      </c>
      <c r="R3848">
        <v>3.008</v>
      </c>
      <c r="S3848">
        <v>2</v>
      </c>
      <c r="T3848">
        <v>0.2</v>
      </c>
      <c r="U3848">
        <v>0.33839999999999998</v>
      </c>
      <c r="V3848" t="str">
        <f t="shared" si="60"/>
        <v>Adam Hart</v>
      </c>
      <c r="W3848">
        <f>Table2[Profit]/Table2[Sales]</f>
        <v>0.11249999999999999</v>
      </c>
    </row>
    <row r="3849" spans="1:23" x14ac:dyDescent="0.25">
      <c r="A3849">
        <v>3848</v>
      </c>
      <c r="B3849" t="s">
        <v>9408</v>
      </c>
      <c r="C3849" s="1">
        <v>43056</v>
      </c>
      <c r="D3849" s="1">
        <v>43060</v>
      </c>
      <c r="E3849" t="s">
        <v>49</v>
      </c>
      <c r="F3849" t="s">
        <v>2005</v>
      </c>
      <c r="G3849" t="s">
        <v>2006</v>
      </c>
      <c r="H3849" t="s">
        <v>25</v>
      </c>
      <c r="I3849" t="s">
        <v>26</v>
      </c>
      <c r="J3849" t="s">
        <v>460</v>
      </c>
      <c r="K3849" t="s">
        <v>87</v>
      </c>
      <c r="L3849">
        <v>28205</v>
      </c>
      <c r="M3849" t="s">
        <v>29</v>
      </c>
      <c r="N3849" t="s">
        <v>9409</v>
      </c>
      <c r="O3849" t="s">
        <v>45</v>
      </c>
      <c r="P3849" t="s">
        <v>89</v>
      </c>
      <c r="Q3849" t="s">
        <v>9410</v>
      </c>
      <c r="R3849">
        <v>268.24</v>
      </c>
      <c r="S3849">
        <v>7</v>
      </c>
      <c r="T3849">
        <v>0.2</v>
      </c>
      <c r="U3849">
        <v>93.884</v>
      </c>
      <c r="V3849" t="str">
        <f t="shared" si="60"/>
        <v>Clytie Kelty</v>
      </c>
      <c r="W3849">
        <f>Table2[Profit]/Table2[Sales]</f>
        <v>0.35</v>
      </c>
    </row>
    <row r="3850" spans="1:23" x14ac:dyDescent="0.25">
      <c r="A3850">
        <v>3849</v>
      </c>
      <c r="B3850" t="s">
        <v>9411</v>
      </c>
      <c r="C3850" s="1">
        <v>43052</v>
      </c>
      <c r="D3850" s="1">
        <v>43055</v>
      </c>
      <c r="E3850" t="s">
        <v>22</v>
      </c>
      <c r="F3850" t="s">
        <v>3360</v>
      </c>
      <c r="G3850" t="s">
        <v>3361</v>
      </c>
      <c r="H3850" t="s">
        <v>40</v>
      </c>
      <c r="I3850" t="s">
        <v>26</v>
      </c>
      <c r="J3850" t="s">
        <v>3383</v>
      </c>
      <c r="K3850" t="s">
        <v>264</v>
      </c>
      <c r="L3850">
        <v>14215</v>
      </c>
      <c r="M3850" t="s">
        <v>145</v>
      </c>
      <c r="N3850" t="s">
        <v>245</v>
      </c>
      <c r="O3850" t="s">
        <v>70</v>
      </c>
      <c r="P3850" t="s">
        <v>71</v>
      </c>
      <c r="Q3850" t="s">
        <v>246</v>
      </c>
      <c r="R3850">
        <v>43.6</v>
      </c>
      <c r="S3850">
        <v>4</v>
      </c>
      <c r="T3850">
        <v>0</v>
      </c>
      <c r="U3850">
        <v>12.208</v>
      </c>
      <c r="V3850" t="str">
        <f t="shared" si="60"/>
        <v>Stefania Perrino</v>
      </c>
      <c r="W3850">
        <f>Table2[Profit]/Table2[Sales]</f>
        <v>0.27999999999999997</v>
      </c>
    </row>
    <row r="3851" spans="1:23" x14ac:dyDescent="0.25">
      <c r="A3851">
        <v>3850</v>
      </c>
      <c r="B3851" t="s">
        <v>9412</v>
      </c>
      <c r="C3851" s="1">
        <v>42667</v>
      </c>
      <c r="D3851" s="1">
        <v>42671</v>
      </c>
      <c r="E3851" t="s">
        <v>49</v>
      </c>
      <c r="F3851" t="s">
        <v>6194</v>
      </c>
      <c r="G3851" t="s">
        <v>6195</v>
      </c>
      <c r="H3851" t="s">
        <v>40</v>
      </c>
      <c r="I3851" t="s">
        <v>26</v>
      </c>
      <c r="J3851" t="s">
        <v>181</v>
      </c>
      <c r="K3851" t="s">
        <v>103</v>
      </c>
      <c r="L3851">
        <v>77041</v>
      </c>
      <c r="M3851" t="s">
        <v>104</v>
      </c>
      <c r="N3851" t="s">
        <v>3561</v>
      </c>
      <c r="O3851" t="s">
        <v>45</v>
      </c>
      <c r="P3851" t="s">
        <v>89</v>
      </c>
      <c r="Q3851" t="s">
        <v>3562</v>
      </c>
      <c r="R3851">
        <v>15.552</v>
      </c>
      <c r="S3851">
        <v>3</v>
      </c>
      <c r="T3851">
        <v>0.2</v>
      </c>
      <c r="U3851">
        <v>5.4432</v>
      </c>
      <c r="V3851" t="str">
        <f t="shared" si="60"/>
        <v>Jennifer Patt</v>
      </c>
      <c r="W3851">
        <f>Table2[Profit]/Table2[Sales]</f>
        <v>0.35000000000000003</v>
      </c>
    </row>
    <row r="3852" spans="1:23" x14ac:dyDescent="0.25">
      <c r="A3852">
        <v>3851</v>
      </c>
      <c r="B3852" t="s">
        <v>9413</v>
      </c>
      <c r="C3852" s="1">
        <v>41979</v>
      </c>
      <c r="D3852" s="1">
        <v>41984</v>
      </c>
      <c r="E3852" t="s">
        <v>49</v>
      </c>
      <c r="F3852" t="s">
        <v>8161</v>
      </c>
      <c r="G3852" t="s">
        <v>8162</v>
      </c>
      <c r="H3852" t="s">
        <v>25</v>
      </c>
      <c r="I3852" t="s">
        <v>26</v>
      </c>
      <c r="J3852" t="s">
        <v>327</v>
      </c>
      <c r="K3852" t="s">
        <v>328</v>
      </c>
      <c r="L3852">
        <v>38109</v>
      </c>
      <c r="M3852" t="s">
        <v>29</v>
      </c>
      <c r="N3852" t="s">
        <v>3662</v>
      </c>
      <c r="O3852" t="s">
        <v>45</v>
      </c>
      <c r="P3852" t="s">
        <v>89</v>
      </c>
      <c r="Q3852" t="s">
        <v>3663</v>
      </c>
      <c r="R3852">
        <v>42.207999999999998</v>
      </c>
      <c r="S3852">
        <v>2</v>
      </c>
      <c r="T3852">
        <v>0.2</v>
      </c>
      <c r="U3852">
        <v>13.717599999999999</v>
      </c>
      <c r="V3852" t="str">
        <f t="shared" si="60"/>
        <v>Barry Gonzalez</v>
      </c>
      <c r="W3852">
        <f>Table2[Profit]/Table2[Sales]</f>
        <v>0.32500000000000001</v>
      </c>
    </row>
    <row r="3853" spans="1:23" x14ac:dyDescent="0.25">
      <c r="A3853">
        <v>3852</v>
      </c>
      <c r="B3853" t="s">
        <v>9414</v>
      </c>
      <c r="C3853" s="1">
        <v>43072</v>
      </c>
      <c r="D3853" s="1">
        <v>43075</v>
      </c>
      <c r="E3853" t="s">
        <v>185</v>
      </c>
      <c r="F3853" t="s">
        <v>1227</v>
      </c>
      <c r="G3853" t="s">
        <v>1228</v>
      </c>
      <c r="H3853" t="s">
        <v>25</v>
      </c>
      <c r="I3853" t="s">
        <v>26</v>
      </c>
      <c r="J3853" t="s">
        <v>4260</v>
      </c>
      <c r="K3853" t="s">
        <v>103</v>
      </c>
      <c r="L3853">
        <v>75023</v>
      </c>
      <c r="M3853" t="s">
        <v>104</v>
      </c>
      <c r="N3853" t="s">
        <v>4511</v>
      </c>
      <c r="O3853" t="s">
        <v>45</v>
      </c>
      <c r="P3853" t="s">
        <v>89</v>
      </c>
      <c r="Q3853" t="s">
        <v>4512</v>
      </c>
      <c r="R3853">
        <v>10.368</v>
      </c>
      <c r="S3853">
        <v>2</v>
      </c>
      <c r="T3853">
        <v>0.2</v>
      </c>
      <c r="U3853">
        <v>3.6288</v>
      </c>
      <c r="V3853" t="str">
        <f t="shared" si="60"/>
        <v>Clay Cheatham</v>
      </c>
      <c r="W3853">
        <f>Table2[Profit]/Table2[Sales]</f>
        <v>0.35</v>
      </c>
    </row>
    <row r="3854" spans="1:23" x14ac:dyDescent="0.25">
      <c r="A3854">
        <v>3853</v>
      </c>
      <c r="B3854" t="s">
        <v>9415</v>
      </c>
      <c r="C3854" s="1">
        <v>43004</v>
      </c>
      <c r="D3854" s="1">
        <v>43006</v>
      </c>
      <c r="E3854" t="s">
        <v>185</v>
      </c>
      <c r="F3854" t="s">
        <v>2923</v>
      </c>
      <c r="G3854" t="s">
        <v>2924</v>
      </c>
      <c r="H3854" t="s">
        <v>101</v>
      </c>
      <c r="I3854" t="s">
        <v>26</v>
      </c>
      <c r="J3854" t="s">
        <v>1948</v>
      </c>
      <c r="K3854" t="s">
        <v>413</v>
      </c>
      <c r="L3854">
        <v>97301</v>
      </c>
      <c r="M3854" t="s">
        <v>43</v>
      </c>
      <c r="N3854" t="s">
        <v>4137</v>
      </c>
      <c r="O3854" t="s">
        <v>45</v>
      </c>
      <c r="P3854" t="s">
        <v>67</v>
      </c>
      <c r="Q3854" t="s">
        <v>4138</v>
      </c>
      <c r="R3854">
        <v>2.2240000000000002</v>
      </c>
      <c r="S3854">
        <v>1</v>
      </c>
      <c r="T3854">
        <v>0.2</v>
      </c>
      <c r="U3854">
        <v>0.55600000000000005</v>
      </c>
      <c r="V3854" t="str">
        <f t="shared" si="60"/>
        <v>Sara Luxemburg</v>
      </c>
      <c r="W3854">
        <f>Table2[Profit]/Table2[Sales]</f>
        <v>0.25</v>
      </c>
    </row>
    <row r="3855" spans="1:23" x14ac:dyDescent="0.25">
      <c r="A3855">
        <v>3854</v>
      </c>
      <c r="B3855" t="s">
        <v>9416</v>
      </c>
      <c r="C3855" s="1">
        <v>42038</v>
      </c>
      <c r="D3855" s="1">
        <v>42042</v>
      </c>
      <c r="E3855" t="s">
        <v>49</v>
      </c>
      <c r="F3855" t="s">
        <v>3109</v>
      </c>
      <c r="G3855" t="s">
        <v>3110</v>
      </c>
      <c r="H3855" t="s">
        <v>25</v>
      </c>
      <c r="I3855" t="s">
        <v>26</v>
      </c>
      <c r="J3855" t="s">
        <v>490</v>
      </c>
      <c r="K3855" t="s">
        <v>1260</v>
      </c>
      <c r="L3855">
        <v>31907</v>
      </c>
      <c r="M3855" t="s">
        <v>29</v>
      </c>
      <c r="N3855" t="s">
        <v>5972</v>
      </c>
      <c r="O3855" t="s">
        <v>45</v>
      </c>
      <c r="P3855" t="s">
        <v>170</v>
      </c>
      <c r="Q3855" t="s">
        <v>662</v>
      </c>
      <c r="R3855">
        <v>74.52</v>
      </c>
      <c r="S3855">
        <v>9</v>
      </c>
      <c r="T3855">
        <v>0</v>
      </c>
      <c r="U3855">
        <v>35.0244</v>
      </c>
      <c r="V3855" t="str">
        <f t="shared" si="60"/>
        <v>Frank Olsen</v>
      </c>
      <c r="W3855">
        <f>Table2[Profit]/Table2[Sales]</f>
        <v>0.47000000000000003</v>
      </c>
    </row>
    <row r="3856" spans="1:23" x14ac:dyDescent="0.25">
      <c r="A3856">
        <v>3855</v>
      </c>
      <c r="B3856" t="s">
        <v>9417</v>
      </c>
      <c r="C3856" s="1">
        <v>42959</v>
      </c>
      <c r="D3856" s="1">
        <v>42959</v>
      </c>
      <c r="E3856" t="s">
        <v>1278</v>
      </c>
      <c r="F3856" t="s">
        <v>1516</v>
      </c>
      <c r="G3856" t="s">
        <v>1517</v>
      </c>
      <c r="H3856" t="s">
        <v>40</v>
      </c>
      <c r="I3856" t="s">
        <v>26</v>
      </c>
      <c r="J3856" t="s">
        <v>375</v>
      </c>
      <c r="K3856" t="s">
        <v>2699</v>
      </c>
      <c r="L3856">
        <v>21044</v>
      </c>
      <c r="M3856" t="s">
        <v>145</v>
      </c>
      <c r="N3856" t="s">
        <v>1959</v>
      </c>
      <c r="O3856" t="s">
        <v>45</v>
      </c>
      <c r="P3856" t="s">
        <v>67</v>
      </c>
      <c r="Q3856" t="s">
        <v>1960</v>
      </c>
      <c r="R3856">
        <v>17.52</v>
      </c>
      <c r="S3856">
        <v>3</v>
      </c>
      <c r="T3856">
        <v>0</v>
      </c>
      <c r="U3856">
        <v>5.2560000000000002</v>
      </c>
      <c r="V3856" t="str">
        <f t="shared" si="60"/>
        <v>Brenda Bowman</v>
      </c>
      <c r="W3856">
        <f>Table2[Profit]/Table2[Sales]</f>
        <v>0.30000000000000004</v>
      </c>
    </row>
    <row r="3857" spans="1:23" x14ac:dyDescent="0.25">
      <c r="A3857">
        <v>3856</v>
      </c>
      <c r="B3857" t="s">
        <v>9418</v>
      </c>
      <c r="C3857" s="1">
        <v>42240</v>
      </c>
      <c r="D3857" s="1">
        <v>42242</v>
      </c>
      <c r="E3857" t="s">
        <v>185</v>
      </c>
      <c r="F3857" t="s">
        <v>1339</v>
      </c>
      <c r="G3857" t="s">
        <v>1340</v>
      </c>
      <c r="H3857" t="s">
        <v>25</v>
      </c>
      <c r="I3857" t="s">
        <v>26</v>
      </c>
      <c r="J3857" t="s">
        <v>412</v>
      </c>
      <c r="K3857" t="s">
        <v>413</v>
      </c>
      <c r="L3857">
        <v>97206</v>
      </c>
      <c r="M3857" t="s">
        <v>43</v>
      </c>
      <c r="N3857" t="s">
        <v>359</v>
      </c>
      <c r="O3857" t="s">
        <v>45</v>
      </c>
      <c r="P3857" t="s">
        <v>67</v>
      </c>
      <c r="Q3857" t="s">
        <v>360</v>
      </c>
      <c r="R3857">
        <v>7.1520000000000001</v>
      </c>
      <c r="S3857">
        <v>3</v>
      </c>
      <c r="T3857">
        <v>0.2</v>
      </c>
      <c r="U3857">
        <v>0.71519999999999995</v>
      </c>
      <c r="V3857" t="str">
        <f t="shared" si="60"/>
        <v>Denny Ordway</v>
      </c>
      <c r="W3857">
        <f>Table2[Profit]/Table2[Sales]</f>
        <v>9.9999999999999992E-2</v>
      </c>
    </row>
    <row r="3858" spans="1:23" x14ac:dyDescent="0.25">
      <c r="A3858">
        <v>3857</v>
      </c>
      <c r="B3858" t="s">
        <v>9419</v>
      </c>
      <c r="C3858" s="1">
        <v>43051</v>
      </c>
      <c r="D3858" s="1">
        <v>43056</v>
      </c>
      <c r="E3858" t="s">
        <v>49</v>
      </c>
      <c r="F3858" t="s">
        <v>3665</v>
      </c>
      <c r="G3858" t="s">
        <v>3666</v>
      </c>
      <c r="H3858" t="s">
        <v>25</v>
      </c>
      <c r="I3858" t="s">
        <v>26</v>
      </c>
      <c r="J3858" t="s">
        <v>5531</v>
      </c>
      <c r="K3858" t="s">
        <v>53</v>
      </c>
      <c r="L3858">
        <v>32303</v>
      </c>
      <c r="M3858" t="s">
        <v>29</v>
      </c>
      <c r="N3858" t="s">
        <v>2519</v>
      </c>
      <c r="O3858" t="s">
        <v>45</v>
      </c>
      <c r="P3858" t="s">
        <v>89</v>
      </c>
      <c r="Q3858" t="s">
        <v>2520</v>
      </c>
      <c r="R3858">
        <v>26.72</v>
      </c>
      <c r="S3858">
        <v>5</v>
      </c>
      <c r="T3858">
        <v>0.2</v>
      </c>
      <c r="U3858">
        <v>9.3520000000000003</v>
      </c>
      <c r="V3858" t="str">
        <f t="shared" si="60"/>
        <v>Larry Blacks</v>
      </c>
      <c r="W3858">
        <f>Table2[Profit]/Table2[Sales]</f>
        <v>0.35000000000000003</v>
      </c>
    </row>
    <row r="3859" spans="1:23" x14ac:dyDescent="0.25">
      <c r="A3859">
        <v>3858</v>
      </c>
      <c r="B3859" t="s">
        <v>9420</v>
      </c>
      <c r="C3859" s="1">
        <v>42583</v>
      </c>
      <c r="D3859" s="1">
        <v>42583</v>
      </c>
      <c r="E3859" t="s">
        <v>1278</v>
      </c>
      <c r="F3859" t="s">
        <v>1133</v>
      </c>
      <c r="G3859" t="s">
        <v>1134</v>
      </c>
      <c r="H3859" t="s">
        <v>40</v>
      </c>
      <c r="I3859" t="s">
        <v>26</v>
      </c>
      <c r="J3859" t="s">
        <v>2817</v>
      </c>
      <c r="K3859" t="s">
        <v>42</v>
      </c>
      <c r="L3859">
        <v>92503</v>
      </c>
      <c r="M3859" t="s">
        <v>43</v>
      </c>
      <c r="N3859" t="s">
        <v>4501</v>
      </c>
      <c r="O3859" t="s">
        <v>70</v>
      </c>
      <c r="P3859" t="s">
        <v>71</v>
      </c>
      <c r="Q3859" t="s">
        <v>4502</v>
      </c>
      <c r="R3859">
        <v>1039.7280000000001</v>
      </c>
      <c r="S3859">
        <v>2</v>
      </c>
      <c r="T3859">
        <v>0.2</v>
      </c>
      <c r="U3859">
        <v>90.976200000000006</v>
      </c>
      <c r="V3859" t="str">
        <f t="shared" si="60"/>
        <v>Thomas Seio</v>
      </c>
      <c r="W3859">
        <f>Table2[Profit]/Table2[Sales]</f>
        <v>8.7499999999999994E-2</v>
      </c>
    </row>
    <row r="3860" spans="1:23" x14ac:dyDescent="0.25">
      <c r="A3860">
        <v>3859</v>
      </c>
      <c r="B3860" t="s">
        <v>9421</v>
      </c>
      <c r="C3860" s="1">
        <v>42699</v>
      </c>
      <c r="D3860" s="1">
        <v>42706</v>
      </c>
      <c r="E3860" t="s">
        <v>49</v>
      </c>
      <c r="F3860" t="s">
        <v>3884</v>
      </c>
      <c r="G3860" t="s">
        <v>3885</v>
      </c>
      <c r="H3860" t="s">
        <v>25</v>
      </c>
      <c r="I3860" t="s">
        <v>26</v>
      </c>
      <c r="J3860" t="s">
        <v>2439</v>
      </c>
      <c r="K3860" t="s">
        <v>491</v>
      </c>
      <c r="L3860">
        <v>43130</v>
      </c>
      <c r="M3860" t="s">
        <v>145</v>
      </c>
      <c r="N3860" t="s">
        <v>2655</v>
      </c>
      <c r="O3860" t="s">
        <v>45</v>
      </c>
      <c r="P3860" t="s">
        <v>74</v>
      </c>
      <c r="Q3860" t="s">
        <v>2656</v>
      </c>
      <c r="R3860">
        <v>456.58800000000002</v>
      </c>
      <c r="S3860">
        <v>2</v>
      </c>
      <c r="T3860">
        <v>0.7</v>
      </c>
      <c r="U3860">
        <v>-304.392</v>
      </c>
      <c r="V3860" t="str">
        <f t="shared" si="60"/>
        <v>Cindy Stewart</v>
      </c>
      <c r="W3860">
        <f>Table2[Profit]/Table2[Sales]</f>
        <v>-0.66666666666666663</v>
      </c>
    </row>
    <row r="3861" spans="1:23" x14ac:dyDescent="0.25">
      <c r="A3861">
        <v>3860</v>
      </c>
      <c r="B3861" t="s">
        <v>9422</v>
      </c>
      <c r="C3861" s="1">
        <v>42473</v>
      </c>
      <c r="D3861" s="1">
        <v>42475</v>
      </c>
      <c r="E3861" t="s">
        <v>185</v>
      </c>
      <c r="F3861" t="s">
        <v>6946</v>
      </c>
      <c r="G3861" t="s">
        <v>6947</v>
      </c>
      <c r="H3861" t="s">
        <v>25</v>
      </c>
      <c r="I3861" t="s">
        <v>26</v>
      </c>
      <c r="J3861" t="s">
        <v>126</v>
      </c>
      <c r="K3861" t="s">
        <v>42</v>
      </c>
      <c r="L3861">
        <v>94109</v>
      </c>
      <c r="M3861" t="s">
        <v>43</v>
      </c>
      <c r="N3861" t="s">
        <v>169</v>
      </c>
      <c r="O3861" t="s">
        <v>45</v>
      </c>
      <c r="P3861" t="s">
        <v>170</v>
      </c>
      <c r="Q3861" t="s">
        <v>171</v>
      </c>
      <c r="R3861">
        <v>6.12</v>
      </c>
      <c r="S3861">
        <v>3</v>
      </c>
      <c r="T3861">
        <v>0</v>
      </c>
      <c r="U3861">
        <v>2.8763999999999998</v>
      </c>
      <c r="V3861" t="str">
        <f t="shared" si="60"/>
        <v>Susan Pistek</v>
      </c>
      <c r="W3861">
        <f>Table2[Profit]/Table2[Sales]</f>
        <v>0.47</v>
      </c>
    </row>
    <row r="3862" spans="1:23" x14ac:dyDescent="0.25">
      <c r="A3862">
        <v>3861</v>
      </c>
      <c r="B3862" t="s">
        <v>9423</v>
      </c>
      <c r="C3862" s="1">
        <v>42000</v>
      </c>
      <c r="D3862" s="1">
        <v>42004</v>
      </c>
      <c r="E3862" t="s">
        <v>49</v>
      </c>
      <c r="F3862" t="s">
        <v>4303</v>
      </c>
      <c r="G3862" t="s">
        <v>4304</v>
      </c>
      <c r="H3862" t="s">
        <v>101</v>
      </c>
      <c r="I3862" t="s">
        <v>26</v>
      </c>
      <c r="J3862" t="s">
        <v>7768</v>
      </c>
      <c r="K3862" t="s">
        <v>42</v>
      </c>
      <c r="L3862">
        <v>92553</v>
      </c>
      <c r="M3862" t="s">
        <v>43</v>
      </c>
      <c r="N3862" t="s">
        <v>7174</v>
      </c>
      <c r="O3862" t="s">
        <v>45</v>
      </c>
      <c r="P3862" t="s">
        <v>77</v>
      </c>
      <c r="Q3862" t="s">
        <v>1416</v>
      </c>
      <c r="R3862">
        <v>10.98</v>
      </c>
      <c r="S3862">
        <v>1</v>
      </c>
      <c r="T3862">
        <v>0</v>
      </c>
      <c r="U3862">
        <v>2.9645999999999999</v>
      </c>
      <c r="V3862" t="str">
        <f t="shared" si="60"/>
        <v>Cynthia Delaney</v>
      </c>
      <c r="W3862">
        <f>Table2[Profit]/Table2[Sales]</f>
        <v>0.26999999999999996</v>
      </c>
    </row>
    <row r="3863" spans="1:23" x14ac:dyDescent="0.25">
      <c r="A3863">
        <v>3862</v>
      </c>
      <c r="B3863" t="s">
        <v>9424</v>
      </c>
      <c r="C3863" s="1">
        <v>42478</v>
      </c>
      <c r="D3863" s="1">
        <v>42482</v>
      </c>
      <c r="E3863" t="s">
        <v>49</v>
      </c>
      <c r="F3863" t="s">
        <v>1413</v>
      </c>
      <c r="G3863" t="s">
        <v>1414</v>
      </c>
      <c r="H3863" t="s">
        <v>25</v>
      </c>
      <c r="I3863" t="s">
        <v>26</v>
      </c>
      <c r="J3863" t="s">
        <v>4771</v>
      </c>
      <c r="K3863" t="s">
        <v>312</v>
      </c>
      <c r="L3863">
        <v>23320</v>
      </c>
      <c r="M3863" t="s">
        <v>29</v>
      </c>
      <c r="N3863" t="s">
        <v>1813</v>
      </c>
      <c r="O3863" t="s">
        <v>45</v>
      </c>
      <c r="P3863" t="s">
        <v>77</v>
      </c>
      <c r="Q3863" t="s">
        <v>1814</v>
      </c>
      <c r="R3863">
        <v>203.92</v>
      </c>
      <c r="S3863">
        <v>4</v>
      </c>
      <c r="T3863">
        <v>0</v>
      </c>
      <c r="U3863">
        <v>55.058399999999999</v>
      </c>
      <c r="V3863" t="str">
        <f t="shared" si="60"/>
        <v>Roy Französisch</v>
      </c>
      <c r="W3863">
        <f>Table2[Profit]/Table2[Sales]</f>
        <v>0.27</v>
      </c>
    </row>
    <row r="3864" spans="1:23" x14ac:dyDescent="0.25">
      <c r="A3864">
        <v>3863</v>
      </c>
      <c r="B3864" t="s">
        <v>9425</v>
      </c>
      <c r="C3864" s="1">
        <v>42071</v>
      </c>
      <c r="D3864" s="1">
        <v>42075</v>
      </c>
      <c r="E3864" t="s">
        <v>49</v>
      </c>
      <c r="F3864" t="s">
        <v>3109</v>
      </c>
      <c r="G3864" t="s">
        <v>3110</v>
      </c>
      <c r="H3864" t="s">
        <v>25</v>
      </c>
      <c r="I3864" t="s">
        <v>26</v>
      </c>
      <c r="J3864" t="s">
        <v>296</v>
      </c>
      <c r="K3864" t="s">
        <v>208</v>
      </c>
      <c r="L3864">
        <v>60623</v>
      </c>
      <c r="M3864" t="s">
        <v>104</v>
      </c>
      <c r="N3864" t="s">
        <v>1094</v>
      </c>
      <c r="O3864" t="s">
        <v>45</v>
      </c>
      <c r="P3864" t="s">
        <v>74</v>
      </c>
      <c r="Q3864" t="s">
        <v>1095</v>
      </c>
      <c r="R3864">
        <v>8.5679999999999996</v>
      </c>
      <c r="S3864">
        <v>3</v>
      </c>
      <c r="T3864">
        <v>0.8</v>
      </c>
      <c r="U3864">
        <v>-14.5656</v>
      </c>
      <c r="V3864" t="str">
        <f t="shared" si="60"/>
        <v>Frank Olsen</v>
      </c>
      <c r="W3864">
        <f>Table2[Profit]/Table2[Sales]</f>
        <v>-1.7</v>
      </c>
    </row>
    <row r="3865" spans="1:23" x14ac:dyDescent="0.25">
      <c r="A3865">
        <v>3864</v>
      </c>
      <c r="B3865" t="s">
        <v>9426</v>
      </c>
      <c r="C3865" s="1">
        <v>42678</v>
      </c>
      <c r="D3865" s="1">
        <v>42680</v>
      </c>
      <c r="E3865" t="s">
        <v>22</v>
      </c>
      <c r="F3865" t="s">
        <v>427</v>
      </c>
      <c r="G3865" t="s">
        <v>428</v>
      </c>
      <c r="H3865" t="s">
        <v>40</v>
      </c>
      <c r="I3865" t="s">
        <v>26</v>
      </c>
      <c r="J3865" t="s">
        <v>460</v>
      </c>
      <c r="K3865" t="s">
        <v>87</v>
      </c>
      <c r="L3865">
        <v>28205</v>
      </c>
      <c r="M3865" t="s">
        <v>29</v>
      </c>
      <c r="N3865" t="s">
        <v>390</v>
      </c>
      <c r="O3865" t="s">
        <v>45</v>
      </c>
      <c r="P3865" t="s">
        <v>58</v>
      </c>
      <c r="Q3865" t="s">
        <v>391</v>
      </c>
      <c r="R3865">
        <v>45.247999999999998</v>
      </c>
      <c r="S3865">
        <v>2</v>
      </c>
      <c r="T3865">
        <v>0.2</v>
      </c>
      <c r="U3865">
        <v>3.9592000000000001</v>
      </c>
      <c r="V3865" t="str">
        <f t="shared" si="60"/>
        <v>Elpida Rittenbach</v>
      </c>
      <c r="W3865">
        <f>Table2[Profit]/Table2[Sales]</f>
        <v>8.7500000000000008E-2</v>
      </c>
    </row>
    <row r="3866" spans="1:23" x14ac:dyDescent="0.25">
      <c r="A3866">
        <v>3865</v>
      </c>
      <c r="B3866" t="s">
        <v>9427</v>
      </c>
      <c r="C3866" s="1">
        <v>41972</v>
      </c>
      <c r="D3866" s="1">
        <v>41979</v>
      </c>
      <c r="E3866" t="s">
        <v>49</v>
      </c>
      <c r="F3866" t="s">
        <v>1445</v>
      </c>
      <c r="G3866" t="s">
        <v>1446</v>
      </c>
      <c r="H3866" t="s">
        <v>25</v>
      </c>
      <c r="I3866" t="s">
        <v>26</v>
      </c>
      <c r="J3866" t="s">
        <v>263</v>
      </c>
      <c r="K3866" t="s">
        <v>264</v>
      </c>
      <c r="L3866">
        <v>10009</v>
      </c>
      <c r="M3866" t="s">
        <v>145</v>
      </c>
      <c r="N3866" t="s">
        <v>254</v>
      </c>
      <c r="O3866" t="s">
        <v>45</v>
      </c>
      <c r="P3866" t="s">
        <v>46</v>
      </c>
      <c r="Q3866" t="s">
        <v>255</v>
      </c>
      <c r="R3866">
        <v>25.06</v>
      </c>
      <c r="S3866">
        <v>2</v>
      </c>
      <c r="T3866">
        <v>0</v>
      </c>
      <c r="U3866">
        <v>11.7782</v>
      </c>
      <c r="V3866" t="str">
        <f t="shared" si="60"/>
        <v>Philip Brown</v>
      </c>
      <c r="W3866">
        <f>Table2[Profit]/Table2[Sales]</f>
        <v>0.47000000000000003</v>
      </c>
    </row>
    <row r="3867" spans="1:23" x14ac:dyDescent="0.25">
      <c r="A3867">
        <v>3866</v>
      </c>
      <c r="B3867" t="s">
        <v>9428</v>
      </c>
      <c r="C3867" s="1">
        <v>42507</v>
      </c>
      <c r="D3867" s="1">
        <v>42510</v>
      </c>
      <c r="E3867" t="s">
        <v>185</v>
      </c>
      <c r="F3867" t="s">
        <v>4773</v>
      </c>
      <c r="G3867" t="s">
        <v>4774</v>
      </c>
      <c r="H3867" t="s">
        <v>25</v>
      </c>
      <c r="I3867" t="s">
        <v>26</v>
      </c>
      <c r="J3867" t="s">
        <v>296</v>
      </c>
      <c r="K3867" t="s">
        <v>208</v>
      </c>
      <c r="L3867">
        <v>60653</v>
      </c>
      <c r="M3867" t="s">
        <v>104</v>
      </c>
      <c r="N3867" t="s">
        <v>8655</v>
      </c>
      <c r="O3867" t="s">
        <v>45</v>
      </c>
      <c r="P3867" t="s">
        <v>74</v>
      </c>
      <c r="Q3867" t="s">
        <v>8656</v>
      </c>
      <c r="R3867">
        <v>2.89</v>
      </c>
      <c r="S3867">
        <v>1</v>
      </c>
      <c r="T3867">
        <v>0.8</v>
      </c>
      <c r="U3867">
        <v>-4.7685000000000004</v>
      </c>
      <c r="V3867" t="str">
        <f t="shared" si="60"/>
        <v>Luke Weiss</v>
      </c>
      <c r="W3867">
        <f>Table2[Profit]/Table2[Sales]</f>
        <v>-1.6500000000000001</v>
      </c>
    </row>
    <row r="3868" spans="1:23" x14ac:dyDescent="0.25">
      <c r="A3868">
        <v>3867</v>
      </c>
      <c r="B3868" t="s">
        <v>9429</v>
      </c>
      <c r="C3868" s="1">
        <v>42997</v>
      </c>
      <c r="D3868" s="1">
        <v>42997</v>
      </c>
      <c r="E3868" t="s">
        <v>1278</v>
      </c>
      <c r="F3868" t="s">
        <v>3597</v>
      </c>
      <c r="G3868" t="s">
        <v>3598</v>
      </c>
      <c r="H3868" t="s">
        <v>101</v>
      </c>
      <c r="I3868" t="s">
        <v>26</v>
      </c>
      <c r="J3868" t="s">
        <v>143</v>
      </c>
      <c r="K3868" t="s">
        <v>144</v>
      </c>
      <c r="L3868">
        <v>19120</v>
      </c>
      <c r="M3868" t="s">
        <v>145</v>
      </c>
      <c r="N3868" t="s">
        <v>2448</v>
      </c>
      <c r="O3868" t="s">
        <v>45</v>
      </c>
      <c r="P3868" t="s">
        <v>74</v>
      </c>
      <c r="Q3868" t="s">
        <v>2449</v>
      </c>
      <c r="R3868">
        <v>4.8419999999999996</v>
      </c>
      <c r="S3868">
        <v>3</v>
      </c>
      <c r="T3868">
        <v>0.7</v>
      </c>
      <c r="U3868">
        <v>-3.3894000000000002</v>
      </c>
      <c r="V3868" t="str">
        <f t="shared" si="60"/>
        <v>Frank Gastineau</v>
      </c>
      <c r="W3868">
        <f>Table2[Profit]/Table2[Sales]</f>
        <v>-0.70000000000000007</v>
      </c>
    </row>
    <row r="3869" spans="1:23" x14ac:dyDescent="0.25">
      <c r="A3869">
        <v>3868</v>
      </c>
      <c r="B3869" t="s">
        <v>9430</v>
      </c>
      <c r="C3869" s="1">
        <v>42723</v>
      </c>
      <c r="D3869" s="1">
        <v>42728</v>
      </c>
      <c r="E3869" t="s">
        <v>49</v>
      </c>
      <c r="F3869" t="s">
        <v>8347</v>
      </c>
      <c r="G3869" t="s">
        <v>8348</v>
      </c>
      <c r="H3869" t="s">
        <v>40</v>
      </c>
      <c r="I3869" t="s">
        <v>26</v>
      </c>
      <c r="J3869" t="s">
        <v>296</v>
      </c>
      <c r="K3869" t="s">
        <v>208</v>
      </c>
      <c r="L3869">
        <v>60623</v>
      </c>
      <c r="M3869" t="s">
        <v>104</v>
      </c>
      <c r="N3869" t="s">
        <v>2894</v>
      </c>
      <c r="O3869" t="s">
        <v>45</v>
      </c>
      <c r="P3869" t="s">
        <v>74</v>
      </c>
      <c r="Q3869" t="s">
        <v>2895</v>
      </c>
      <c r="R3869">
        <v>1.8</v>
      </c>
      <c r="S3869">
        <v>5</v>
      </c>
      <c r="T3869">
        <v>0.8</v>
      </c>
      <c r="U3869">
        <v>-2.88</v>
      </c>
      <c r="V3869" t="str">
        <f t="shared" si="60"/>
        <v>Barry Pond</v>
      </c>
      <c r="W3869">
        <f>Table2[Profit]/Table2[Sales]</f>
        <v>-1.5999999999999999</v>
      </c>
    </row>
    <row r="3870" spans="1:23" x14ac:dyDescent="0.25">
      <c r="A3870">
        <v>3869</v>
      </c>
      <c r="B3870" t="s">
        <v>9431</v>
      </c>
      <c r="C3870" s="1">
        <v>43020</v>
      </c>
      <c r="D3870" s="1">
        <v>43023</v>
      </c>
      <c r="E3870" t="s">
        <v>185</v>
      </c>
      <c r="F3870" t="s">
        <v>1147</v>
      </c>
      <c r="G3870" t="s">
        <v>1148</v>
      </c>
      <c r="H3870" t="s">
        <v>40</v>
      </c>
      <c r="I3870" t="s">
        <v>26</v>
      </c>
      <c r="J3870" t="s">
        <v>808</v>
      </c>
      <c r="K3870" t="s">
        <v>103</v>
      </c>
      <c r="L3870">
        <v>75217</v>
      </c>
      <c r="M3870" t="s">
        <v>104</v>
      </c>
      <c r="N3870" t="s">
        <v>2328</v>
      </c>
      <c r="O3870" t="s">
        <v>70</v>
      </c>
      <c r="P3870" t="s">
        <v>158</v>
      </c>
      <c r="Q3870" t="s">
        <v>2329</v>
      </c>
      <c r="R3870">
        <v>39.984000000000002</v>
      </c>
      <c r="S3870">
        <v>2</v>
      </c>
      <c r="T3870">
        <v>0.2</v>
      </c>
      <c r="U3870">
        <v>-1.4994000000000001</v>
      </c>
      <c r="V3870" t="str">
        <f t="shared" si="60"/>
        <v>Sung Pak</v>
      </c>
      <c r="W3870">
        <f>Table2[Profit]/Table2[Sales]</f>
        <v>-3.7499999999999999E-2</v>
      </c>
    </row>
    <row r="3871" spans="1:23" x14ac:dyDescent="0.25">
      <c r="A3871">
        <v>3870</v>
      </c>
      <c r="B3871" t="s">
        <v>9432</v>
      </c>
      <c r="C3871" s="1">
        <v>42350</v>
      </c>
      <c r="D3871" s="1">
        <v>42353</v>
      </c>
      <c r="E3871" t="s">
        <v>22</v>
      </c>
      <c r="F3871" t="s">
        <v>575</v>
      </c>
      <c r="G3871" t="s">
        <v>576</v>
      </c>
      <c r="H3871" t="s">
        <v>40</v>
      </c>
      <c r="I3871" t="s">
        <v>26</v>
      </c>
      <c r="J3871" t="s">
        <v>1380</v>
      </c>
      <c r="K3871" t="s">
        <v>1381</v>
      </c>
      <c r="L3871">
        <v>89115</v>
      </c>
      <c r="M3871" t="s">
        <v>43</v>
      </c>
      <c r="N3871" t="s">
        <v>1292</v>
      </c>
      <c r="O3871" t="s">
        <v>45</v>
      </c>
      <c r="P3871" t="s">
        <v>89</v>
      </c>
      <c r="Q3871" t="s">
        <v>1293</v>
      </c>
      <c r="R3871">
        <v>32.4</v>
      </c>
      <c r="S3871">
        <v>5</v>
      </c>
      <c r="T3871">
        <v>0</v>
      </c>
      <c r="U3871">
        <v>15.875999999999999</v>
      </c>
      <c r="V3871" t="str">
        <f t="shared" si="60"/>
        <v>Jonathan Doherty</v>
      </c>
      <c r="W3871">
        <f>Table2[Profit]/Table2[Sales]</f>
        <v>0.49</v>
      </c>
    </row>
    <row r="3872" spans="1:23" x14ac:dyDescent="0.25">
      <c r="A3872">
        <v>3871</v>
      </c>
      <c r="B3872" t="s">
        <v>9433</v>
      </c>
      <c r="C3872" s="1">
        <v>42197</v>
      </c>
      <c r="D3872" s="1">
        <v>42203</v>
      </c>
      <c r="E3872" t="s">
        <v>49</v>
      </c>
      <c r="F3872" t="s">
        <v>2050</v>
      </c>
      <c r="G3872" t="s">
        <v>2051</v>
      </c>
      <c r="H3872" t="s">
        <v>25</v>
      </c>
      <c r="I3872" t="s">
        <v>26</v>
      </c>
      <c r="J3872" t="s">
        <v>1590</v>
      </c>
      <c r="K3872" t="s">
        <v>103</v>
      </c>
      <c r="L3872">
        <v>79109</v>
      </c>
      <c r="M3872" t="s">
        <v>104</v>
      </c>
      <c r="N3872" t="s">
        <v>6152</v>
      </c>
      <c r="O3872" t="s">
        <v>70</v>
      </c>
      <c r="P3872" t="s">
        <v>71</v>
      </c>
      <c r="Q3872" t="s">
        <v>6153</v>
      </c>
      <c r="R3872">
        <v>307.16800000000001</v>
      </c>
      <c r="S3872">
        <v>4</v>
      </c>
      <c r="T3872">
        <v>0.2</v>
      </c>
      <c r="U3872">
        <v>30.716799999999999</v>
      </c>
      <c r="V3872" t="str">
        <f t="shared" si="60"/>
        <v>Fred McMath</v>
      </c>
      <c r="W3872">
        <f>Table2[Profit]/Table2[Sales]</f>
        <v>9.9999999999999992E-2</v>
      </c>
    </row>
    <row r="3873" spans="1:23" x14ac:dyDescent="0.25">
      <c r="A3873">
        <v>3872</v>
      </c>
      <c r="B3873" t="s">
        <v>9434</v>
      </c>
      <c r="C3873" s="1">
        <v>42279</v>
      </c>
      <c r="D3873" s="1">
        <v>42283</v>
      </c>
      <c r="E3873" t="s">
        <v>49</v>
      </c>
      <c r="F3873" t="s">
        <v>1463</v>
      </c>
      <c r="G3873" t="s">
        <v>1464</v>
      </c>
      <c r="H3873" t="s">
        <v>40</v>
      </c>
      <c r="I3873" t="s">
        <v>26</v>
      </c>
      <c r="J3873" t="s">
        <v>3616</v>
      </c>
      <c r="K3873" t="s">
        <v>740</v>
      </c>
      <c r="L3873">
        <v>6457</v>
      </c>
      <c r="M3873" t="s">
        <v>145</v>
      </c>
      <c r="N3873" t="s">
        <v>287</v>
      </c>
      <c r="O3873" t="s">
        <v>45</v>
      </c>
      <c r="P3873" t="s">
        <v>74</v>
      </c>
      <c r="Q3873" t="s">
        <v>288</v>
      </c>
      <c r="R3873">
        <v>26.9</v>
      </c>
      <c r="S3873">
        <v>5</v>
      </c>
      <c r="T3873">
        <v>0</v>
      </c>
      <c r="U3873">
        <v>13.180999999999999</v>
      </c>
      <c r="V3873" t="str">
        <f t="shared" si="60"/>
        <v>Michael Paige</v>
      </c>
      <c r="W3873">
        <f>Table2[Profit]/Table2[Sales]</f>
        <v>0.49</v>
      </c>
    </row>
    <row r="3874" spans="1:23" x14ac:dyDescent="0.25">
      <c r="A3874">
        <v>3873</v>
      </c>
      <c r="B3874" t="s">
        <v>9435</v>
      </c>
      <c r="C3874" s="1">
        <v>42818</v>
      </c>
      <c r="D3874" s="1">
        <v>42821</v>
      </c>
      <c r="E3874" t="s">
        <v>185</v>
      </c>
      <c r="F3874" t="s">
        <v>3326</v>
      </c>
      <c r="G3874" t="s">
        <v>3327</v>
      </c>
      <c r="H3874" t="s">
        <v>40</v>
      </c>
      <c r="I3874" t="s">
        <v>26</v>
      </c>
      <c r="J3874" t="s">
        <v>263</v>
      </c>
      <c r="K3874" t="s">
        <v>264</v>
      </c>
      <c r="L3874">
        <v>10035</v>
      </c>
      <c r="M3874" t="s">
        <v>145</v>
      </c>
      <c r="N3874" t="s">
        <v>5465</v>
      </c>
      <c r="O3874" t="s">
        <v>45</v>
      </c>
      <c r="P3874" t="s">
        <v>170</v>
      </c>
      <c r="Q3874" t="s">
        <v>5466</v>
      </c>
      <c r="R3874">
        <v>47.01</v>
      </c>
      <c r="S3874">
        <v>3</v>
      </c>
      <c r="T3874">
        <v>0</v>
      </c>
      <c r="U3874">
        <v>22.0947</v>
      </c>
      <c r="V3874" t="str">
        <f t="shared" si="60"/>
        <v>Harold Ryan</v>
      </c>
      <c r="W3874">
        <f>Table2[Profit]/Table2[Sales]</f>
        <v>0.47000000000000003</v>
      </c>
    </row>
    <row r="3875" spans="1:23" x14ac:dyDescent="0.25">
      <c r="A3875">
        <v>3874</v>
      </c>
      <c r="B3875" t="s">
        <v>9436</v>
      </c>
      <c r="C3875" s="1">
        <v>42887</v>
      </c>
      <c r="D3875" s="1">
        <v>42892</v>
      </c>
      <c r="E3875" t="s">
        <v>49</v>
      </c>
      <c r="F3875" t="s">
        <v>8257</v>
      </c>
      <c r="G3875" t="s">
        <v>8258</v>
      </c>
      <c r="H3875" t="s">
        <v>25</v>
      </c>
      <c r="I3875" t="s">
        <v>26</v>
      </c>
      <c r="J3875" t="s">
        <v>143</v>
      </c>
      <c r="K3875" t="s">
        <v>144</v>
      </c>
      <c r="L3875">
        <v>19120</v>
      </c>
      <c r="M3875" t="s">
        <v>145</v>
      </c>
      <c r="N3875" t="s">
        <v>1088</v>
      </c>
      <c r="O3875" t="s">
        <v>45</v>
      </c>
      <c r="P3875" t="s">
        <v>58</v>
      </c>
      <c r="Q3875" t="s">
        <v>1089</v>
      </c>
      <c r="R3875">
        <v>324.74400000000003</v>
      </c>
      <c r="S3875">
        <v>3</v>
      </c>
      <c r="T3875">
        <v>0.2</v>
      </c>
      <c r="U3875">
        <v>-77.1267</v>
      </c>
      <c r="V3875" t="str">
        <f t="shared" si="60"/>
        <v>Barry Weirich</v>
      </c>
      <c r="W3875">
        <f>Table2[Profit]/Table2[Sales]</f>
        <v>-0.23749999999999999</v>
      </c>
    </row>
    <row r="3876" spans="1:23" x14ac:dyDescent="0.25">
      <c r="A3876">
        <v>3875</v>
      </c>
      <c r="B3876" t="s">
        <v>9437</v>
      </c>
      <c r="C3876" s="1">
        <v>41722</v>
      </c>
      <c r="D3876" s="1">
        <v>41727</v>
      </c>
      <c r="E3876" t="s">
        <v>22</v>
      </c>
      <c r="F3876" t="s">
        <v>3114</v>
      </c>
      <c r="G3876" t="s">
        <v>3115</v>
      </c>
      <c r="H3876" t="s">
        <v>25</v>
      </c>
      <c r="I3876" t="s">
        <v>26</v>
      </c>
      <c r="J3876" t="s">
        <v>3419</v>
      </c>
      <c r="K3876" t="s">
        <v>42</v>
      </c>
      <c r="L3876">
        <v>93727</v>
      </c>
      <c r="M3876" t="s">
        <v>43</v>
      </c>
      <c r="N3876" t="s">
        <v>7603</v>
      </c>
      <c r="O3876" t="s">
        <v>31</v>
      </c>
      <c r="P3876" t="s">
        <v>64</v>
      </c>
      <c r="Q3876" t="s">
        <v>7604</v>
      </c>
      <c r="R3876">
        <v>40.479999999999997</v>
      </c>
      <c r="S3876">
        <v>2</v>
      </c>
      <c r="T3876">
        <v>0</v>
      </c>
      <c r="U3876">
        <v>14.572800000000001</v>
      </c>
      <c r="V3876" t="str">
        <f t="shared" si="60"/>
        <v>Maurice Satty</v>
      </c>
      <c r="W3876">
        <f>Table2[Profit]/Table2[Sales]</f>
        <v>0.36000000000000004</v>
      </c>
    </row>
    <row r="3877" spans="1:23" x14ac:dyDescent="0.25">
      <c r="A3877">
        <v>3876</v>
      </c>
      <c r="B3877" t="s">
        <v>9438</v>
      </c>
      <c r="C3877" s="1">
        <v>42269</v>
      </c>
      <c r="D3877" s="1">
        <v>42273</v>
      </c>
      <c r="E3877" t="s">
        <v>49</v>
      </c>
      <c r="F3877" t="s">
        <v>2620</v>
      </c>
      <c r="G3877" t="s">
        <v>2621</v>
      </c>
      <c r="H3877" t="s">
        <v>101</v>
      </c>
      <c r="I3877" t="s">
        <v>26</v>
      </c>
      <c r="J3877" t="s">
        <v>606</v>
      </c>
      <c r="K3877" t="s">
        <v>328</v>
      </c>
      <c r="L3877">
        <v>37064</v>
      </c>
      <c r="M3877" t="s">
        <v>29</v>
      </c>
      <c r="N3877" t="s">
        <v>4593</v>
      </c>
      <c r="O3877" t="s">
        <v>45</v>
      </c>
      <c r="P3877" t="s">
        <v>46</v>
      </c>
      <c r="Q3877" t="s">
        <v>4594</v>
      </c>
      <c r="R3877">
        <v>12</v>
      </c>
      <c r="S3877">
        <v>4</v>
      </c>
      <c r="T3877">
        <v>0.2</v>
      </c>
      <c r="U3877">
        <v>4.2</v>
      </c>
      <c r="V3877" t="str">
        <f t="shared" si="60"/>
        <v>Sanjit Jacobs</v>
      </c>
      <c r="W3877">
        <f>Table2[Profit]/Table2[Sales]</f>
        <v>0.35000000000000003</v>
      </c>
    </row>
    <row r="3878" spans="1:23" x14ac:dyDescent="0.25">
      <c r="A3878">
        <v>3877</v>
      </c>
      <c r="B3878" t="s">
        <v>9439</v>
      </c>
      <c r="C3878" s="1">
        <v>42377</v>
      </c>
      <c r="D3878" s="1">
        <v>42382</v>
      </c>
      <c r="E3878" t="s">
        <v>49</v>
      </c>
      <c r="F3878" t="s">
        <v>7370</v>
      </c>
      <c r="G3878" t="s">
        <v>7371</v>
      </c>
      <c r="H3878" t="s">
        <v>25</v>
      </c>
      <c r="I3878" t="s">
        <v>26</v>
      </c>
      <c r="J3878" t="s">
        <v>4494</v>
      </c>
      <c r="K3878" t="s">
        <v>87</v>
      </c>
      <c r="L3878">
        <v>27604</v>
      </c>
      <c r="M3878" t="s">
        <v>29</v>
      </c>
      <c r="N3878" t="s">
        <v>3452</v>
      </c>
      <c r="O3878" t="s">
        <v>45</v>
      </c>
      <c r="P3878" t="s">
        <v>74</v>
      </c>
      <c r="Q3878" t="s">
        <v>3453</v>
      </c>
      <c r="R3878">
        <v>30.827999999999999</v>
      </c>
      <c r="S3878">
        <v>7</v>
      </c>
      <c r="T3878">
        <v>0.7</v>
      </c>
      <c r="U3878">
        <v>-24.662400000000002</v>
      </c>
      <c r="V3878" t="str">
        <f t="shared" si="60"/>
        <v>Vivek Sundaresam</v>
      </c>
      <c r="W3878">
        <f>Table2[Profit]/Table2[Sales]</f>
        <v>-0.8</v>
      </c>
    </row>
    <row r="3879" spans="1:23" x14ac:dyDescent="0.25">
      <c r="A3879">
        <v>3878</v>
      </c>
      <c r="B3879" t="s">
        <v>9440</v>
      </c>
      <c r="C3879" s="1">
        <v>42414</v>
      </c>
      <c r="D3879" s="1">
        <v>42415</v>
      </c>
      <c r="E3879" t="s">
        <v>185</v>
      </c>
      <c r="F3879" t="s">
        <v>501</v>
      </c>
      <c r="G3879" t="s">
        <v>502</v>
      </c>
      <c r="H3879" t="s">
        <v>25</v>
      </c>
      <c r="I3879" t="s">
        <v>26</v>
      </c>
      <c r="J3879" t="s">
        <v>3159</v>
      </c>
      <c r="K3879" t="s">
        <v>2699</v>
      </c>
      <c r="L3879">
        <v>20735</v>
      </c>
      <c r="M3879" t="s">
        <v>145</v>
      </c>
      <c r="N3879" t="s">
        <v>5943</v>
      </c>
      <c r="O3879" t="s">
        <v>45</v>
      </c>
      <c r="P3879" t="s">
        <v>89</v>
      </c>
      <c r="Q3879" t="s">
        <v>5944</v>
      </c>
      <c r="R3879">
        <v>4.7699999999999996</v>
      </c>
      <c r="S3879">
        <v>1</v>
      </c>
      <c r="T3879">
        <v>0</v>
      </c>
      <c r="U3879">
        <v>2.1465000000000001</v>
      </c>
      <c r="V3879" t="str">
        <f t="shared" si="60"/>
        <v>Dave Kipp</v>
      </c>
      <c r="W3879">
        <f>Table2[Profit]/Table2[Sales]</f>
        <v>0.45000000000000007</v>
      </c>
    </row>
    <row r="3880" spans="1:23" x14ac:dyDescent="0.25">
      <c r="A3880">
        <v>3879</v>
      </c>
      <c r="B3880" t="s">
        <v>9441</v>
      </c>
      <c r="C3880" s="1">
        <v>42894</v>
      </c>
      <c r="D3880" s="1">
        <v>42896</v>
      </c>
      <c r="E3880" t="s">
        <v>185</v>
      </c>
      <c r="F3880" t="s">
        <v>598</v>
      </c>
      <c r="G3880" t="s">
        <v>599</v>
      </c>
      <c r="H3880" t="s">
        <v>101</v>
      </c>
      <c r="I3880" t="s">
        <v>26</v>
      </c>
      <c r="J3880" t="s">
        <v>41</v>
      </c>
      <c r="K3880" t="s">
        <v>42</v>
      </c>
      <c r="L3880">
        <v>90049</v>
      </c>
      <c r="M3880" t="s">
        <v>43</v>
      </c>
      <c r="N3880" t="s">
        <v>163</v>
      </c>
      <c r="O3880" t="s">
        <v>31</v>
      </c>
      <c r="P3880" t="s">
        <v>32</v>
      </c>
      <c r="Q3880" t="s">
        <v>164</v>
      </c>
      <c r="R3880">
        <v>1497.6659999999999</v>
      </c>
      <c r="S3880">
        <v>2</v>
      </c>
      <c r="T3880">
        <v>0.15</v>
      </c>
      <c r="U3880">
        <v>140.95679999999999</v>
      </c>
      <c r="V3880" t="str">
        <f t="shared" si="60"/>
        <v>Maureen Gastineau</v>
      </c>
      <c r="W3880">
        <f>Table2[Profit]/Table2[Sales]</f>
        <v>9.4117647058823528E-2</v>
      </c>
    </row>
    <row r="3881" spans="1:23" x14ac:dyDescent="0.25">
      <c r="A3881">
        <v>3880</v>
      </c>
      <c r="B3881" t="s">
        <v>9442</v>
      </c>
      <c r="C3881" s="1">
        <v>42664</v>
      </c>
      <c r="D3881" s="1">
        <v>42669</v>
      </c>
      <c r="E3881" t="s">
        <v>22</v>
      </c>
      <c r="F3881" t="s">
        <v>4121</v>
      </c>
      <c r="G3881" t="s">
        <v>4122</v>
      </c>
      <c r="H3881" t="s">
        <v>101</v>
      </c>
      <c r="I3881" t="s">
        <v>26</v>
      </c>
      <c r="J3881" t="s">
        <v>3961</v>
      </c>
      <c r="K3881" t="s">
        <v>1381</v>
      </c>
      <c r="L3881">
        <v>89031</v>
      </c>
      <c r="M3881" t="s">
        <v>43</v>
      </c>
      <c r="N3881" t="s">
        <v>3748</v>
      </c>
      <c r="O3881" t="s">
        <v>45</v>
      </c>
      <c r="P3881" t="s">
        <v>67</v>
      </c>
      <c r="Q3881" t="s">
        <v>3749</v>
      </c>
      <c r="R3881">
        <v>113.22</v>
      </c>
      <c r="S3881">
        <v>3</v>
      </c>
      <c r="T3881">
        <v>0</v>
      </c>
      <c r="U3881">
        <v>29.437200000000001</v>
      </c>
      <c r="V3881" t="str">
        <f t="shared" si="60"/>
        <v>Dennis Pardue</v>
      </c>
      <c r="W3881">
        <f>Table2[Profit]/Table2[Sales]</f>
        <v>0.26</v>
      </c>
    </row>
    <row r="3882" spans="1:23" x14ac:dyDescent="0.25">
      <c r="A3882">
        <v>3881</v>
      </c>
      <c r="B3882" t="s">
        <v>9443</v>
      </c>
      <c r="C3882" s="1">
        <v>42761</v>
      </c>
      <c r="D3882" s="1">
        <v>42765</v>
      </c>
      <c r="E3882" t="s">
        <v>49</v>
      </c>
      <c r="F3882" t="s">
        <v>1439</v>
      </c>
      <c r="G3882" t="s">
        <v>1440</v>
      </c>
      <c r="H3882" t="s">
        <v>25</v>
      </c>
      <c r="I3882" t="s">
        <v>26</v>
      </c>
      <c r="J3882" t="s">
        <v>126</v>
      </c>
      <c r="K3882" t="s">
        <v>42</v>
      </c>
      <c r="L3882">
        <v>94109</v>
      </c>
      <c r="M3882" t="s">
        <v>43</v>
      </c>
      <c r="N3882" t="s">
        <v>4227</v>
      </c>
      <c r="O3882" t="s">
        <v>45</v>
      </c>
      <c r="P3882" t="s">
        <v>266</v>
      </c>
      <c r="Q3882" t="s">
        <v>4228</v>
      </c>
      <c r="R3882">
        <v>11.84</v>
      </c>
      <c r="S3882">
        <v>8</v>
      </c>
      <c r="T3882">
        <v>0</v>
      </c>
      <c r="U3882">
        <v>5.6832000000000003</v>
      </c>
      <c r="V3882" t="str">
        <f t="shared" si="60"/>
        <v>Caroline Jumper</v>
      </c>
      <c r="W3882">
        <f>Table2[Profit]/Table2[Sales]</f>
        <v>0.48000000000000004</v>
      </c>
    </row>
    <row r="3883" spans="1:23" x14ac:dyDescent="0.25">
      <c r="A3883">
        <v>3882</v>
      </c>
      <c r="B3883" t="s">
        <v>9444</v>
      </c>
      <c r="C3883" s="1">
        <v>43077</v>
      </c>
      <c r="D3883" s="1">
        <v>43079</v>
      </c>
      <c r="E3883" t="s">
        <v>22</v>
      </c>
      <c r="F3883" t="s">
        <v>1655</v>
      </c>
      <c r="G3883" t="s">
        <v>1656</v>
      </c>
      <c r="H3883" t="s">
        <v>101</v>
      </c>
      <c r="I3883" t="s">
        <v>26</v>
      </c>
      <c r="J3883" t="s">
        <v>7134</v>
      </c>
      <c r="K3883" t="s">
        <v>1388</v>
      </c>
      <c r="L3883">
        <v>2920</v>
      </c>
      <c r="M3883" t="s">
        <v>145</v>
      </c>
      <c r="N3883" t="s">
        <v>2288</v>
      </c>
      <c r="O3883" t="s">
        <v>45</v>
      </c>
      <c r="P3883" t="s">
        <v>58</v>
      </c>
      <c r="Q3883" t="s">
        <v>2289</v>
      </c>
      <c r="R3883">
        <v>592.74</v>
      </c>
      <c r="S3883">
        <v>6</v>
      </c>
      <c r="T3883">
        <v>0</v>
      </c>
      <c r="U3883">
        <v>160.03980000000001</v>
      </c>
      <c r="V3883" t="str">
        <f t="shared" si="60"/>
        <v>Carl Weiss</v>
      </c>
      <c r="W3883">
        <f>Table2[Profit]/Table2[Sales]</f>
        <v>0.27</v>
      </c>
    </row>
    <row r="3884" spans="1:23" x14ac:dyDescent="0.25">
      <c r="A3884">
        <v>3883</v>
      </c>
      <c r="B3884" t="s">
        <v>9445</v>
      </c>
      <c r="C3884" s="1">
        <v>42664</v>
      </c>
      <c r="D3884" s="1">
        <v>42667</v>
      </c>
      <c r="E3884" t="s">
        <v>22</v>
      </c>
      <c r="F3884" t="s">
        <v>4531</v>
      </c>
      <c r="G3884" t="s">
        <v>4532</v>
      </c>
      <c r="H3884" t="s">
        <v>25</v>
      </c>
      <c r="I3884" t="s">
        <v>26</v>
      </c>
      <c r="J3884" t="s">
        <v>321</v>
      </c>
      <c r="K3884" t="s">
        <v>328</v>
      </c>
      <c r="L3884">
        <v>38301</v>
      </c>
      <c r="M3884" t="s">
        <v>29</v>
      </c>
      <c r="N3884" t="s">
        <v>3930</v>
      </c>
      <c r="O3884" t="s">
        <v>45</v>
      </c>
      <c r="P3884" t="s">
        <v>58</v>
      </c>
      <c r="Q3884" t="s">
        <v>6433</v>
      </c>
      <c r="R3884">
        <v>111.672</v>
      </c>
      <c r="S3884">
        <v>9</v>
      </c>
      <c r="T3884">
        <v>0.2</v>
      </c>
      <c r="U3884">
        <v>6.9794999999999998</v>
      </c>
      <c r="V3884" t="str">
        <f t="shared" si="60"/>
        <v>Giulietta Weimer</v>
      </c>
      <c r="W3884">
        <f>Table2[Profit]/Table2[Sales]</f>
        <v>6.25E-2</v>
      </c>
    </row>
    <row r="3885" spans="1:23" x14ac:dyDescent="0.25">
      <c r="A3885">
        <v>3884</v>
      </c>
      <c r="B3885" t="s">
        <v>9446</v>
      </c>
      <c r="C3885" s="1">
        <v>41877</v>
      </c>
      <c r="D3885" s="1">
        <v>41883</v>
      </c>
      <c r="E3885" t="s">
        <v>49</v>
      </c>
      <c r="F3885" t="s">
        <v>3714</v>
      </c>
      <c r="G3885" t="s">
        <v>3715</v>
      </c>
      <c r="H3885" t="s">
        <v>101</v>
      </c>
      <c r="I3885" t="s">
        <v>26</v>
      </c>
      <c r="J3885" t="s">
        <v>600</v>
      </c>
      <c r="K3885" t="s">
        <v>242</v>
      </c>
      <c r="L3885">
        <v>19711</v>
      </c>
      <c r="M3885" t="s">
        <v>145</v>
      </c>
      <c r="N3885" t="s">
        <v>3878</v>
      </c>
      <c r="O3885" t="s">
        <v>45</v>
      </c>
      <c r="P3885" t="s">
        <v>67</v>
      </c>
      <c r="Q3885" t="s">
        <v>3879</v>
      </c>
      <c r="R3885">
        <v>8.64</v>
      </c>
      <c r="S3885">
        <v>3</v>
      </c>
      <c r="T3885">
        <v>0</v>
      </c>
      <c r="U3885">
        <v>2.5055999999999998</v>
      </c>
      <c r="V3885" t="str">
        <f t="shared" si="60"/>
        <v>Paul Prost</v>
      </c>
      <c r="W3885">
        <f>Table2[Profit]/Table2[Sales]</f>
        <v>0.28999999999999998</v>
      </c>
    </row>
    <row r="3886" spans="1:23" x14ac:dyDescent="0.25">
      <c r="A3886">
        <v>3885</v>
      </c>
      <c r="B3886" t="s">
        <v>9447</v>
      </c>
      <c r="C3886" s="1">
        <v>41775</v>
      </c>
      <c r="D3886" s="1">
        <v>41782</v>
      </c>
      <c r="E3886" t="s">
        <v>49</v>
      </c>
      <c r="F3886" t="s">
        <v>3804</v>
      </c>
      <c r="G3886" t="s">
        <v>3805</v>
      </c>
      <c r="H3886" t="s">
        <v>40</v>
      </c>
      <c r="I3886" t="s">
        <v>26</v>
      </c>
      <c r="J3886" t="s">
        <v>41</v>
      </c>
      <c r="K3886" t="s">
        <v>42</v>
      </c>
      <c r="L3886">
        <v>90036</v>
      </c>
      <c r="M3886" t="s">
        <v>43</v>
      </c>
      <c r="N3886" t="s">
        <v>5380</v>
      </c>
      <c r="O3886" t="s">
        <v>31</v>
      </c>
      <c r="P3886" t="s">
        <v>35</v>
      </c>
      <c r="Q3886" t="s">
        <v>5381</v>
      </c>
      <c r="R3886">
        <v>232.88</v>
      </c>
      <c r="S3886">
        <v>5</v>
      </c>
      <c r="T3886">
        <v>0.2</v>
      </c>
      <c r="U3886">
        <v>17.466000000000001</v>
      </c>
      <c r="V3886" t="str">
        <f t="shared" si="60"/>
        <v>Pauline Webber</v>
      </c>
      <c r="W3886">
        <f>Table2[Profit]/Table2[Sales]</f>
        <v>7.5000000000000011E-2</v>
      </c>
    </row>
    <row r="3887" spans="1:23" x14ac:dyDescent="0.25">
      <c r="A3887">
        <v>3886</v>
      </c>
      <c r="B3887" t="s">
        <v>9448</v>
      </c>
      <c r="C3887" s="1">
        <v>42038</v>
      </c>
      <c r="D3887" s="1">
        <v>42042</v>
      </c>
      <c r="E3887" t="s">
        <v>49</v>
      </c>
      <c r="F3887" t="s">
        <v>3804</v>
      </c>
      <c r="G3887" t="s">
        <v>3805</v>
      </c>
      <c r="H3887" t="s">
        <v>40</v>
      </c>
      <c r="I3887" t="s">
        <v>26</v>
      </c>
      <c r="J3887" t="s">
        <v>7389</v>
      </c>
      <c r="K3887" t="s">
        <v>264</v>
      </c>
      <c r="L3887">
        <v>13440</v>
      </c>
      <c r="M3887" t="s">
        <v>145</v>
      </c>
      <c r="N3887" t="s">
        <v>200</v>
      </c>
      <c r="O3887" t="s">
        <v>31</v>
      </c>
      <c r="P3887" t="s">
        <v>35</v>
      </c>
      <c r="Q3887" t="s">
        <v>201</v>
      </c>
      <c r="R3887">
        <v>90.882000000000005</v>
      </c>
      <c r="S3887">
        <v>1</v>
      </c>
      <c r="T3887">
        <v>0.1</v>
      </c>
      <c r="U3887">
        <v>15.147</v>
      </c>
      <c r="V3887" t="str">
        <f t="shared" si="60"/>
        <v>Pauline Webber</v>
      </c>
      <c r="W3887">
        <f>Table2[Profit]/Table2[Sales]</f>
        <v>0.16666666666666666</v>
      </c>
    </row>
    <row r="3888" spans="1:23" x14ac:dyDescent="0.25">
      <c r="A3888">
        <v>3887</v>
      </c>
      <c r="B3888" t="s">
        <v>9449</v>
      </c>
      <c r="C3888" s="1">
        <v>43039</v>
      </c>
      <c r="D3888" s="1">
        <v>43044</v>
      </c>
      <c r="E3888" t="s">
        <v>49</v>
      </c>
      <c r="F3888" t="s">
        <v>3143</v>
      </c>
      <c r="G3888" t="s">
        <v>3144</v>
      </c>
      <c r="H3888" t="s">
        <v>40</v>
      </c>
      <c r="I3888" t="s">
        <v>26</v>
      </c>
      <c r="J3888" t="s">
        <v>296</v>
      </c>
      <c r="K3888" t="s">
        <v>208</v>
      </c>
      <c r="L3888">
        <v>60610</v>
      </c>
      <c r="M3888" t="s">
        <v>104</v>
      </c>
      <c r="N3888" t="s">
        <v>2143</v>
      </c>
      <c r="O3888" t="s">
        <v>70</v>
      </c>
      <c r="P3888" t="s">
        <v>71</v>
      </c>
      <c r="Q3888" t="s">
        <v>2144</v>
      </c>
      <c r="R3888">
        <v>508.76799999999997</v>
      </c>
      <c r="S3888">
        <v>4</v>
      </c>
      <c r="T3888">
        <v>0.2</v>
      </c>
      <c r="U3888">
        <v>38.157600000000002</v>
      </c>
      <c r="V3888" t="str">
        <f t="shared" si="60"/>
        <v>Craig Yedwab</v>
      </c>
      <c r="W3888">
        <f>Table2[Profit]/Table2[Sales]</f>
        <v>7.5000000000000011E-2</v>
      </c>
    </row>
    <row r="3889" spans="1:23" x14ac:dyDescent="0.25">
      <c r="A3889">
        <v>3888</v>
      </c>
      <c r="B3889" t="s">
        <v>9450</v>
      </c>
      <c r="C3889" s="1">
        <v>42120</v>
      </c>
      <c r="D3889" s="1">
        <v>42125</v>
      </c>
      <c r="E3889" t="s">
        <v>49</v>
      </c>
      <c r="F3889" t="s">
        <v>2515</v>
      </c>
      <c r="G3889" t="s">
        <v>2516</v>
      </c>
      <c r="H3889" t="s">
        <v>40</v>
      </c>
      <c r="I3889" t="s">
        <v>26</v>
      </c>
      <c r="J3889" t="s">
        <v>941</v>
      </c>
      <c r="K3889" t="s">
        <v>42</v>
      </c>
      <c r="L3889">
        <v>92105</v>
      </c>
      <c r="M3889" t="s">
        <v>43</v>
      </c>
      <c r="N3889" t="s">
        <v>5630</v>
      </c>
      <c r="O3889" t="s">
        <v>31</v>
      </c>
      <c r="P3889" t="s">
        <v>35</v>
      </c>
      <c r="Q3889" t="s">
        <v>5631</v>
      </c>
      <c r="R3889">
        <v>63.936</v>
      </c>
      <c r="S3889">
        <v>3</v>
      </c>
      <c r="T3889">
        <v>0.2</v>
      </c>
      <c r="U3889">
        <v>6.3936000000000002</v>
      </c>
      <c r="V3889" t="str">
        <f t="shared" si="60"/>
        <v>Bart Watters</v>
      </c>
      <c r="W3889">
        <f>Table2[Profit]/Table2[Sales]</f>
        <v>0.1</v>
      </c>
    </row>
    <row r="3890" spans="1:23" x14ac:dyDescent="0.25">
      <c r="A3890">
        <v>3889</v>
      </c>
      <c r="B3890" t="s">
        <v>9451</v>
      </c>
      <c r="C3890" s="1">
        <v>42499</v>
      </c>
      <c r="D3890" s="1">
        <v>42503</v>
      </c>
      <c r="E3890" t="s">
        <v>49</v>
      </c>
      <c r="F3890" t="s">
        <v>3852</v>
      </c>
      <c r="G3890" t="s">
        <v>3853</v>
      </c>
      <c r="H3890" t="s">
        <v>25</v>
      </c>
      <c r="I3890" t="s">
        <v>26</v>
      </c>
      <c r="J3890" t="s">
        <v>181</v>
      </c>
      <c r="K3890" t="s">
        <v>103</v>
      </c>
      <c r="L3890">
        <v>77036</v>
      </c>
      <c r="M3890" t="s">
        <v>104</v>
      </c>
      <c r="N3890" t="s">
        <v>759</v>
      </c>
      <c r="O3890" t="s">
        <v>70</v>
      </c>
      <c r="P3890" t="s">
        <v>71</v>
      </c>
      <c r="Q3890" t="s">
        <v>760</v>
      </c>
      <c r="R3890">
        <v>19.135999999999999</v>
      </c>
      <c r="S3890">
        <v>2</v>
      </c>
      <c r="T3890">
        <v>0.2</v>
      </c>
      <c r="U3890">
        <v>1.9136</v>
      </c>
      <c r="V3890" t="str">
        <f t="shared" si="60"/>
        <v>Mick Brown</v>
      </c>
      <c r="W3890">
        <f>Table2[Profit]/Table2[Sales]</f>
        <v>0.1</v>
      </c>
    </row>
    <row r="3891" spans="1:23" x14ac:dyDescent="0.25">
      <c r="A3891">
        <v>3890</v>
      </c>
      <c r="B3891" t="s">
        <v>9452</v>
      </c>
      <c r="C3891" s="1">
        <v>42028</v>
      </c>
      <c r="D3891" s="1">
        <v>42032</v>
      </c>
      <c r="E3891" t="s">
        <v>49</v>
      </c>
      <c r="F3891" t="s">
        <v>7108</v>
      </c>
      <c r="G3891" t="s">
        <v>7109</v>
      </c>
      <c r="H3891" t="s">
        <v>101</v>
      </c>
      <c r="I3891" t="s">
        <v>26</v>
      </c>
      <c r="J3891" t="s">
        <v>8939</v>
      </c>
      <c r="K3891" t="s">
        <v>53</v>
      </c>
      <c r="L3891">
        <v>33407</v>
      </c>
      <c r="M3891" t="s">
        <v>29</v>
      </c>
      <c r="N3891" t="s">
        <v>1356</v>
      </c>
      <c r="O3891" t="s">
        <v>45</v>
      </c>
      <c r="P3891" t="s">
        <v>67</v>
      </c>
      <c r="Q3891" t="s">
        <v>1357</v>
      </c>
      <c r="R3891">
        <v>13.12</v>
      </c>
      <c r="S3891">
        <v>5</v>
      </c>
      <c r="T3891">
        <v>0.2</v>
      </c>
      <c r="U3891">
        <v>2.1320000000000001</v>
      </c>
      <c r="V3891" t="str">
        <f t="shared" si="60"/>
        <v>Cyra Reiten</v>
      </c>
      <c r="W3891">
        <f>Table2[Profit]/Table2[Sales]</f>
        <v>0.16250000000000001</v>
      </c>
    </row>
    <row r="3892" spans="1:23" x14ac:dyDescent="0.25">
      <c r="A3892">
        <v>3891</v>
      </c>
      <c r="B3892" t="s">
        <v>9453</v>
      </c>
      <c r="C3892" s="1">
        <v>42107</v>
      </c>
      <c r="D3892" s="1">
        <v>42111</v>
      </c>
      <c r="E3892" t="s">
        <v>22</v>
      </c>
      <c r="F3892" t="s">
        <v>6186</v>
      </c>
      <c r="G3892" t="s">
        <v>6187</v>
      </c>
      <c r="H3892" t="s">
        <v>25</v>
      </c>
      <c r="I3892" t="s">
        <v>26</v>
      </c>
      <c r="J3892" t="s">
        <v>41</v>
      </c>
      <c r="K3892" t="s">
        <v>42</v>
      </c>
      <c r="L3892">
        <v>90045</v>
      </c>
      <c r="M3892" t="s">
        <v>43</v>
      </c>
      <c r="N3892" t="s">
        <v>3837</v>
      </c>
      <c r="O3892" t="s">
        <v>31</v>
      </c>
      <c r="P3892" t="s">
        <v>55</v>
      </c>
      <c r="Q3892" t="s">
        <v>3838</v>
      </c>
      <c r="R3892">
        <v>241.56800000000001</v>
      </c>
      <c r="S3892">
        <v>2</v>
      </c>
      <c r="T3892">
        <v>0.2</v>
      </c>
      <c r="U3892">
        <v>-15.098000000000001</v>
      </c>
      <c r="V3892" t="str">
        <f t="shared" si="60"/>
        <v>Eugene Barchas</v>
      </c>
      <c r="W3892">
        <f>Table2[Profit]/Table2[Sales]</f>
        <v>-6.25E-2</v>
      </c>
    </row>
    <row r="3893" spans="1:23" x14ac:dyDescent="0.25">
      <c r="A3893">
        <v>3892</v>
      </c>
      <c r="B3893" t="s">
        <v>9454</v>
      </c>
      <c r="C3893" s="1">
        <v>42272</v>
      </c>
      <c r="D3893" s="1">
        <v>42277</v>
      </c>
      <c r="E3893" t="s">
        <v>49</v>
      </c>
      <c r="F3893" t="s">
        <v>578</v>
      </c>
      <c r="G3893" t="s">
        <v>579</v>
      </c>
      <c r="H3893" t="s">
        <v>40</v>
      </c>
      <c r="I3893" t="s">
        <v>26</v>
      </c>
      <c r="J3893" t="s">
        <v>94</v>
      </c>
      <c r="K3893" t="s">
        <v>95</v>
      </c>
      <c r="L3893">
        <v>98103</v>
      </c>
      <c r="M3893" t="s">
        <v>43</v>
      </c>
      <c r="N3893" t="s">
        <v>3811</v>
      </c>
      <c r="O3893" t="s">
        <v>31</v>
      </c>
      <c r="P3893" t="s">
        <v>35</v>
      </c>
      <c r="Q3893" t="s">
        <v>3812</v>
      </c>
      <c r="R3893">
        <v>307.13600000000002</v>
      </c>
      <c r="S3893">
        <v>4</v>
      </c>
      <c r="T3893">
        <v>0.2</v>
      </c>
      <c r="U3893">
        <v>-11.5176</v>
      </c>
      <c r="V3893" t="str">
        <f t="shared" si="60"/>
        <v>Sally Hughsby</v>
      </c>
      <c r="W3893">
        <f>Table2[Profit]/Table2[Sales]</f>
        <v>-3.7499999999999999E-2</v>
      </c>
    </row>
    <row r="3894" spans="1:23" x14ac:dyDescent="0.25">
      <c r="A3894">
        <v>3893</v>
      </c>
      <c r="B3894" t="s">
        <v>9455</v>
      </c>
      <c r="C3894" s="1">
        <v>41726</v>
      </c>
      <c r="D3894" s="1">
        <v>41731</v>
      </c>
      <c r="E3894" t="s">
        <v>49</v>
      </c>
      <c r="F3894" t="s">
        <v>5305</v>
      </c>
      <c r="G3894" t="s">
        <v>5306</v>
      </c>
      <c r="H3894" t="s">
        <v>25</v>
      </c>
      <c r="I3894" t="s">
        <v>26</v>
      </c>
      <c r="J3894" t="s">
        <v>1366</v>
      </c>
      <c r="K3894" t="s">
        <v>482</v>
      </c>
      <c r="L3894">
        <v>50315</v>
      </c>
      <c r="M3894" t="s">
        <v>104</v>
      </c>
      <c r="N3894" t="s">
        <v>169</v>
      </c>
      <c r="O3894" t="s">
        <v>45</v>
      </c>
      <c r="P3894" t="s">
        <v>170</v>
      </c>
      <c r="Q3894" t="s">
        <v>171</v>
      </c>
      <c r="R3894">
        <v>6.12</v>
      </c>
      <c r="S3894">
        <v>3</v>
      </c>
      <c r="T3894">
        <v>0</v>
      </c>
      <c r="U3894">
        <v>2.8763999999999998</v>
      </c>
      <c r="V3894" t="str">
        <f t="shared" si="60"/>
        <v>Christina VanderZanden</v>
      </c>
      <c r="W3894">
        <f>Table2[Profit]/Table2[Sales]</f>
        <v>0.47</v>
      </c>
    </row>
    <row r="3895" spans="1:23" x14ac:dyDescent="0.25">
      <c r="A3895">
        <v>3894</v>
      </c>
      <c r="B3895" t="s">
        <v>9456</v>
      </c>
      <c r="C3895" s="1">
        <v>42568</v>
      </c>
      <c r="D3895" s="1">
        <v>42573</v>
      </c>
      <c r="E3895" t="s">
        <v>49</v>
      </c>
      <c r="F3895" t="s">
        <v>2042</v>
      </c>
      <c r="G3895" t="s">
        <v>2043</v>
      </c>
      <c r="H3895" t="s">
        <v>25</v>
      </c>
      <c r="I3895" t="s">
        <v>26</v>
      </c>
      <c r="J3895" t="s">
        <v>263</v>
      </c>
      <c r="K3895" t="s">
        <v>264</v>
      </c>
      <c r="L3895">
        <v>10024</v>
      </c>
      <c r="M3895" t="s">
        <v>145</v>
      </c>
      <c r="N3895" t="s">
        <v>76</v>
      </c>
      <c r="O3895" t="s">
        <v>45</v>
      </c>
      <c r="P3895" t="s">
        <v>77</v>
      </c>
      <c r="Q3895" t="s">
        <v>78</v>
      </c>
      <c r="R3895">
        <v>45.96</v>
      </c>
      <c r="S3895">
        <v>2</v>
      </c>
      <c r="T3895">
        <v>0</v>
      </c>
      <c r="U3895">
        <v>13.788</v>
      </c>
      <c r="V3895" t="str">
        <f t="shared" si="60"/>
        <v>Annie Thurman</v>
      </c>
      <c r="W3895">
        <f>Table2[Profit]/Table2[Sales]</f>
        <v>0.3</v>
      </c>
    </row>
    <row r="3896" spans="1:23" x14ac:dyDescent="0.25">
      <c r="A3896">
        <v>3895</v>
      </c>
      <c r="B3896" t="s">
        <v>9457</v>
      </c>
      <c r="C3896" s="1">
        <v>41748</v>
      </c>
      <c r="D3896" s="1">
        <v>41752</v>
      </c>
      <c r="E3896" t="s">
        <v>22</v>
      </c>
      <c r="F3896" t="s">
        <v>3014</v>
      </c>
      <c r="G3896" t="s">
        <v>3015</v>
      </c>
      <c r="H3896" t="s">
        <v>25</v>
      </c>
      <c r="I3896" t="s">
        <v>26</v>
      </c>
      <c r="J3896" t="s">
        <v>1119</v>
      </c>
      <c r="K3896" t="s">
        <v>312</v>
      </c>
      <c r="L3896">
        <v>22204</v>
      </c>
      <c r="M3896" t="s">
        <v>29</v>
      </c>
      <c r="N3896" t="s">
        <v>2355</v>
      </c>
      <c r="O3896" t="s">
        <v>45</v>
      </c>
      <c r="P3896" t="s">
        <v>74</v>
      </c>
      <c r="Q3896" t="s">
        <v>2356</v>
      </c>
      <c r="R3896">
        <v>58.05</v>
      </c>
      <c r="S3896">
        <v>3</v>
      </c>
      <c r="T3896">
        <v>0</v>
      </c>
      <c r="U3896">
        <v>26.702999999999999</v>
      </c>
      <c r="V3896" t="str">
        <f t="shared" si="60"/>
        <v>Allen Goldenen</v>
      </c>
      <c r="W3896">
        <f>Table2[Profit]/Table2[Sales]</f>
        <v>0.46</v>
      </c>
    </row>
    <row r="3897" spans="1:23" x14ac:dyDescent="0.25">
      <c r="A3897">
        <v>3896</v>
      </c>
      <c r="B3897" t="s">
        <v>9458</v>
      </c>
      <c r="C3897" s="1">
        <v>42937</v>
      </c>
      <c r="D3897" s="1">
        <v>42941</v>
      </c>
      <c r="E3897" t="s">
        <v>49</v>
      </c>
      <c r="F3897" t="s">
        <v>3506</v>
      </c>
      <c r="G3897" t="s">
        <v>3507</v>
      </c>
      <c r="H3897" t="s">
        <v>25</v>
      </c>
      <c r="I3897" t="s">
        <v>26</v>
      </c>
      <c r="J3897" t="s">
        <v>6077</v>
      </c>
      <c r="K3897" t="s">
        <v>103</v>
      </c>
      <c r="L3897">
        <v>78577</v>
      </c>
      <c r="M3897" t="s">
        <v>104</v>
      </c>
      <c r="N3897" t="s">
        <v>3730</v>
      </c>
      <c r="O3897" t="s">
        <v>31</v>
      </c>
      <c r="P3897" t="s">
        <v>55</v>
      </c>
      <c r="Q3897" t="s">
        <v>3731</v>
      </c>
      <c r="R3897">
        <v>124.404</v>
      </c>
      <c r="S3897">
        <v>4</v>
      </c>
      <c r="T3897">
        <v>0.3</v>
      </c>
      <c r="U3897">
        <v>-21.3264</v>
      </c>
      <c r="V3897" t="str">
        <f t="shared" si="60"/>
        <v>Gene McClure</v>
      </c>
      <c r="W3897">
        <f>Table2[Profit]/Table2[Sales]</f>
        <v>-0.17142857142857143</v>
      </c>
    </row>
    <row r="3898" spans="1:23" x14ac:dyDescent="0.25">
      <c r="A3898">
        <v>3897</v>
      </c>
      <c r="B3898" t="s">
        <v>9459</v>
      </c>
      <c r="C3898" s="1">
        <v>42274</v>
      </c>
      <c r="D3898" s="1">
        <v>42279</v>
      </c>
      <c r="E3898" t="s">
        <v>49</v>
      </c>
      <c r="F3898" t="s">
        <v>4309</v>
      </c>
      <c r="G3898" t="s">
        <v>4310</v>
      </c>
      <c r="H3898" t="s">
        <v>25</v>
      </c>
      <c r="I3898" t="s">
        <v>26</v>
      </c>
      <c r="J3898" t="s">
        <v>1119</v>
      </c>
      <c r="K3898" t="s">
        <v>312</v>
      </c>
      <c r="L3898">
        <v>22204</v>
      </c>
      <c r="M3898" t="s">
        <v>29</v>
      </c>
      <c r="N3898" t="s">
        <v>3986</v>
      </c>
      <c r="O3898" t="s">
        <v>45</v>
      </c>
      <c r="P3898" t="s">
        <v>89</v>
      </c>
      <c r="Q3898" t="s">
        <v>3987</v>
      </c>
      <c r="R3898">
        <v>154.9</v>
      </c>
      <c r="S3898">
        <v>5</v>
      </c>
      <c r="T3898">
        <v>0</v>
      </c>
      <c r="U3898">
        <v>69.704999999999998</v>
      </c>
      <c r="V3898" t="str">
        <f t="shared" si="60"/>
        <v>Jamie Kunitz</v>
      </c>
      <c r="W3898">
        <f>Table2[Profit]/Table2[Sales]</f>
        <v>0.44999999999999996</v>
      </c>
    </row>
    <row r="3899" spans="1:23" x14ac:dyDescent="0.25">
      <c r="A3899">
        <v>3898</v>
      </c>
      <c r="B3899" t="s">
        <v>9460</v>
      </c>
      <c r="C3899" s="1">
        <v>42427</v>
      </c>
      <c r="D3899" s="1">
        <v>42431</v>
      </c>
      <c r="E3899" t="s">
        <v>49</v>
      </c>
      <c r="F3899" t="s">
        <v>3126</v>
      </c>
      <c r="G3899" t="s">
        <v>3127</v>
      </c>
      <c r="H3899" t="s">
        <v>25</v>
      </c>
      <c r="I3899" t="s">
        <v>26</v>
      </c>
      <c r="J3899" t="s">
        <v>181</v>
      </c>
      <c r="K3899" t="s">
        <v>103</v>
      </c>
      <c r="L3899">
        <v>77070</v>
      </c>
      <c r="M3899" t="s">
        <v>104</v>
      </c>
      <c r="N3899" t="s">
        <v>7258</v>
      </c>
      <c r="O3899" t="s">
        <v>31</v>
      </c>
      <c r="P3899" t="s">
        <v>64</v>
      </c>
      <c r="Q3899" t="s">
        <v>7259</v>
      </c>
      <c r="R3899">
        <v>16.192</v>
      </c>
      <c r="S3899">
        <v>2</v>
      </c>
      <c r="T3899">
        <v>0.6</v>
      </c>
      <c r="U3899">
        <v>-6.8815999999999997</v>
      </c>
      <c r="V3899" t="str">
        <f t="shared" si="60"/>
        <v>Don Weiss</v>
      </c>
      <c r="W3899">
        <f>Table2[Profit]/Table2[Sales]</f>
        <v>-0.42499999999999999</v>
      </c>
    </row>
    <row r="3900" spans="1:23" x14ac:dyDescent="0.25">
      <c r="A3900">
        <v>3899</v>
      </c>
      <c r="B3900" t="s">
        <v>9461</v>
      </c>
      <c r="C3900" s="1">
        <v>42492</v>
      </c>
      <c r="D3900" s="1">
        <v>42496</v>
      </c>
      <c r="E3900" t="s">
        <v>49</v>
      </c>
      <c r="F3900" t="s">
        <v>4610</v>
      </c>
      <c r="G3900" t="s">
        <v>4611</v>
      </c>
      <c r="H3900" t="s">
        <v>25</v>
      </c>
      <c r="I3900" t="s">
        <v>26</v>
      </c>
      <c r="J3900" t="s">
        <v>3844</v>
      </c>
      <c r="K3900" t="s">
        <v>103</v>
      </c>
      <c r="L3900">
        <v>75061</v>
      </c>
      <c r="M3900" t="s">
        <v>104</v>
      </c>
      <c r="N3900" t="s">
        <v>6603</v>
      </c>
      <c r="O3900" t="s">
        <v>45</v>
      </c>
      <c r="P3900" t="s">
        <v>58</v>
      </c>
      <c r="Q3900" t="s">
        <v>6604</v>
      </c>
      <c r="R3900">
        <v>18.936</v>
      </c>
      <c r="S3900">
        <v>3</v>
      </c>
      <c r="T3900">
        <v>0.2</v>
      </c>
      <c r="U3900">
        <v>-3.7871999999999999</v>
      </c>
      <c r="V3900" t="str">
        <f t="shared" si="60"/>
        <v>Adam Shillingsburg</v>
      </c>
      <c r="W3900">
        <f>Table2[Profit]/Table2[Sales]</f>
        <v>-0.19999999999999998</v>
      </c>
    </row>
    <row r="3901" spans="1:23" x14ac:dyDescent="0.25">
      <c r="A3901">
        <v>3900</v>
      </c>
      <c r="B3901" t="s">
        <v>9462</v>
      </c>
      <c r="C3901" s="1">
        <v>41982</v>
      </c>
      <c r="D3901" s="1">
        <v>41988</v>
      </c>
      <c r="E3901" t="s">
        <v>49</v>
      </c>
      <c r="F3901" t="s">
        <v>1133</v>
      </c>
      <c r="G3901" t="s">
        <v>1134</v>
      </c>
      <c r="H3901" t="s">
        <v>40</v>
      </c>
      <c r="I3901" t="s">
        <v>26</v>
      </c>
      <c r="J3901" t="s">
        <v>296</v>
      </c>
      <c r="K3901" t="s">
        <v>208</v>
      </c>
      <c r="L3901">
        <v>60653</v>
      </c>
      <c r="M3901" t="s">
        <v>104</v>
      </c>
      <c r="N3901" t="s">
        <v>7731</v>
      </c>
      <c r="O3901" t="s">
        <v>45</v>
      </c>
      <c r="P3901" t="s">
        <v>89</v>
      </c>
      <c r="Q3901" t="s">
        <v>7732</v>
      </c>
      <c r="R3901">
        <v>8.4480000000000004</v>
      </c>
      <c r="S3901">
        <v>2</v>
      </c>
      <c r="T3901">
        <v>0.2</v>
      </c>
      <c r="U3901">
        <v>2.9567999999999999</v>
      </c>
      <c r="V3901" t="str">
        <f t="shared" si="60"/>
        <v>Thomas Seio</v>
      </c>
      <c r="W3901">
        <f>Table2[Profit]/Table2[Sales]</f>
        <v>0.35</v>
      </c>
    </row>
    <row r="3902" spans="1:23" x14ac:dyDescent="0.25">
      <c r="A3902">
        <v>3901</v>
      </c>
      <c r="B3902" t="s">
        <v>9463</v>
      </c>
      <c r="C3902" s="1">
        <v>42363</v>
      </c>
      <c r="D3902" s="1">
        <v>42367</v>
      </c>
      <c r="E3902" t="s">
        <v>49</v>
      </c>
      <c r="F3902" t="s">
        <v>5146</v>
      </c>
      <c r="G3902" t="s">
        <v>5147</v>
      </c>
      <c r="H3902" t="s">
        <v>101</v>
      </c>
      <c r="I3902" t="s">
        <v>26</v>
      </c>
      <c r="J3902" t="s">
        <v>41</v>
      </c>
      <c r="K3902" t="s">
        <v>42</v>
      </c>
      <c r="L3902">
        <v>90049</v>
      </c>
      <c r="M3902" t="s">
        <v>43</v>
      </c>
      <c r="N3902" t="s">
        <v>4093</v>
      </c>
      <c r="O3902" t="s">
        <v>45</v>
      </c>
      <c r="P3902" t="s">
        <v>89</v>
      </c>
      <c r="Q3902" t="s">
        <v>4094</v>
      </c>
      <c r="R3902">
        <v>9.9600000000000009</v>
      </c>
      <c r="S3902">
        <v>2</v>
      </c>
      <c r="T3902">
        <v>0</v>
      </c>
      <c r="U3902">
        <v>4.8803999999999998</v>
      </c>
      <c r="V3902" t="str">
        <f t="shared" si="60"/>
        <v>Sean Miller</v>
      </c>
      <c r="W3902">
        <f>Table2[Profit]/Table2[Sales]</f>
        <v>0.48999999999999994</v>
      </c>
    </row>
    <row r="3903" spans="1:23" x14ac:dyDescent="0.25">
      <c r="A3903">
        <v>3902</v>
      </c>
      <c r="B3903" t="s">
        <v>9464</v>
      </c>
      <c r="C3903" s="1">
        <v>43076</v>
      </c>
      <c r="D3903" s="1">
        <v>43081</v>
      </c>
      <c r="E3903" t="s">
        <v>49</v>
      </c>
      <c r="F3903" t="s">
        <v>61</v>
      </c>
      <c r="G3903" t="s">
        <v>62</v>
      </c>
      <c r="H3903" t="s">
        <v>25</v>
      </c>
      <c r="I3903" t="s">
        <v>26</v>
      </c>
      <c r="J3903" t="s">
        <v>7439</v>
      </c>
      <c r="K3903" t="s">
        <v>1473</v>
      </c>
      <c r="L3903">
        <v>39401</v>
      </c>
      <c r="M3903" t="s">
        <v>29</v>
      </c>
      <c r="N3903" t="s">
        <v>5278</v>
      </c>
      <c r="O3903" t="s">
        <v>45</v>
      </c>
      <c r="P3903" t="s">
        <v>77</v>
      </c>
      <c r="Q3903" t="s">
        <v>5279</v>
      </c>
      <c r="R3903">
        <v>320.64</v>
      </c>
      <c r="S3903">
        <v>4</v>
      </c>
      <c r="T3903">
        <v>0</v>
      </c>
      <c r="U3903">
        <v>89.779200000000003</v>
      </c>
      <c r="V3903" t="str">
        <f t="shared" si="60"/>
        <v>Brosina Hoffman</v>
      </c>
      <c r="W3903">
        <f>Table2[Profit]/Table2[Sales]</f>
        <v>0.28000000000000003</v>
      </c>
    </row>
    <row r="3904" spans="1:23" x14ac:dyDescent="0.25">
      <c r="A3904">
        <v>3903</v>
      </c>
      <c r="B3904" t="s">
        <v>9465</v>
      </c>
      <c r="C3904" s="1">
        <v>41789</v>
      </c>
      <c r="D3904" s="1">
        <v>41791</v>
      </c>
      <c r="E3904" t="s">
        <v>185</v>
      </c>
      <c r="F3904" t="s">
        <v>3569</v>
      </c>
      <c r="G3904" t="s">
        <v>3570</v>
      </c>
      <c r="H3904" t="s">
        <v>40</v>
      </c>
      <c r="I3904" t="s">
        <v>26</v>
      </c>
      <c r="J3904" t="s">
        <v>263</v>
      </c>
      <c r="K3904" t="s">
        <v>264</v>
      </c>
      <c r="L3904">
        <v>10024</v>
      </c>
      <c r="M3904" t="s">
        <v>145</v>
      </c>
      <c r="N3904" t="s">
        <v>5657</v>
      </c>
      <c r="O3904" t="s">
        <v>45</v>
      </c>
      <c r="P3904" t="s">
        <v>74</v>
      </c>
      <c r="Q3904" t="s">
        <v>5658</v>
      </c>
      <c r="R3904">
        <v>25.584</v>
      </c>
      <c r="S3904">
        <v>2</v>
      </c>
      <c r="T3904">
        <v>0.2</v>
      </c>
      <c r="U3904">
        <v>8.9543999999999997</v>
      </c>
      <c r="V3904" t="str">
        <f t="shared" si="60"/>
        <v>Laurel Workman</v>
      </c>
      <c r="W3904">
        <f>Table2[Profit]/Table2[Sales]</f>
        <v>0.35</v>
      </c>
    </row>
    <row r="3905" spans="1:23" x14ac:dyDescent="0.25">
      <c r="A3905">
        <v>3904</v>
      </c>
      <c r="B3905" t="s">
        <v>9466</v>
      </c>
      <c r="C3905" s="1">
        <v>42796</v>
      </c>
      <c r="D3905" s="1">
        <v>42800</v>
      </c>
      <c r="E3905" t="s">
        <v>49</v>
      </c>
      <c r="F3905" t="s">
        <v>2858</v>
      </c>
      <c r="G3905" t="s">
        <v>2859</v>
      </c>
      <c r="H3905" t="s">
        <v>25</v>
      </c>
      <c r="I3905" t="s">
        <v>26</v>
      </c>
      <c r="J3905" t="s">
        <v>3251</v>
      </c>
      <c r="K3905" t="s">
        <v>491</v>
      </c>
      <c r="L3905">
        <v>44221</v>
      </c>
      <c r="M3905" t="s">
        <v>145</v>
      </c>
      <c r="N3905" t="s">
        <v>4241</v>
      </c>
      <c r="O3905" t="s">
        <v>45</v>
      </c>
      <c r="P3905" t="s">
        <v>74</v>
      </c>
      <c r="Q3905" t="s">
        <v>4242</v>
      </c>
      <c r="R3905">
        <v>18.527999999999999</v>
      </c>
      <c r="S3905">
        <v>4</v>
      </c>
      <c r="T3905">
        <v>0.7</v>
      </c>
      <c r="U3905">
        <v>-12.352</v>
      </c>
      <c r="V3905" t="str">
        <f t="shared" si="60"/>
        <v>Joseph Airdo</v>
      </c>
      <c r="W3905">
        <f>Table2[Profit]/Table2[Sales]</f>
        <v>-0.66666666666666674</v>
      </c>
    </row>
    <row r="3906" spans="1:23" x14ac:dyDescent="0.25">
      <c r="A3906">
        <v>3905</v>
      </c>
      <c r="B3906" t="s">
        <v>9467</v>
      </c>
      <c r="C3906" s="1">
        <v>42289</v>
      </c>
      <c r="D3906" s="1">
        <v>42294</v>
      </c>
      <c r="E3906" t="s">
        <v>49</v>
      </c>
      <c r="F3906" t="s">
        <v>4852</v>
      </c>
      <c r="G3906" t="s">
        <v>4853</v>
      </c>
      <c r="H3906" t="s">
        <v>25</v>
      </c>
      <c r="I3906" t="s">
        <v>26</v>
      </c>
      <c r="J3906" t="s">
        <v>94</v>
      </c>
      <c r="K3906" t="s">
        <v>95</v>
      </c>
      <c r="L3906">
        <v>98103</v>
      </c>
      <c r="M3906" t="s">
        <v>43</v>
      </c>
      <c r="N3906" t="s">
        <v>4070</v>
      </c>
      <c r="O3906" t="s">
        <v>70</v>
      </c>
      <c r="P3906" t="s">
        <v>158</v>
      </c>
      <c r="Q3906" t="s">
        <v>4071</v>
      </c>
      <c r="R3906">
        <v>17.899999999999999</v>
      </c>
      <c r="S3906">
        <v>2</v>
      </c>
      <c r="T3906">
        <v>0</v>
      </c>
      <c r="U3906">
        <v>3.4009999999999998</v>
      </c>
      <c r="V3906" t="str">
        <f t="shared" si="60"/>
        <v>Kelly Andreada</v>
      </c>
      <c r="W3906">
        <f>Table2[Profit]/Table2[Sales]</f>
        <v>0.19</v>
      </c>
    </row>
    <row r="3907" spans="1:23" x14ac:dyDescent="0.25">
      <c r="A3907">
        <v>3906</v>
      </c>
      <c r="B3907" t="s">
        <v>9468</v>
      </c>
      <c r="C3907" s="1">
        <v>42199</v>
      </c>
      <c r="D3907" s="1">
        <v>42204</v>
      </c>
      <c r="E3907" t="s">
        <v>22</v>
      </c>
      <c r="F3907" t="s">
        <v>5109</v>
      </c>
      <c r="G3907" t="s">
        <v>5110</v>
      </c>
      <c r="H3907" t="s">
        <v>25</v>
      </c>
      <c r="I3907" t="s">
        <v>26</v>
      </c>
      <c r="J3907" t="s">
        <v>1799</v>
      </c>
      <c r="K3907" t="s">
        <v>303</v>
      </c>
      <c r="L3907">
        <v>85204</v>
      </c>
      <c r="M3907" t="s">
        <v>43</v>
      </c>
      <c r="N3907" t="s">
        <v>1605</v>
      </c>
      <c r="O3907" t="s">
        <v>45</v>
      </c>
      <c r="P3907" t="s">
        <v>58</v>
      </c>
      <c r="Q3907" t="s">
        <v>1606</v>
      </c>
      <c r="R3907">
        <v>272.73599999999999</v>
      </c>
      <c r="S3907">
        <v>3</v>
      </c>
      <c r="T3907">
        <v>0.2</v>
      </c>
      <c r="U3907">
        <v>-64.774799999999999</v>
      </c>
      <c r="V3907" t="str">
        <f t="shared" ref="V3907:V3970" si="61">TRIM(G3907)</f>
        <v>Toby Gnade</v>
      </c>
      <c r="W3907">
        <f>Table2[Profit]/Table2[Sales]</f>
        <v>-0.23750000000000002</v>
      </c>
    </row>
    <row r="3908" spans="1:23" x14ac:dyDescent="0.25">
      <c r="A3908">
        <v>3907</v>
      </c>
      <c r="B3908" t="s">
        <v>9471</v>
      </c>
      <c r="C3908" s="1">
        <v>41962</v>
      </c>
      <c r="D3908" s="1">
        <v>41967</v>
      </c>
      <c r="E3908" t="s">
        <v>22</v>
      </c>
      <c r="F3908" t="s">
        <v>7488</v>
      </c>
      <c r="G3908" t="s">
        <v>7489</v>
      </c>
      <c r="H3908" t="s">
        <v>101</v>
      </c>
      <c r="I3908" t="s">
        <v>26</v>
      </c>
      <c r="J3908" t="s">
        <v>5016</v>
      </c>
      <c r="K3908" t="s">
        <v>120</v>
      </c>
      <c r="L3908">
        <v>84106</v>
      </c>
      <c r="M3908" t="s">
        <v>43</v>
      </c>
      <c r="N3908" t="s">
        <v>1706</v>
      </c>
      <c r="O3908" t="s">
        <v>45</v>
      </c>
      <c r="P3908" t="s">
        <v>89</v>
      </c>
      <c r="Q3908" t="s">
        <v>4903</v>
      </c>
      <c r="R3908">
        <v>166.44</v>
      </c>
      <c r="S3908">
        <v>3</v>
      </c>
      <c r="T3908">
        <v>0</v>
      </c>
      <c r="U3908">
        <v>79.891199999999998</v>
      </c>
      <c r="V3908" t="str">
        <f t="shared" si="61"/>
        <v>Dennis Bolton</v>
      </c>
      <c r="W3908">
        <f>Table2[Profit]/Table2[Sales]</f>
        <v>0.48</v>
      </c>
    </row>
    <row r="3909" spans="1:23" x14ac:dyDescent="0.25">
      <c r="A3909">
        <v>3908</v>
      </c>
      <c r="B3909" t="s">
        <v>9472</v>
      </c>
      <c r="C3909" s="1">
        <v>42517</v>
      </c>
      <c r="D3909" s="1">
        <v>42523</v>
      </c>
      <c r="E3909" t="s">
        <v>49</v>
      </c>
      <c r="F3909" t="s">
        <v>1721</v>
      </c>
      <c r="G3909" t="s">
        <v>1722</v>
      </c>
      <c r="H3909" t="s">
        <v>25</v>
      </c>
      <c r="I3909" t="s">
        <v>26</v>
      </c>
      <c r="J3909" t="s">
        <v>41</v>
      </c>
      <c r="K3909" t="s">
        <v>42</v>
      </c>
      <c r="L3909">
        <v>90045</v>
      </c>
      <c r="M3909" t="s">
        <v>43</v>
      </c>
      <c r="N3909" t="s">
        <v>4164</v>
      </c>
      <c r="O3909" t="s">
        <v>45</v>
      </c>
      <c r="P3909" t="s">
        <v>89</v>
      </c>
      <c r="Q3909" t="s">
        <v>4165</v>
      </c>
      <c r="R3909">
        <v>13.38</v>
      </c>
      <c r="S3909">
        <v>2</v>
      </c>
      <c r="T3909">
        <v>0</v>
      </c>
      <c r="U3909">
        <v>6.1547999999999998</v>
      </c>
      <c r="V3909" t="str">
        <f t="shared" si="61"/>
        <v>Lynn Smith</v>
      </c>
      <c r="W3909">
        <f>Table2[Profit]/Table2[Sales]</f>
        <v>0.45999999999999996</v>
      </c>
    </row>
    <row r="3910" spans="1:23" x14ac:dyDescent="0.25">
      <c r="A3910">
        <v>3909</v>
      </c>
      <c r="B3910" t="s">
        <v>9473</v>
      </c>
      <c r="C3910" s="1">
        <v>42919</v>
      </c>
      <c r="D3910" s="1">
        <v>42925</v>
      </c>
      <c r="E3910" t="s">
        <v>49</v>
      </c>
      <c r="F3910" t="s">
        <v>5814</v>
      </c>
      <c r="G3910" t="s">
        <v>5815</v>
      </c>
      <c r="H3910" t="s">
        <v>25</v>
      </c>
      <c r="I3910" t="s">
        <v>26</v>
      </c>
      <c r="J3910" t="s">
        <v>1507</v>
      </c>
      <c r="K3910" t="s">
        <v>87</v>
      </c>
      <c r="L3910">
        <v>28540</v>
      </c>
      <c r="M3910" t="s">
        <v>29</v>
      </c>
      <c r="N3910" t="s">
        <v>243</v>
      </c>
      <c r="O3910" t="s">
        <v>70</v>
      </c>
      <c r="P3910" t="s">
        <v>158</v>
      </c>
      <c r="Q3910" t="s">
        <v>244</v>
      </c>
      <c r="R3910">
        <v>24</v>
      </c>
      <c r="S3910">
        <v>2</v>
      </c>
      <c r="T3910">
        <v>0.2</v>
      </c>
      <c r="U3910">
        <v>-2.7</v>
      </c>
      <c r="V3910" t="str">
        <f t="shared" si="61"/>
        <v>Michael Oakman</v>
      </c>
      <c r="W3910">
        <f>Table2[Profit]/Table2[Sales]</f>
        <v>-0.1125</v>
      </c>
    </row>
    <row r="3911" spans="1:23" x14ac:dyDescent="0.25">
      <c r="A3911">
        <v>3910</v>
      </c>
      <c r="B3911" t="s">
        <v>9474</v>
      </c>
      <c r="C3911" s="1">
        <v>43003</v>
      </c>
      <c r="D3911" s="1">
        <v>43007</v>
      </c>
      <c r="E3911" t="s">
        <v>49</v>
      </c>
      <c r="F3911" t="s">
        <v>5882</v>
      </c>
      <c r="G3911" t="s">
        <v>5883</v>
      </c>
      <c r="H3911" t="s">
        <v>40</v>
      </c>
      <c r="I3911" t="s">
        <v>26</v>
      </c>
      <c r="J3911" t="s">
        <v>1111</v>
      </c>
      <c r="K3911" t="s">
        <v>491</v>
      </c>
      <c r="L3911">
        <v>44107</v>
      </c>
      <c r="M3911" t="s">
        <v>145</v>
      </c>
      <c r="N3911" t="s">
        <v>2545</v>
      </c>
      <c r="O3911" t="s">
        <v>45</v>
      </c>
      <c r="P3911" t="s">
        <v>170</v>
      </c>
      <c r="Q3911" t="s">
        <v>2546</v>
      </c>
      <c r="R3911">
        <v>24.448</v>
      </c>
      <c r="S3911">
        <v>4</v>
      </c>
      <c r="T3911">
        <v>0.2</v>
      </c>
      <c r="U3911">
        <v>8.8623999999999992</v>
      </c>
      <c r="V3911" t="str">
        <f t="shared" si="61"/>
        <v>Carol Adams</v>
      </c>
      <c r="W3911">
        <f>Table2[Profit]/Table2[Sales]</f>
        <v>0.36249999999999993</v>
      </c>
    </row>
    <row r="3912" spans="1:23" x14ac:dyDescent="0.25">
      <c r="A3912">
        <v>3911</v>
      </c>
      <c r="B3912" t="s">
        <v>9475</v>
      </c>
      <c r="C3912" s="1">
        <v>42646</v>
      </c>
      <c r="D3912" s="1">
        <v>42650</v>
      </c>
      <c r="E3912" t="s">
        <v>49</v>
      </c>
      <c r="F3912" t="s">
        <v>5487</v>
      </c>
      <c r="G3912" t="s">
        <v>5488</v>
      </c>
      <c r="H3912" t="s">
        <v>101</v>
      </c>
      <c r="I3912" t="s">
        <v>26</v>
      </c>
      <c r="J3912" t="s">
        <v>8262</v>
      </c>
      <c r="K3912" t="s">
        <v>42</v>
      </c>
      <c r="L3912">
        <v>92630</v>
      </c>
      <c r="M3912" t="s">
        <v>43</v>
      </c>
      <c r="N3912" t="s">
        <v>2469</v>
      </c>
      <c r="O3912" t="s">
        <v>45</v>
      </c>
      <c r="P3912" t="s">
        <v>46</v>
      </c>
      <c r="Q3912" t="s">
        <v>2470</v>
      </c>
      <c r="R3912">
        <v>6.16</v>
      </c>
      <c r="S3912">
        <v>2</v>
      </c>
      <c r="T3912">
        <v>0</v>
      </c>
      <c r="U3912">
        <v>2.9567999999999999</v>
      </c>
      <c r="V3912" t="str">
        <f t="shared" si="61"/>
        <v>Daniel Byrd</v>
      </c>
      <c r="W3912">
        <f>Table2[Profit]/Table2[Sales]</f>
        <v>0.48</v>
      </c>
    </row>
    <row r="3913" spans="1:23" x14ac:dyDescent="0.25">
      <c r="A3913">
        <v>3912</v>
      </c>
      <c r="B3913" t="s">
        <v>9476</v>
      </c>
      <c r="C3913" s="1">
        <v>42987</v>
      </c>
      <c r="D3913" s="1">
        <v>42993</v>
      </c>
      <c r="E3913" t="s">
        <v>49</v>
      </c>
      <c r="F3913" t="s">
        <v>3778</v>
      </c>
      <c r="G3913" t="s">
        <v>3779</v>
      </c>
      <c r="H3913" t="s">
        <v>40</v>
      </c>
      <c r="I3913" t="s">
        <v>26</v>
      </c>
      <c r="J3913" t="s">
        <v>412</v>
      </c>
      <c r="K3913" t="s">
        <v>413</v>
      </c>
      <c r="L3913">
        <v>97206</v>
      </c>
      <c r="M3913" t="s">
        <v>43</v>
      </c>
      <c r="N3913" t="s">
        <v>1292</v>
      </c>
      <c r="O3913" t="s">
        <v>45</v>
      </c>
      <c r="P3913" t="s">
        <v>89</v>
      </c>
      <c r="Q3913" t="s">
        <v>1293</v>
      </c>
      <c r="R3913">
        <v>31.103999999999999</v>
      </c>
      <c r="S3913">
        <v>6</v>
      </c>
      <c r="T3913">
        <v>0.2</v>
      </c>
      <c r="U3913">
        <v>11.2752</v>
      </c>
      <c r="V3913" t="str">
        <f t="shared" si="61"/>
        <v>Damala Kotsonis</v>
      </c>
      <c r="W3913">
        <f>Table2[Profit]/Table2[Sales]</f>
        <v>0.36249999999999999</v>
      </c>
    </row>
    <row r="3914" spans="1:23" x14ac:dyDescent="0.25">
      <c r="A3914">
        <v>3913</v>
      </c>
      <c r="B3914" t="s">
        <v>9477</v>
      </c>
      <c r="C3914" s="1">
        <v>42075</v>
      </c>
      <c r="D3914" s="1">
        <v>42081</v>
      </c>
      <c r="E3914" t="s">
        <v>49</v>
      </c>
      <c r="F3914" t="s">
        <v>3582</v>
      </c>
      <c r="G3914" t="s">
        <v>3583</v>
      </c>
      <c r="H3914" t="s">
        <v>25</v>
      </c>
      <c r="I3914" t="s">
        <v>26</v>
      </c>
      <c r="J3914" t="s">
        <v>460</v>
      </c>
      <c r="K3914" t="s">
        <v>87</v>
      </c>
      <c r="L3914">
        <v>28205</v>
      </c>
      <c r="M3914" t="s">
        <v>29</v>
      </c>
      <c r="N3914" t="s">
        <v>4053</v>
      </c>
      <c r="O3914" t="s">
        <v>45</v>
      </c>
      <c r="P3914" t="s">
        <v>46</v>
      </c>
      <c r="Q3914" t="s">
        <v>4054</v>
      </c>
      <c r="R3914">
        <v>5.04</v>
      </c>
      <c r="S3914">
        <v>2</v>
      </c>
      <c r="T3914">
        <v>0.2</v>
      </c>
      <c r="U3914">
        <v>1.764</v>
      </c>
      <c r="V3914" t="str">
        <f t="shared" si="61"/>
        <v>Evan Bailliet</v>
      </c>
      <c r="W3914">
        <f>Table2[Profit]/Table2[Sales]</f>
        <v>0.35</v>
      </c>
    </row>
    <row r="3915" spans="1:23" x14ac:dyDescent="0.25">
      <c r="A3915">
        <v>3914</v>
      </c>
      <c r="B3915" t="s">
        <v>9478</v>
      </c>
      <c r="C3915" s="1">
        <v>42703</v>
      </c>
      <c r="D3915" s="1">
        <v>42708</v>
      </c>
      <c r="E3915" t="s">
        <v>22</v>
      </c>
      <c r="F3915" t="s">
        <v>5865</v>
      </c>
      <c r="G3915" t="s">
        <v>5866</v>
      </c>
      <c r="H3915" t="s">
        <v>101</v>
      </c>
      <c r="I3915" t="s">
        <v>26</v>
      </c>
      <c r="J3915" t="s">
        <v>449</v>
      </c>
      <c r="K3915" t="s">
        <v>208</v>
      </c>
      <c r="L3915">
        <v>60505</v>
      </c>
      <c r="M3915" t="s">
        <v>104</v>
      </c>
      <c r="N3915" t="s">
        <v>9109</v>
      </c>
      <c r="O3915" t="s">
        <v>31</v>
      </c>
      <c r="P3915" t="s">
        <v>64</v>
      </c>
      <c r="Q3915" t="s">
        <v>9110</v>
      </c>
      <c r="R3915">
        <v>242.17599999999999</v>
      </c>
      <c r="S3915">
        <v>4</v>
      </c>
      <c r="T3915">
        <v>0.6</v>
      </c>
      <c r="U3915">
        <v>-302.72000000000003</v>
      </c>
      <c r="V3915" t="str">
        <f t="shared" si="61"/>
        <v>Daniel Raglin</v>
      </c>
      <c r="W3915">
        <f>Table2[Profit]/Table2[Sales]</f>
        <v>-1.2500000000000002</v>
      </c>
    </row>
    <row r="3916" spans="1:23" x14ac:dyDescent="0.25">
      <c r="A3916">
        <v>3915</v>
      </c>
      <c r="B3916" t="s">
        <v>9479</v>
      </c>
      <c r="C3916" s="1">
        <v>42535</v>
      </c>
      <c r="D3916" s="1">
        <v>42542</v>
      </c>
      <c r="E3916" t="s">
        <v>49</v>
      </c>
      <c r="F3916" t="s">
        <v>393</v>
      </c>
      <c r="G3916" t="s">
        <v>394</v>
      </c>
      <c r="H3916" t="s">
        <v>40</v>
      </c>
      <c r="I3916" t="s">
        <v>26</v>
      </c>
      <c r="J3916" t="s">
        <v>143</v>
      </c>
      <c r="K3916" t="s">
        <v>144</v>
      </c>
      <c r="L3916">
        <v>19140</v>
      </c>
      <c r="M3916" t="s">
        <v>145</v>
      </c>
      <c r="N3916" t="s">
        <v>7319</v>
      </c>
      <c r="O3916" t="s">
        <v>31</v>
      </c>
      <c r="P3916" t="s">
        <v>55</v>
      </c>
      <c r="Q3916" t="s">
        <v>7320</v>
      </c>
      <c r="R3916">
        <v>337.17599999999999</v>
      </c>
      <c r="S3916">
        <v>2</v>
      </c>
      <c r="T3916">
        <v>0.4</v>
      </c>
      <c r="U3916">
        <v>-118.0116</v>
      </c>
      <c r="V3916" t="str">
        <f t="shared" si="61"/>
        <v>Jim Sink</v>
      </c>
      <c r="W3916">
        <f>Table2[Profit]/Table2[Sales]</f>
        <v>-0.35000000000000003</v>
      </c>
    </row>
    <row r="3917" spans="1:23" x14ac:dyDescent="0.25">
      <c r="A3917">
        <v>3916</v>
      </c>
      <c r="B3917" t="s">
        <v>9480</v>
      </c>
      <c r="C3917" s="1">
        <v>43072</v>
      </c>
      <c r="D3917" s="1">
        <v>43075</v>
      </c>
      <c r="E3917" t="s">
        <v>22</v>
      </c>
      <c r="F3917" t="s">
        <v>447</v>
      </c>
      <c r="G3917" t="s">
        <v>448</v>
      </c>
      <c r="H3917" t="s">
        <v>25</v>
      </c>
      <c r="I3917" t="s">
        <v>26</v>
      </c>
      <c r="J3917" t="s">
        <v>6843</v>
      </c>
      <c r="K3917" t="s">
        <v>450</v>
      </c>
      <c r="L3917">
        <v>80229</v>
      </c>
      <c r="M3917" t="s">
        <v>43</v>
      </c>
      <c r="N3917" t="s">
        <v>1715</v>
      </c>
      <c r="O3917" t="s">
        <v>45</v>
      </c>
      <c r="P3917" t="s">
        <v>67</v>
      </c>
      <c r="Q3917" t="s">
        <v>1716</v>
      </c>
      <c r="R3917">
        <v>13.343999999999999</v>
      </c>
      <c r="S3917">
        <v>6</v>
      </c>
      <c r="T3917">
        <v>0.2</v>
      </c>
      <c r="U3917">
        <v>1.0007999999999999</v>
      </c>
      <c r="V3917" t="str">
        <f t="shared" si="61"/>
        <v>Lena Cacioppo</v>
      </c>
      <c r="W3917">
        <f>Table2[Profit]/Table2[Sales]</f>
        <v>7.4999999999999997E-2</v>
      </c>
    </row>
    <row r="3918" spans="1:23" x14ac:dyDescent="0.25">
      <c r="A3918">
        <v>3917</v>
      </c>
      <c r="B3918" t="s">
        <v>9481</v>
      </c>
      <c r="C3918" s="1">
        <v>42598</v>
      </c>
      <c r="D3918" s="1">
        <v>42604</v>
      </c>
      <c r="E3918" t="s">
        <v>49</v>
      </c>
      <c r="F3918" t="s">
        <v>1603</v>
      </c>
      <c r="G3918" t="s">
        <v>1604</v>
      </c>
      <c r="H3918" t="s">
        <v>25</v>
      </c>
      <c r="I3918" t="s">
        <v>26</v>
      </c>
      <c r="J3918" t="s">
        <v>9482</v>
      </c>
      <c r="K3918" t="s">
        <v>42</v>
      </c>
      <c r="L3918">
        <v>95616</v>
      </c>
      <c r="M3918" t="s">
        <v>43</v>
      </c>
      <c r="N3918" t="s">
        <v>2743</v>
      </c>
      <c r="O3918" t="s">
        <v>45</v>
      </c>
      <c r="P3918" t="s">
        <v>89</v>
      </c>
      <c r="Q3918" t="s">
        <v>2744</v>
      </c>
      <c r="R3918">
        <v>32.4</v>
      </c>
      <c r="S3918">
        <v>5</v>
      </c>
      <c r="T3918">
        <v>0</v>
      </c>
      <c r="U3918">
        <v>15.552</v>
      </c>
      <c r="V3918" t="str">
        <f t="shared" si="61"/>
        <v>Jeremy Pistek</v>
      </c>
      <c r="W3918">
        <f>Table2[Profit]/Table2[Sales]</f>
        <v>0.48</v>
      </c>
    </row>
    <row r="3919" spans="1:23" x14ac:dyDescent="0.25">
      <c r="A3919">
        <v>3918</v>
      </c>
      <c r="B3919" t="s">
        <v>9483</v>
      </c>
      <c r="C3919" s="1">
        <v>42729</v>
      </c>
      <c r="D3919" s="1">
        <v>42733</v>
      </c>
      <c r="E3919" t="s">
        <v>49</v>
      </c>
      <c r="F3919" t="s">
        <v>8440</v>
      </c>
      <c r="G3919" t="s">
        <v>8441</v>
      </c>
      <c r="H3919" t="s">
        <v>25</v>
      </c>
      <c r="I3919" t="s">
        <v>26</v>
      </c>
      <c r="J3919" t="s">
        <v>1682</v>
      </c>
      <c r="K3919" t="s">
        <v>1683</v>
      </c>
      <c r="L3919">
        <v>72701</v>
      </c>
      <c r="M3919" t="s">
        <v>29</v>
      </c>
      <c r="N3919" t="s">
        <v>1732</v>
      </c>
      <c r="O3919" t="s">
        <v>45</v>
      </c>
      <c r="P3919" t="s">
        <v>67</v>
      </c>
      <c r="Q3919" t="s">
        <v>1733</v>
      </c>
      <c r="R3919">
        <v>19.89</v>
      </c>
      <c r="S3919">
        <v>9</v>
      </c>
      <c r="T3919">
        <v>0</v>
      </c>
      <c r="U3919">
        <v>5.3703000000000003</v>
      </c>
      <c r="V3919" t="str">
        <f t="shared" si="61"/>
        <v>Trudy Schmidt</v>
      </c>
      <c r="W3919">
        <f>Table2[Profit]/Table2[Sales]</f>
        <v>0.27</v>
      </c>
    </row>
    <row r="3920" spans="1:23" x14ac:dyDescent="0.25">
      <c r="A3920">
        <v>3919</v>
      </c>
      <c r="B3920" t="s">
        <v>9484</v>
      </c>
      <c r="C3920" s="1">
        <v>42939</v>
      </c>
      <c r="D3920" s="1">
        <v>42946</v>
      </c>
      <c r="E3920" t="s">
        <v>49</v>
      </c>
      <c r="F3920" t="s">
        <v>1152</v>
      </c>
      <c r="G3920" t="s">
        <v>1153</v>
      </c>
      <c r="H3920" t="s">
        <v>101</v>
      </c>
      <c r="I3920" t="s">
        <v>26</v>
      </c>
      <c r="J3920" t="s">
        <v>263</v>
      </c>
      <c r="K3920" t="s">
        <v>264</v>
      </c>
      <c r="L3920">
        <v>10011</v>
      </c>
      <c r="M3920" t="s">
        <v>145</v>
      </c>
      <c r="N3920" t="s">
        <v>1282</v>
      </c>
      <c r="O3920" t="s">
        <v>45</v>
      </c>
      <c r="P3920" t="s">
        <v>74</v>
      </c>
      <c r="Q3920" t="s">
        <v>1283</v>
      </c>
      <c r="R3920">
        <v>13.92</v>
      </c>
      <c r="S3920">
        <v>3</v>
      </c>
      <c r="T3920">
        <v>0.2</v>
      </c>
      <c r="U3920">
        <v>4.3499999999999996</v>
      </c>
      <c r="V3920" t="str">
        <f t="shared" si="61"/>
        <v>Nathan Mautz</v>
      </c>
      <c r="W3920">
        <f>Table2[Profit]/Table2[Sales]</f>
        <v>0.3125</v>
      </c>
    </row>
    <row r="3921" spans="1:23" x14ac:dyDescent="0.25">
      <c r="A3921">
        <v>3920</v>
      </c>
      <c r="B3921" t="s">
        <v>9485</v>
      </c>
      <c r="C3921" s="1">
        <v>42907</v>
      </c>
      <c r="D3921" s="1">
        <v>42911</v>
      </c>
      <c r="E3921" t="s">
        <v>49</v>
      </c>
      <c r="F3921" t="s">
        <v>2129</v>
      </c>
      <c r="G3921" t="s">
        <v>2130</v>
      </c>
      <c r="H3921" t="s">
        <v>101</v>
      </c>
      <c r="I3921" t="s">
        <v>26</v>
      </c>
      <c r="J3921" t="s">
        <v>5579</v>
      </c>
      <c r="K3921" t="s">
        <v>9486</v>
      </c>
      <c r="L3921">
        <v>26003</v>
      </c>
      <c r="M3921" t="s">
        <v>145</v>
      </c>
      <c r="N3921" t="s">
        <v>407</v>
      </c>
      <c r="O3921" t="s">
        <v>45</v>
      </c>
      <c r="P3921" t="s">
        <v>74</v>
      </c>
      <c r="Q3921" t="s">
        <v>408</v>
      </c>
      <c r="R3921">
        <v>82.4</v>
      </c>
      <c r="S3921">
        <v>5</v>
      </c>
      <c r="T3921">
        <v>0</v>
      </c>
      <c r="U3921">
        <v>40.375999999999998</v>
      </c>
      <c r="V3921" t="str">
        <f t="shared" si="61"/>
        <v>Eugene Hildebrand</v>
      </c>
      <c r="W3921">
        <f>Table2[Profit]/Table2[Sales]</f>
        <v>0.48999999999999994</v>
      </c>
    </row>
    <row r="3922" spans="1:23" x14ac:dyDescent="0.25">
      <c r="A3922">
        <v>3921</v>
      </c>
      <c r="B3922" t="s">
        <v>9487</v>
      </c>
      <c r="C3922" s="1">
        <v>42960</v>
      </c>
      <c r="D3922" s="1">
        <v>42965</v>
      </c>
      <c r="E3922" t="s">
        <v>49</v>
      </c>
      <c r="F3922" t="s">
        <v>3466</v>
      </c>
      <c r="G3922" t="s">
        <v>3467</v>
      </c>
      <c r="H3922" t="s">
        <v>25</v>
      </c>
      <c r="I3922" t="s">
        <v>26</v>
      </c>
      <c r="J3922" t="s">
        <v>327</v>
      </c>
      <c r="K3922" t="s">
        <v>328</v>
      </c>
      <c r="L3922">
        <v>38109</v>
      </c>
      <c r="M3922" t="s">
        <v>29</v>
      </c>
      <c r="N3922" t="s">
        <v>2044</v>
      </c>
      <c r="O3922" t="s">
        <v>45</v>
      </c>
      <c r="P3922" t="s">
        <v>77</v>
      </c>
      <c r="Q3922" t="s">
        <v>2045</v>
      </c>
      <c r="R3922">
        <v>272.048</v>
      </c>
      <c r="S3922">
        <v>7</v>
      </c>
      <c r="T3922">
        <v>0.2</v>
      </c>
      <c r="U3922">
        <v>30.605399999999999</v>
      </c>
      <c r="V3922" t="str">
        <f t="shared" si="61"/>
        <v>Dan Campbell</v>
      </c>
      <c r="W3922">
        <f>Table2[Profit]/Table2[Sales]</f>
        <v>0.1125</v>
      </c>
    </row>
    <row r="3923" spans="1:23" x14ac:dyDescent="0.25">
      <c r="A3923">
        <v>3922</v>
      </c>
      <c r="B3923" t="s">
        <v>9488</v>
      </c>
      <c r="C3923" s="1">
        <v>42315</v>
      </c>
      <c r="D3923" s="1">
        <v>42321</v>
      </c>
      <c r="E3923" t="s">
        <v>49</v>
      </c>
      <c r="F3923" t="s">
        <v>8310</v>
      </c>
      <c r="G3923" t="s">
        <v>8311</v>
      </c>
      <c r="H3923" t="s">
        <v>25</v>
      </c>
      <c r="I3923" t="s">
        <v>26</v>
      </c>
      <c r="J3923" t="s">
        <v>181</v>
      </c>
      <c r="K3923" t="s">
        <v>103</v>
      </c>
      <c r="L3923">
        <v>77036</v>
      </c>
      <c r="M3923" t="s">
        <v>104</v>
      </c>
      <c r="N3923" t="s">
        <v>4099</v>
      </c>
      <c r="O3923" t="s">
        <v>45</v>
      </c>
      <c r="P3923" t="s">
        <v>89</v>
      </c>
      <c r="Q3923" t="s">
        <v>4100</v>
      </c>
      <c r="R3923">
        <v>76.64</v>
      </c>
      <c r="S3923">
        <v>2</v>
      </c>
      <c r="T3923">
        <v>0.2</v>
      </c>
      <c r="U3923">
        <v>26.824000000000002</v>
      </c>
      <c r="V3923" t="str">
        <f t="shared" si="61"/>
        <v>Doug O'Connell</v>
      </c>
      <c r="W3923">
        <f>Table2[Profit]/Table2[Sales]</f>
        <v>0.35000000000000003</v>
      </c>
    </row>
    <row r="3924" spans="1:23" x14ac:dyDescent="0.25">
      <c r="A3924">
        <v>3923</v>
      </c>
      <c r="B3924" t="s">
        <v>9489</v>
      </c>
      <c r="C3924" s="1">
        <v>42292</v>
      </c>
      <c r="D3924" s="1">
        <v>42299</v>
      </c>
      <c r="E3924" t="s">
        <v>49</v>
      </c>
      <c r="F3924" t="s">
        <v>543</v>
      </c>
      <c r="G3924" t="s">
        <v>544</v>
      </c>
      <c r="H3924" t="s">
        <v>101</v>
      </c>
      <c r="I3924" t="s">
        <v>26</v>
      </c>
      <c r="J3924" t="s">
        <v>808</v>
      </c>
      <c r="K3924" t="s">
        <v>103</v>
      </c>
      <c r="L3924">
        <v>75217</v>
      </c>
      <c r="M3924" t="s">
        <v>104</v>
      </c>
      <c r="N3924" t="s">
        <v>1568</v>
      </c>
      <c r="O3924" t="s">
        <v>45</v>
      </c>
      <c r="P3924" t="s">
        <v>170</v>
      </c>
      <c r="Q3924" t="s">
        <v>662</v>
      </c>
      <c r="R3924">
        <v>4.4640000000000004</v>
      </c>
      <c r="S3924">
        <v>1</v>
      </c>
      <c r="T3924">
        <v>0.2</v>
      </c>
      <c r="U3924">
        <v>1.6739999999999999</v>
      </c>
      <c r="V3924" t="str">
        <f t="shared" si="61"/>
        <v>Lindsay Shagiari</v>
      </c>
      <c r="W3924">
        <f>Table2[Profit]/Table2[Sales]</f>
        <v>0.37499999999999994</v>
      </c>
    </row>
    <row r="3925" spans="1:23" x14ac:dyDescent="0.25">
      <c r="A3925">
        <v>3924</v>
      </c>
      <c r="B3925" t="s">
        <v>9490</v>
      </c>
      <c r="C3925" s="1">
        <v>42581</v>
      </c>
      <c r="D3925" s="1">
        <v>42584</v>
      </c>
      <c r="E3925" t="s">
        <v>185</v>
      </c>
      <c r="F3925" t="s">
        <v>2768</v>
      </c>
      <c r="G3925" t="s">
        <v>2769</v>
      </c>
      <c r="H3925" t="s">
        <v>40</v>
      </c>
      <c r="I3925" t="s">
        <v>26</v>
      </c>
      <c r="J3925" t="s">
        <v>126</v>
      </c>
      <c r="K3925" t="s">
        <v>42</v>
      </c>
      <c r="L3925">
        <v>94122</v>
      </c>
      <c r="M3925" t="s">
        <v>43</v>
      </c>
      <c r="N3925" t="s">
        <v>3243</v>
      </c>
      <c r="O3925" t="s">
        <v>45</v>
      </c>
      <c r="P3925" t="s">
        <v>77</v>
      </c>
      <c r="Q3925" t="s">
        <v>3244</v>
      </c>
      <c r="R3925">
        <v>715.64</v>
      </c>
      <c r="S3925">
        <v>2</v>
      </c>
      <c r="T3925">
        <v>0</v>
      </c>
      <c r="U3925">
        <v>178.91</v>
      </c>
      <c r="V3925" t="str">
        <f t="shared" si="61"/>
        <v>Rob Williams</v>
      </c>
      <c r="W3925">
        <f>Table2[Profit]/Table2[Sales]</f>
        <v>0.25</v>
      </c>
    </row>
    <row r="3926" spans="1:23" x14ac:dyDescent="0.25">
      <c r="A3926">
        <v>3925</v>
      </c>
      <c r="B3926" t="s">
        <v>9491</v>
      </c>
      <c r="C3926" s="1">
        <v>42707</v>
      </c>
      <c r="D3926" s="1">
        <v>42711</v>
      </c>
      <c r="E3926" t="s">
        <v>49</v>
      </c>
      <c r="F3926" t="s">
        <v>7242</v>
      </c>
      <c r="G3926" t="s">
        <v>7243</v>
      </c>
      <c r="H3926" t="s">
        <v>25</v>
      </c>
      <c r="I3926" t="s">
        <v>26</v>
      </c>
      <c r="J3926" t="s">
        <v>9492</v>
      </c>
      <c r="K3926" t="s">
        <v>42</v>
      </c>
      <c r="L3926">
        <v>95037</v>
      </c>
      <c r="M3926" t="s">
        <v>43</v>
      </c>
      <c r="N3926" t="s">
        <v>3170</v>
      </c>
      <c r="O3926" t="s">
        <v>31</v>
      </c>
      <c r="P3926" t="s">
        <v>55</v>
      </c>
      <c r="Q3926" t="s">
        <v>3171</v>
      </c>
      <c r="R3926">
        <v>268.70400000000001</v>
      </c>
      <c r="S3926">
        <v>3</v>
      </c>
      <c r="T3926">
        <v>0.2</v>
      </c>
      <c r="U3926">
        <v>6.7176</v>
      </c>
      <c r="V3926" t="str">
        <f t="shared" si="61"/>
        <v>Roger Demir</v>
      </c>
      <c r="W3926">
        <f>Table2[Profit]/Table2[Sales]</f>
        <v>2.4999999999999998E-2</v>
      </c>
    </row>
    <row r="3927" spans="1:23" x14ac:dyDescent="0.25">
      <c r="A3927">
        <v>3926</v>
      </c>
      <c r="B3927" t="s">
        <v>9493</v>
      </c>
      <c r="C3927" s="1">
        <v>42488</v>
      </c>
      <c r="D3927" s="1">
        <v>42490</v>
      </c>
      <c r="E3927" t="s">
        <v>22</v>
      </c>
      <c r="F3927" t="s">
        <v>2161</v>
      </c>
      <c r="G3927" t="s">
        <v>2162</v>
      </c>
      <c r="H3927" t="s">
        <v>25</v>
      </c>
      <c r="I3927" t="s">
        <v>26</v>
      </c>
      <c r="J3927" t="s">
        <v>9072</v>
      </c>
      <c r="K3927" t="s">
        <v>208</v>
      </c>
      <c r="L3927">
        <v>60174</v>
      </c>
      <c r="M3927" t="s">
        <v>104</v>
      </c>
      <c r="N3927" t="s">
        <v>2964</v>
      </c>
      <c r="O3927" t="s">
        <v>31</v>
      </c>
      <c r="P3927" t="s">
        <v>64</v>
      </c>
      <c r="Q3927" t="s">
        <v>2965</v>
      </c>
      <c r="R3927">
        <v>30.344000000000001</v>
      </c>
      <c r="S3927">
        <v>2</v>
      </c>
      <c r="T3927">
        <v>0.6</v>
      </c>
      <c r="U3927">
        <v>-31.8612</v>
      </c>
      <c r="V3927" t="str">
        <f t="shared" si="61"/>
        <v>Rob Beeghly</v>
      </c>
      <c r="W3927">
        <f>Table2[Profit]/Table2[Sales]</f>
        <v>-1.05</v>
      </c>
    </row>
    <row r="3928" spans="1:23" x14ac:dyDescent="0.25">
      <c r="A3928">
        <v>3927</v>
      </c>
      <c r="B3928" t="s">
        <v>9494</v>
      </c>
      <c r="C3928" s="1">
        <v>42972</v>
      </c>
      <c r="D3928" s="1">
        <v>42974</v>
      </c>
      <c r="E3928" t="s">
        <v>185</v>
      </c>
      <c r="F3928" t="s">
        <v>4698</v>
      </c>
      <c r="G3928" t="s">
        <v>4699</v>
      </c>
      <c r="H3928" t="s">
        <v>25</v>
      </c>
      <c r="I3928" t="s">
        <v>26</v>
      </c>
      <c r="J3928" t="s">
        <v>2148</v>
      </c>
      <c r="K3928" t="s">
        <v>491</v>
      </c>
      <c r="L3928">
        <v>44105</v>
      </c>
      <c r="M3928" t="s">
        <v>145</v>
      </c>
      <c r="N3928" t="s">
        <v>4835</v>
      </c>
      <c r="O3928" t="s">
        <v>45</v>
      </c>
      <c r="P3928" t="s">
        <v>58</v>
      </c>
      <c r="Q3928" t="s">
        <v>4836</v>
      </c>
      <c r="R3928">
        <v>25.696000000000002</v>
      </c>
      <c r="S3928">
        <v>2</v>
      </c>
      <c r="T3928">
        <v>0.2</v>
      </c>
      <c r="U3928">
        <v>1.9272</v>
      </c>
      <c r="V3928" t="str">
        <f t="shared" si="61"/>
        <v>Joe Elijah</v>
      </c>
      <c r="W3928">
        <f>Table2[Profit]/Table2[Sales]</f>
        <v>7.4999999999999997E-2</v>
      </c>
    </row>
    <row r="3929" spans="1:23" x14ac:dyDescent="0.25">
      <c r="A3929">
        <v>3928</v>
      </c>
      <c r="B3929" t="s">
        <v>9495</v>
      </c>
      <c r="C3929" s="1">
        <v>42903</v>
      </c>
      <c r="D3929" s="1">
        <v>42907</v>
      </c>
      <c r="E3929" t="s">
        <v>49</v>
      </c>
      <c r="F3929" t="s">
        <v>2116</v>
      </c>
      <c r="G3929" t="s">
        <v>2117</v>
      </c>
      <c r="H3929" t="s">
        <v>101</v>
      </c>
      <c r="I3929" t="s">
        <v>26</v>
      </c>
      <c r="J3929" t="s">
        <v>263</v>
      </c>
      <c r="K3929" t="s">
        <v>264</v>
      </c>
      <c r="L3929">
        <v>10024</v>
      </c>
      <c r="M3929" t="s">
        <v>145</v>
      </c>
      <c r="N3929" t="s">
        <v>9496</v>
      </c>
      <c r="O3929" t="s">
        <v>70</v>
      </c>
      <c r="P3929" t="s">
        <v>675</v>
      </c>
      <c r="Q3929" t="s">
        <v>9497</v>
      </c>
      <c r="R3929">
        <v>3404.5</v>
      </c>
      <c r="S3929">
        <v>5</v>
      </c>
      <c r="T3929">
        <v>0</v>
      </c>
      <c r="U3929">
        <v>1668.2049999999999</v>
      </c>
      <c r="V3929" t="str">
        <f t="shared" si="61"/>
        <v>Steven Roelle</v>
      </c>
      <c r="W3929">
        <f>Table2[Profit]/Table2[Sales]</f>
        <v>0.49</v>
      </c>
    </row>
    <row r="3930" spans="1:23" x14ac:dyDescent="0.25">
      <c r="A3930">
        <v>3929</v>
      </c>
      <c r="B3930" t="s">
        <v>9498</v>
      </c>
      <c r="C3930" s="1">
        <v>42328</v>
      </c>
      <c r="D3930" s="1">
        <v>42332</v>
      </c>
      <c r="E3930" t="s">
        <v>49</v>
      </c>
      <c r="F3930" t="s">
        <v>2331</v>
      </c>
      <c r="G3930" t="s">
        <v>2332</v>
      </c>
      <c r="H3930" t="s">
        <v>101</v>
      </c>
      <c r="I3930" t="s">
        <v>26</v>
      </c>
      <c r="J3930" t="s">
        <v>143</v>
      </c>
      <c r="K3930" t="s">
        <v>144</v>
      </c>
      <c r="L3930">
        <v>19140</v>
      </c>
      <c r="M3930" t="s">
        <v>145</v>
      </c>
      <c r="N3930" t="s">
        <v>3134</v>
      </c>
      <c r="O3930" t="s">
        <v>31</v>
      </c>
      <c r="P3930" t="s">
        <v>35</v>
      </c>
      <c r="Q3930" t="s">
        <v>3135</v>
      </c>
      <c r="R3930">
        <v>344.37200000000001</v>
      </c>
      <c r="S3930">
        <v>4</v>
      </c>
      <c r="T3930">
        <v>0.3</v>
      </c>
      <c r="U3930">
        <v>-93.472399999999993</v>
      </c>
      <c r="V3930" t="str">
        <f t="shared" si="61"/>
        <v>Phillina Ober</v>
      </c>
      <c r="W3930">
        <f>Table2[Profit]/Table2[Sales]</f>
        <v>-0.27142857142857141</v>
      </c>
    </row>
    <row r="3931" spans="1:23" x14ac:dyDescent="0.25">
      <c r="A3931">
        <v>3930</v>
      </c>
      <c r="B3931" t="s">
        <v>9499</v>
      </c>
      <c r="C3931" s="1">
        <v>42982</v>
      </c>
      <c r="D3931" s="1">
        <v>42986</v>
      </c>
      <c r="E3931" t="s">
        <v>22</v>
      </c>
      <c r="F3931" t="s">
        <v>3711</v>
      </c>
      <c r="G3931" t="s">
        <v>3712</v>
      </c>
      <c r="H3931" t="s">
        <v>101</v>
      </c>
      <c r="I3931" t="s">
        <v>26</v>
      </c>
      <c r="J3931" t="s">
        <v>2734</v>
      </c>
      <c r="K3931" t="s">
        <v>103</v>
      </c>
      <c r="L3931">
        <v>75043</v>
      </c>
      <c r="M3931" t="s">
        <v>104</v>
      </c>
      <c r="N3931" t="s">
        <v>483</v>
      </c>
      <c r="O3931" t="s">
        <v>45</v>
      </c>
      <c r="P3931" t="s">
        <v>67</v>
      </c>
      <c r="Q3931" t="s">
        <v>484</v>
      </c>
      <c r="R3931">
        <v>30.384</v>
      </c>
      <c r="S3931">
        <v>1</v>
      </c>
      <c r="T3931">
        <v>0.2</v>
      </c>
      <c r="U3931">
        <v>3.798</v>
      </c>
      <c r="V3931" t="str">
        <f t="shared" si="61"/>
        <v>Julie Kriz</v>
      </c>
      <c r="W3931">
        <f>Table2[Profit]/Table2[Sales]</f>
        <v>0.125</v>
      </c>
    </row>
    <row r="3932" spans="1:23" x14ac:dyDescent="0.25">
      <c r="A3932">
        <v>3931</v>
      </c>
      <c r="B3932" t="s">
        <v>9500</v>
      </c>
      <c r="C3932" s="1">
        <v>42189</v>
      </c>
      <c r="D3932" s="1">
        <v>42193</v>
      </c>
      <c r="E3932" t="s">
        <v>22</v>
      </c>
      <c r="F3932" t="s">
        <v>5797</v>
      </c>
      <c r="G3932" t="s">
        <v>5798</v>
      </c>
      <c r="H3932" t="s">
        <v>101</v>
      </c>
      <c r="I3932" t="s">
        <v>26</v>
      </c>
      <c r="J3932" t="s">
        <v>941</v>
      </c>
      <c r="K3932" t="s">
        <v>42</v>
      </c>
      <c r="L3932">
        <v>92024</v>
      </c>
      <c r="M3932" t="s">
        <v>43</v>
      </c>
      <c r="N3932" t="s">
        <v>1094</v>
      </c>
      <c r="O3932" t="s">
        <v>45</v>
      </c>
      <c r="P3932" t="s">
        <v>74</v>
      </c>
      <c r="Q3932" t="s">
        <v>1095</v>
      </c>
      <c r="R3932">
        <v>22.847999999999999</v>
      </c>
      <c r="S3932">
        <v>2</v>
      </c>
      <c r="T3932">
        <v>0.2</v>
      </c>
      <c r="U3932">
        <v>7.4256000000000002</v>
      </c>
      <c r="V3932" t="str">
        <f t="shared" si="61"/>
        <v>Julie Prescott</v>
      </c>
      <c r="W3932">
        <f>Table2[Profit]/Table2[Sales]</f>
        <v>0.32500000000000001</v>
      </c>
    </row>
    <row r="3933" spans="1:23" x14ac:dyDescent="0.25">
      <c r="A3933">
        <v>3932</v>
      </c>
      <c r="B3933" t="s">
        <v>9501</v>
      </c>
      <c r="C3933" s="1">
        <v>42993</v>
      </c>
      <c r="D3933" s="1">
        <v>42999</v>
      </c>
      <c r="E3933" t="s">
        <v>49</v>
      </c>
      <c r="F3933" t="s">
        <v>5800</v>
      </c>
      <c r="G3933" t="s">
        <v>5801</v>
      </c>
      <c r="H3933" t="s">
        <v>101</v>
      </c>
      <c r="I3933" t="s">
        <v>26</v>
      </c>
      <c r="J3933" t="s">
        <v>7520</v>
      </c>
      <c r="K3933" t="s">
        <v>740</v>
      </c>
      <c r="L3933">
        <v>6708</v>
      </c>
      <c r="M3933" t="s">
        <v>145</v>
      </c>
      <c r="N3933" t="s">
        <v>4787</v>
      </c>
      <c r="O3933" t="s">
        <v>45</v>
      </c>
      <c r="P3933" t="s">
        <v>58</v>
      </c>
      <c r="Q3933" t="s">
        <v>4788</v>
      </c>
      <c r="R3933">
        <v>38.619999999999997</v>
      </c>
      <c r="S3933">
        <v>2</v>
      </c>
      <c r="T3933">
        <v>0</v>
      </c>
      <c r="U3933">
        <v>10.813599999999999</v>
      </c>
      <c r="V3933" t="str">
        <f t="shared" si="61"/>
        <v>Dean percer</v>
      </c>
      <c r="W3933">
        <f>Table2[Profit]/Table2[Sales]</f>
        <v>0.27999999999999997</v>
      </c>
    </row>
    <row r="3934" spans="1:23" x14ac:dyDescent="0.25">
      <c r="A3934">
        <v>3933</v>
      </c>
      <c r="B3934" t="s">
        <v>9502</v>
      </c>
      <c r="C3934" s="1">
        <v>42807</v>
      </c>
      <c r="D3934" s="1">
        <v>42811</v>
      </c>
      <c r="E3934" t="s">
        <v>49</v>
      </c>
      <c r="F3934" t="s">
        <v>6082</v>
      </c>
      <c r="G3934" t="s">
        <v>6083</v>
      </c>
      <c r="H3934" t="s">
        <v>25</v>
      </c>
      <c r="I3934" t="s">
        <v>26</v>
      </c>
      <c r="J3934" t="s">
        <v>375</v>
      </c>
      <c r="K3934" t="s">
        <v>2699</v>
      </c>
      <c r="L3934">
        <v>21044</v>
      </c>
      <c r="M3934" t="s">
        <v>145</v>
      </c>
      <c r="N3934" t="s">
        <v>3498</v>
      </c>
      <c r="O3934" t="s">
        <v>45</v>
      </c>
      <c r="P3934" t="s">
        <v>74</v>
      </c>
      <c r="Q3934" t="s">
        <v>3499</v>
      </c>
      <c r="R3934">
        <v>174.3</v>
      </c>
      <c r="S3934">
        <v>3</v>
      </c>
      <c r="T3934">
        <v>0</v>
      </c>
      <c r="U3934">
        <v>81.921000000000006</v>
      </c>
      <c r="V3934" t="str">
        <f t="shared" si="61"/>
        <v>Joy Bell-</v>
      </c>
      <c r="W3934">
        <f>Table2[Profit]/Table2[Sales]</f>
        <v>0.47000000000000003</v>
      </c>
    </row>
    <row r="3935" spans="1:23" x14ac:dyDescent="0.25">
      <c r="A3935">
        <v>3934</v>
      </c>
      <c r="B3935" t="s">
        <v>9503</v>
      </c>
      <c r="C3935" s="1">
        <v>43002</v>
      </c>
      <c r="D3935" s="1">
        <v>43007</v>
      </c>
      <c r="E3935" t="s">
        <v>49</v>
      </c>
      <c r="F3935" t="s">
        <v>3714</v>
      </c>
      <c r="G3935" t="s">
        <v>3715</v>
      </c>
      <c r="H3935" t="s">
        <v>101</v>
      </c>
      <c r="I3935" t="s">
        <v>26</v>
      </c>
      <c r="J3935" t="s">
        <v>7070</v>
      </c>
      <c r="K3935" t="s">
        <v>53</v>
      </c>
      <c r="L3935">
        <v>33021</v>
      </c>
      <c r="M3935" t="s">
        <v>29</v>
      </c>
      <c r="N3935" t="s">
        <v>6152</v>
      </c>
      <c r="O3935" t="s">
        <v>70</v>
      </c>
      <c r="P3935" t="s">
        <v>71</v>
      </c>
      <c r="Q3935" t="s">
        <v>6153</v>
      </c>
      <c r="R3935">
        <v>383.96</v>
      </c>
      <c r="S3935">
        <v>5</v>
      </c>
      <c r="T3935">
        <v>0.2</v>
      </c>
      <c r="U3935">
        <v>38.396000000000001</v>
      </c>
      <c r="V3935" t="str">
        <f t="shared" si="61"/>
        <v>Paul Prost</v>
      </c>
      <c r="W3935">
        <f>Table2[Profit]/Table2[Sales]</f>
        <v>0.1</v>
      </c>
    </row>
    <row r="3936" spans="1:23" x14ac:dyDescent="0.25">
      <c r="A3936">
        <v>3935</v>
      </c>
      <c r="B3936" t="s">
        <v>9504</v>
      </c>
      <c r="C3936" s="1">
        <v>42595</v>
      </c>
      <c r="D3936" s="1">
        <v>42598</v>
      </c>
      <c r="E3936" t="s">
        <v>185</v>
      </c>
      <c r="F3936" t="s">
        <v>1413</v>
      </c>
      <c r="G3936" t="s">
        <v>1414</v>
      </c>
      <c r="H3936" t="s">
        <v>25</v>
      </c>
      <c r="I3936" t="s">
        <v>26</v>
      </c>
      <c r="J3936" t="s">
        <v>311</v>
      </c>
      <c r="K3936" t="s">
        <v>312</v>
      </c>
      <c r="L3936">
        <v>22153</v>
      </c>
      <c r="M3936" t="s">
        <v>29</v>
      </c>
      <c r="N3936" t="s">
        <v>354</v>
      </c>
      <c r="O3936" t="s">
        <v>45</v>
      </c>
      <c r="P3936" t="s">
        <v>74</v>
      </c>
      <c r="Q3936" t="s">
        <v>355</v>
      </c>
      <c r="R3936">
        <v>22.32</v>
      </c>
      <c r="S3936">
        <v>4</v>
      </c>
      <c r="T3936">
        <v>0</v>
      </c>
      <c r="U3936">
        <v>10.7136</v>
      </c>
      <c r="V3936" t="str">
        <f t="shared" si="61"/>
        <v>Roy Französisch</v>
      </c>
      <c r="W3936">
        <f>Table2[Profit]/Table2[Sales]</f>
        <v>0.48</v>
      </c>
    </row>
    <row r="3937" spans="1:23" x14ac:dyDescent="0.25">
      <c r="A3937">
        <v>3936</v>
      </c>
      <c r="B3937" t="s">
        <v>9505</v>
      </c>
      <c r="C3937" s="1">
        <v>43059</v>
      </c>
      <c r="D3937" s="1">
        <v>43063</v>
      </c>
      <c r="E3937" t="s">
        <v>22</v>
      </c>
      <c r="F3937" t="s">
        <v>4522</v>
      </c>
      <c r="G3937" t="s">
        <v>4523</v>
      </c>
      <c r="H3937" t="s">
        <v>40</v>
      </c>
      <c r="I3937" t="s">
        <v>26</v>
      </c>
      <c r="J3937" t="s">
        <v>263</v>
      </c>
      <c r="K3937" t="s">
        <v>264</v>
      </c>
      <c r="L3937">
        <v>10035</v>
      </c>
      <c r="M3937" t="s">
        <v>145</v>
      </c>
      <c r="N3937" t="s">
        <v>5829</v>
      </c>
      <c r="O3937" t="s">
        <v>70</v>
      </c>
      <c r="P3937" t="s">
        <v>158</v>
      </c>
      <c r="Q3937" t="s">
        <v>5830</v>
      </c>
      <c r="R3937">
        <v>2.97</v>
      </c>
      <c r="S3937">
        <v>3</v>
      </c>
      <c r="T3937">
        <v>0</v>
      </c>
      <c r="U3937">
        <v>1.3365</v>
      </c>
      <c r="V3937" t="str">
        <f t="shared" si="61"/>
        <v>Katharine Harms</v>
      </c>
      <c r="W3937">
        <f>Table2[Profit]/Table2[Sales]</f>
        <v>0.44999999999999996</v>
      </c>
    </row>
    <row r="3938" spans="1:23" x14ac:dyDescent="0.25">
      <c r="A3938">
        <v>3937</v>
      </c>
      <c r="B3938" t="s">
        <v>9506</v>
      </c>
      <c r="C3938" s="1">
        <v>42941</v>
      </c>
      <c r="D3938" s="1">
        <v>42943</v>
      </c>
      <c r="E3938" t="s">
        <v>185</v>
      </c>
      <c r="F3938" t="s">
        <v>8484</v>
      </c>
      <c r="G3938" t="s">
        <v>8485</v>
      </c>
      <c r="H3938" t="s">
        <v>101</v>
      </c>
      <c r="I3938" t="s">
        <v>26</v>
      </c>
      <c r="J3938" t="s">
        <v>808</v>
      </c>
      <c r="K3938" t="s">
        <v>103</v>
      </c>
      <c r="L3938">
        <v>75217</v>
      </c>
      <c r="M3938" t="s">
        <v>104</v>
      </c>
      <c r="N3938" t="s">
        <v>4579</v>
      </c>
      <c r="O3938" t="s">
        <v>31</v>
      </c>
      <c r="P3938" t="s">
        <v>55</v>
      </c>
      <c r="Q3938" t="s">
        <v>4580</v>
      </c>
      <c r="R3938">
        <v>298.11599999999999</v>
      </c>
      <c r="S3938">
        <v>6</v>
      </c>
      <c r="T3938">
        <v>0.3</v>
      </c>
      <c r="U3938">
        <v>-4.2587999999999999</v>
      </c>
      <c r="V3938" t="str">
        <f t="shared" si="61"/>
        <v>Evan Minnotte</v>
      </c>
      <c r="W3938">
        <f>Table2[Profit]/Table2[Sales]</f>
        <v>-1.4285714285714287E-2</v>
      </c>
    </row>
    <row r="3939" spans="1:23" x14ac:dyDescent="0.25">
      <c r="A3939">
        <v>3938</v>
      </c>
      <c r="B3939" t="s">
        <v>9507</v>
      </c>
      <c r="C3939" s="1">
        <v>42454</v>
      </c>
      <c r="D3939" s="1">
        <v>42456</v>
      </c>
      <c r="E3939" t="s">
        <v>22</v>
      </c>
      <c r="F3939" t="s">
        <v>3778</v>
      </c>
      <c r="G3939" t="s">
        <v>3779</v>
      </c>
      <c r="H3939" t="s">
        <v>40</v>
      </c>
      <c r="I3939" t="s">
        <v>26</v>
      </c>
      <c r="J3939" t="s">
        <v>263</v>
      </c>
      <c r="K3939" t="s">
        <v>264</v>
      </c>
      <c r="L3939">
        <v>10024</v>
      </c>
      <c r="M3939" t="s">
        <v>145</v>
      </c>
      <c r="N3939" t="s">
        <v>4046</v>
      </c>
      <c r="O3939" t="s">
        <v>45</v>
      </c>
      <c r="P3939" t="s">
        <v>67</v>
      </c>
      <c r="Q3939" t="s">
        <v>4047</v>
      </c>
      <c r="R3939">
        <v>59.52</v>
      </c>
      <c r="S3939">
        <v>3</v>
      </c>
      <c r="T3939">
        <v>0</v>
      </c>
      <c r="U3939">
        <v>17.856000000000002</v>
      </c>
      <c r="V3939" t="str">
        <f t="shared" si="61"/>
        <v>Damala Kotsonis</v>
      </c>
      <c r="W3939">
        <f>Table2[Profit]/Table2[Sales]</f>
        <v>0.3</v>
      </c>
    </row>
    <row r="3940" spans="1:23" x14ac:dyDescent="0.25">
      <c r="A3940">
        <v>3939</v>
      </c>
      <c r="B3940" t="s">
        <v>9508</v>
      </c>
      <c r="C3940" s="1">
        <v>42566</v>
      </c>
      <c r="D3940" s="1">
        <v>42571</v>
      </c>
      <c r="E3940" t="s">
        <v>49</v>
      </c>
      <c r="F3940" t="s">
        <v>3827</v>
      </c>
      <c r="G3940" t="s">
        <v>3828</v>
      </c>
      <c r="H3940" t="s">
        <v>40</v>
      </c>
      <c r="I3940" t="s">
        <v>26</v>
      </c>
      <c r="J3940" t="s">
        <v>412</v>
      </c>
      <c r="K3940" t="s">
        <v>413</v>
      </c>
      <c r="L3940">
        <v>97206</v>
      </c>
      <c r="M3940" t="s">
        <v>43</v>
      </c>
      <c r="N3940" t="s">
        <v>1447</v>
      </c>
      <c r="O3940" t="s">
        <v>31</v>
      </c>
      <c r="P3940" t="s">
        <v>35</v>
      </c>
      <c r="Q3940" t="s">
        <v>1448</v>
      </c>
      <c r="R3940">
        <v>230.28</v>
      </c>
      <c r="S3940">
        <v>3</v>
      </c>
      <c r="T3940">
        <v>0.2</v>
      </c>
      <c r="U3940">
        <v>23.027999999999999</v>
      </c>
      <c r="V3940" t="str">
        <f t="shared" si="61"/>
        <v>Mark Cousins</v>
      </c>
      <c r="W3940">
        <f>Table2[Profit]/Table2[Sales]</f>
        <v>9.9999999999999992E-2</v>
      </c>
    </row>
    <row r="3941" spans="1:23" x14ac:dyDescent="0.25">
      <c r="A3941">
        <v>3940</v>
      </c>
      <c r="B3941" t="s">
        <v>9509</v>
      </c>
      <c r="C3941" s="1">
        <v>42964</v>
      </c>
      <c r="D3941" s="1">
        <v>42971</v>
      </c>
      <c r="E3941" t="s">
        <v>49</v>
      </c>
      <c r="F3941" t="s">
        <v>3769</v>
      </c>
      <c r="G3941" t="s">
        <v>3770</v>
      </c>
      <c r="H3941" t="s">
        <v>40</v>
      </c>
      <c r="I3941" t="s">
        <v>26</v>
      </c>
      <c r="J3941" t="s">
        <v>983</v>
      </c>
      <c r="K3941" t="s">
        <v>42</v>
      </c>
      <c r="L3941">
        <v>94513</v>
      </c>
      <c r="M3941" t="s">
        <v>43</v>
      </c>
      <c r="N3941" t="s">
        <v>4045</v>
      </c>
      <c r="O3941" t="s">
        <v>45</v>
      </c>
      <c r="P3941" t="s">
        <v>170</v>
      </c>
      <c r="Q3941" t="s">
        <v>662</v>
      </c>
      <c r="R3941">
        <v>23.36</v>
      </c>
      <c r="S3941">
        <v>2</v>
      </c>
      <c r="T3941">
        <v>0</v>
      </c>
      <c r="U3941">
        <v>11.68</v>
      </c>
      <c r="V3941" t="str">
        <f t="shared" si="61"/>
        <v>Rick Wilson</v>
      </c>
      <c r="W3941">
        <f>Table2[Profit]/Table2[Sales]</f>
        <v>0.5</v>
      </c>
    </row>
    <row r="3942" spans="1:23" x14ac:dyDescent="0.25">
      <c r="A3942">
        <v>3941</v>
      </c>
      <c r="B3942" t="s">
        <v>9510</v>
      </c>
      <c r="C3942" s="1">
        <v>42718</v>
      </c>
      <c r="D3942" s="1">
        <v>42721</v>
      </c>
      <c r="E3942" t="s">
        <v>185</v>
      </c>
      <c r="F3942" t="s">
        <v>871</v>
      </c>
      <c r="G3942" t="s">
        <v>872</v>
      </c>
      <c r="H3942" t="s">
        <v>40</v>
      </c>
      <c r="I3942" t="s">
        <v>26</v>
      </c>
      <c r="J3942" t="s">
        <v>941</v>
      </c>
      <c r="K3942" t="s">
        <v>42</v>
      </c>
      <c r="L3942">
        <v>92037</v>
      </c>
      <c r="M3942" t="s">
        <v>43</v>
      </c>
      <c r="N3942" t="s">
        <v>297</v>
      </c>
      <c r="O3942" t="s">
        <v>31</v>
      </c>
      <c r="P3942" t="s">
        <v>35</v>
      </c>
      <c r="Q3942" t="s">
        <v>545</v>
      </c>
      <c r="R3942">
        <v>81.424000000000007</v>
      </c>
      <c r="S3942">
        <v>2</v>
      </c>
      <c r="T3942">
        <v>0.2</v>
      </c>
      <c r="U3942">
        <v>-9.1601999999999997</v>
      </c>
      <c r="V3942" t="str">
        <f t="shared" si="61"/>
        <v>David Smith</v>
      </c>
      <c r="W3942">
        <f>Table2[Profit]/Table2[Sales]</f>
        <v>-0.11249999999999999</v>
      </c>
    </row>
    <row r="3943" spans="1:23" x14ac:dyDescent="0.25">
      <c r="A3943">
        <v>3942</v>
      </c>
      <c r="B3943" t="s">
        <v>9511</v>
      </c>
      <c r="C3943" s="1">
        <v>43094</v>
      </c>
      <c r="D3943" s="1">
        <v>43101</v>
      </c>
      <c r="E3943" t="s">
        <v>49</v>
      </c>
      <c r="F3943" t="s">
        <v>2589</v>
      </c>
      <c r="G3943" t="s">
        <v>2590</v>
      </c>
      <c r="H3943" t="s">
        <v>25</v>
      </c>
      <c r="I3943" t="s">
        <v>26</v>
      </c>
      <c r="J3943" t="s">
        <v>808</v>
      </c>
      <c r="K3943" t="s">
        <v>103</v>
      </c>
      <c r="L3943">
        <v>75081</v>
      </c>
      <c r="M3943" t="s">
        <v>104</v>
      </c>
      <c r="N3943" t="s">
        <v>2750</v>
      </c>
      <c r="O3943" t="s">
        <v>45</v>
      </c>
      <c r="P3943" t="s">
        <v>74</v>
      </c>
      <c r="Q3943" t="s">
        <v>2751</v>
      </c>
      <c r="R3943">
        <v>39.582000000000001</v>
      </c>
      <c r="S3943">
        <v>9</v>
      </c>
      <c r="T3943">
        <v>0.8</v>
      </c>
      <c r="U3943">
        <v>-59.372999999999998</v>
      </c>
      <c r="V3943" t="str">
        <f t="shared" si="61"/>
        <v>Guy Armstrong</v>
      </c>
      <c r="W3943">
        <f>Table2[Profit]/Table2[Sales]</f>
        <v>-1.5</v>
      </c>
    </row>
    <row r="3944" spans="1:23" x14ac:dyDescent="0.25">
      <c r="A3944">
        <v>3943</v>
      </c>
      <c r="B3944" t="s">
        <v>9512</v>
      </c>
      <c r="C3944" s="1">
        <v>41699</v>
      </c>
      <c r="D3944" s="1">
        <v>41703</v>
      </c>
      <c r="E3944" t="s">
        <v>49</v>
      </c>
      <c r="F3944" t="s">
        <v>5407</v>
      </c>
      <c r="G3944" t="s">
        <v>5408</v>
      </c>
      <c r="H3944" t="s">
        <v>25</v>
      </c>
      <c r="I3944" t="s">
        <v>26</v>
      </c>
      <c r="J3944" t="s">
        <v>4086</v>
      </c>
      <c r="K3944" t="s">
        <v>103</v>
      </c>
      <c r="L3944">
        <v>79907</v>
      </c>
      <c r="M3944" t="s">
        <v>104</v>
      </c>
      <c r="N3944" t="s">
        <v>4763</v>
      </c>
      <c r="O3944" t="s">
        <v>45</v>
      </c>
      <c r="P3944" t="s">
        <v>266</v>
      </c>
      <c r="Q3944" t="s">
        <v>4764</v>
      </c>
      <c r="R3944">
        <v>18.84</v>
      </c>
      <c r="S3944">
        <v>5</v>
      </c>
      <c r="T3944">
        <v>0.2</v>
      </c>
      <c r="U3944">
        <v>-3.5325000000000002</v>
      </c>
      <c r="V3944" t="str">
        <f t="shared" si="61"/>
        <v>Shahid Collister</v>
      </c>
      <c r="W3944">
        <f>Table2[Profit]/Table2[Sales]</f>
        <v>-0.1875</v>
      </c>
    </row>
    <row r="3945" spans="1:23" x14ac:dyDescent="0.25">
      <c r="A3945">
        <v>3944</v>
      </c>
      <c r="B3945" t="s">
        <v>9513</v>
      </c>
      <c r="C3945" s="1">
        <v>42327</v>
      </c>
      <c r="D3945" s="1">
        <v>42332</v>
      </c>
      <c r="E3945" t="s">
        <v>49</v>
      </c>
      <c r="F3945" t="s">
        <v>422</v>
      </c>
      <c r="G3945" t="s">
        <v>423</v>
      </c>
      <c r="H3945" t="s">
        <v>25</v>
      </c>
      <c r="I3945" t="s">
        <v>26</v>
      </c>
      <c r="J3945" t="s">
        <v>263</v>
      </c>
      <c r="K3945" t="s">
        <v>264</v>
      </c>
      <c r="L3945">
        <v>10035</v>
      </c>
      <c r="M3945" t="s">
        <v>145</v>
      </c>
      <c r="N3945" t="s">
        <v>5624</v>
      </c>
      <c r="O3945" t="s">
        <v>45</v>
      </c>
      <c r="P3945" t="s">
        <v>74</v>
      </c>
      <c r="Q3945" t="s">
        <v>5625</v>
      </c>
      <c r="R3945">
        <v>5.984</v>
      </c>
      <c r="S3945">
        <v>2</v>
      </c>
      <c r="T3945">
        <v>0.2</v>
      </c>
      <c r="U3945">
        <v>2.2440000000000002</v>
      </c>
      <c r="V3945" t="str">
        <f t="shared" si="61"/>
        <v>Katherine Ducich</v>
      </c>
      <c r="W3945">
        <f>Table2[Profit]/Table2[Sales]</f>
        <v>0.37500000000000006</v>
      </c>
    </row>
    <row r="3946" spans="1:23" x14ac:dyDescent="0.25">
      <c r="A3946">
        <v>3945</v>
      </c>
      <c r="B3946" t="s">
        <v>9514</v>
      </c>
      <c r="C3946" s="1">
        <v>41730</v>
      </c>
      <c r="D3946" s="1">
        <v>41735</v>
      </c>
      <c r="E3946" t="s">
        <v>49</v>
      </c>
      <c r="F3946" t="s">
        <v>4522</v>
      </c>
      <c r="G3946" t="s">
        <v>4523</v>
      </c>
      <c r="H3946" t="s">
        <v>40</v>
      </c>
      <c r="I3946" t="s">
        <v>26</v>
      </c>
      <c r="J3946" t="s">
        <v>6417</v>
      </c>
      <c r="K3946" t="s">
        <v>1233</v>
      </c>
      <c r="L3946">
        <v>2151</v>
      </c>
      <c r="M3946" t="s">
        <v>145</v>
      </c>
      <c r="N3946" t="s">
        <v>8315</v>
      </c>
      <c r="O3946" t="s">
        <v>45</v>
      </c>
      <c r="P3946" t="s">
        <v>58</v>
      </c>
      <c r="Q3946" t="s">
        <v>8316</v>
      </c>
      <c r="R3946">
        <v>66.959999999999994</v>
      </c>
      <c r="S3946">
        <v>4</v>
      </c>
      <c r="T3946">
        <v>0</v>
      </c>
      <c r="U3946">
        <v>2.6783999999999999</v>
      </c>
      <c r="V3946" t="str">
        <f t="shared" si="61"/>
        <v>Katharine Harms</v>
      </c>
      <c r="W3946">
        <f>Table2[Profit]/Table2[Sales]</f>
        <v>0.04</v>
      </c>
    </row>
    <row r="3947" spans="1:23" x14ac:dyDescent="0.25">
      <c r="A3947">
        <v>3946</v>
      </c>
      <c r="B3947" t="s">
        <v>9515</v>
      </c>
      <c r="C3947" s="1">
        <v>43013</v>
      </c>
      <c r="D3947" s="1">
        <v>43018</v>
      </c>
      <c r="E3947" t="s">
        <v>49</v>
      </c>
      <c r="F3947" t="s">
        <v>506</v>
      </c>
      <c r="G3947" t="s">
        <v>507</v>
      </c>
      <c r="H3947" t="s">
        <v>40</v>
      </c>
      <c r="I3947" t="s">
        <v>26</v>
      </c>
      <c r="J3947" t="s">
        <v>8281</v>
      </c>
      <c r="K3947" t="s">
        <v>42</v>
      </c>
      <c r="L3947">
        <v>95928</v>
      </c>
      <c r="M3947" t="s">
        <v>43</v>
      </c>
      <c r="N3947" t="s">
        <v>5423</v>
      </c>
      <c r="O3947" t="s">
        <v>31</v>
      </c>
      <c r="P3947" t="s">
        <v>35</v>
      </c>
      <c r="Q3947" t="s">
        <v>5424</v>
      </c>
      <c r="R3947">
        <v>435.16800000000001</v>
      </c>
      <c r="S3947">
        <v>4</v>
      </c>
      <c r="T3947">
        <v>0.2</v>
      </c>
      <c r="U3947">
        <v>-59.835599999999999</v>
      </c>
      <c r="V3947" t="str">
        <f t="shared" si="61"/>
        <v>Greg Guthrie</v>
      </c>
      <c r="W3947">
        <f>Table2[Profit]/Table2[Sales]</f>
        <v>-0.13749999999999998</v>
      </c>
    </row>
    <row r="3948" spans="1:23" x14ac:dyDescent="0.25">
      <c r="A3948">
        <v>3947</v>
      </c>
      <c r="B3948" t="s">
        <v>9516</v>
      </c>
      <c r="C3948" s="1">
        <v>43057</v>
      </c>
      <c r="D3948" s="1">
        <v>43062</v>
      </c>
      <c r="E3948" t="s">
        <v>22</v>
      </c>
      <c r="F3948" t="s">
        <v>393</v>
      </c>
      <c r="G3948" t="s">
        <v>394</v>
      </c>
      <c r="H3948" t="s">
        <v>40</v>
      </c>
      <c r="I3948" t="s">
        <v>26</v>
      </c>
      <c r="J3948" t="s">
        <v>7028</v>
      </c>
      <c r="K3948" t="s">
        <v>53</v>
      </c>
      <c r="L3948">
        <v>33023</v>
      </c>
      <c r="M3948" t="s">
        <v>29</v>
      </c>
      <c r="N3948" t="s">
        <v>6293</v>
      </c>
      <c r="O3948" t="s">
        <v>45</v>
      </c>
      <c r="P3948" t="s">
        <v>58</v>
      </c>
      <c r="Q3948" t="s">
        <v>6294</v>
      </c>
      <c r="R3948">
        <v>81.36</v>
      </c>
      <c r="S3948">
        <v>5</v>
      </c>
      <c r="T3948">
        <v>0.2</v>
      </c>
      <c r="U3948">
        <v>-19.323</v>
      </c>
      <c r="V3948" t="str">
        <f t="shared" si="61"/>
        <v>Jim Sink</v>
      </c>
      <c r="W3948">
        <f>Table2[Profit]/Table2[Sales]</f>
        <v>-0.23750000000000002</v>
      </c>
    </row>
    <row r="3949" spans="1:23" x14ac:dyDescent="0.25">
      <c r="A3949">
        <v>3948</v>
      </c>
      <c r="B3949" t="s">
        <v>9517</v>
      </c>
      <c r="C3949" s="1">
        <v>42086</v>
      </c>
      <c r="D3949" s="1">
        <v>42093</v>
      </c>
      <c r="E3949" t="s">
        <v>49</v>
      </c>
      <c r="F3949" t="s">
        <v>1372</v>
      </c>
      <c r="G3949" t="s">
        <v>1373</v>
      </c>
      <c r="H3949" t="s">
        <v>40</v>
      </c>
      <c r="I3949" t="s">
        <v>26</v>
      </c>
      <c r="J3949" t="s">
        <v>41</v>
      </c>
      <c r="K3949" t="s">
        <v>42</v>
      </c>
      <c r="L3949">
        <v>90049</v>
      </c>
      <c r="M3949" t="s">
        <v>43</v>
      </c>
      <c r="N3949" t="s">
        <v>5237</v>
      </c>
      <c r="O3949" t="s">
        <v>45</v>
      </c>
      <c r="P3949" t="s">
        <v>89</v>
      </c>
      <c r="Q3949" t="s">
        <v>5238</v>
      </c>
      <c r="R3949">
        <v>33.36</v>
      </c>
      <c r="S3949">
        <v>4</v>
      </c>
      <c r="T3949">
        <v>0</v>
      </c>
      <c r="U3949">
        <v>16.68</v>
      </c>
      <c r="V3949" t="str">
        <f t="shared" si="61"/>
        <v>Bart Pistole</v>
      </c>
      <c r="W3949">
        <f>Table2[Profit]/Table2[Sales]</f>
        <v>0.5</v>
      </c>
    </row>
    <row r="3950" spans="1:23" x14ac:dyDescent="0.25">
      <c r="A3950">
        <v>3949</v>
      </c>
      <c r="B3950" t="s">
        <v>9518</v>
      </c>
      <c r="C3950" s="1">
        <v>42653</v>
      </c>
      <c r="D3950" s="1">
        <v>42655</v>
      </c>
      <c r="E3950" t="s">
        <v>185</v>
      </c>
      <c r="F3950" t="s">
        <v>4849</v>
      </c>
      <c r="G3950" t="s">
        <v>4850</v>
      </c>
      <c r="H3950" t="s">
        <v>40</v>
      </c>
      <c r="I3950" t="s">
        <v>26</v>
      </c>
      <c r="J3950" t="s">
        <v>800</v>
      </c>
      <c r="K3950" t="s">
        <v>450</v>
      </c>
      <c r="L3950">
        <v>80219</v>
      </c>
      <c r="M3950" t="s">
        <v>43</v>
      </c>
      <c r="N3950" t="s">
        <v>9519</v>
      </c>
      <c r="O3950" t="s">
        <v>31</v>
      </c>
      <c r="P3950" t="s">
        <v>32</v>
      </c>
      <c r="Q3950" t="s">
        <v>9520</v>
      </c>
      <c r="R3950">
        <v>90.882000000000005</v>
      </c>
      <c r="S3950">
        <v>3</v>
      </c>
      <c r="T3950">
        <v>0.7</v>
      </c>
      <c r="U3950">
        <v>-190.85220000000001</v>
      </c>
      <c r="V3950" t="str">
        <f t="shared" si="61"/>
        <v>Corey Catlett</v>
      </c>
      <c r="W3950">
        <f>Table2[Profit]/Table2[Sales]</f>
        <v>-2.1</v>
      </c>
    </row>
    <row r="3951" spans="1:23" x14ac:dyDescent="0.25">
      <c r="A3951">
        <v>3950</v>
      </c>
      <c r="B3951" t="s">
        <v>9521</v>
      </c>
      <c r="C3951" s="1">
        <v>42232</v>
      </c>
      <c r="D3951" s="1">
        <v>42236</v>
      </c>
      <c r="E3951" t="s">
        <v>49</v>
      </c>
      <c r="F3951" t="s">
        <v>1147</v>
      </c>
      <c r="G3951" t="s">
        <v>1148</v>
      </c>
      <c r="H3951" t="s">
        <v>40</v>
      </c>
      <c r="I3951" t="s">
        <v>26</v>
      </c>
      <c r="J3951" t="s">
        <v>143</v>
      </c>
      <c r="K3951" t="s">
        <v>144</v>
      </c>
      <c r="L3951">
        <v>19134</v>
      </c>
      <c r="M3951" t="s">
        <v>145</v>
      </c>
      <c r="N3951" t="s">
        <v>3909</v>
      </c>
      <c r="O3951" t="s">
        <v>70</v>
      </c>
      <c r="P3951" t="s">
        <v>71</v>
      </c>
      <c r="Q3951" t="s">
        <v>3910</v>
      </c>
      <c r="R3951">
        <v>519.79200000000003</v>
      </c>
      <c r="S3951">
        <v>4</v>
      </c>
      <c r="T3951">
        <v>0.4</v>
      </c>
      <c r="U3951">
        <v>-112.6216</v>
      </c>
      <c r="V3951" t="str">
        <f t="shared" si="61"/>
        <v>Sung Pak</v>
      </c>
      <c r="W3951">
        <f>Table2[Profit]/Table2[Sales]</f>
        <v>-0.21666666666666665</v>
      </c>
    </row>
    <row r="3952" spans="1:23" x14ac:dyDescent="0.25">
      <c r="A3952">
        <v>3951</v>
      </c>
      <c r="B3952" t="s">
        <v>9522</v>
      </c>
      <c r="C3952" s="1">
        <v>41790</v>
      </c>
      <c r="D3952" s="1">
        <v>41795</v>
      </c>
      <c r="E3952" t="s">
        <v>49</v>
      </c>
      <c r="F3952" t="s">
        <v>5171</v>
      </c>
      <c r="G3952" t="s">
        <v>5172</v>
      </c>
      <c r="H3952" t="s">
        <v>25</v>
      </c>
      <c r="I3952" t="s">
        <v>26</v>
      </c>
      <c r="J3952" t="s">
        <v>321</v>
      </c>
      <c r="K3952" t="s">
        <v>1473</v>
      </c>
      <c r="L3952">
        <v>39212</v>
      </c>
      <c r="M3952" t="s">
        <v>29</v>
      </c>
      <c r="N3952" t="s">
        <v>1609</v>
      </c>
      <c r="O3952" t="s">
        <v>70</v>
      </c>
      <c r="P3952" t="s">
        <v>71</v>
      </c>
      <c r="Q3952" t="s">
        <v>1610</v>
      </c>
      <c r="R3952">
        <v>659.97</v>
      </c>
      <c r="S3952">
        <v>3</v>
      </c>
      <c r="T3952">
        <v>0</v>
      </c>
      <c r="U3952">
        <v>197.99100000000001</v>
      </c>
      <c r="V3952" t="str">
        <f t="shared" si="61"/>
        <v>Jim Karlsson</v>
      </c>
      <c r="W3952">
        <f>Table2[Profit]/Table2[Sales]</f>
        <v>0.3</v>
      </c>
    </row>
    <row r="3953" spans="1:23" x14ac:dyDescent="0.25">
      <c r="A3953">
        <v>3952</v>
      </c>
      <c r="B3953" t="s">
        <v>9523</v>
      </c>
      <c r="C3953" s="1">
        <v>42243</v>
      </c>
      <c r="D3953" s="1">
        <v>42247</v>
      </c>
      <c r="E3953" t="s">
        <v>49</v>
      </c>
      <c r="F3953" t="s">
        <v>3121</v>
      </c>
      <c r="G3953" t="s">
        <v>3122</v>
      </c>
      <c r="H3953" t="s">
        <v>101</v>
      </c>
      <c r="I3953" t="s">
        <v>26</v>
      </c>
      <c r="J3953" t="s">
        <v>41</v>
      </c>
      <c r="K3953" t="s">
        <v>42</v>
      </c>
      <c r="L3953">
        <v>90045</v>
      </c>
      <c r="M3953" t="s">
        <v>43</v>
      </c>
      <c r="N3953" t="s">
        <v>4732</v>
      </c>
      <c r="O3953" t="s">
        <v>45</v>
      </c>
      <c r="P3953" t="s">
        <v>74</v>
      </c>
      <c r="Q3953" t="s">
        <v>4733</v>
      </c>
      <c r="R3953">
        <v>5.1040000000000001</v>
      </c>
      <c r="S3953">
        <v>1</v>
      </c>
      <c r="T3953">
        <v>0.2</v>
      </c>
      <c r="U3953">
        <v>1.6588000000000001</v>
      </c>
      <c r="V3953" t="str">
        <f t="shared" si="61"/>
        <v>Chad Cunningham</v>
      </c>
      <c r="W3953">
        <f>Table2[Profit]/Table2[Sales]</f>
        <v>0.32500000000000001</v>
      </c>
    </row>
    <row r="3954" spans="1:23" x14ac:dyDescent="0.25">
      <c r="A3954">
        <v>3953</v>
      </c>
      <c r="B3954" t="s">
        <v>9524</v>
      </c>
      <c r="C3954" s="1">
        <v>41642</v>
      </c>
      <c r="D3954" s="1">
        <v>41646</v>
      </c>
      <c r="E3954" t="s">
        <v>49</v>
      </c>
      <c r="F3954" t="s">
        <v>248</v>
      </c>
      <c r="G3954" t="s">
        <v>249</v>
      </c>
      <c r="H3954" t="s">
        <v>25</v>
      </c>
      <c r="I3954" t="s">
        <v>26</v>
      </c>
      <c r="J3954" t="s">
        <v>181</v>
      </c>
      <c r="K3954" t="s">
        <v>103</v>
      </c>
      <c r="L3954">
        <v>77095</v>
      </c>
      <c r="M3954" t="s">
        <v>104</v>
      </c>
      <c r="N3954" t="s">
        <v>6469</v>
      </c>
      <c r="O3954" t="s">
        <v>45</v>
      </c>
      <c r="P3954" t="s">
        <v>89</v>
      </c>
      <c r="Q3954" t="s">
        <v>6470</v>
      </c>
      <c r="R3954">
        <v>16.448</v>
      </c>
      <c r="S3954">
        <v>2</v>
      </c>
      <c r="T3954">
        <v>0.2</v>
      </c>
      <c r="U3954">
        <v>5.5511999999999997</v>
      </c>
      <c r="V3954" t="str">
        <f t="shared" si="61"/>
        <v>Darren Powers</v>
      </c>
      <c r="W3954">
        <f>Table2[Profit]/Table2[Sales]</f>
        <v>0.33749999999999997</v>
      </c>
    </row>
    <row r="3955" spans="1:23" x14ac:dyDescent="0.25">
      <c r="A3955">
        <v>3954</v>
      </c>
      <c r="B3955" t="s">
        <v>9525</v>
      </c>
      <c r="C3955" s="1">
        <v>41892</v>
      </c>
      <c r="D3955" s="1">
        <v>41895</v>
      </c>
      <c r="E3955" t="s">
        <v>185</v>
      </c>
      <c r="F3955" t="s">
        <v>141</v>
      </c>
      <c r="G3955" t="s">
        <v>142</v>
      </c>
      <c r="H3955" t="s">
        <v>25</v>
      </c>
      <c r="I3955" t="s">
        <v>26</v>
      </c>
      <c r="J3955" t="s">
        <v>9526</v>
      </c>
      <c r="K3955" t="s">
        <v>781</v>
      </c>
      <c r="L3955">
        <v>7011</v>
      </c>
      <c r="M3955" t="s">
        <v>145</v>
      </c>
      <c r="N3955" t="s">
        <v>2163</v>
      </c>
      <c r="O3955" t="s">
        <v>45</v>
      </c>
      <c r="P3955" t="s">
        <v>77</v>
      </c>
      <c r="Q3955" t="s">
        <v>2164</v>
      </c>
      <c r="R3955">
        <v>81.92</v>
      </c>
      <c r="S3955">
        <v>4</v>
      </c>
      <c r="T3955">
        <v>0</v>
      </c>
      <c r="U3955">
        <v>22.118400000000001</v>
      </c>
      <c r="V3955" t="str">
        <f t="shared" si="61"/>
        <v>Sandra Flanagan</v>
      </c>
      <c r="W3955">
        <f>Table2[Profit]/Table2[Sales]</f>
        <v>0.27</v>
      </c>
    </row>
    <row r="3956" spans="1:23" x14ac:dyDescent="0.25">
      <c r="A3956">
        <v>3955</v>
      </c>
      <c r="B3956" t="s">
        <v>9527</v>
      </c>
      <c r="C3956" s="1">
        <v>42757</v>
      </c>
      <c r="D3956" s="1">
        <v>42760</v>
      </c>
      <c r="E3956" t="s">
        <v>22</v>
      </c>
      <c r="F3956" t="s">
        <v>4664</v>
      </c>
      <c r="G3956" t="s">
        <v>4665</v>
      </c>
      <c r="H3956" t="s">
        <v>40</v>
      </c>
      <c r="I3956" t="s">
        <v>26</v>
      </c>
      <c r="J3956" t="s">
        <v>296</v>
      </c>
      <c r="K3956" t="s">
        <v>208</v>
      </c>
      <c r="L3956">
        <v>60623</v>
      </c>
      <c r="M3956" t="s">
        <v>104</v>
      </c>
      <c r="N3956" t="s">
        <v>4834</v>
      </c>
      <c r="O3956" t="s">
        <v>45</v>
      </c>
      <c r="P3956" t="s">
        <v>266</v>
      </c>
      <c r="Q3956" t="s">
        <v>556</v>
      </c>
      <c r="R3956">
        <v>15.12</v>
      </c>
      <c r="S3956">
        <v>5</v>
      </c>
      <c r="T3956">
        <v>0.2</v>
      </c>
      <c r="U3956">
        <v>4.9139999999999997</v>
      </c>
      <c r="V3956" t="str">
        <f t="shared" si="61"/>
        <v>Edward Hooks</v>
      </c>
      <c r="W3956">
        <f>Table2[Profit]/Table2[Sales]</f>
        <v>0.32500000000000001</v>
      </c>
    </row>
    <row r="3957" spans="1:23" x14ac:dyDescent="0.25">
      <c r="A3957">
        <v>3956</v>
      </c>
      <c r="B3957" t="s">
        <v>9528</v>
      </c>
      <c r="C3957" s="1">
        <v>42481</v>
      </c>
      <c r="D3957" s="1">
        <v>42484</v>
      </c>
      <c r="E3957" t="s">
        <v>185</v>
      </c>
      <c r="F3957" t="s">
        <v>357</v>
      </c>
      <c r="G3957" t="s">
        <v>358</v>
      </c>
      <c r="H3957" t="s">
        <v>25</v>
      </c>
      <c r="I3957" t="s">
        <v>26</v>
      </c>
      <c r="J3957" t="s">
        <v>94</v>
      </c>
      <c r="K3957" t="s">
        <v>95</v>
      </c>
      <c r="L3957">
        <v>98115</v>
      </c>
      <c r="M3957" t="s">
        <v>43</v>
      </c>
      <c r="N3957" t="s">
        <v>1036</v>
      </c>
      <c r="O3957" t="s">
        <v>45</v>
      </c>
      <c r="P3957" t="s">
        <v>74</v>
      </c>
      <c r="Q3957" t="s">
        <v>1037</v>
      </c>
      <c r="R3957">
        <v>8.32</v>
      </c>
      <c r="S3957">
        <v>5</v>
      </c>
      <c r="T3957">
        <v>0.2</v>
      </c>
      <c r="U3957">
        <v>2.8079999999999998</v>
      </c>
      <c r="V3957" t="str">
        <f t="shared" si="61"/>
        <v>Duane Noonan</v>
      </c>
      <c r="W3957">
        <f>Table2[Profit]/Table2[Sales]</f>
        <v>0.33749999999999997</v>
      </c>
    </row>
    <row r="3958" spans="1:23" x14ac:dyDescent="0.25">
      <c r="A3958">
        <v>3957</v>
      </c>
      <c r="B3958" t="s">
        <v>9529</v>
      </c>
      <c r="C3958" s="1">
        <v>42571</v>
      </c>
      <c r="D3958" s="1">
        <v>42574</v>
      </c>
      <c r="E3958" t="s">
        <v>22</v>
      </c>
      <c r="F3958" t="s">
        <v>2509</v>
      </c>
      <c r="G3958" t="s">
        <v>2510</v>
      </c>
      <c r="H3958" t="s">
        <v>25</v>
      </c>
      <c r="I3958" t="s">
        <v>26</v>
      </c>
      <c r="J3958" t="s">
        <v>1161</v>
      </c>
      <c r="K3958" t="s">
        <v>264</v>
      </c>
      <c r="L3958">
        <v>11561</v>
      </c>
      <c r="M3958" t="s">
        <v>145</v>
      </c>
      <c r="N3958" t="s">
        <v>3191</v>
      </c>
      <c r="O3958" t="s">
        <v>70</v>
      </c>
      <c r="P3958" t="s">
        <v>71</v>
      </c>
      <c r="Q3958" t="s">
        <v>3192</v>
      </c>
      <c r="R3958">
        <v>89.95</v>
      </c>
      <c r="S3958">
        <v>5</v>
      </c>
      <c r="T3958">
        <v>0</v>
      </c>
      <c r="U3958">
        <v>43.176000000000002</v>
      </c>
      <c r="V3958" t="str">
        <f t="shared" si="61"/>
        <v>Pauline Johnson</v>
      </c>
      <c r="W3958">
        <f>Table2[Profit]/Table2[Sales]</f>
        <v>0.48</v>
      </c>
    </row>
    <row r="3959" spans="1:23" x14ac:dyDescent="0.25">
      <c r="A3959">
        <v>3958</v>
      </c>
      <c r="B3959" t="s">
        <v>9530</v>
      </c>
      <c r="C3959" s="1">
        <v>42605</v>
      </c>
      <c r="D3959" s="1">
        <v>42611</v>
      </c>
      <c r="E3959" t="s">
        <v>49</v>
      </c>
      <c r="F3959" t="s">
        <v>179</v>
      </c>
      <c r="G3959" t="s">
        <v>180</v>
      </c>
      <c r="H3959" t="s">
        <v>101</v>
      </c>
      <c r="I3959" t="s">
        <v>26</v>
      </c>
      <c r="J3959" t="s">
        <v>9531</v>
      </c>
      <c r="K3959" t="s">
        <v>113</v>
      </c>
      <c r="L3959">
        <v>53081</v>
      </c>
      <c r="M3959" t="s">
        <v>104</v>
      </c>
      <c r="N3959" t="s">
        <v>7011</v>
      </c>
      <c r="O3959" t="s">
        <v>45</v>
      </c>
      <c r="P3959" t="s">
        <v>46</v>
      </c>
      <c r="Q3959" t="s">
        <v>7012</v>
      </c>
      <c r="R3959">
        <v>25.2</v>
      </c>
      <c r="S3959">
        <v>4</v>
      </c>
      <c r="T3959">
        <v>0</v>
      </c>
      <c r="U3959">
        <v>11.592000000000001</v>
      </c>
      <c r="V3959" t="str">
        <f t="shared" si="61"/>
        <v>Matt Abelman</v>
      </c>
      <c r="W3959">
        <f>Table2[Profit]/Table2[Sales]</f>
        <v>0.46</v>
      </c>
    </row>
    <row r="3960" spans="1:23" x14ac:dyDescent="0.25">
      <c r="A3960">
        <v>3959</v>
      </c>
      <c r="B3960" t="s">
        <v>9532</v>
      </c>
      <c r="C3960" s="1">
        <v>42535</v>
      </c>
      <c r="D3960" s="1">
        <v>42538</v>
      </c>
      <c r="E3960" t="s">
        <v>185</v>
      </c>
      <c r="F3960" t="s">
        <v>6737</v>
      </c>
      <c r="G3960" t="s">
        <v>6738</v>
      </c>
      <c r="H3960" t="s">
        <v>25</v>
      </c>
      <c r="I3960" t="s">
        <v>26</v>
      </c>
      <c r="J3960" t="s">
        <v>2877</v>
      </c>
      <c r="K3960" t="s">
        <v>53</v>
      </c>
      <c r="L3960">
        <v>33433</v>
      </c>
      <c r="M3960" t="s">
        <v>29</v>
      </c>
      <c r="N3960" t="s">
        <v>4701</v>
      </c>
      <c r="O3960" t="s">
        <v>45</v>
      </c>
      <c r="P3960" t="s">
        <v>74</v>
      </c>
      <c r="Q3960" t="s">
        <v>4702</v>
      </c>
      <c r="R3960">
        <v>39.936</v>
      </c>
      <c r="S3960">
        <v>4</v>
      </c>
      <c r="T3960">
        <v>0.7</v>
      </c>
      <c r="U3960">
        <v>-26.623999999999999</v>
      </c>
      <c r="V3960" t="str">
        <f t="shared" si="61"/>
        <v>Vivian Mathis</v>
      </c>
      <c r="W3960">
        <f>Table2[Profit]/Table2[Sales]</f>
        <v>-0.66666666666666663</v>
      </c>
    </row>
    <row r="3961" spans="1:23" x14ac:dyDescent="0.25">
      <c r="A3961">
        <v>3960</v>
      </c>
      <c r="B3961" t="s">
        <v>9533</v>
      </c>
      <c r="C3961" s="1">
        <v>42328</v>
      </c>
      <c r="D3961" s="1">
        <v>42331</v>
      </c>
      <c r="E3961" t="s">
        <v>22</v>
      </c>
      <c r="F3961" t="s">
        <v>4238</v>
      </c>
      <c r="G3961" t="s">
        <v>4239</v>
      </c>
      <c r="H3961" t="s">
        <v>25</v>
      </c>
      <c r="I3961" t="s">
        <v>26</v>
      </c>
      <c r="J3961" t="s">
        <v>449</v>
      </c>
      <c r="K3961" t="s">
        <v>450</v>
      </c>
      <c r="L3961">
        <v>80013</v>
      </c>
      <c r="M3961" t="s">
        <v>43</v>
      </c>
      <c r="N3961" t="s">
        <v>1196</v>
      </c>
      <c r="O3961" t="s">
        <v>45</v>
      </c>
      <c r="P3961" t="s">
        <v>74</v>
      </c>
      <c r="Q3961" t="s">
        <v>1197</v>
      </c>
      <c r="R3961">
        <v>4.8959999999999999</v>
      </c>
      <c r="S3961">
        <v>3</v>
      </c>
      <c r="T3961">
        <v>0.7</v>
      </c>
      <c r="U3961">
        <v>-3.4272</v>
      </c>
      <c r="V3961" t="str">
        <f t="shared" si="61"/>
        <v>Michelle Moray</v>
      </c>
      <c r="W3961">
        <f>Table2[Profit]/Table2[Sales]</f>
        <v>-0.70000000000000007</v>
      </c>
    </row>
    <row r="3962" spans="1:23" x14ac:dyDescent="0.25">
      <c r="A3962">
        <v>3961</v>
      </c>
      <c r="B3962" t="s">
        <v>9534</v>
      </c>
      <c r="C3962" s="1">
        <v>43042</v>
      </c>
      <c r="D3962" s="1">
        <v>43044</v>
      </c>
      <c r="E3962" t="s">
        <v>185</v>
      </c>
      <c r="F3962" t="s">
        <v>5364</v>
      </c>
      <c r="G3962" t="s">
        <v>5365</v>
      </c>
      <c r="H3962" t="s">
        <v>101</v>
      </c>
      <c r="I3962" t="s">
        <v>26</v>
      </c>
      <c r="J3962" t="s">
        <v>941</v>
      </c>
      <c r="K3962" t="s">
        <v>42</v>
      </c>
      <c r="L3962">
        <v>92037</v>
      </c>
      <c r="M3962" t="s">
        <v>43</v>
      </c>
      <c r="N3962" t="s">
        <v>984</v>
      </c>
      <c r="O3962" t="s">
        <v>70</v>
      </c>
      <c r="P3962" t="s">
        <v>158</v>
      </c>
      <c r="Q3962" t="s">
        <v>985</v>
      </c>
      <c r="R3962">
        <v>199.75</v>
      </c>
      <c r="S3962">
        <v>5</v>
      </c>
      <c r="T3962">
        <v>0</v>
      </c>
      <c r="U3962">
        <v>87.89</v>
      </c>
      <c r="V3962" t="str">
        <f t="shared" si="61"/>
        <v>Clay Rozendal</v>
      </c>
      <c r="W3962">
        <f>Table2[Profit]/Table2[Sales]</f>
        <v>0.44</v>
      </c>
    </row>
    <row r="3963" spans="1:23" x14ac:dyDescent="0.25">
      <c r="A3963">
        <v>3962</v>
      </c>
      <c r="B3963" t="s">
        <v>9535</v>
      </c>
      <c r="C3963" s="1">
        <v>41763</v>
      </c>
      <c r="D3963" s="1">
        <v>41766</v>
      </c>
      <c r="E3963" t="s">
        <v>185</v>
      </c>
      <c r="F3963" t="s">
        <v>7180</v>
      </c>
      <c r="G3963" t="s">
        <v>7181</v>
      </c>
      <c r="H3963" t="s">
        <v>40</v>
      </c>
      <c r="I3963" t="s">
        <v>26</v>
      </c>
      <c r="J3963" t="s">
        <v>94</v>
      </c>
      <c r="K3963" t="s">
        <v>95</v>
      </c>
      <c r="L3963">
        <v>98105</v>
      </c>
      <c r="M3963" t="s">
        <v>43</v>
      </c>
      <c r="N3963" t="s">
        <v>3252</v>
      </c>
      <c r="O3963" t="s">
        <v>31</v>
      </c>
      <c r="P3963" t="s">
        <v>64</v>
      </c>
      <c r="Q3963" t="s">
        <v>3253</v>
      </c>
      <c r="R3963">
        <v>12.18</v>
      </c>
      <c r="S3963">
        <v>7</v>
      </c>
      <c r="T3963">
        <v>0</v>
      </c>
      <c r="U3963">
        <v>3.8976000000000002</v>
      </c>
      <c r="V3963" t="str">
        <f t="shared" si="61"/>
        <v>Bill Shonely</v>
      </c>
      <c r="W3963">
        <f>Table2[Profit]/Table2[Sales]</f>
        <v>0.32</v>
      </c>
    </row>
    <row r="3964" spans="1:23" x14ac:dyDescent="0.25">
      <c r="A3964">
        <v>3963</v>
      </c>
      <c r="B3964" t="s">
        <v>9536</v>
      </c>
      <c r="C3964" s="1">
        <v>42316</v>
      </c>
      <c r="D3964" s="1">
        <v>42320</v>
      </c>
      <c r="E3964" t="s">
        <v>49</v>
      </c>
      <c r="F3964" t="s">
        <v>2935</v>
      </c>
      <c r="G3964" t="s">
        <v>2936</v>
      </c>
      <c r="H3964" t="s">
        <v>25</v>
      </c>
      <c r="I3964" t="s">
        <v>26</v>
      </c>
      <c r="J3964" t="s">
        <v>6467</v>
      </c>
      <c r="K3964" t="s">
        <v>482</v>
      </c>
      <c r="L3964">
        <v>52001</v>
      </c>
      <c r="M3964" t="s">
        <v>104</v>
      </c>
      <c r="N3964" t="s">
        <v>3009</v>
      </c>
      <c r="O3964" t="s">
        <v>70</v>
      </c>
      <c r="P3964" t="s">
        <v>71</v>
      </c>
      <c r="Q3964" t="s">
        <v>3010</v>
      </c>
      <c r="R3964">
        <v>263.95999999999998</v>
      </c>
      <c r="S3964">
        <v>4</v>
      </c>
      <c r="T3964">
        <v>0</v>
      </c>
      <c r="U3964">
        <v>76.548400000000001</v>
      </c>
      <c r="V3964" t="str">
        <f t="shared" si="61"/>
        <v>Rob Dowd</v>
      </c>
      <c r="W3964">
        <f>Table2[Profit]/Table2[Sales]</f>
        <v>0.29000000000000004</v>
      </c>
    </row>
    <row r="3965" spans="1:23" x14ac:dyDescent="0.25">
      <c r="A3965">
        <v>3964</v>
      </c>
      <c r="B3965" t="s">
        <v>9537</v>
      </c>
      <c r="C3965" s="1">
        <v>42350</v>
      </c>
      <c r="D3965" s="1">
        <v>42353</v>
      </c>
      <c r="E3965" t="s">
        <v>185</v>
      </c>
      <c r="F3965" t="s">
        <v>309</v>
      </c>
      <c r="G3965" t="s">
        <v>310</v>
      </c>
      <c r="H3965" t="s">
        <v>25</v>
      </c>
      <c r="I3965" t="s">
        <v>26</v>
      </c>
      <c r="J3965" t="s">
        <v>41</v>
      </c>
      <c r="K3965" t="s">
        <v>42</v>
      </c>
      <c r="L3965">
        <v>90032</v>
      </c>
      <c r="M3965" t="s">
        <v>43</v>
      </c>
      <c r="N3965" t="s">
        <v>4448</v>
      </c>
      <c r="O3965" t="s">
        <v>70</v>
      </c>
      <c r="P3965" t="s">
        <v>158</v>
      </c>
      <c r="Q3965" t="s">
        <v>4449</v>
      </c>
      <c r="R3965">
        <v>299.94</v>
      </c>
      <c r="S3965">
        <v>6</v>
      </c>
      <c r="T3965">
        <v>0</v>
      </c>
      <c r="U3965">
        <v>128.9742</v>
      </c>
      <c r="V3965" t="str">
        <f t="shared" si="61"/>
        <v>Karen Daniels</v>
      </c>
      <c r="W3965">
        <f>Table2[Profit]/Table2[Sales]</f>
        <v>0.43</v>
      </c>
    </row>
    <row r="3966" spans="1:23" x14ac:dyDescent="0.25">
      <c r="A3966">
        <v>3965</v>
      </c>
      <c r="B3966" t="s">
        <v>9538</v>
      </c>
      <c r="C3966" s="1">
        <v>41974</v>
      </c>
      <c r="D3966" s="1">
        <v>41976</v>
      </c>
      <c r="E3966" t="s">
        <v>185</v>
      </c>
      <c r="F3966" t="s">
        <v>6992</v>
      </c>
      <c r="G3966" t="s">
        <v>6993</v>
      </c>
      <c r="H3966" t="s">
        <v>25</v>
      </c>
      <c r="I3966" t="s">
        <v>26</v>
      </c>
      <c r="J3966" t="s">
        <v>1232</v>
      </c>
      <c r="K3966" t="s">
        <v>1233</v>
      </c>
      <c r="L3966">
        <v>1852</v>
      </c>
      <c r="M3966" t="s">
        <v>145</v>
      </c>
      <c r="N3966" t="s">
        <v>7021</v>
      </c>
      <c r="O3966" t="s">
        <v>70</v>
      </c>
      <c r="P3966" t="s">
        <v>71</v>
      </c>
      <c r="Q3966" t="s">
        <v>7022</v>
      </c>
      <c r="R3966">
        <v>271.89999999999998</v>
      </c>
      <c r="S3966">
        <v>2</v>
      </c>
      <c r="T3966">
        <v>0</v>
      </c>
      <c r="U3966">
        <v>78.850999999999999</v>
      </c>
      <c r="V3966" t="str">
        <f t="shared" si="61"/>
        <v>Anna Andreadi</v>
      </c>
      <c r="W3966">
        <f>Table2[Profit]/Table2[Sales]</f>
        <v>0.29000000000000004</v>
      </c>
    </row>
    <row r="3967" spans="1:23" x14ac:dyDescent="0.25">
      <c r="A3967">
        <v>3966</v>
      </c>
      <c r="B3967" t="s">
        <v>9539</v>
      </c>
      <c r="C3967" s="1">
        <v>42650</v>
      </c>
      <c r="D3967" s="1">
        <v>42654</v>
      </c>
      <c r="E3967" t="s">
        <v>49</v>
      </c>
      <c r="F3967" t="s">
        <v>4084</v>
      </c>
      <c r="G3967" t="s">
        <v>4085</v>
      </c>
      <c r="H3967" t="s">
        <v>25</v>
      </c>
      <c r="I3967" t="s">
        <v>26</v>
      </c>
      <c r="J3967" t="s">
        <v>1915</v>
      </c>
      <c r="K3967" t="s">
        <v>95</v>
      </c>
      <c r="L3967">
        <v>98270</v>
      </c>
      <c r="M3967" t="s">
        <v>43</v>
      </c>
      <c r="N3967" t="s">
        <v>6261</v>
      </c>
      <c r="O3967" t="s">
        <v>45</v>
      </c>
      <c r="P3967" t="s">
        <v>266</v>
      </c>
      <c r="Q3967" t="s">
        <v>6262</v>
      </c>
      <c r="R3967">
        <v>93.36</v>
      </c>
      <c r="S3967">
        <v>12</v>
      </c>
      <c r="T3967">
        <v>0</v>
      </c>
      <c r="U3967">
        <v>0.93359999999999999</v>
      </c>
      <c r="V3967" t="str">
        <f t="shared" si="61"/>
        <v>Mick Crebagga</v>
      </c>
      <c r="W3967">
        <f>Table2[Profit]/Table2[Sales]</f>
        <v>0.01</v>
      </c>
    </row>
    <row r="3968" spans="1:23" x14ac:dyDescent="0.25">
      <c r="A3968">
        <v>3967</v>
      </c>
      <c r="B3968" t="s">
        <v>9540</v>
      </c>
      <c r="C3968" s="1">
        <v>42325</v>
      </c>
      <c r="D3968" s="1">
        <v>42332</v>
      </c>
      <c r="E3968" t="s">
        <v>49</v>
      </c>
      <c r="F3968" t="s">
        <v>6992</v>
      </c>
      <c r="G3968" t="s">
        <v>6993</v>
      </c>
      <c r="H3968" t="s">
        <v>25</v>
      </c>
      <c r="I3968" t="s">
        <v>26</v>
      </c>
      <c r="J3968" t="s">
        <v>4745</v>
      </c>
      <c r="K3968" t="s">
        <v>641</v>
      </c>
      <c r="L3968">
        <v>73120</v>
      </c>
      <c r="M3968" t="s">
        <v>104</v>
      </c>
      <c r="N3968" t="s">
        <v>1088</v>
      </c>
      <c r="O3968" t="s">
        <v>45</v>
      </c>
      <c r="P3968" t="s">
        <v>58</v>
      </c>
      <c r="Q3968" t="s">
        <v>1089</v>
      </c>
      <c r="R3968">
        <v>541.24</v>
      </c>
      <c r="S3968">
        <v>4</v>
      </c>
      <c r="T3968">
        <v>0</v>
      </c>
      <c r="U3968">
        <v>5.4123999999999999</v>
      </c>
      <c r="V3968" t="str">
        <f t="shared" si="61"/>
        <v>Anna Andreadi</v>
      </c>
      <c r="W3968">
        <f>Table2[Profit]/Table2[Sales]</f>
        <v>0.01</v>
      </c>
    </row>
    <row r="3969" spans="1:23" x14ac:dyDescent="0.25">
      <c r="A3969">
        <v>3968</v>
      </c>
      <c r="B3969" t="s">
        <v>9541</v>
      </c>
      <c r="C3969" s="1">
        <v>41715</v>
      </c>
      <c r="D3969" s="1">
        <v>41718</v>
      </c>
      <c r="E3969" t="s">
        <v>22</v>
      </c>
      <c r="F3969" t="s">
        <v>3530</v>
      </c>
      <c r="G3969" t="s">
        <v>3531</v>
      </c>
      <c r="H3969" t="s">
        <v>40</v>
      </c>
      <c r="I3969" t="s">
        <v>26</v>
      </c>
      <c r="J3969" t="s">
        <v>143</v>
      </c>
      <c r="K3969" t="s">
        <v>144</v>
      </c>
      <c r="L3969">
        <v>19134</v>
      </c>
      <c r="M3969" t="s">
        <v>145</v>
      </c>
      <c r="N3969" t="s">
        <v>3662</v>
      </c>
      <c r="O3969" t="s">
        <v>45</v>
      </c>
      <c r="P3969" t="s">
        <v>89</v>
      </c>
      <c r="Q3969" t="s">
        <v>3663</v>
      </c>
      <c r="R3969">
        <v>126.624</v>
      </c>
      <c r="S3969">
        <v>6</v>
      </c>
      <c r="T3969">
        <v>0.2</v>
      </c>
      <c r="U3969">
        <v>41.152799999999999</v>
      </c>
      <c r="V3969" t="str">
        <f t="shared" si="61"/>
        <v>Quincy Jones</v>
      </c>
      <c r="W3969">
        <f>Table2[Profit]/Table2[Sales]</f>
        <v>0.32500000000000001</v>
      </c>
    </row>
    <row r="3970" spans="1:23" x14ac:dyDescent="0.25">
      <c r="A3970">
        <v>3969</v>
      </c>
      <c r="B3970" t="s">
        <v>9542</v>
      </c>
      <c r="C3970" s="1">
        <v>42175</v>
      </c>
      <c r="D3970" s="1">
        <v>42178</v>
      </c>
      <c r="E3970" t="s">
        <v>185</v>
      </c>
      <c r="F3970" t="s">
        <v>5118</v>
      </c>
      <c r="G3970" t="s">
        <v>5119</v>
      </c>
      <c r="H3970" t="s">
        <v>25</v>
      </c>
      <c r="I3970" t="s">
        <v>26</v>
      </c>
      <c r="J3970" t="s">
        <v>449</v>
      </c>
      <c r="K3970" t="s">
        <v>450</v>
      </c>
      <c r="L3970">
        <v>80013</v>
      </c>
      <c r="M3970" t="s">
        <v>43</v>
      </c>
      <c r="N3970" t="s">
        <v>8951</v>
      </c>
      <c r="O3970" t="s">
        <v>70</v>
      </c>
      <c r="P3970" t="s">
        <v>71</v>
      </c>
      <c r="Q3970" t="s">
        <v>8952</v>
      </c>
      <c r="R3970">
        <v>125.944</v>
      </c>
      <c r="S3970">
        <v>7</v>
      </c>
      <c r="T3970">
        <v>0.2</v>
      </c>
      <c r="U3970">
        <v>15.743</v>
      </c>
      <c r="V3970" t="str">
        <f t="shared" si="61"/>
        <v>Justin MacKendrick</v>
      </c>
      <c r="W3970">
        <f>Table2[Profit]/Table2[Sales]</f>
        <v>0.125</v>
      </c>
    </row>
    <row r="3971" spans="1:23" x14ac:dyDescent="0.25">
      <c r="A3971">
        <v>3970</v>
      </c>
      <c r="B3971" t="s">
        <v>9543</v>
      </c>
      <c r="C3971" s="1">
        <v>42880</v>
      </c>
      <c r="D3971" s="1">
        <v>42880</v>
      </c>
      <c r="E3971" t="s">
        <v>1278</v>
      </c>
      <c r="F3971" t="s">
        <v>4956</v>
      </c>
      <c r="G3971" t="s">
        <v>4957</v>
      </c>
      <c r="H3971" t="s">
        <v>25</v>
      </c>
      <c r="I3971" t="s">
        <v>26</v>
      </c>
      <c r="J3971" t="s">
        <v>263</v>
      </c>
      <c r="K3971" t="s">
        <v>264</v>
      </c>
      <c r="L3971">
        <v>10009</v>
      </c>
      <c r="M3971" t="s">
        <v>145</v>
      </c>
      <c r="N3971" t="s">
        <v>3408</v>
      </c>
      <c r="O3971" t="s">
        <v>45</v>
      </c>
      <c r="P3971" t="s">
        <v>74</v>
      </c>
      <c r="Q3971" t="s">
        <v>3409</v>
      </c>
      <c r="R3971">
        <v>663.92</v>
      </c>
      <c r="S3971">
        <v>5</v>
      </c>
      <c r="T3971">
        <v>0.2</v>
      </c>
      <c r="U3971">
        <v>207.47499999999999</v>
      </c>
      <c r="V3971" t="str">
        <f t="shared" ref="V3971:V4034" si="62">TRIM(G3971)</f>
        <v>Trudy Brown</v>
      </c>
      <c r="W3971">
        <f>Table2[Profit]/Table2[Sales]</f>
        <v>0.3125</v>
      </c>
    </row>
    <row r="3972" spans="1:23" x14ac:dyDescent="0.25">
      <c r="A3972">
        <v>3971</v>
      </c>
      <c r="B3972" t="s">
        <v>9544</v>
      </c>
      <c r="C3972" s="1">
        <v>41891</v>
      </c>
      <c r="D3972" s="1">
        <v>41893</v>
      </c>
      <c r="E3972" t="s">
        <v>185</v>
      </c>
      <c r="F3972" t="s">
        <v>3064</v>
      </c>
      <c r="G3972" t="s">
        <v>3065</v>
      </c>
      <c r="H3972" t="s">
        <v>101</v>
      </c>
      <c r="I3972" t="s">
        <v>26</v>
      </c>
      <c r="J3972" t="s">
        <v>2439</v>
      </c>
      <c r="K3972" t="s">
        <v>491</v>
      </c>
      <c r="L3972">
        <v>43130</v>
      </c>
      <c r="M3972" t="s">
        <v>145</v>
      </c>
      <c r="N3972" t="s">
        <v>5253</v>
      </c>
      <c r="O3972" t="s">
        <v>31</v>
      </c>
      <c r="P3972" t="s">
        <v>64</v>
      </c>
      <c r="Q3972" t="s">
        <v>5254</v>
      </c>
      <c r="R3972">
        <v>60.671999999999997</v>
      </c>
      <c r="S3972">
        <v>6</v>
      </c>
      <c r="T3972">
        <v>0.2</v>
      </c>
      <c r="U3972">
        <v>12.892799999999999</v>
      </c>
      <c r="V3972" t="str">
        <f t="shared" si="62"/>
        <v>Nicole Fjeld</v>
      </c>
      <c r="W3972">
        <f>Table2[Profit]/Table2[Sales]</f>
        <v>0.21249999999999999</v>
      </c>
    </row>
    <row r="3973" spans="1:23" x14ac:dyDescent="0.25">
      <c r="A3973">
        <v>3972</v>
      </c>
      <c r="B3973" t="s">
        <v>9545</v>
      </c>
      <c r="C3973" s="1">
        <v>43025</v>
      </c>
      <c r="D3973" s="1">
        <v>43027</v>
      </c>
      <c r="E3973" t="s">
        <v>22</v>
      </c>
      <c r="F3973" t="s">
        <v>2378</v>
      </c>
      <c r="G3973" t="s">
        <v>2379</v>
      </c>
      <c r="H3973" t="s">
        <v>40</v>
      </c>
      <c r="I3973" t="s">
        <v>26</v>
      </c>
      <c r="J3973" t="s">
        <v>9203</v>
      </c>
      <c r="K3973" t="s">
        <v>42</v>
      </c>
      <c r="L3973">
        <v>95351</v>
      </c>
      <c r="M3973" t="s">
        <v>43</v>
      </c>
      <c r="N3973" t="s">
        <v>828</v>
      </c>
      <c r="O3973" t="s">
        <v>70</v>
      </c>
      <c r="P3973" t="s">
        <v>71</v>
      </c>
      <c r="Q3973" t="s">
        <v>829</v>
      </c>
      <c r="R3973">
        <v>52.792000000000002</v>
      </c>
      <c r="S3973">
        <v>1</v>
      </c>
      <c r="T3973">
        <v>0.2</v>
      </c>
      <c r="U3973">
        <v>4.6193</v>
      </c>
      <c r="V3973" t="str">
        <f t="shared" si="62"/>
        <v>Barry Französisch</v>
      </c>
      <c r="W3973">
        <f>Table2[Profit]/Table2[Sales]</f>
        <v>8.7499999999999994E-2</v>
      </c>
    </row>
    <row r="3974" spans="1:23" x14ac:dyDescent="0.25">
      <c r="A3974">
        <v>3973</v>
      </c>
      <c r="B3974" t="s">
        <v>9546</v>
      </c>
      <c r="C3974" s="1">
        <v>43041</v>
      </c>
      <c r="D3974" s="1">
        <v>43044</v>
      </c>
      <c r="E3974" t="s">
        <v>185</v>
      </c>
      <c r="F3974" t="s">
        <v>638</v>
      </c>
      <c r="G3974" t="s">
        <v>639</v>
      </c>
      <c r="H3974" t="s">
        <v>25</v>
      </c>
      <c r="I3974" t="s">
        <v>26</v>
      </c>
      <c r="J3974" t="s">
        <v>4980</v>
      </c>
      <c r="K3974" t="s">
        <v>590</v>
      </c>
      <c r="L3974">
        <v>63116</v>
      </c>
      <c r="M3974" t="s">
        <v>104</v>
      </c>
      <c r="N3974" t="s">
        <v>6959</v>
      </c>
      <c r="O3974" t="s">
        <v>45</v>
      </c>
      <c r="P3974" t="s">
        <v>77</v>
      </c>
      <c r="Q3974" t="s">
        <v>6960</v>
      </c>
      <c r="R3974">
        <v>83.9</v>
      </c>
      <c r="S3974">
        <v>10</v>
      </c>
      <c r="T3974">
        <v>0</v>
      </c>
      <c r="U3974">
        <v>20.975000000000001</v>
      </c>
      <c r="V3974" t="str">
        <f t="shared" si="62"/>
        <v>Nora Paige</v>
      </c>
      <c r="W3974">
        <f>Table2[Profit]/Table2[Sales]</f>
        <v>0.25</v>
      </c>
    </row>
    <row r="3975" spans="1:23" x14ac:dyDescent="0.25">
      <c r="A3975">
        <v>3974</v>
      </c>
      <c r="B3975" t="s">
        <v>9547</v>
      </c>
      <c r="C3975" s="1">
        <v>41841</v>
      </c>
      <c r="D3975" s="1">
        <v>41845</v>
      </c>
      <c r="E3975" t="s">
        <v>49</v>
      </c>
      <c r="F3975" t="s">
        <v>3673</v>
      </c>
      <c r="G3975" t="s">
        <v>3674</v>
      </c>
      <c r="H3975" t="s">
        <v>40</v>
      </c>
      <c r="I3975" t="s">
        <v>26</v>
      </c>
      <c r="J3975" t="s">
        <v>808</v>
      </c>
      <c r="K3975" t="s">
        <v>103</v>
      </c>
      <c r="L3975">
        <v>75217</v>
      </c>
      <c r="M3975" t="s">
        <v>104</v>
      </c>
      <c r="N3975" t="s">
        <v>4943</v>
      </c>
      <c r="O3975" t="s">
        <v>45</v>
      </c>
      <c r="P3975" t="s">
        <v>77</v>
      </c>
      <c r="Q3975" t="s">
        <v>4944</v>
      </c>
      <c r="R3975">
        <v>4.992</v>
      </c>
      <c r="S3975">
        <v>3</v>
      </c>
      <c r="T3975">
        <v>0.8</v>
      </c>
      <c r="U3975">
        <v>-12.979200000000001</v>
      </c>
      <c r="V3975" t="str">
        <f t="shared" si="62"/>
        <v>Harry Marie</v>
      </c>
      <c r="W3975">
        <f>Table2[Profit]/Table2[Sales]</f>
        <v>-2.6</v>
      </c>
    </row>
    <row r="3976" spans="1:23" x14ac:dyDescent="0.25">
      <c r="A3976">
        <v>3975</v>
      </c>
      <c r="B3976" t="s">
        <v>9548</v>
      </c>
      <c r="C3976" s="1">
        <v>42258</v>
      </c>
      <c r="D3976" s="1">
        <v>42262</v>
      </c>
      <c r="E3976" t="s">
        <v>22</v>
      </c>
      <c r="F3976" t="s">
        <v>7987</v>
      </c>
      <c r="G3976" t="s">
        <v>7988</v>
      </c>
      <c r="H3976" t="s">
        <v>40</v>
      </c>
      <c r="I3976" t="s">
        <v>26</v>
      </c>
      <c r="J3976" t="s">
        <v>263</v>
      </c>
      <c r="K3976" t="s">
        <v>264</v>
      </c>
      <c r="L3976">
        <v>10035</v>
      </c>
      <c r="M3976" t="s">
        <v>145</v>
      </c>
      <c r="N3976" t="s">
        <v>8955</v>
      </c>
      <c r="O3976" t="s">
        <v>31</v>
      </c>
      <c r="P3976" t="s">
        <v>64</v>
      </c>
      <c r="Q3976" t="s">
        <v>8956</v>
      </c>
      <c r="R3976">
        <v>210.68</v>
      </c>
      <c r="S3976">
        <v>2</v>
      </c>
      <c r="T3976">
        <v>0</v>
      </c>
      <c r="U3976">
        <v>50.563200000000002</v>
      </c>
      <c r="V3976" t="str">
        <f t="shared" si="62"/>
        <v>Don Miller</v>
      </c>
      <c r="W3976">
        <f>Table2[Profit]/Table2[Sales]</f>
        <v>0.24</v>
      </c>
    </row>
    <row r="3977" spans="1:23" x14ac:dyDescent="0.25">
      <c r="A3977">
        <v>3976</v>
      </c>
      <c r="B3977" t="s">
        <v>9549</v>
      </c>
      <c r="C3977" s="1">
        <v>42664</v>
      </c>
      <c r="D3977" s="1">
        <v>42668</v>
      </c>
      <c r="E3977" t="s">
        <v>49</v>
      </c>
      <c r="F3977" t="s">
        <v>4442</v>
      </c>
      <c r="G3977" t="s">
        <v>4443</v>
      </c>
      <c r="H3977" t="s">
        <v>25</v>
      </c>
      <c r="I3977" t="s">
        <v>26</v>
      </c>
      <c r="J3977" t="s">
        <v>671</v>
      </c>
      <c r="K3977" t="s">
        <v>103</v>
      </c>
      <c r="L3977">
        <v>78207</v>
      </c>
      <c r="M3977" t="s">
        <v>104</v>
      </c>
      <c r="N3977" t="s">
        <v>746</v>
      </c>
      <c r="O3977" t="s">
        <v>70</v>
      </c>
      <c r="P3977" t="s">
        <v>158</v>
      </c>
      <c r="Q3977" t="s">
        <v>747</v>
      </c>
      <c r="R3977">
        <v>106.08</v>
      </c>
      <c r="S3977">
        <v>6</v>
      </c>
      <c r="T3977">
        <v>0.2</v>
      </c>
      <c r="U3977">
        <v>-9.282</v>
      </c>
      <c r="V3977" t="str">
        <f t="shared" si="62"/>
        <v>Jill Fjeld</v>
      </c>
      <c r="W3977">
        <f>Table2[Profit]/Table2[Sales]</f>
        <v>-8.7500000000000008E-2</v>
      </c>
    </row>
    <row r="3978" spans="1:23" x14ac:dyDescent="0.25">
      <c r="A3978">
        <v>3977</v>
      </c>
      <c r="B3978" t="s">
        <v>9550</v>
      </c>
      <c r="C3978" s="1">
        <v>42376</v>
      </c>
      <c r="D3978" s="1">
        <v>42380</v>
      </c>
      <c r="E3978" t="s">
        <v>49</v>
      </c>
      <c r="F3978" t="s">
        <v>3183</v>
      </c>
      <c r="G3978" t="s">
        <v>3184</v>
      </c>
      <c r="H3978" t="s">
        <v>25</v>
      </c>
      <c r="I3978" t="s">
        <v>26</v>
      </c>
      <c r="J3978" t="s">
        <v>1590</v>
      </c>
      <c r="K3978" t="s">
        <v>103</v>
      </c>
      <c r="L3978">
        <v>79109</v>
      </c>
      <c r="M3978" t="s">
        <v>104</v>
      </c>
      <c r="N3978" t="s">
        <v>3872</v>
      </c>
      <c r="O3978" t="s">
        <v>31</v>
      </c>
      <c r="P3978" t="s">
        <v>64</v>
      </c>
      <c r="Q3978" t="s">
        <v>5648</v>
      </c>
      <c r="R3978">
        <v>23.076000000000001</v>
      </c>
      <c r="S3978">
        <v>3</v>
      </c>
      <c r="T3978">
        <v>0.6</v>
      </c>
      <c r="U3978">
        <v>-10.9611</v>
      </c>
      <c r="V3978" t="str">
        <f t="shared" si="62"/>
        <v>Neoma Murray</v>
      </c>
      <c r="W3978">
        <f>Table2[Profit]/Table2[Sales]</f>
        <v>-0.47499999999999998</v>
      </c>
    </row>
    <row r="3979" spans="1:23" x14ac:dyDescent="0.25">
      <c r="A3979">
        <v>3978</v>
      </c>
      <c r="B3979" t="s">
        <v>9551</v>
      </c>
      <c r="C3979" s="1">
        <v>42180</v>
      </c>
      <c r="D3979" s="1">
        <v>42183</v>
      </c>
      <c r="E3979" t="s">
        <v>185</v>
      </c>
      <c r="F3979" t="s">
        <v>5140</v>
      </c>
      <c r="G3979" t="s">
        <v>5141</v>
      </c>
      <c r="H3979" t="s">
        <v>25</v>
      </c>
      <c r="I3979" t="s">
        <v>26</v>
      </c>
      <c r="J3979" t="s">
        <v>181</v>
      </c>
      <c r="K3979" t="s">
        <v>103</v>
      </c>
      <c r="L3979">
        <v>77041</v>
      </c>
      <c r="M3979" t="s">
        <v>104</v>
      </c>
      <c r="N3979" t="s">
        <v>2613</v>
      </c>
      <c r="O3979" t="s">
        <v>45</v>
      </c>
      <c r="P3979" t="s">
        <v>89</v>
      </c>
      <c r="Q3979" t="s">
        <v>2614</v>
      </c>
      <c r="R3979">
        <v>47.951999999999998</v>
      </c>
      <c r="S3979">
        <v>3</v>
      </c>
      <c r="T3979">
        <v>0.2</v>
      </c>
      <c r="U3979">
        <v>16.183800000000002</v>
      </c>
      <c r="V3979" t="str">
        <f t="shared" si="62"/>
        <v>Mark Van Huff</v>
      </c>
      <c r="W3979">
        <f>Table2[Profit]/Table2[Sales]</f>
        <v>0.33750000000000002</v>
      </c>
    </row>
    <row r="3980" spans="1:23" x14ac:dyDescent="0.25">
      <c r="A3980">
        <v>3979</v>
      </c>
      <c r="B3980" t="s">
        <v>9552</v>
      </c>
      <c r="C3980" s="1">
        <v>42267</v>
      </c>
      <c r="D3980" s="1">
        <v>42269</v>
      </c>
      <c r="E3980" t="s">
        <v>185</v>
      </c>
      <c r="F3980" t="s">
        <v>117</v>
      </c>
      <c r="G3980" t="s">
        <v>118</v>
      </c>
      <c r="H3980" t="s">
        <v>25</v>
      </c>
      <c r="I3980" t="s">
        <v>26</v>
      </c>
      <c r="J3980" t="s">
        <v>1465</v>
      </c>
      <c r="K3980" t="s">
        <v>1233</v>
      </c>
      <c r="L3980">
        <v>1841</v>
      </c>
      <c r="M3980" t="s">
        <v>145</v>
      </c>
      <c r="N3980" t="s">
        <v>5554</v>
      </c>
      <c r="O3980" t="s">
        <v>45</v>
      </c>
      <c r="P3980" t="s">
        <v>74</v>
      </c>
      <c r="Q3980" t="s">
        <v>5555</v>
      </c>
      <c r="R3980">
        <v>37.68</v>
      </c>
      <c r="S3980">
        <v>6</v>
      </c>
      <c r="T3980">
        <v>0</v>
      </c>
      <c r="U3980">
        <v>16.956</v>
      </c>
      <c r="V3980" t="str">
        <f t="shared" si="62"/>
        <v>Alejandro Grove</v>
      </c>
      <c r="W3980">
        <f>Table2[Profit]/Table2[Sales]</f>
        <v>0.45</v>
      </c>
    </row>
    <row r="3981" spans="1:23" x14ac:dyDescent="0.25">
      <c r="A3981">
        <v>3980</v>
      </c>
      <c r="B3981" t="s">
        <v>9553</v>
      </c>
      <c r="C3981" s="1">
        <v>42926</v>
      </c>
      <c r="D3981" s="1">
        <v>42930</v>
      </c>
      <c r="E3981" t="s">
        <v>49</v>
      </c>
      <c r="F3981" t="s">
        <v>5928</v>
      </c>
      <c r="G3981" t="s">
        <v>5929</v>
      </c>
      <c r="H3981" t="s">
        <v>40</v>
      </c>
      <c r="I3981" t="s">
        <v>26</v>
      </c>
      <c r="J3981" t="s">
        <v>490</v>
      </c>
      <c r="K3981" t="s">
        <v>1260</v>
      </c>
      <c r="L3981">
        <v>31907</v>
      </c>
      <c r="M3981" t="s">
        <v>29</v>
      </c>
      <c r="N3981" t="s">
        <v>8928</v>
      </c>
      <c r="O3981" t="s">
        <v>45</v>
      </c>
      <c r="P3981" t="s">
        <v>77</v>
      </c>
      <c r="Q3981" t="s">
        <v>8929</v>
      </c>
      <c r="R3981">
        <v>41.91</v>
      </c>
      <c r="S3981">
        <v>3</v>
      </c>
      <c r="T3981">
        <v>0</v>
      </c>
      <c r="U3981">
        <v>10.896599999999999</v>
      </c>
      <c r="V3981" t="str">
        <f t="shared" si="62"/>
        <v>Beth Fritzler</v>
      </c>
      <c r="W3981">
        <f>Table2[Profit]/Table2[Sales]</f>
        <v>0.26</v>
      </c>
    </row>
    <row r="3982" spans="1:23" x14ac:dyDescent="0.25">
      <c r="A3982">
        <v>3981</v>
      </c>
      <c r="B3982" t="s">
        <v>9554</v>
      </c>
      <c r="C3982" s="1">
        <v>42916</v>
      </c>
      <c r="D3982" s="1">
        <v>42918</v>
      </c>
      <c r="E3982" t="s">
        <v>22</v>
      </c>
      <c r="F3982" t="s">
        <v>4584</v>
      </c>
      <c r="G3982" t="s">
        <v>4585</v>
      </c>
      <c r="H3982" t="s">
        <v>25</v>
      </c>
      <c r="I3982" t="s">
        <v>26</v>
      </c>
      <c r="J3982" t="s">
        <v>41</v>
      </c>
      <c r="K3982" t="s">
        <v>42</v>
      </c>
      <c r="L3982">
        <v>90032</v>
      </c>
      <c r="M3982" t="s">
        <v>43</v>
      </c>
      <c r="N3982" t="s">
        <v>4329</v>
      </c>
      <c r="O3982" t="s">
        <v>31</v>
      </c>
      <c r="P3982" t="s">
        <v>32</v>
      </c>
      <c r="Q3982" t="s">
        <v>4330</v>
      </c>
      <c r="R3982">
        <v>435.99900000000002</v>
      </c>
      <c r="S3982">
        <v>3</v>
      </c>
      <c r="T3982">
        <v>0.15</v>
      </c>
      <c r="U3982">
        <v>5.1294000000000004</v>
      </c>
      <c r="V3982" t="str">
        <f t="shared" si="62"/>
        <v>John Castell</v>
      </c>
      <c r="W3982">
        <f>Table2[Profit]/Table2[Sales]</f>
        <v>1.1764705882352941E-2</v>
      </c>
    </row>
    <row r="3983" spans="1:23" x14ac:dyDescent="0.25">
      <c r="A3983">
        <v>3982</v>
      </c>
      <c r="B3983" t="s">
        <v>9555</v>
      </c>
      <c r="C3983" s="1">
        <v>42968</v>
      </c>
      <c r="D3983" s="1">
        <v>42972</v>
      </c>
      <c r="E3983" t="s">
        <v>22</v>
      </c>
      <c r="F3983" t="s">
        <v>6329</v>
      </c>
      <c r="G3983" t="s">
        <v>6330</v>
      </c>
      <c r="H3983" t="s">
        <v>40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709</v>
      </c>
      <c r="O3983" t="s">
        <v>31</v>
      </c>
      <c r="P3983" t="s">
        <v>35</v>
      </c>
      <c r="Q3983" t="s">
        <v>710</v>
      </c>
      <c r="R3983">
        <v>388.70400000000001</v>
      </c>
      <c r="S3983">
        <v>6</v>
      </c>
      <c r="T3983">
        <v>0.2</v>
      </c>
      <c r="U3983">
        <v>38.870399999999997</v>
      </c>
      <c r="V3983" t="str">
        <f t="shared" si="62"/>
        <v>Candace McMahon</v>
      </c>
      <c r="W3983">
        <f>Table2[Profit]/Table2[Sales]</f>
        <v>9.9999999999999992E-2</v>
      </c>
    </row>
    <row r="3984" spans="1:23" x14ac:dyDescent="0.25">
      <c r="A3984">
        <v>3983</v>
      </c>
      <c r="B3984" t="s">
        <v>9556</v>
      </c>
      <c r="C3984" s="1">
        <v>42805</v>
      </c>
      <c r="D3984" s="1">
        <v>42809</v>
      </c>
      <c r="E3984" t="s">
        <v>49</v>
      </c>
      <c r="F3984" t="s">
        <v>3173</v>
      </c>
      <c r="G3984" t="s">
        <v>3174</v>
      </c>
      <c r="H3984" t="s">
        <v>101</v>
      </c>
      <c r="I3984" t="s">
        <v>26</v>
      </c>
      <c r="J3984" t="s">
        <v>8579</v>
      </c>
      <c r="K3984" t="s">
        <v>1233</v>
      </c>
      <c r="L3984">
        <v>2138</v>
      </c>
      <c r="M3984" t="s">
        <v>145</v>
      </c>
      <c r="N3984" t="s">
        <v>1558</v>
      </c>
      <c r="O3984" t="s">
        <v>70</v>
      </c>
      <c r="P3984" t="s">
        <v>158</v>
      </c>
      <c r="Q3984" t="s">
        <v>1559</v>
      </c>
      <c r="R3984">
        <v>63.88</v>
      </c>
      <c r="S3984">
        <v>4</v>
      </c>
      <c r="T3984">
        <v>0</v>
      </c>
      <c r="U3984">
        <v>24.9132</v>
      </c>
      <c r="V3984" t="str">
        <f t="shared" si="62"/>
        <v>Paul Van Hugh</v>
      </c>
      <c r="W3984">
        <f>Table2[Profit]/Table2[Sales]</f>
        <v>0.38999999999999996</v>
      </c>
    </row>
    <row r="3985" spans="1:23" x14ac:dyDescent="0.25">
      <c r="A3985">
        <v>3984</v>
      </c>
      <c r="B3985" t="s">
        <v>9559</v>
      </c>
      <c r="C3985" s="1">
        <v>42993</v>
      </c>
      <c r="D3985" s="1">
        <v>42995</v>
      </c>
      <c r="E3985" t="s">
        <v>22</v>
      </c>
      <c r="F3985" t="s">
        <v>8310</v>
      </c>
      <c r="G3985" t="s">
        <v>8311</v>
      </c>
      <c r="H3985" t="s">
        <v>25</v>
      </c>
      <c r="I3985" t="s">
        <v>26</v>
      </c>
      <c r="J3985" t="s">
        <v>5016</v>
      </c>
      <c r="K3985" t="s">
        <v>120</v>
      </c>
      <c r="L3985">
        <v>84106</v>
      </c>
      <c r="M3985" t="s">
        <v>43</v>
      </c>
      <c r="N3985" t="s">
        <v>455</v>
      </c>
      <c r="O3985" t="s">
        <v>45</v>
      </c>
      <c r="P3985" t="s">
        <v>74</v>
      </c>
      <c r="Q3985" t="s">
        <v>456</v>
      </c>
      <c r="R3985">
        <v>295.05599999999998</v>
      </c>
      <c r="S3985">
        <v>9</v>
      </c>
      <c r="T3985">
        <v>0.2</v>
      </c>
      <c r="U3985">
        <v>106.95780000000001</v>
      </c>
      <c r="V3985" t="str">
        <f t="shared" si="62"/>
        <v>Doug O'Connell</v>
      </c>
      <c r="W3985">
        <f>Table2[Profit]/Table2[Sales]</f>
        <v>0.36250000000000004</v>
      </c>
    </row>
    <row r="3986" spans="1:23" x14ac:dyDescent="0.25">
      <c r="A3986">
        <v>3985</v>
      </c>
      <c r="B3986" t="s">
        <v>9560</v>
      </c>
      <c r="C3986" s="1">
        <v>42633</v>
      </c>
      <c r="D3986" s="1">
        <v>42637</v>
      </c>
      <c r="E3986" t="s">
        <v>49</v>
      </c>
      <c r="F3986" t="s">
        <v>3756</v>
      </c>
      <c r="G3986" t="s">
        <v>3757</v>
      </c>
      <c r="H3986" t="s">
        <v>25</v>
      </c>
      <c r="I3986" t="s">
        <v>26</v>
      </c>
      <c r="J3986" t="s">
        <v>263</v>
      </c>
      <c r="K3986" t="s">
        <v>264</v>
      </c>
      <c r="L3986">
        <v>10035</v>
      </c>
      <c r="M3986" t="s">
        <v>145</v>
      </c>
      <c r="N3986" t="s">
        <v>4519</v>
      </c>
      <c r="O3986" t="s">
        <v>45</v>
      </c>
      <c r="P3986" t="s">
        <v>77</v>
      </c>
      <c r="Q3986" t="s">
        <v>4520</v>
      </c>
      <c r="R3986">
        <v>393.25</v>
      </c>
      <c r="S3986">
        <v>5</v>
      </c>
      <c r="T3986">
        <v>0</v>
      </c>
      <c r="U3986">
        <v>129.77250000000001</v>
      </c>
      <c r="V3986" t="str">
        <f t="shared" si="62"/>
        <v>Helen Abelman</v>
      </c>
      <c r="W3986">
        <f>Table2[Profit]/Table2[Sales]</f>
        <v>0.33</v>
      </c>
    </row>
    <row r="3987" spans="1:23" x14ac:dyDescent="0.25">
      <c r="A3987">
        <v>3986</v>
      </c>
      <c r="B3987" t="s">
        <v>9561</v>
      </c>
      <c r="C3987" s="1">
        <v>42719</v>
      </c>
      <c r="D3987" s="1">
        <v>42721</v>
      </c>
      <c r="E3987" t="s">
        <v>22</v>
      </c>
      <c r="F3987" t="s">
        <v>1117</v>
      </c>
      <c r="G3987" t="s">
        <v>1118</v>
      </c>
      <c r="H3987" t="s">
        <v>25</v>
      </c>
      <c r="I3987" t="s">
        <v>26</v>
      </c>
      <c r="J3987" t="s">
        <v>3251</v>
      </c>
      <c r="K3987" t="s">
        <v>491</v>
      </c>
      <c r="L3987">
        <v>44221</v>
      </c>
      <c r="M3987" t="s">
        <v>145</v>
      </c>
      <c r="N3987" t="s">
        <v>7585</v>
      </c>
      <c r="O3987" t="s">
        <v>45</v>
      </c>
      <c r="P3987" t="s">
        <v>74</v>
      </c>
      <c r="Q3987" t="s">
        <v>7586</v>
      </c>
      <c r="R3987">
        <v>2.214</v>
      </c>
      <c r="S3987">
        <v>3</v>
      </c>
      <c r="T3987">
        <v>0.7</v>
      </c>
      <c r="U3987">
        <v>-1.476</v>
      </c>
      <c r="V3987" t="str">
        <f t="shared" si="62"/>
        <v>Shahid Hopkins</v>
      </c>
      <c r="W3987">
        <f>Table2[Profit]/Table2[Sales]</f>
        <v>-0.66666666666666663</v>
      </c>
    </row>
    <row r="3988" spans="1:23" x14ac:dyDescent="0.25">
      <c r="A3988">
        <v>3987</v>
      </c>
      <c r="B3988" t="s">
        <v>9562</v>
      </c>
      <c r="C3988" s="1">
        <v>43042</v>
      </c>
      <c r="D3988" s="1">
        <v>43045</v>
      </c>
      <c r="E3988" t="s">
        <v>22</v>
      </c>
      <c r="F3988" t="s">
        <v>5118</v>
      </c>
      <c r="G3988" t="s">
        <v>5119</v>
      </c>
      <c r="H3988" t="s">
        <v>25</v>
      </c>
      <c r="I3988" t="s">
        <v>26</v>
      </c>
      <c r="J3988" t="s">
        <v>514</v>
      </c>
      <c r="K3988" t="s">
        <v>87</v>
      </c>
      <c r="L3988">
        <v>28403</v>
      </c>
      <c r="M3988" t="s">
        <v>29</v>
      </c>
      <c r="N3988" t="s">
        <v>3787</v>
      </c>
      <c r="O3988" t="s">
        <v>45</v>
      </c>
      <c r="P3988" t="s">
        <v>89</v>
      </c>
      <c r="Q3988" t="s">
        <v>3788</v>
      </c>
      <c r="R3988">
        <v>16.271999999999998</v>
      </c>
      <c r="S3988">
        <v>3</v>
      </c>
      <c r="T3988">
        <v>0.2</v>
      </c>
      <c r="U3988">
        <v>5.2884000000000002</v>
      </c>
      <c r="V3988" t="str">
        <f t="shared" si="62"/>
        <v>Justin MacKendrick</v>
      </c>
      <c r="W3988">
        <f>Table2[Profit]/Table2[Sales]</f>
        <v>0.32500000000000007</v>
      </c>
    </row>
    <row r="3989" spans="1:23" x14ac:dyDescent="0.25">
      <c r="A3989">
        <v>3988</v>
      </c>
      <c r="B3989" t="s">
        <v>9563</v>
      </c>
      <c r="C3989" s="1">
        <v>42554</v>
      </c>
      <c r="D3989" s="1">
        <v>42558</v>
      </c>
      <c r="E3989" t="s">
        <v>49</v>
      </c>
      <c r="F3989" t="s">
        <v>1347</v>
      </c>
      <c r="G3989" t="s">
        <v>1348</v>
      </c>
      <c r="H3989" t="s">
        <v>40</v>
      </c>
      <c r="I3989" t="s">
        <v>26</v>
      </c>
      <c r="J3989" t="s">
        <v>263</v>
      </c>
      <c r="K3989" t="s">
        <v>264</v>
      </c>
      <c r="L3989">
        <v>10035</v>
      </c>
      <c r="M3989" t="s">
        <v>145</v>
      </c>
      <c r="N3989" t="s">
        <v>7872</v>
      </c>
      <c r="O3989" t="s">
        <v>45</v>
      </c>
      <c r="P3989" t="s">
        <v>77</v>
      </c>
      <c r="Q3989" t="s">
        <v>7873</v>
      </c>
      <c r="R3989">
        <v>706.86</v>
      </c>
      <c r="S3989">
        <v>7</v>
      </c>
      <c r="T3989">
        <v>0</v>
      </c>
      <c r="U3989">
        <v>197.92080000000001</v>
      </c>
      <c r="V3989" t="str">
        <f t="shared" si="62"/>
        <v>Dean Katz</v>
      </c>
      <c r="W3989">
        <f>Table2[Profit]/Table2[Sales]</f>
        <v>0.28000000000000003</v>
      </c>
    </row>
    <row r="3990" spans="1:23" x14ac:dyDescent="0.25">
      <c r="A3990">
        <v>3989</v>
      </c>
      <c r="B3990" t="s">
        <v>9564</v>
      </c>
      <c r="C3990" s="1">
        <v>41908</v>
      </c>
      <c r="D3990" s="1">
        <v>41912</v>
      </c>
      <c r="E3990" t="s">
        <v>49</v>
      </c>
      <c r="F3990" t="s">
        <v>9292</v>
      </c>
      <c r="G3990" t="s">
        <v>9293</v>
      </c>
      <c r="H3990" t="s">
        <v>40</v>
      </c>
      <c r="I3990" t="s">
        <v>26</v>
      </c>
      <c r="J3990" t="s">
        <v>143</v>
      </c>
      <c r="K3990" t="s">
        <v>144</v>
      </c>
      <c r="L3990">
        <v>19140</v>
      </c>
      <c r="M3990" t="s">
        <v>145</v>
      </c>
      <c r="N3990" t="s">
        <v>538</v>
      </c>
      <c r="O3990" t="s">
        <v>45</v>
      </c>
      <c r="P3990" t="s">
        <v>74</v>
      </c>
      <c r="Q3990" t="s">
        <v>539</v>
      </c>
      <c r="R3990">
        <v>5.97</v>
      </c>
      <c r="S3990">
        <v>5</v>
      </c>
      <c r="T3990">
        <v>0.7</v>
      </c>
      <c r="U3990">
        <v>-4.577</v>
      </c>
      <c r="V3990" t="str">
        <f t="shared" si="62"/>
        <v>Craig Molinari</v>
      </c>
      <c r="W3990">
        <f>Table2[Profit]/Table2[Sales]</f>
        <v>-0.76666666666666672</v>
      </c>
    </row>
    <row r="3991" spans="1:23" x14ac:dyDescent="0.25">
      <c r="A3991">
        <v>3990</v>
      </c>
      <c r="B3991" t="s">
        <v>9565</v>
      </c>
      <c r="C3991" s="1">
        <v>41834</v>
      </c>
      <c r="D3991" s="1">
        <v>41837</v>
      </c>
      <c r="E3991" t="s">
        <v>22</v>
      </c>
      <c r="F3991" t="s">
        <v>4517</v>
      </c>
      <c r="G3991" t="s">
        <v>4518</v>
      </c>
      <c r="H3991" t="s">
        <v>40</v>
      </c>
      <c r="I3991" t="s">
        <v>26</v>
      </c>
      <c r="J3991" t="s">
        <v>263</v>
      </c>
      <c r="K3991" t="s">
        <v>264</v>
      </c>
      <c r="L3991">
        <v>10009</v>
      </c>
      <c r="M3991" t="s">
        <v>145</v>
      </c>
      <c r="N3991" t="s">
        <v>3355</v>
      </c>
      <c r="O3991" t="s">
        <v>45</v>
      </c>
      <c r="P3991" t="s">
        <v>67</v>
      </c>
      <c r="Q3991" t="s">
        <v>3356</v>
      </c>
      <c r="R3991">
        <v>17.940000000000001</v>
      </c>
      <c r="S3991">
        <v>3</v>
      </c>
      <c r="T3991">
        <v>0</v>
      </c>
      <c r="U3991">
        <v>4.4850000000000003</v>
      </c>
      <c r="V3991" t="str">
        <f t="shared" si="62"/>
        <v>Barbara Fisher</v>
      </c>
      <c r="W3991">
        <f>Table2[Profit]/Table2[Sales]</f>
        <v>0.25</v>
      </c>
    </row>
    <row r="3992" spans="1:23" x14ac:dyDescent="0.25">
      <c r="A3992">
        <v>3991</v>
      </c>
      <c r="B3992" t="s">
        <v>9566</v>
      </c>
      <c r="C3992" s="1">
        <v>43006</v>
      </c>
      <c r="D3992" s="1">
        <v>43013</v>
      </c>
      <c r="E3992" t="s">
        <v>49</v>
      </c>
      <c r="F3992" t="s">
        <v>2027</v>
      </c>
      <c r="G3992" t="s">
        <v>2028</v>
      </c>
      <c r="H3992" t="s">
        <v>40</v>
      </c>
      <c r="I3992" t="s">
        <v>26</v>
      </c>
      <c r="J3992" t="s">
        <v>143</v>
      </c>
      <c r="K3992" t="s">
        <v>144</v>
      </c>
      <c r="L3992">
        <v>19134</v>
      </c>
      <c r="M3992" t="s">
        <v>145</v>
      </c>
      <c r="N3992" t="s">
        <v>2335</v>
      </c>
      <c r="O3992" t="s">
        <v>45</v>
      </c>
      <c r="P3992" t="s">
        <v>74</v>
      </c>
      <c r="Q3992" t="s">
        <v>2336</v>
      </c>
      <c r="R3992">
        <v>2.6549999999999998</v>
      </c>
      <c r="S3992">
        <v>1</v>
      </c>
      <c r="T3992">
        <v>0.7</v>
      </c>
      <c r="U3992">
        <v>-1.8585</v>
      </c>
      <c r="V3992" t="str">
        <f t="shared" si="62"/>
        <v>Sylvia Foulston</v>
      </c>
      <c r="W3992">
        <f>Table2[Profit]/Table2[Sales]</f>
        <v>-0.70000000000000007</v>
      </c>
    </row>
    <row r="3993" spans="1:23" x14ac:dyDescent="0.25">
      <c r="A3993">
        <v>3992</v>
      </c>
      <c r="B3993" t="s">
        <v>9567</v>
      </c>
      <c r="C3993" s="1">
        <v>42244</v>
      </c>
      <c r="D3993" s="1">
        <v>42251</v>
      </c>
      <c r="E3993" t="s">
        <v>49</v>
      </c>
      <c r="F3993" t="s">
        <v>770</v>
      </c>
      <c r="G3993" t="s">
        <v>771</v>
      </c>
      <c r="H3993" t="s">
        <v>25</v>
      </c>
      <c r="I3993" t="s">
        <v>26</v>
      </c>
      <c r="J3993" t="s">
        <v>41</v>
      </c>
      <c r="K3993" t="s">
        <v>42</v>
      </c>
      <c r="L3993">
        <v>90049</v>
      </c>
      <c r="M3993" t="s">
        <v>43</v>
      </c>
      <c r="N3993" t="s">
        <v>1981</v>
      </c>
      <c r="O3993" t="s">
        <v>45</v>
      </c>
      <c r="P3993" t="s">
        <v>58</v>
      </c>
      <c r="Q3993" t="s">
        <v>1982</v>
      </c>
      <c r="R3993">
        <v>892.35</v>
      </c>
      <c r="S3993">
        <v>5</v>
      </c>
      <c r="T3993">
        <v>0</v>
      </c>
      <c r="U3993">
        <v>267.70499999999998</v>
      </c>
      <c r="V3993" t="str">
        <f t="shared" si="62"/>
        <v>Cassandra Brandow</v>
      </c>
      <c r="W3993">
        <f>Table2[Profit]/Table2[Sales]</f>
        <v>0.3</v>
      </c>
    </row>
    <row r="3994" spans="1:23" x14ac:dyDescent="0.25">
      <c r="A3994">
        <v>3993</v>
      </c>
      <c r="B3994" t="s">
        <v>9568</v>
      </c>
      <c r="C3994" s="1">
        <v>42267</v>
      </c>
      <c r="D3994" s="1">
        <v>42273</v>
      </c>
      <c r="E3994" t="s">
        <v>49</v>
      </c>
      <c r="F3994" t="s">
        <v>4856</v>
      </c>
      <c r="G3994" t="s">
        <v>4857</v>
      </c>
      <c r="H3994" t="s">
        <v>40</v>
      </c>
      <c r="I3994" t="s">
        <v>26</v>
      </c>
      <c r="J3994" t="s">
        <v>1161</v>
      </c>
      <c r="K3994" t="s">
        <v>264</v>
      </c>
      <c r="L3994">
        <v>11561</v>
      </c>
      <c r="M3994" t="s">
        <v>145</v>
      </c>
      <c r="N3994" t="s">
        <v>1239</v>
      </c>
      <c r="O3994" t="s">
        <v>45</v>
      </c>
      <c r="P3994" t="s">
        <v>89</v>
      </c>
      <c r="Q3994" t="s">
        <v>1240</v>
      </c>
      <c r="R3994">
        <v>61.4</v>
      </c>
      <c r="S3994">
        <v>5</v>
      </c>
      <c r="T3994">
        <v>0</v>
      </c>
      <c r="U3994">
        <v>28.858000000000001</v>
      </c>
      <c r="V3994" t="str">
        <f t="shared" si="62"/>
        <v>Tamara Chand</v>
      </c>
      <c r="W3994">
        <f>Table2[Profit]/Table2[Sales]</f>
        <v>0.47000000000000003</v>
      </c>
    </row>
    <row r="3995" spans="1:23" x14ac:dyDescent="0.25">
      <c r="A3995">
        <v>3994</v>
      </c>
      <c r="B3995" t="s">
        <v>9569</v>
      </c>
      <c r="C3995" s="1">
        <v>42681</v>
      </c>
      <c r="D3995" s="1">
        <v>42683</v>
      </c>
      <c r="E3995" t="s">
        <v>185</v>
      </c>
      <c r="F3995" t="s">
        <v>4773</v>
      </c>
      <c r="G3995" t="s">
        <v>4774</v>
      </c>
      <c r="H3995" t="s">
        <v>25</v>
      </c>
      <c r="I3995" t="s">
        <v>26</v>
      </c>
      <c r="J3995" t="s">
        <v>382</v>
      </c>
      <c r="K3995" t="s">
        <v>264</v>
      </c>
      <c r="L3995">
        <v>14609</v>
      </c>
      <c r="M3995" t="s">
        <v>145</v>
      </c>
      <c r="N3995" t="s">
        <v>1936</v>
      </c>
      <c r="O3995" t="s">
        <v>70</v>
      </c>
      <c r="P3995" t="s">
        <v>71</v>
      </c>
      <c r="Q3995" t="s">
        <v>1937</v>
      </c>
      <c r="R3995">
        <v>263.95999999999998</v>
      </c>
      <c r="S3995">
        <v>4</v>
      </c>
      <c r="T3995">
        <v>0</v>
      </c>
      <c r="U3995">
        <v>71.269199999999998</v>
      </c>
      <c r="V3995" t="str">
        <f t="shared" si="62"/>
        <v>Luke Weiss</v>
      </c>
      <c r="W3995">
        <f>Table2[Profit]/Table2[Sales]</f>
        <v>0.27</v>
      </c>
    </row>
    <row r="3996" spans="1:23" x14ac:dyDescent="0.25">
      <c r="A3996">
        <v>3995</v>
      </c>
      <c r="B3996" t="s">
        <v>9570</v>
      </c>
      <c r="C3996" s="1">
        <v>42297</v>
      </c>
      <c r="D3996" s="1">
        <v>42301</v>
      </c>
      <c r="E3996" t="s">
        <v>49</v>
      </c>
      <c r="F3996" t="s">
        <v>3044</v>
      </c>
      <c r="G3996" t="s">
        <v>3045</v>
      </c>
      <c r="H3996" t="s">
        <v>40</v>
      </c>
      <c r="I3996" t="s">
        <v>26</v>
      </c>
      <c r="J3996" t="s">
        <v>126</v>
      </c>
      <c r="K3996" t="s">
        <v>42</v>
      </c>
      <c r="L3996">
        <v>94109</v>
      </c>
      <c r="M3996" t="s">
        <v>43</v>
      </c>
      <c r="N3996" t="s">
        <v>1638</v>
      </c>
      <c r="O3996" t="s">
        <v>70</v>
      </c>
      <c r="P3996" t="s">
        <v>158</v>
      </c>
      <c r="Q3996" t="s">
        <v>1639</v>
      </c>
      <c r="R3996">
        <v>239.97</v>
      </c>
      <c r="S3996">
        <v>3</v>
      </c>
      <c r="T3996">
        <v>0</v>
      </c>
      <c r="U3996">
        <v>86.389200000000002</v>
      </c>
      <c r="V3996" t="str">
        <f t="shared" si="62"/>
        <v>Noel Staavos</v>
      </c>
      <c r="W3996">
        <f>Table2[Profit]/Table2[Sales]</f>
        <v>0.36</v>
      </c>
    </row>
    <row r="3997" spans="1:23" x14ac:dyDescent="0.25">
      <c r="A3997">
        <v>3996</v>
      </c>
      <c r="B3997" t="s">
        <v>9571</v>
      </c>
      <c r="C3997" s="1">
        <v>42736</v>
      </c>
      <c r="D3997" s="1">
        <v>42740</v>
      </c>
      <c r="E3997" t="s">
        <v>49</v>
      </c>
      <c r="F3997" t="s">
        <v>458</v>
      </c>
      <c r="G3997" t="s">
        <v>459</v>
      </c>
      <c r="H3997" t="s">
        <v>25</v>
      </c>
      <c r="I3997" t="s">
        <v>26</v>
      </c>
      <c r="J3997" t="s">
        <v>1657</v>
      </c>
      <c r="K3997" t="s">
        <v>103</v>
      </c>
      <c r="L3997">
        <v>77340</v>
      </c>
      <c r="M3997" t="s">
        <v>104</v>
      </c>
      <c r="N3997" t="s">
        <v>1605</v>
      </c>
      <c r="O3997" t="s">
        <v>45</v>
      </c>
      <c r="P3997" t="s">
        <v>58</v>
      </c>
      <c r="Q3997" t="s">
        <v>1606</v>
      </c>
      <c r="R3997">
        <v>454.56</v>
      </c>
      <c r="S3997">
        <v>5</v>
      </c>
      <c r="T3997">
        <v>0.2</v>
      </c>
      <c r="U3997">
        <v>-107.958</v>
      </c>
      <c r="V3997" t="str">
        <f t="shared" si="62"/>
        <v>Janet Martin</v>
      </c>
      <c r="W3997">
        <f>Table2[Profit]/Table2[Sales]</f>
        <v>-0.23749999999999999</v>
      </c>
    </row>
    <row r="3998" spans="1:23" x14ac:dyDescent="0.25">
      <c r="A3998">
        <v>3997</v>
      </c>
      <c r="B3998" t="s">
        <v>9572</v>
      </c>
      <c r="C3998" s="1">
        <v>42178</v>
      </c>
      <c r="D3998" s="1">
        <v>42184</v>
      </c>
      <c r="E3998" t="s">
        <v>49</v>
      </c>
      <c r="F3998" t="s">
        <v>4941</v>
      </c>
      <c r="G3998" t="s">
        <v>4942</v>
      </c>
      <c r="H3998" t="s">
        <v>40</v>
      </c>
      <c r="I3998" t="s">
        <v>26</v>
      </c>
      <c r="J3998" t="s">
        <v>9573</v>
      </c>
      <c r="K3998" t="s">
        <v>1260</v>
      </c>
      <c r="L3998">
        <v>30344</v>
      </c>
      <c r="M3998" t="s">
        <v>29</v>
      </c>
      <c r="N3998" t="s">
        <v>2491</v>
      </c>
      <c r="O3998" t="s">
        <v>31</v>
      </c>
      <c r="P3998" t="s">
        <v>64</v>
      </c>
      <c r="Q3998" t="s">
        <v>2492</v>
      </c>
      <c r="R3998">
        <v>27.42</v>
      </c>
      <c r="S3998">
        <v>3</v>
      </c>
      <c r="T3998">
        <v>0</v>
      </c>
      <c r="U3998">
        <v>9.3228000000000009</v>
      </c>
      <c r="V3998" t="str">
        <f t="shared" si="62"/>
        <v>Randy Ferguson</v>
      </c>
      <c r="W3998">
        <f>Table2[Profit]/Table2[Sales]</f>
        <v>0.34</v>
      </c>
    </row>
    <row r="3999" spans="1:23" x14ac:dyDescent="0.25">
      <c r="A3999">
        <v>3998</v>
      </c>
      <c r="B3999" t="s">
        <v>9574</v>
      </c>
      <c r="C3999" s="1">
        <v>42696</v>
      </c>
      <c r="D3999" s="1">
        <v>42701</v>
      </c>
      <c r="E3999" t="s">
        <v>49</v>
      </c>
      <c r="F3999" t="s">
        <v>3315</v>
      </c>
      <c r="G3999" t="s">
        <v>3316</v>
      </c>
      <c r="H3999" t="s">
        <v>101</v>
      </c>
      <c r="I3999" t="s">
        <v>26</v>
      </c>
      <c r="J3999" t="s">
        <v>263</v>
      </c>
      <c r="K3999" t="s">
        <v>264</v>
      </c>
      <c r="L3999">
        <v>10009</v>
      </c>
      <c r="M3999" t="s">
        <v>145</v>
      </c>
      <c r="N3999" t="s">
        <v>1187</v>
      </c>
      <c r="O3999" t="s">
        <v>45</v>
      </c>
      <c r="P3999" t="s">
        <v>74</v>
      </c>
      <c r="Q3999" t="s">
        <v>1188</v>
      </c>
      <c r="R3999">
        <v>134.27199999999999</v>
      </c>
      <c r="S3999">
        <v>8</v>
      </c>
      <c r="T3999">
        <v>0.2</v>
      </c>
      <c r="U3999">
        <v>46.995199999999997</v>
      </c>
      <c r="V3999" t="str">
        <f t="shared" si="62"/>
        <v>Cathy Armstrong</v>
      </c>
      <c r="W3999">
        <f>Table2[Profit]/Table2[Sales]</f>
        <v>0.35</v>
      </c>
    </row>
    <row r="4000" spans="1:23" x14ac:dyDescent="0.25">
      <c r="A4000">
        <v>3999</v>
      </c>
      <c r="B4000" t="s">
        <v>9575</v>
      </c>
      <c r="C4000" s="1">
        <v>42303</v>
      </c>
      <c r="D4000" s="1">
        <v>42309</v>
      </c>
      <c r="E4000" t="s">
        <v>49</v>
      </c>
      <c r="F4000" t="s">
        <v>1005</v>
      </c>
      <c r="G4000" t="s">
        <v>1006</v>
      </c>
      <c r="H4000" t="s">
        <v>40</v>
      </c>
      <c r="I4000" t="s">
        <v>26</v>
      </c>
      <c r="J4000" t="s">
        <v>311</v>
      </c>
      <c r="K4000" t="s">
        <v>413</v>
      </c>
      <c r="L4000">
        <v>97477</v>
      </c>
      <c r="M4000" t="s">
        <v>43</v>
      </c>
      <c r="N4000" t="s">
        <v>3555</v>
      </c>
      <c r="O4000" t="s">
        <v>45</v>
      </c>
      <c r="P4000" t="s">
        <v>46</v>
      </c>
      <c r="Q4000" t="s">
        <v>3556</v>
      </c>
      <c r="R4000">
        <v>146.54400000000001</v>
      </c>
      <c r="S4000">
        <v>6</v>
      </c>
      <c r="T4000">
        <v>0.2</v>
      </c>
      <c r="U4000">
        <v>47.626800000000003</v>
      </c>
      <c r="V4000" t="str">
        <f t="shared" si="62"/>
        <v>Kristen Hastings</v>
      </c>
      <c r="W4000">
        <f>Table2[Profit]/Table2[Sales]</f>
        <v>0.32500000000000001</v>
      </c>
    </row>
    <row r="4001" spans="1:23" x14ac:dyDescent="0.25">
      <c r="A4001">
        <v>4000</v>
      </c>
      <c r="B4001" t="s">
        <v>9576</v>
      </c>
      <c r="C4001" s="1">
        <v>42663</v>
      </c>
      <c r="D4001" s="1">
        <v>42669</v>
      </c>
      <c r="E4001" t="s">
        <v>49</v>
      </c>
      <c r="F4001" t="s">
        <v>9577</v>
      </c>
      <c r="G4001" t="s">
        <v>9578</v>
      </c>
      <c r="H4001" t="s">
        <v>101</v>
      </c>
      <c r="I4001" t="s">
        <v>26</v>
      </c>
      <c r="J4001" t="s">
        <v>1119</v>
      </c>
      <c r="K4001" t="s">
        <v>312</v>
      </c>
      <c r="L4001">
        <v>22204</v>
      </c>
      <c r="M4001" t="s">
        <v>29</v>
      </c>
      <c r="N4001" t="s">
        <v>1524</v>
      </c>
      <c r="O4001" t="s">
        <v>31</v>
      </c>
      <c r="P4001" t="s">
        <v>64</v>
      </c>
      <c r="Q4001" t="s">
        <v>1525</v>
      </c>
      <c r="R4001">
        <v>61.1</v>
      </c>
      <c r="S4001">
        <v>5</v>
      </c>
      <c r="T4001">
        <v>0</v>
      </c>
      <c r="U4001">
        <v>18.329999999999998</v>
      </c>
      <c r="V4001" t="str">
        <f t="shared" si="62"/>
        <v>Lindsay Castell</v>
      </c>
      <c r="W4001">
        <f>Table2[Profit]/Table2[Sales]</f>
        <v>0.3</v>
      </c>
    </row>
    <row r="4002" spans="1:23" x14ac:dyDescent="0.25">
      <c r="A4002">
        <v>4001</v>
      </c>
      <c r="B4002" t="s">
        <v>9579</v>
      </c>
      <c r="C4002" s="1">
        <v>42853</v>
      </c>
      <c r="D4002" s="1">
        <v>42857</v>
      </c>
      <c r="E4002" t="s">
        <v>49</v>
      </c>
      <c r="F4002" t="s">
        <v>6258</v>
      </c>
      <c r="G4002" t="s">
        <v>6259</v>
      </c>
      <c r="H4002" t="s">
        <v>25</v>
      </c>
      <c r="I4002" t="s">
        <v>26</v>
      </c>
      <c r="J4002" t="s">
        <v>514</v>
      </c>
      <c r="K4002" t="s">
        <v>87</v>
      </c>
      <c r="L4002">
        <v>28403</v>
      </c>
      <c r="M4002" t="s">
        <v>29</v>
      </c>
      <c r="N4002" t="s">
        <v>5029</v>
      </c>
      <c r="O4002" t="s">
        <v>45</v>
      </c>
      <c r="P4002" t="s">
        <v>77</v>
      </c>
      <c r="Q4002" t="s">
        <v>5030</v>
      </c>
      <c r="R4002">
        <v>28.08</v>
      </c>
      <c r="S4002">
        <v>3</v>
      </c>
      <c r="T4002">
        <v>0.2</v>
      </c>
      <c r="U4002">
        <v>5.2649999999999997</v>
      </c>
      <c r="V4002" t="str">
        <f t="shared" si="62"/>
        <v>Jack Lebron</v>
      </c>
      <c r="W4002">
        <f>Table2[Profit]/Table2[Sales]</f>
        <v>0.1875</v>
      </c>
    </row>
    <row r="4003" spans="1:23" x14ac:dyDescent="0.25">
      <c r="A4003">
        <v>4002</v>
      </c>
      <c r="B4003" t="s">
        <v>9580</v>
      </c>
      <c r="C4003" s="1">
        <v>42642</v>
      </c>
      <c r="D4003" s="1">
        <v>42644</v>
      </c>
      <c r="E4003" t="s">
        <v>22</v>
      </c>
      <c r="F4003" t="s">
        <v>6094</v>
      </c>
      <c r="G4003" t="s">
        <v>6095</v>
      </c>
      <c r="H4003" t="s">
        <v>40</v>
      </c>
      <c r="I4003" t="s">
        <v>26</v>
      </c>
      <c r="J4003" t="s">
        <v>7612</v>
      </c>
      <c r="K4003" t="s">
        <v>303</v>
      </c>
      <c r="L4003">
        <v>85364</v>
      </c>
      <c r="M4003" t="s">
        <v>43</v>
      </c>
      <c r="N4003" t="s">
        <v>3210</v>
      </c>
      <c r="O4003" t="s">
        <v>45</v>
      </c>
      <c r="P4003" t="s">
        <v>67</v>
      </c>
      <c r="Q4003" t="s">
        <v>3211</v>
      </c>
      <c r="R4003">
        <v>10.496</v>
      </c>
      <c r="S4003">
        <v>4</v>
      </c>
      <c r="T4003">
        <v>0.2</v>
      </c>
      <c r="U4003">
        <v>1.1808000000000001</v>
      </c>
      <c r="V4003" t="str">
        <f t="shared" si="62"/>
        <v>Dario Medina</v>
      </c>
      <c r="W4003">
        <f>Table2[Profit]/Table2[Sales]</f>
        <v>0.1125</v>
      </c>
    </row>
    <row r="4004" spans="1:23" x14ac:dyDescent="0.25">
      <c r="A4004">
        <v>4003</v>
      </c>
      <c r="B4004" t="s">
        <v>9581</v>
      </c>
      <c r="C4004" s="1">
        <v>42195</v>
      </c>
      <c r="D4004" s="1">
        <v>42199</v>
      </c>
      <c r="E4004" t="s">
        <v>49</v>
      </c>
      <c r="F4004" t="s">
        <v>1359</v>
      </c>
      <c r="G4004" t="s">
        <v>1360</v>
      </c>
      <c r="H4004" t="s">
        <v>25</v>
      </c>
      <c r="I4004" t="s">
        <v>26</v>
      </c>
      <c r="J4004" t="s">
        <v>4795</v>
      </c>
      <c r="K4004" t="s">
        <v>42</v>
      </c>
      <c r="L4004">
        <v>92404</v>
      </c>
      <c r="M4004" t="s">
        <v>43</v>
      </c>
      <c r="N4004" t="s">
        <v>2650</v>
      </c>
      <c r="O4004" t="s">
        <v>45</v>
      </c>
      <c r="P4004" t="s">
        <v>74</v>
      </c>
      <c r="Q4004" t="s">
        <v>2651</v>
      </c>
      <c r="R4004">
        <v>39.92</v>
      </c>
      <c r="S4004">
        <v>2</v>
      </c>
      <c r="T4004">
        <v>0.2</v>
      </c>
      <c r="U4004">
        <v>12.974</v>
      </c>
      <c r="V4004" t="str">
        <f t="shared" si="62"/>
        <v>Mike Vittorini</v>
      </c>
      <c r="W4004">
        <f>Table2[Profit]/Table2[Sales]</f>
        <v>0.32500000000000001</v>
      </c>
    </row>
    <row r="4005" spans="1:23" x14ac:dyDescent="0.25">
      <c r="A4005">
        <v>4004</v>
      </c>
      <c r="B4005" t="s">
        <v>9582</v>
      </c>
      <c r="C4005" s="1">
        <v>42223</v>
      </c>
      <c r="D4005" s="1">
        <v>42225</v>
      </c>
      <c r="E4005" t="s">
        <v>185</v>
      </c>
      <c r="F4005" t="s">
        <v>3044</v>
      </c>
      <c r="G4005" t="s">
        <v>3045</v>
      </c>
      <c r="H4005" t="s">
        <v>40</v>
      </c>
      <c r="I4005" t="s">
        <v>26</v>
      </c>
      <c r="J4005" t="s">
        <v>4400</v>
      </c>
      <c r="K4005" t="s">
        <v>2699</v>
      </c>
      <c r="L4005">
        <v>21215</v>
      </c>
      <c r="M4005" t="s">
        <v>145</v>
      </c>
      <c r="N4005" t="s">
        <v>138</v>
      </c>
      <c r="O4005" t="s">
        <v>45</v>
      </c>
      <c r="P4005" t="s">
        <v>77</v>
      </c>
      <c r="Q4005" t="s">
        <v>139</v>
      </c>
      <c r="R4005">
        <v>77.58</v>
      </c>
      <c r="S4005">
        <v>9</v>
      </c>
      <c r="T4005">
        <v>0</v>
      </c>
      <c r="U4005">
        <v>20.1708</v>
      </c>
      <c r="V4005" t="str">
        <f t="shared" si="62"/>
        <v>Noel Staavos</v>
      </c>
      <c r="W4005">
        <f>Table2[Profit]/Table2[Sales]</f>
        <v>0.26</v>
      </c>
    </row>
    <row r="4006" spans="1:23" x14ac:dyDescent="0.25">
      <c r="A4006">
        <v>4005</v>
      </c>
      <c r="B4006" t="s">
        <v>9583</v>
      </c>
      <c r="C4006" s="1">
        <v>41980</v>
      </c>
      <c r="D4006" s="1">
        <v>41986</v>
      </c>
      <c r="E4006" t="s">
        <v>49</v>
      </c>
      <c r="F4006" t="s">
        <v>2912</v>
      </c>
      <c r="G4006" t="s">
        <v>2913</v>
      </c>
      <c r="H4006" t="s">
        <v>101</v>
      </c>
      <c r="I4006" t="s">
        <v>26</v>
      </c>
      <c r="J4006" t="s">
        <v>94</v>
      </c>
      <c r="K4006" t="s">
        <v>95</v>
      </c>
      <c r="L4006">
        <v>98103</v>
      </c>
      <c r="M4006" t="s">
        <v>43</v>
      </c>
      <c r="N4006" t="s">
        <v>5789</v>
      </c>
      <c r="O4006" t="s">
        <v>45</v>
      </c>
      <c r="P4006" t="s">
        <v>58</v>
      </c>
      <c r="Q4006" t="s">
        <v>5790</v>
      </c>
      <c r="R4006">
        <v>269.36</v>
      </c>
      <c r="S4006">
        <v>7</v>
      </c>
      <c r="T4006">
        <v>0</v>
      </c>
      <c r="U4006">
        <v>70.033600000000007</v>
      </c>
      <c r="V4006" t="str">
        <f t="shared" si="62"/>
        <v>Ann Steele</v>
      </c>
      <c r="W4006">
        <f>Table2[Profit]/Table2[Sales]</f>
        <v>0.26</v>
      </c>
    </row>
    <row r="4007" spans="1:23" x14ac:dyDescent="0.25">
      <c r="A4007">
        <v>4006</v>
      </c>
      <c r="B4007" t="s">
        <v>9584</v>
      </c>
      <c r="C4007" s="1">
        <v>42348</v>
      </c>
      <c r="D4007" s="1">
        <v>42352</v>
      </c>
      <c r="E4007" t="s">
        <v>49</v>
      </c>
      <c r="F4007" t="s">
        <v>2955</v>
      </c>
      <c r="G4007" t="s">
        <v>2956</v>
      </c>
      <c r="H4007" t="s">
        <v>25</v>
      </c>
      <c r="I4007" t="s">
        <v>26</v>
      </c>
      <c r="J4007" t="s">
        <v>126</v>
      </c>
      <c r="K4007" t="s">
        <v>42</v>
      </c>
      <c r="L4007">
        <v>94110</v>
      </c>
      <c r="M4007" t="s">
        <v>43</v>
      </c>
      <c r="N4007" t="s">
        <v>2878</v>
      </c>
      <c r="O4007" t="s">
        <v>45</v>
      </c>
      <c r="P4007" t="s">
        <v>46</v>
      </c>
      <c r="Q4007" t="s">
        <v>2879</v>
      </c>
      <c r="R4007">
        <v>5.76</v>
      </c>
      <c r="S4007">
        <v>2</v>
      </c>
      <c r="T4007">
        <v>0</v>
      </c>
      <c r="U4007">
        <v>2.8224</v>
      </c>
      <c r="V4007" t="str">
        <f t="shared" si="62"/>
        <v>Meg Tillman</v>
      </c>
      <c r="W4007">
        <f>Table2[Profit]/Table2[Sales]</f>
        <v>0.49000000000000005</v>
      </c>
    </row>
    <row r="4008" spans="1:23" x14ac:dyDescent="0.25">
      <c r="A4008">
        <v>4007</v>
      </c>
      <c r="B4008" t="s">
        <v>9585</v>
      </c>
      <c r="C4008" s="1">
        <v>43047</v>
      </c>
      <c r="D4008" s="1">
        <v>43052</v>
      </c>
      <c r="E4008" t="s">
        <v>22</v>
      </c>
      <c r="F4008" t="s">
        <v>6073</v>
      </c>
      <c r="G4008" t="s">
        <v>6074</v>
      </c>
      <c r="H4008" t="s">
        <v>101</v>
      </c>
      <c r="I4008" t="s">
        <v>26</v>
      </c>
      <c r="J4008" t="s">
        <v>263</v>
      </c>
      <c r="K4008" t="s">
        <v>264</v>
      </c>
      <c r="L4008">
        <v>10035</v>
      </c>
      <c r="M4008" t="s">
        <v>145</v>
      </c>
      <c r="N4008" t="s">
        <v>3599</v>
      </c>
      <c r="O4008" t="s">
        <v>45</v>
      </c>
      <c r="P4008" t="s">
        <v>67</v>
      </c>
      <c r="Q4008" t="s">
        <v>3600</v>
      </c>
      <c r="R4008">
        <v>109.9</v>
      </c>
      <c r="S4008">
        <v>5</v>
      </c>
      <c r="T4008">
        <v>0</v>
      </c>
      <c r="U4008">
        <v>32.97</v>
      </c>
      <c r="V4008" t="str">
        <f t="shared" si="62"/>
        <v>Sharelle Roach</v>
      </c>
      <c r="W4008">
        <f>Table2[Profit]/Table2[Sales]</f>
        <v>0.3</v>
      </c>
    </row>
    <row r="4009" spans="1:23" x14ac:dyDescent="0.25">
      <c r="A4009">
        <v>4008</v>
      </c>
      <c r="B4009" t="s">
        <v>9586</v>
      </c>
      <c r="C4009" s="1">
        <v>42943</v>
      </c>
      <c r="D4009" s="1">
        <v>42948</v>
      </c>
      <c r="E4009" t="s">
        <v>22</v>
      </c>
      <c r="F4009" t="s">
        <v>5071</v>
      </c>
      <c r="G4009" t="s">
        <v>5072</v>
      </c>
      <c r="H4009" t="s">
        <v>25</v>
      </c>
      <c r="I4009" t="s">
        <v>26</v>
      </c>
      <c r="J4009" t="s">
        <v>94</v>
      </c>
      <c r="K4009" t="s">
        <v>95</v>
      </c>
      <c r="L4009">
        <v>98115</v>
      </c>
      <c r="M4009" t="s">
        <v>43</v>
      </c>
      <c r="N4009" t="s">
        <v>2849</v>
      </c>
      <c r="O4009" t="s">
        <v>31</v>
      </c>
      <c r="P4009" t="s">
        <v>64</v>
      </c>
      <c r="Q4009" t="s">
        <v>916</v>
      </c>
      <c r="R4009">
        <v>23.88</v>
      </c>
      <c r="S4009">
        <v>3</v>
      </c>
      <c r="T4009">
        <v>0</v>
      </c>
      <c r="U4009">
        <v>10.507199999999999</v>
      </c>
      <c r="V4009" t="str">
        <f t="shared" si="62"/>
        <v>Dennis Kane</v>
      </c>
      <c r="W4009">
        <f>Table2[Profit]/Table2[Sales]</f>
        <v>0.44</v>
      </c>
    </row>
    <row r="4010" spans="1:23" x14ac:dyDescent="0.25">
      <c r="A4010">
        <v>4009</v>
      </c>
      <c r="B4010" t="s">
        <v>9587</v>
      </c>
      <c r="C4010" s="1">
        <v>43097</v>
      </c>
      <c r="D4010" s="1">
        <v>43101</v>
      </c>
      <c r="E4010" t="s">
        <v>49</v>
      </c>
      <c r="F4010" t="s">
        <v>5207</v>
      </c>
      <c r="G4010" t="s">
        <v>5208</v>
      </c>
      <c r="H4010" t="s">
        <v>25</v>
      </c>
      <c r="I4010" t="s">
        <v>26</v>
      </c>
      <c r="J4010" t="s">
        <v>5354</v>
      </c>
      <c r="K4010" t="s">
        <v>660</v>
      </c>
      <c r="L4010">
        <v>87105</v>
      </c>
      <c r="M4010" t="s">
        <v>43</v>
      </c>
      <c r="N4010" t="s">
        <v>1526</v>
      </c>
      <c r="O4010" t="s">
        <v>45</v>
      </c>
      <c r="P4010" t="s">
        <v>58</v>
      </c>
      <c r="Q4010" t="s">
        <v>1527</v>
      </c>
      <c r="R4010">
        <v>118.25</v>
      </c>
      <c r="S4010">
        <v>5</v>
      </c>
      <c r="T4010">
        <v>0</v>
      </c>
      <c r="U4010">
        <v>34.292499999999997</v>
      </c>
      <c r="V4010" t="str">
        <f t="shared" si="62"/>
        <v>Susan Vittorini</v>
      </c>
      <c r="W4010">
        <f>Table2[Profit]/Table2[Sales]</f>
        <v>0.28999999999999998</v>
      </c>
    </row>
    <row r="4011" spans="1:23" x14ac:dyDescent="0.25">
      <c r="A4011">
        <v>4010</v>
      </c>
      <c r="B4011" t="s">
        <v>9588</v>
      </c>
      <c r="C4011" s="1">
        <v>42439</v>
      </c>
      <c r="D4011" s="1">
        <v>42442</v>
      </c>
      <c r="E4011" t="s">
        <v>185</v>
      </c>
      <c r="F4011" t="s">
        <v>4797</v>
      </c>
      <c r="G4011" t="s">
        <v>4798</v>
      </c>
      <c r="H4011" t="s">
        <v>101</v>
      </c>
      <c r="I4011" t="s">
        <v>26</v>
      </c>
      <c r="J4011" t="s">
        <v>41</v>
      </c>
      <c r="K4011" t="s">
        <v>42</v>
      </c>
      <c r="L4011">
        <v>90045</v>
      </c>
      <c r="M4011" t="s">
        <v>43</v>
      </c>
      <c r="N4011" t="s">
        <v>4070</v>
      </c>
      <c r="O4011" t="s">
        <v>70</v>
      </c>
      <c r="P4011" t="s">
        <v>158</v>
      </c>
      <c r="Q4011" t="s">
        <v>4071</v>
      </c>
      <c r="R4011">
        <v>26.85</v>
      </c>
      <c r="S4011">
        <v>3</v>
      </c>
      <c r="T4011">
        <v>0</v>
      </c>
      <c r="U4011">
        <v>5.1014999999999997</v>
      </c>
      <c r="V4011" t="str">
        <f t="shared" si="62"/>
        <v>Rick Huthwaite</v>
      </c>
      <c r="W4011">
        <f>Table2[Profit]/Table2[Sales]</f>
        <v>0.18999999999999997</v>
      </c>
    </row>
    <row r="4012" spans="1:23" x14ac:dyDescent="0.25">
      <c r="A4012">
        <v>4011</v>
      </c>
      <c r="B4012" t="s">
        <v>9591</v>
      </c>
      <c r="C4012" s="1">
        <v>42146</v>
      </c>
      <c r="D4012" s="1">
        <v>42150</v>
      </c>
      <c r="E4012" t="s">
        <v>49</v>
      </c>
      <c r="F4012" t="s">
        <v>8147</v>
      </c>
      <c r="G4012" t="s">
        <v>8148</v>
      </c>
      <c r="H4012" t="s">
        <v>25</v>
      </c>
      <c r="I4012" t="s">
        <v>26</v>
      </c>
      <c r="J4012" t="s">
        <v>41</v>
      </c>
      <c r="K4012" t="s">
        <v>42</v>
      </c>
      <c r="L4012">
        <v>90045</v>
      </c>
      <c r="M4012" t="s">
        <v>43</v>
      </c>
      <c r="N4012" t="s">
        <v>2382</v>
      </c>
      <c r="O4012" t="s">
        <v>45</v>
      </c>
      <c r="P4012" t="s">
        <v>46</v>
      </c>
      <c r="Q4012" t="s">
        <v>2383</v>
      </c>
      <c r="R4012">
        <v>8.26</v>
      </c>
      <c r="S4012">
        <v>2</v>
      </c>
      <c r="T4012">
        <v>0</v>
      </c>
      <c r="U4012">
        <v>3.7995999999999999</v>
      </c>
      <c r="V4012" t="str">
        <f t="shared" si="62"/>
        <v>Sarah Brown</v>
      </c>
      <c r="W4012">
        <f>Table2[Profit]/Table2[Sales]</f>
        <v>0.46</v>
      </c>
    </row>
    <row r="4013" spans="1:23" x14ac:dyDescent="0.25">
      <c r="A4013">
        <v>4012</v>
      </c>
      <c r="B4013" t="s">
        <v>9592</v>
      </c>
      <c r="C4013" s="1">
        <v>42783</v>
      </c>
      <c r="D4013" s="1">
        <v>42785</v>
      </c>
      <c r="E4013" t="s">
        <v>185</v>
      </c>
      <c r="F4013" t="s">
        <v>7108</v>
      </c>
      <c r="G4013" t="s">
        <v>7109</v>
      </c>
      <c r="H4013" t="s">
        <v>101</v>
      </c>
      <c r="I4013" t="s">
        <v>26</v>
      </c>
      <c r="J4013" t="s">
        <v>181</v>
      </c>
      <c r="K4013" t="s">
        <v>103</v>
      </c>
      <c r="L4013">
        <v>77041</v>
      </c>
      <c r="M4013" t="s">
        <v>104</v>
      </c>
      <c r="N4013" t="s">
        <v>1607</v>
      </c>
      <c r="O4013" t="s">
        <v>31</v>
      </c>
      <c r="P4013" t="s">
        <v>32</v>
      </c>
      <c r="Q4013" t="s">
        <v>1608</v>
      </c>
      <c r="R4013">
        <v>89.066400000000002</v>
      </c>
      <c r="S4013">
        <v>1</v>
      </c>
      <c r="T4013">
        <v>0.32</v>
      </c>
      <c r="U4013">
        <v>-17.0274</v>
      </c>
      <c r="V4013" t="str">
        <f t="shared" si="62"/>
        <v>Cyra Reiten</v>
      </c>
      <c r="W4013">
        <f>Table2[Profit]/Table2[Sales]</f>
        <v>-0.19117647058823528</v>
      </c>
    </row>
    <row r="4014" spans="1:23" x14ac:dyDescent="0.25">
      <c r="A4014">
        <v>4013</v>
      </c>
      <c r="B4014" t="s">
        <v>9595</v>
      </c>
      <c r="C4014" s="1">
        <v>43077</v>
      </c>
      <c r="D4014" s="1">
        <v>43084</v>
      </c>
      <c r="E4014" t="s">
        <v>49</v>
      </c>
      <c r="F4014" t="s">
        <v>2309</v>
      </c>
      <c r="G4014" t="s">
        <v>2310</v>
      </c>
      <c r="H4014" t="s">
        <v>25</v>
      </c>
      <c r="I4014" t="s">
        <v>26</v>
      </c>
      <c r="J4014" t="s">
        <v>143</v>
      </c>
      <c r="K4014" t="s">
        <v>144</v>
      </c>
      <c r="L4014">
        <v>19140</v>
      </c>
      <c r="M4014" t="s">
        <v>145</v>
      </c>
      <c r="N4014" t="s">
        <v>1521</v>
      </c>
      <c r="O4014" t="s">
        <v>31</v>
      </c>
      <c r="P4014" t="s">
        <v>35</v>
      </c>
      <c r="Q4014" t="s">
        <v>1522</v>
      </c>
      <c r="R4014">
        <v>215.54400000000001</v>
      </c>
      <c r="S4014">
        <v>4</v>
      </c>
      <c r="T4014">
        <v>0.3</v>
      </c>
      <c r="U4014">
        <v>-58.504800000000003</v>
      </c>
      <c r="V4014" t="str">
        <f t="shared" si="62"/>
        <v>Emily Grady</v>
      </c>
      <c r="W4014">
        <f>Table2[Profit]/Table2[Sales]</f>
        <v>-0.27142857142857141</v>
      </c>
    </row>
    <row r="4015" spans="1:23" x14ac:dyDescent="0.25">
      <c r="A4015">
        <v>4014</v>
      </c>
      <c r="B4015" t="s">
        <v>9596</v>
      </c>
      <c r="C4015" s="1">
        <v>43057</v>
      </c>
      <c r="D4015" s="1">
        <v>43062</v>
      </c>
      <c r="E4015" t="s">
        <v>49</v>
      </c>
      <c r="F4015" t="s">
        <v>6537</v>
      </c>
      <c r="G4015" t="s">
        <v>6538</v>
      </c>
      <c r="H4015" t="s">
        <v>25</v>
      </c>
      <c r="I4015" t="s">
        <v>26</v>
      </c>
      <c r="J4015" t="s">
        <v>296</v>
      </c>
      <c r="K4015" t="s">
        <v>208</v>
      </c>
      <c r="L4015">
        <v>60623</v>
      </c>
      <c r="M4015" t="s">
        <v>104</v>
      </c>
      <c r="N4015" t="s">
        <v>8197</v>
      </c>
      <c r="O4015" t="s">
        <v>45</v>
      </c>
      <c r="P4015" t="s">
        <v>170</v>
      </c>
      <c r="Q4015" t="s">
        <v>7857</v>
      </c>
      <c r="R4015">
        <v>55.584000000000003</v>
      </c>
      <c r="S4015">
        <v>6</v>
      </c>
      <c r="T4015">
        <v>0.2</v>
      </c>
      <c r="U4015">
        <v>20.844000000000001</v>
      </c>
      <c r="V4015" t="str">
        <f t="shared" si="62"/>
        <v>Russell D'Ascenzo</v>
      </c>
      <c r="W4015">
        <f>Table2[Profit]/Table2[Sales]</f>
        <v>0.375</v>
      </c>
    </row>
    <row r="4016" spans="1:23" x14ac:dyDescent="0.25">
      <c r="A4016">
        <v>4015</v>
      </c>
      <c r="B4016" t="s">
        <v>9597</v>
      </c>
      <c r="C4016" s="1">
        <v>42705</v>
      </c>
      <c r="D4016" s="1">
        <v>42707</v>
      </c>
      <c r="E4016" t="s">
        <v>22</v>
      </c>
      <c r="F4016" t="s">
        <v>5454</v>
      </c>
      <c r="G4016" t="s">
        <v>5455</v>
      </c>
      <c r="H4016" t="s">
        <v>25</v>
      </c>
      <c r="I4016" t="s">
        <v>26</v>
      </c>
      <c r="J4016" t="s">
        <v>5005</v>
      </c>
      <c r="K4016" t="s">
        <v>103</v>
      </c>
      <c r="L4016">
        <v>76903</v>
      </c>
      <c r="M4016" t="s">
        <v>104</v>
      </c>
      <c r="N4016" t="s">
        <v>1815</v>
      </c>
      <c r="O4016" t="s">
        <v>31</v>
      </c>
      <c r="P4016" t="s">
        <v>35</v>
      </c>
      <c r="Q4016" t="s">
        <v>1816</v>
      </c>
      <c r="R4016">
        <v>248.43</v>
      </c>
      <c r="S4016">
        <v>5</v>
      </c>
      <c r="T4016">
        <v>0.3</v>
      </c>
      <c r="U4016">
        <v>-17.745000000000001</v>
      </c>
      <c r="V4016" t="str">
        <f t="shared" si="62"/>
        <v>John Murray</v>
      </c>
      <c r="W4016">
        <f>Table2[Profit]/Table2[Sales]</f>
        <v>-7.1428571428571425E-2</v>
      </c>
    </row>
    <row r="4017" spans="1:23" x14ac:dyDescent="0.25">
      <c r="A4017">
        <v>4016</v>
      </c>
      <c r="B4017" t="s">
        <v>9598</v>
      </c>
      <c r="C4017" s="1">
        <v>43011</v>
      </c>
      <c r="D4017" s="1">
        <v>43015</v>
      </c>
      <c r="E4017" t="s">
        <v>22</v>
      </c>
      <c r="F4017" t="s">
        <v>3569</v>
      </c>
      <c r="G4017" t="s">
        <v>3570</v>
      </c>
      <c r="H4017" t="s">
        <v>40</v>
      </c>
      <c r="I4017" t="s">
        <v>26</v>
      </c>
      <c r="J4017" t="s">
        <v>596</v>
      </c>
      <c r="K4017" t="s">
        <v>103</v>
      </c>
      <c r="L4017">
        <v>77506</v>
      </c>
      <c r="M4017" t="s">
        <v>104</v>
      </c>
      <c r="N4017" t="s">
        <v>3510</v>
      </c>
      <c r="O4017" t="s">
        <v>45</v>
      </c>
      <c r="P4017" t="s">
        <v>67</v>
      </c>
      <c r="Q4017" t="s">
        <v>3511</v>
      </c>
      <c r="R4017">
        <v>20.64</v>
      </c>
      <c r="S4017">
        <v>5</v>
      </c>
      <c r="T4017">
        <v>0.2</v>
      </c>
      <c r="U4017">
        <v>2.3220000000000001</v>
      </c>
      <c r="V4017" t="str">
        <f t="shared" si="62"/>
        <v>Laurel Workman</v>
      </c>
      <c r="W4017">
        <f>Table2[Profit]/Table2[Sales]</f>
        <v>0.1125</v>
      </c>
    </row>
    <row r="4018" spans="1:23" x14ac:dyDescent="0.25">
      <c r="A4018">
        <v>4017</v>
      </c>
      <c r="B4018" t="s">
        <v>9599</v>
      </c>
      <c r="C4018" s="1">
        <v>42976</v>
      </c>
      <c r="D4018" s="1">
        <v>42982</v>
      </c>
      <c r="E4018" t="s">
        <v>49</v>
      </c>
      <c r="F4018" t="s">
        <v>3769</v>
      </c>
      <c r="G4018" t="s">
        <v>3770</v>
      </c>
      <c r="H4018" t="s">
        <v>40</v>
      </c>
      <c r="I4018" t="s">
        <v>26</v>
      </c>
      <c r="J4018" t="s">
        <v>41</v>
      </c>
      <c r="K4018" t="s">
        <v>42</v>
      </c>
      <c r="L4018">
        <v>90049</v>
      </c>
      <c r="M4018" t="s">
        <v>43</v>
      </c>
      <c r="N4018" t="s">
        <v>9150</v>
      </c>
      <c r="O4018" t="s">
        <v>31</v>
      </c>
      <c r="P4018" t="s">
        <v>64</v>
      </c>
      <c r="Q4018" t="s">
        <v>9151</v>
      </c>
      <c r="R4018">
        <v>148.02000000000001</v>
      </c>
      <c r="S4018">
        <v>3</v>
      </c>
      <c r="T4018">
        <v>0</v>
      </c>
      <c r="U4018">
        <v>41.445599999999999</v>
      </c>
      <c r="V4018" t="str">
        <f t="shared" si="62"/>
        <v>Rick Wilson</v>
      </c>
      <c r="W4018">
        <f>Table2[Profit]/Table2[Sales]</f>
        <v>0.27999999999999997</v>
      </c>
    </row>
    <row r="4019" spans="1:23" x14ac:dyDescent="0.25">
      <c r="A4019">
        <v>4018</v>
      </c>
      <c r="B4019" t="s">
        <v>9600</v>
      </c>
      <c r="C4019" s="1">
        <v>43063</v>
      </c>
      <c r="D4019" s="1">
        <v>43063</v>
      </c>
      <c r="E4019" t="s">
        <v>1278</v>
      </c>
      <c r="F4019" t="s">
        <v>3387</v>
      </c>
      <c r="G4019" t="s">
        <v>3388</v>
      </c>
      <c r="H4019" t="s">
        <v>40</v>
      </c>
      <c r="I4019" t="s">
        <v>26</v>
      </c>
      <c r="J4019" t="s">
        <v>9215</v>
      </c>
      <c r="K4019" t="s">
        <v>4436</v>
      </c>
      <c r="L4019">
        <v>67846</v>
      </c>
      <c r="M4019" t="s">
        <v>104</v>
      </c>
      <c r="N4019" t="s">
        <v>5160</v>
      </c>
      <c r="O4019" t="s">
        <v>45</v>
      </c>
      <c r="P4019" t="s">
        <v>58</v>
      </c>
      <c r="Q4019" t="s">
        <v>5161</v>
      </c>
      <c r="R4019">
        <v>33.29</v>
      </c>
      <c r="S4019">
        <v>1</v>
      </c>
      <c r="T4019">
        <v>0</v>
      </c>
      <c r="U4019">
        <v>7.9896000000000003</v>
      </c>
      <c r="V4019" t="str">
        <f t="shared" si="62"/>
        <v>Brooke Gillingham</v>
      </c>
      <c r="W4019">
        <f>Table2[Profit]/Table2[Sales]</f>
        <v>0.24000000000000002</v>
      </c>
    </row>
    <row r="4020" spans="1:23" x14ac:dyDescent="0.25">
      <c r="A4020">
        <v>4019</v>
      </c>
      <c r="B4020" t="s">
        <v>9601</v>
      </c>
      <c r="C4020" s="1">
        <v>42916</v>
      </c>
      <c r="D4020" s="1">
        <v>42921</v>
      </c>
      <c r="E4020" t="s">
        <v>49</v>
      </c>
      <c r="F4020" t="s">
        <v>5499</v>
      </c>
      <c r="G4020" t="s">
        <v>5500</v>
      </c>
      <c r="H4020" t="s">
        <v>25</v>
      </c>
      <c r="I4020" t="s">
        <v>26</v>
      </c>
      <c r="J4020" t="s">
        <v>41</v>
      </c>
      <c r="K4020" t="s">
        <v>42</v>
      </c>
      <c r="L4020">
        <v>90045</v>
      </c>
      <c r="M4020" t="s">
        <v>43</v>
      </c>
      <c r="N4020" t="s">
        <v>4408</v>
      </c>
      <c r="O4020" t="s">
        <v>45</v>
      </c>
      <c r="P4020" t="s">
        <v>89</v>
      </c>
      <c r="Q4020" t="s">
        <v>4409</v>
      </c>
      <c r="R4020">
        <v>204.95</v>
      </c>
      <c r="S4020">
        <v>5</v>
      </c>
      <c r="T4020">
        <v>0</v>
      </c>
      <c r="U4020">
        <v>100.4255</v>
      </c>
      <c r="V4020" t="str">
        <f t="shared" si="62"/>
        <v>Thomas Thornton</v>
      </c>
      <c r="W4020">
        <f>Table2[Profit]/Table2[Sales]</f>
        <v>0.49000000000000005</v>
      </c>
    </row>
    <row r="4021" spans="1:23" x14ac:dyDescent="0.25">
      <c r="A4021">
        <v>4020</v>
      </c>
      <c r="B4021" t="s">
        <v>9602</v>
      </c>
      <c r="C4021" s="1">
        <v>42938</v>
      </c>
      <c r="D4021" s="1">
        <v>42943</v>
      </c>
      <c r="E4021" t="s">
        <v>49</v>
      </c>
      <c r="F4021" t="s">
        <v>4267</v>
      </c>
      <c r="G4021" t="s">
        <v>4268</v>
      </c>
      <c r="H4021" t="s">
        <v>25</v>
      </c>
      <c r="I4021" t="s">
        <v>26</v>
      </c>
      <c r="J4021" t="s">
        <v>296</v>
      </c>
      <c r="K4021" t="s">
        <v>208</v>
      </c>
      <c r="L4021">
        <v>60653</v>
      </c>
      <c r="M4021" t="s">
        <v>104</v>
      </c>
      <c r="N4021" t="s">
        <v>1905</v>
      </c>
      <c r="O4021" t="s">
        <v>31</v>
      </c>
      <c r="P4021" t="s">
        <v>35</v>
      </c>
      <c r="Q4021" t="s">
        <v>1906</v>
      </c>
      <c r="R4021">
        <v>526.34400000000005</v>
      </c>
      <c r="S4021">
        <v>4</v>
      </c>
      <c r="T4021">
        <v>0.3</v>
      </c>
      <c r="U4021">
        <v>-75.191999999999993</v>
      </c>
      <c r="V4021" t="str">
        <f t="shared" si="62"/>
        <v>Eric Barreto</v>
      </c>
      <c r="W4021">
        <f>Table2[Profit]/Table2[Sales]</f>
        <v>-0.14285714285714282</v>
      </c>
    </row>
    <row r="4022" spans="1:23" x14ac:dyDescent="0.25">
      <c r="A4022">
        <v>4021</v>
      </c>
      <c r="B4022" t="s">
        <v>9603</v>
      </c>
      <c r="C4022" s="1">
        <v>42685</v>
      </c>
      <c r="D4022" s="1">
        <v>42690</v>
      </c>
      <c r="E4022" t="s">
        <v>49</v>
      </c>
      <c r="F4022" t="s">
        <v>1875</v>
      </c>
      <c r="G4022" t="s">
        <v>1876</v>
      </c>
      <c r="H4022" t="s">
        <v>25</v>
      </c>
      <c r="I4022" t="s">
        <v>26</v>
      </c>
      <c r="J4022" t="s">
        <v>126</v>
      </c>
      <c r="K4022" t="s">
        <v>42</v>
      </c>
      <c r="L4022">
        <v>94110</v>
      </c>
      <c r="M4022" t="s">
        <v>43</v>
      </c>
      <c r="N4022" t="s">
        <v>476</v>
      </c>
      <c r="O4022" t="s">
        <v>31</v>
      </c>
      <c r="P4022" t="s">
        <v>64</v>
      </c>
      <c r="Q4022" t="s">
        <v>477</v>
      </c>
      <c r="R4022">
        <v>41.96</v>
      </c>
      <c r="S4022">
        <v>2</v>
      </c>
      <c r="T4022">
        <v>0</v>
      </c>
      <c r="U4022">
        <v>10.909599999999999</v>
      </c>
      <c r="V4022" t="str">
        <f t="shared" si="62"/>
        <v>Liz Pelletier</v>
      </c>
      <c r="W4022">
        <f>Table2[Profit]/Table2[Sales]</f>
        <v>0.25999999999999995</v>
      </c>
    </row>
    <row r="4023" spans="1:23" x14ac:dyDescent="0.25">
      <c r="A4023">
        <v>4022</v>
      </c>
      <c r="B4023" t="s">
        <v>9604</v>
      </c>
      <c r="C4023" s="1">
        <v>41982</v>
      </c>
      <c r="D4023" s="1">
        <v>41988</v>
      </c>
      <c r="E4023" t="s">
        <v>49</v>
      </c>
      <c r="F4023" t="s">
        <v>1892</v>
      </c>
      <c r="G4023" t="s">
        <v>1893</v>
      </c>
      <c r="H4023" t="s">
        <v>25</v>
      </c>
      <c r="I4023" t="s">
        <v>26</v>
      </c>
      <c r="J4023" t="s">
        <v>143</v>
      </c>
      <c r="K4023" t="s">
        <v>144</v>
      </c>
      <c r="L4023">
        <v>19134</v>
      </c>
      <c r="M4023" t="s">
        <v>145</v>
      </c>
      <c r="N4023" t="s">
        <v>519</v>
      </c>
      <c r="O4023" t="s">
        <v>45</v>
      </c>
      <c r="P4023" t="s">
        <v>170</v>
      </c>
      <c r="Q4023" t="s">
        <v>520</v>
      </c>
      <c r="R4023">
        <v>30.672000000000001</v>
      </c>
      <c r="S4023">
        <v>3</v>
      </c>
      <c r="T4023">
        <v>0.2</v>
      </c>
      <c r="U4023">
        <v>9.5850000000000009</v>
      </c>
      <c r="V4023" t="str">
        <f t="shared" si="62"/>
        <v>Frank Preis</v>
      </c>
      <c r="W4023">
        <f>Table2[Profit]/Table2[Sales]</f>
        <v>0.3125</v>
      </c>
    </row>
    <row r="4024" spans="1:23" x14ac:dyDescent="0.25">
      <c r="A4024">
        <v>4023</v>
      </c>
      <c r="B4024" t="s">
        <v>9605</v>
      </c>
      <c r="C4024" s="1">
        <v>42985</v>
      </c>
      <c r="D4024" s="1">
        <v>42990</v>
      </c>
      <c r="E4024" t="s">
        <v>49</v>
      </c>
      <c r="F4024" t="s">
        <v>2858</v>
      </c>
      <c r="G4024" t="s">
        <v>2859</v>
      </c>
      <c r="H4024" t="s">
        <v>25</v>
      </c>
      <c r="I4024" t="s">
        <v>26</v>
      </c>
      <c r="J4024" t="s">
        <v>9203</v>
      </c>
      <c r="K4024" t="s">
        <v>42</v>
      </c>
      <c r="L4024">
        <v>95351</v>
      </c>
      <c r="M4024" t="s">
        <v>43</v>
      </c>
      <c r="N4024" t="s">
        <v>883</v>
      </c>
      <c r="O4024" t="s">
        <v>31</v>
      </c>
      <c r="P4024" t="s">
        <v>35</v>
      </c>
      <c r="Q4024" t="s">
        <v>884</v>
      </c>
      <c r="R4024">
        <v>161.56800000000001</v>
      </c>
      <c r="S4024">
        <v>2</v>
      </c>
      <c r="T4024">
        <v>0.2</v>
      </c>
      <c r="U4024">
        <v>-28.2744</v>
      </c>
      <c r="V4024" t="str">
        <f t="shared" si="62"/>
        <v>Joseph Airdo</v>
      </c>
      <c r="W4024">
        <f>Table2[Profit]/Table2[Sales]</f>
        <v>-0.17499999999999999</v>
      </c>
    </row>
    <row r="4025" spans="1:23" x14ac:dyDescent="0.25">
      <c r="A4025">
        <v>4024</v>
      </c>
      <c r="B4025" t="s">
        <v>9606</v>
      </c>
      <c r="C4025" s="1">
        <v>42041</v>
      </c>
      <c r="D4025" s="1">
        <v>42048</v>
      </c>
      <c r="E4025" t="s">
        <v>49</v>
      </c>
      <c r="F4025" t="s">
        <v>8440</v>
      </c>
      <c r="G4025" t="s">
        <v>8441</v>
      </c>
      <c r="H4025" t="s">
        <v>25</v>
      </c>
      <c r="I4025" t="s">
        <v>26</v>
      </c>
      <c r="J4025" t="s">
        <v>181</v>
      </c>
      <c r="K4025" t="s">
        <v>103</v>
      </c>
      <c r="L4025">
        <v>77070</v>
      </c>
      <c r="M4025" t="s">
        <v>104</v>
      </c>
      <c r="N4025" t="s">
        <v>2957</v>
      </c>
      <c r="O4025" t="s">
        <v>45</v>
      </c>
      <c r="P4025" t="s">
        <v>74</v>
      </c>
      <c r="Q4025" t="s">
        <v>2958</v>
      </c>
      <c r="R4025">
        <v>2.9340000000000002</v>
      </c>
      <c r="S4025">
        <v>3</v>
      </c>
      <c r="T4025">
        <v>0.8</v>
      </c>
      <c r="U4025">
        <v>-4.9878</v>
      </c>
      <c r="V4025" t="str">
        <f t="shared" si="62"/>
        <v>Trudy Schmidt</v>
      </c>
      <c r="W4025">
        <f>Table2[Profit]/Table2[Sales]</f>
        <v>-1.7</v>
      </c>
    </row>
    <row r="4026" spans="1:23" x14ac:dyDescent="0.25">
      <c r="A4026">
        <v>4025</v>
      </c>
      <c r="B4026" t="s">
        <v>9607</v>
      </c>
      <c r="C4026" s="1">
        <v>42973</v>
      </c>
      <c r="D4026" s="1">
        <v>42979</v>
      </c>
      <c r="E4026" t="s">
        <v>49</v>
      </c>
      <c r="F4026" t="s">
        <v>248</v>
      </c>
      <c r="G4026" t="s">
        <v>249</v>
      </c>
      <c r="H4026" t="s">
        <v>25</v>
      </c>
      <c r="I4026" t="s">
        <v>26</v>
      </c>
      <c r="J4026" t="s">
        <v>296</v>
      </c>
      <c r="K4026" t="s">
        <v>208</v>
      </c>
      <c r="L4026">
        <v>60610</v>
      </c>
      <c r="M4026" t="s">
        <v>104</v>
      </c>
      <c r="N4026" t="s">
        <v>2293</v>
      </c>
      <c r="O4026" t="s">
        <v>31</v>
      </c>
      <c r="P4026" t="s">
        <v>64</v>
      </c>
      <c r="Q4026" t="s">
        <v>2294</v>
      </c>
      <c r="R4026">
        <v>64.959999999999994</v>
      </c>
      <c r="S4026">
        <v>5</v>
      </c>
      <c r="T4026">
        <v>0.6</v>
      </c>
      <c r="U4026">
        <v>-43.847999999999999</v>
      </c>
      <c r="V4026" t="str">
        <f t="shared" si="62"/>
        <v>Darren Powers</v>
      </c>
      <c r="W4026">
        <f>Table2[Profit]/Table2[Sales]</f>
        <v>-0.67500000000000004</v>
      </c>
    </row>
    <row r="4027" spans="1:23" x14ac:dyDescent="0.25">
      <c r="A4027">
        <v>4026</v>
      </c>
      <c r="B4027" t="s">
        <v>9608</v>
      </c>
      <c r="C4027" s="1">
        <v>41840</v>
      </c>
      <c r="D4027" s="1">
        <v>41843</v>
      </c>
      <c r="E4027" t="s">
        <v>185</v>
      </c>
      <c r="F4027" t="s">
        <v>575</v>
      </c>
      <c r="G4027" t="s">
        <v>576</v>
      </c>
      <c r="H4027" t="s">
        <v>40</v>
      </c>
      <c r="I4027" t="s">
        <v>26</v>
      </c>
      <c r="J4027" t="s">
        <v>2817</v>
      </c>
      <c r="K4027" t="s">
        <v>42</v>
      </c>
      <c r="L4027">
        <v>92503</v>
      </c>
      <c r="M4027" t="s">
        <v>43</v>
      </c>
      <c r="N4027" t="s">
        <v>3489</v>
      </c>
      <c r="O4027" t="s">
        <v>70</v>
      </c>
      <c r="P4027" t="s">
        <v>158</v>
      </c>
      <c r="Q4027" t="s">
        <v>3490</v>
      </c>
      <c r="R4027">
        <v>41.94</v>
      </c>
      <c r="S4027">
        <v>2</v>
      </c>
      <c r="T4027">
        <v>0</v>
      </c>
      <c r="U4027">
        <v>15.0984</v>
      </c>
      <c r="V4027" t="str">
        <f t="shared" si="62"/>
        <v>Jonathan Doherty</v>
      </c>
      <c r="W4027">
        <f>Table2[Profit]/Table2[Sales]</f>
        <v>0.36000000000000004</v>
      </c>
    </row>
    <row r="4028" spans="1:23" x14ac:dyDescent="0.25">
      <c r="A4028">
        <v>4027</v>
      </c>
      <c r="B4028" t="s">
        <v>9609</v>
      </c>
      <c r="C4028" s="1">
        <v>42285</v>
      </c>
      <c r="D4028" s="1">
        <v>42290</v>
      </c>
      <c r="E4028" t="s">
        <v>49</v>
      </c>
      <c r="F4028" t="s">
        <v>186</v>
      </c>
      <c r="G4028" t="s">
        <v>187</v>
      </c>
      <c r="H4028" t="s">
        <v>40</v>
      </c>
      <c r="I4028" t="s">
        <v>26</v>
      </c>
      <c r="J4028" t="s">
        <v>808</v>
      </c>
      <c r="K4028" t="s">
        <v>103</v>
      </c>
      <c r="L4028">
        <v>75081</v>
      </c>
      <c r="M4028" t="s">
        <v>104</v>
      </c>
      <c r="N4028" t="s">
        <v>331</v>
      </c>
      <c r="O4028" t="s">
        <v>31</v>
      </c>
      <c r="P4028" t="s">
        <v>64</v>
      </c>
      <c r="Q4028" t="s">
        <v>332</v>
      </c>
      <c r="R4028">
        <v>72.78</v>
      </c>
      <c r="S4028">
        <v>3</v>
      </c>
      <c r="T4028">
        <v>0.6</v>
      </c>
      <c r="U4028">
        <v>-70.960499999999996</v>
      </c>
      <c r="V4028" t="str">
        <f t="shared" si="62"/>
        <v>Gene Hale</v>
      </c>
      <c r="W4028">
        <f>Table2[Profit]/Table2[Sales]</f>
        <v>-0.97499999999999998</v>
      </c>
    </row>
    <row r="4029" spans="1:23" x14ac:dyDescent="0.25">
      <c r="A4029">
        <v>4028</v>
      </c>
      <c r="B4029" t="s">
        <v>9610</v>
      </c>
      <c r="C4029" s="1">
        <v>42051</v>
      </c>
      <c r="D4029" s="1">
        <v>42056</v>
      </c>
      <c r="E4029" t="s">
        <v>49</v>
      </c>
      <c r="F4029" t="s">
        <v>2935</v>
      </c>
      <c r="G4029" t="s">
        <v>2936</v>
      </c>
      <c r="H4029" t="s">
        <v>25</v>
      </c>
      <c r="I4029" t="s">
        <v>26</v>
      </c>
      <c r="J4029" t="s">
        <v>41</v>
      </c>
      <c r="K4029" t="s">
        <v>42</v>
      </c>
      <c r="L4029">
        <v>90008</v>
      </c>
      <c r="M4029" t="s">
        <v>43</v>
      </c>
      <c r="N4029" t="s">
        <v>1239</v>
      </c>
      <c r="O4029" t="s">
        <v>45</v>
      </c>
      <c r="P4029" t="s">
        <v>89</v>
      </c>
      <c r="Q4029" t="s">
        <v>1240</v>
      </c>
      <c r="R4029">
        <v>36.840000000000003</v>
      </c>
      <c r="S4029">
        <v>3</v>
      </c>
      <c r="T4029">
        <v>0</v>
      </c>
      <c r="U4029">
        <v>17.314800000000002</v>
      </c>
      <c r="V4029" t="str">
        <f t="shared" si="62"/>
        <v>Rob Dowd</v>
      </c>
      <c r="W4029">
        <f>Table2[Profit]/Table2[Sales]</f>
        <v>0.47000000000000003</v>
      </c>
    </row>
    <row r="4030" spans="1:23" x14ac:dyDescent="0.25">
      <c r="A4030">
        <v>4029</v>
      </c>
      <c r="B4030" t="s">
        <v>9611</v>
      </c>
      <c r="C4030" s="1">
        <v>42594</v>
      </c>
      <c r="D4030" s="1">
        <v>42598</v>
      </c>
      <c r="E4030" t="s">
        <v>49</v>
      </c>
      <c r="F4030" t="s">
        <v>6430</v>
      </c>
      <c r="G4030" t="s">
        <v>6431</v>
      </c>
      <c r="H4030" t="s">
        <v>40</v>
      </c>
      <c r="I4030" t="s">
        <v>26</v>
      </c>
      <c r="J4030" t="s">
        <v>1768</v>
      </c>
      <c r="K4030" t="s">
        <v>53</v>
      </c>
      <c r="L4030">
        <v>33801</v>
      </c>
      <c r="M4030" t="s">
        <v>29</v>
      </c>
      <c r="N4030" t="s">
        <v>1097</v>
      </c>
      <c r="O4030" t="s">
        <v>31</v>
      </c>
      <c r="P4030" t="s">
        <v>55</v>
      </c>
      <c r="Q4030" t="s">
        <v>1098</v>
      </c>
      <c r="R4030">
        <v>562.29250000000002</v>
      </c>
      <c r="S4030">
        <v>7</v>
      </c>
      <c r="T4030">
        <v>0.45</v>
      </c>
      <c r="U4030">
        <v>-255.58750000000001</v>
      </c>
      <c r="V4030" t="str">
        <f t="shared" si="62"/>
        <v>Cindy Schnelling</v>
      </c>
      <c r="W4030">
        <f>Table2[Profit]/Table2[Sales]</f>
        <v>-0.45454545454545453</v>
      </c>
    </row>
    <row r="4031" spans="1:23" x14ac:dyDescent="0.25">
      <c r="A4031">
        <v>4030</v>
      </c>
      <c r="B4031" t="s">
        <v>9612</v>
      </c>
      <c r="C4031" s="1">
        <v>41952</v>
      </c>
      <c r="D4031" s="1">
        <v>41956</v>
      </c>
      <c r="E4031" t="s">
        <v>49</v>
      </c>
      <c r="F4031" t="s">
        <v>6135</v>
      </c>
      <c r="G4031" t="s">
        <v>6136</v>
      </c>
      <c r="H4031" t="s">
        <v>101</v>
      </c>
      <c r="I4031" t="s">
        <v>26</v>
      </c>
      <c r="J4031" t="s">
        <v>263</v>
      </c>
      <c r="K4031" t="s">
        <v>264</v>
      </c>
      <c r="L4031">
        <v>10035</v>
      </c>
      <c r="M4031" t="s">
        <v>145</v>
      </c>
      <c r="N4031" t="s">
        <v>1074</v>
      </c>
      <c r="O4031" t="s">
        <v>31</v>
      </c>
      <c r="P4031" t="s">
        <v>64</v>
      </c>
      <c r="Q4031" t="s">
        <v>3721</v>
      </c>
      <c r="R4031">
        <v>56.52</v>
      </c>
      <c r="S4031">
        <v>9</v>
      </c>
      <c r="T4031">
        <v>0</v>
      </c>
      <c r="U4031">
        <v>21.477599999999999</v>
      </c>
      <c r="V4031" t="str">
        <f t="shared" si="62"/>
        <v>Benjamin Farhat</v>
      </c>
      <c r="W4031">
        <f>Table2[Profit]/Table2[Sales]</f>
        <v>0.37999999999999995</v>
      </c>
    </row>
    <row r="4032" spans="1:23" x14ac:dyDescent="0.25">
      <c r="A4032">
        <v>4031</v>
      </c>
      <c r="B4032" t="s">
        <v>9613</v>
      </c>
      <c r="C4032" s="1">
        <v>42569</v>
      </c>
      <c r="D4032" s="1">
        <v>42573</v>
      </c>
      <c r="E4032" t="s">
        <v>49</v>
      </c>
      <c r="F4032" t="s">
        <v>630</v>
      </c>
      <c r="G4032" t="s">
        <v>631</v>
      </c>
      <c r="H4032" t="s">
        <v>101</v>
      </c>
      <c r="I4032" t="s">
        <v>26</v>
      </c>
      <c r="J4032" t="s">
        <v>143</v>
      </c>
      <c r="K4032" t="s">
        <v>144</v>
      </c>
      <c r="L4032">
        <v>19140</v>
      </c>
      <c r="M4032" t="s">
        <v>145</v>
      </c>
      <c r="N4032" t="s">
        <v>3175</v>
      </c>
      <c r="O4032" t="s">
        <v>45</v>
      </c>
      <c r="P4032" t="s">
        <v>67</v>
      </c>
      <c r="Q4032" t="s">
        <v>3176</v>
      </c>
      <c r="R4032">
        <v>11.263999999999999</v>
      </c>
      <c r="S4032">
        <v>8</v>
      </c>
      <c r="T4032">
        <v>0.2</v>
      </c>
      <c r="U4032">
        <v>1.2672000000000001</v>
      </c>
      <c r="V4032" t="str">
        <f t="shared" si="62"/>
        <v>Neil Knudson</v>
      </c>
      <c r="W4032">
        <f>Table2[Profit]/Table2[Sales]</f>
        <v>0.11250000000000002</v>
      </c>
    </row>
    <row r="4033" spans="1:23" x14ac:dyDescent="0.25">
      <c r="A4033">
        <v>4032</v>
      </c>
      <c r="B4033" t="s">
        <v>9614</v>
      </c>
      <c r="C4033" s="1">
        <v>42405</v>
      </c>
      <c r="D4033" s="1">
        <v>42410</v>
      </c>
      <c r="E4033" t="s">
        <v>49</v>
      </c>
      <c r="F4033" t="s">
        <v>5378</v>
      </c>
      <c r="G4033" t="s">
        <v>5379</v>
      </c>
      <c r="H4033" t="s">
        <v>25</v>
      </c>
      <c r="I4033" t="s">
        <v>26</v>
      </c>
      <c r="J4033" t="s">
        <v>941</v>
      </c>
      <c r="K4033" t="s">
        <v>42</v>
      </c>
      <c r="L4033">
        <v>92037</v>
      </c>
      <c r="M4033" t="s">
        <v>43</v>
      </c>
      <c r="N4033" t="s">
        <v>2333</v>
      </c>
      <c r="O4033" t="s">
        <v>45</v>
      </c>
      <c r="P4033" t="s">
        <v>46</v>
      </c>
      <c r="Q4033" t="s">
        <v>2334</v>
      </c>
      <c r="R4033">
        <v>14.73</v>
      </c>
      <c r="S4033">
        <v>3</v>
      </c>
      <c r="T4033">
        <v>0</v>
      </c>
      <c r="U4033">
        <v>7.2176999999999998</v>
      </c>
      <c r="V4033" t="str">
        <f t="shared" si="62"/>
        <v>Annie Zypern</v>
      </c>
      <c r="W4033">
        <f>Table2[Profit]/Table2[Sales]</f>
        <v>0.49</v>
      </c>
    </row>
    <row r="4034" spans="1:23" x14ac:dyDescent="0.25">
      <c r="A4034">
        <v>4033</v>
      </c>
      <c r="B4034" t="s">
        <v>9615</v>
      </c>
      <c r="C4034" s="1">
        <v>41810</v>
      </c>
      <c r="D4034" s="1">
        <v>41817</v>
      </c>
      <c r="E4034" t="s">
        <v>49</v>
      </c>
      <c r="F4034" t="s">
        <v>3914</v>
      </c>
      <c r="G4034" t="s">
        <v>3915</v>
      </c>
      <c r="H4034" t="s">
        <v>25</v>
      </c>
      <c r="I4034" t="s">
        <v>26</v>
      </c>
      <c r="J4034" t="s">
        <v>7347</v>
      </c>
      <c r="K4034" t="s">
        <v>641</v>
      </c>
      <c r="L4034">
        <v>73505</v>
      </c>
      <c r="M4034" t="s">
        <v>104</v>
      </c>
      <c r="N4034" t="s">
        <v>4519</v>
      </c>
      <c r="O4034" t="s">
        <v>45</v>
      </c>
      <c r="P4034" t="s">
        <v>77</v>
      </c>
      <c r="Q4034" t="s">
        <v>4520</v>
      </c>
      <c r="R4034">
        <v>471.9</v>
      </c>
      <c r="S4034">
        <v>6</v>
      </c>
      <c r="T4034">
        <v>0</v>
      </c>
      <c r="U4034">
        <v>155.727</v>
      </c>
      <c r="V4034" t="str">
        <f t="shared" si="62"/>
        <v>Corey-Lock</v>
      </c>
      <c r="W4034">
        <f>Table2[Profit]/Table2[Sales]</f>
        <v>0.33</v>
      </c>
    </row>
    <row r="4035" spans="1:23" x14ac:dyDescent="0.25">
      <c r="A4035">
        <v>4034</v>
      </c>
      <c r="B4035" t="s">
        <v>9616</v>
      </c>
      <c r="C4035" s="1">
        <v>42895</v>
      </c>
      <c r="D4035" s="1">
        <v>42900</v>
      </c>
      <c r="E4035" t="s">
        <v>49</v>
      </c>
      <c r="F4035" t="s">
        <v>1397</v>
      </c>
      <c r="G4035" t="s">
        <v>1398</v>
      </c>
      <c r="H4035" t="s">
        <v>25</v>
      </c>
      <c r="I4035" t="s">
        <v>26</v>
      </c>
      <c r="J4035" t="s">
        <v>1948</v>
      </c>
      <c r="K4035" t="s">
        <v>312</v>
      </c>
      <c r="L4035">
        <v>24153</v>
      </c>
      <c r="M4035" t="s">
        <v>29</v>
      </c>
      <c r="N4035" t="s">
        <v>182</v>
      </c>
      <c r="O4035" t="s">
        <v>45</v>
      </c>
      <c r="P4035" t="s">
        <v>89</v>
      </c>
      <c r="Q4035" t="s">
        <v>183</v>
      </c>
      <c r="R4035">
        <v>49.12</v>
      </c>
      <c r="S4035">
        <v>4</v>
      </c>
      <c r="T4035">
        <v>0</v>
      </c>
      <c r="U4035">
        <v>23.086400000000001</v>
      </c>
      <c r="V4035" t="str">
        <f t="shared" ref="V4035:V4098" si="63">TRIM(G4035)</f>
        <v>Anna Gayman</v>
      </c>
      <c r="W4035">
        <f>Table2[Profit]/Table2[Sales]</f>
        <v>0.47000000000000003</v>
      </c>
    </row>
    <row r="4036" spans="1:23" x14ac:dyDescent="0.25">
      <c r="A4036">
        <v>4035</v>
      </c>
      <c r="B4036" t="s">
        <v>9617</v>
      </c>
      <c r="C4036" s="1">
        <v>42731</v>
      </c>
      <c r="D4036" s="1">
        <v>42735</v>
      </c>
      <c r="E4036" t="s">
        <v>49</v>
      </c>
      <c r="F4036" t="s">
        <v>6005</v>
      </c>
      <c r="G4036" t="s">
        <v>6006</v>
      </c>
      <c r="H4036" t="s">
        <v>101</v>
      </c>
      <c r="I4036" t="s">
        <v>26</v>
      </c>
      <c r="J4036" t="s">
        <v>2511</v>
      </c>
      <c r="K4036" t="s">
        <v>42</v>
      </c>
      <c r="L4036">
        <v>92704</v>
      </c>
      <c r="M4036" t="s">
        <v>43</v>
      </c>
      <c r="N4036" t="s">
        <v>2878</v>
      </c>
      <c r="O4036" t="s">
        <v>45</v>
      </c>
      <c r="P4036" t="s">
        <v>46</v>
      </c>
      <c r="Q4036" t="s">
        <v>2879</v>
      </c>
      <c r="R4036">
        <v>20.16</v>
      </c>
      <c r="S4036">
        <v>7</v>
      </c>
      <c r="T4036">
        <v>0</v>
      </c>
      <c r="U4036">
        <v>9.8783999999999992</v>
      </c>
      <c r="V4036" t="str">
        <f t="shared" si="63"/>
        <v>Eugene Moren</v>
      </c>
      <c r="W4036">
        <f>Table2[Profit]/Table2[Sales]</f>
        <v>0.48999999999999994</v>
      </c>
    </row>
    <row r="4037" spans="1:23" x14ac:dyDescent="0.25">
      <c r="A4037">
        <v>4036</v>
      </c>
      <c r="B4037" t="s">
        <v>9618</v>
      </c>
      <c r="C4037" s="1">
        <v>41665</v>
      </c>
      <c r="D4037" s="1">
        <v>41668</v>
      </c>
      <c r="E4037" t="s">
        <v>185</v>
      </c>
      <c r="F4037" t="s">
        <v>5882</v>
      </c>
      <c r="G4037" t="s">
        <v>5883</v>
      </c>
      <c r="H4037" t="s">
        <v>40</v>
      </c>
      <c r="I4037" t="s">
        <v>26</v>
      </c>
      <c r="J4037" t="s">
        <v>9619</v>
      </c>
      <c r="K4037" t="s">
        <v>5216</v>
      </c>
      <c r="L4037">
        <v>57701</v>
      </c>
      <c r="M4037" t="s">
        <v>104</v>
      </c>
      <c r="N4037" t="s">
        <v>3647</v>
      </c>
      <c r="O4037" t="s">
        <v>45</v>
      </c>
      <c r="P4037" t="s">
        <v>74</v>
      </c>
      <c r="Q4037" t="s">
        <v>3648</v>
      </c>
      <c r="R4037">
        <v>10.68</v>
      </c>
      <c r="S4037">
        <v>2</v>
      </c>
      <c r="T4037">
        <v>0</v>
      </c>
      <c r="U4037">
        <v>5.0195999999999996</v>
      </c>
      <c r="V4037" t="str">
        <f t="shared" si="63"/>
        <v>Carol Adams</v>
      </c>
      <c r="W4037">
        <f>Table2[Profit]/Table2[Sales]</f>
        <v>0.47</v>
      </c>
    </row>
    <row r="4038" spans="1:23" x14ac:dyDescent="0.25">
      <c r="A4038">
        <v>4037</v>
      </c>
      <c r="B4038" t="s">
        <v>9620</v>
      </c>
      <c r="C4038" s="1">
        <v>42817</v>
      </c>
      <c r="D4038" s="1">
        <v>42819</v>
      </c>
      <c r="E4038" t="s">
        <v>185</v>
      </c>
      <c r="F4038" t="s">
        <v>1538</v>
      </c>
      <c r="G4038" t="s">
        <v>1539</v>
      </c>
      <c r="H4038" t="s">
        <v>25</v>
      </c>
      <c r="I4038" t="s">
        <v>26</v>
      </c>
      <c r="J4038" t="s">
        <v>94</v>
      </c>
      <c r="K4038" t="s">
        <v>95</v>
      </c>
      <c r="L4038">
        <v>98115</v>
      </c>
      <c r="M4038" t="s">
        <v>43</v>
      </c>
      <c r="N4038" t="s">
        <v>2770</v>
      </c>
      <c r="O4038" t="s">
        <v>45</v>
      </c>
      <c r="P4038" t="s">
        <v>58</v>
      </c>
      <c r="Q4038" t="s">
        <v>2771</v>
      </c>
      <c r="R4038">
        <v>32.479999999999997</v>
      </c>
      <c r="S4038">
        <v>2</v>
      </c>
      <c r="T4038">
        <v>0</v>
      </c>
      <c r="U4038">
        <v>4.8719999999999999</v>
      </c>
      <c r="V4038" t="str">
        <f t="shared" si="63"/>
        <v>Raymond Buch</v>
      </c>
      <c r="W4038">
        <f>Table2[Profit]/Table2[Sales]</f>
        <v>0.15000000000000002</v>
      </c>
    </row>
    <row r="4039" spans="1:23" x14ac:dyDescent="0.25">
      <c r="A4039">
        <v>4038</v>
      </c>
      <c r="B4039" t="s">
        <v>9621</v>
      </c>
      <c r="C4039" s="1">
        <v>42814</v>
      </c>
      <c r="D4039" s="1">
        <v>42818</v>
      </c>
      <c r="E4039" t="s">
        <v>49</v>
      </c>
      <c r="F4039" t="s">
        <v>7242</v>
      </c>
      <c r="G4039" t="s">
        <v>7243</v>
      </c>
      <c r="H4039" t="s">
        <v>25</v>
      </c>
      <c r="I4039" t="s">
        <v>26</v>
      </c>
      <c r="J4039" t="s">
        <v>3616</v>
      </c>
      <c r="K4039" t="s">
        <v>740</v>
      </c>
      <c r="L4039">
        <v>6457</v>
      </c>
      <c r="M4039" t="s">
        <v>145</v>
      </c>
      <c r="N4039" t="s">
        <v>4712</v>
      </c>
      <c r="O4039" t="s">
        <v>70</v>
      </c>
      <c r="P4039" t="s">
        <v>158</v>
      </c>
      <c r="Q4039" t="s">
        <v>4713</v>
      </c>
      <c r="R4039">
        <v>238</v>
      </c>
      <c r="S4039">
        <v>2</v>
      </c>
      <c r="T4039">
        <v>0</v>
      </c>
      <c r="U4039">
        <v>38.08</v>
      </c>
      <c r="V4039" t="str">
        <f t="shared" si="63"/>
        <v>Roger Demir</v>
      </c>
      <c r="W4039">
        <f>Table2[Profit]/Table2[Sales]</f>
        <v>0.16</v>
      </c>
    </row>
    <row r="4040" spans="1:23" x14ac:dyDescent="0.25">
      <c r="A4040">
        <v>4039</v>
      </c>
      <c r="B4040" t="s">
        <v>9622</v>
      </c>
      <c r="C4040" s="1">
        <v>42647</v>
      </c>
      <c r="D4040" s="1">
        <v>42652</v>
      </c>
      <c r="E4040" t="s">
        <v>49</v>
      </c>
      <c r="F4040" t="s">
        <v>1956</v>
      </c>
      <c r="G4040" t="s">
        <v>1957</v>
      </c>
      <c r="H4040" t="s">
        <v>25</v>
      </c>
      <c r="I4040" t="s">
        <v>26</v>
      </c>
      <c r="J4040" t="s">
        <v>4400</v>
      </c>
      <c r="K4040" t="s">
        <v>2699</v>
      </c>
      <c r="L4040">
        <v>21215</v>
      </c>
      <c r="M4040" t="s">
        <v>145</v>
      </c>
      <c r="N4040" t="s">
        <v>3741</v>
      </c>
      <c r="O4040" t="s">
        <v>31</v>
      </c>
      <c r="P4040" t="s">
        <v>55</v>
      </c>
      <c r="Q4040" t="s">
        <v>3742</v>
      </c>
      <c r="R4040">
        <v>239.37200000000001</v>
      </c>
      <c r="S4040">
        <v>2</v>
      </c>
      <c r="T4040">
        <v>0.3</v>
      </c>
      <c r="U4040">
        <v>-23.937200000000001</v>
      </c>
      <c r="V4040" t="str">
        <f t="shared" si="63"/>
        <v>Melanie Seite</v>
      </c>
      <c r="W4040">
        <f>Table2[Profit]/Table2[Sales]</f>
        <v>-9.9999999999999992E-2</v>
      </c>
    </row>
    <row r="4041" spans="1:23" x14ac:dyDescent="0.25">
      <c r="A4041">
        <v>4040</v>
      </c>
      <c r="B4041" t="s">
        <v>9623</v>
      </c>
      <c r="C4041" s="1">
        <v>42692</v>
      </c>
      <c r="D4041" s="1">
        <v>42696</v>
      </c>
      <c r="E4041" t="s">
        <v>49</v>
      </c>
      <c r="F4041" t="s">
        <v>2536</v>
      </c>
      <c r="G4041" t="s">
        <v>2537</v>
      </c>
      <c r="H4041" t="s">
        <v>25</v>
      </c>
      <c r="I4041" t="s">
        <v>26</v>
      </c>
      <c r="J4041" t="s">
        <v>941</v>
      </c>
      <c r="K4041" t="s">
        <v>42</v>
      </c>
      <c r="L4041">
        <v>92105</v>
      </c>
      <c r="M4041" t="s">
        <v>43</v>
      </c>
      <c r="N4041" t="s">
        <v>4712</v>
      </c>
      <c r="O4041" t="s">
        <v>70</v>
      </c>
      <c r="P4041" t="s">
        <v>158</v>
      </c>
      <c r="Q4041" t="s">
        <v>4713</v>
      </c>
      <c r="R4041">
        <v>595</v>
      </c>
      <c r="S4041">
        <v>5</v>
      </c>
      <c r="T4041">
        <v>0</v>
      </c>
      <c r="U4041">
        <v>95.2</v>
      </c>
      <c r="V4041" t="str">
        <f t="shared" si="63"/>
        <v>Patrick Gardner</v>
      </c>
      <c r="W4041">
        <f>Table2[Profit]/Table2[Sales]</f>
        <v>0.16</v>
      </c>
    </row>
    <row r="4042" spans="1:23" x14ac:dyDescent="0.25">
      <c r="A4042">
        <v>4041</v>
      </c>
      <c r="B4042" t="s">
        <v>9624</v>
      </c>
      <c r="C4042" s="1">
        <v>43095</v>
      </c>
      <c r="D4042" s="1">
        <v>43101</v>
      </c>
      <c r="E4042" t="s">
        <v>49</v>
      </c>
      <c r="F4042" t="s">
        <v>1781</v>
      </c>
      <c r="G4042" t="s">
        <v>1782</v>
      </c>
      <c r="H4042" t="s">
        <v>40</v>
      </c>
      <c r="I4042" t="s">
        <v>26</v>
      </c>
      <c r="J4042" t="s">
        <v>6746</v>
      </c>
      <c r="K4042" t="s">
        <v>103</v>
      </c>
      <c r="L4042">
        <v>79762</v>
      </c>
      <c r="M4042" t="s">
        <v>104</v>
      </c>
      <c r="N4042" t="s">
        <v>5120</v>
      </c>
      <c r="O4042" t="s">
        <v>45</v>
      </c>
      <c r="P4042" t="s">
        <v>89</v>
      </c>
      <c r="Q4042" t="s">
        <v>5121</v>
      </c>
      <c r="R4042">
        <v>16.032</v>
      </c>
      <c r="S4042">
        <v>3</v>
      </c>
      <c r="T4042">
        <v>0.2</v>
      </c>
      <c r="U4042">
        <v>5.6112000000000002</v>
      </c>
      <c r="V4042" t="str">
        <f t="shared" si="63"/>
        <v>Karen Bern</v>
      </c>
      <c r="W4042">
        <f>Table2[Profit]/Table2[Sales]</f>
        <v>0.35000000000000003</v>
      </c>
    </row>
    <row r="4043" spans="1:23" x14ac:dyDescent="0.25">
      <c r="A4043">
        <v>4042</v>
      </c>
      <c r="B4043" t="s">
        <v>9625</v>
      </c>
      <c r="C4043" s="1">
        <v>42438</v>
      </c>
      <c r="D4043" s="1">
        <v>42442</v>
      </c>
      <c r="E4043" t="s">
        <v>49</v>
      </c>
      <c r="F4043" t="s">
        <v>433</v>
      </c>
      <c r="G4043" t="s">
        <v>434</v>
      </c>
      <c r="H4043" t="s">
        <v>101</v>
      </c>
      <c r="I4043" t="s">
        <v>26</v>
      </c>
      <c r="J4043" t="s">
        <v>8241</v>
      </c>
      <c r="K4043" t="s">
        <v>740</v>
      </c>
      <c r="L4043">
        <v>6460</v>
      </c>
      <c r="M4043" t="s">
        <v>145</v>
      </c>
      <c r="N4043" t="s">
        <v>984</v>
      </c>
      <c r="O4043" t="s">
        <v>70</v>
      </c>
      <c r="P4043" t="s">
        <v>158</v>
      </c>
      <c r="Q4043" t="s">
        <v>985</v>
      </c>
      <c r="R4043">
        <v>199.75</v>
      </c>
      <c r="S4043">
        <v>5</v>
      </c>
      <c r="T4043">
        <v>0</v>
      </c>
      <c r="U4043">
        <v>87.89</v>
      </c>
      <c r="V4043" t="str">
        <f t="shared" si="63"/>
        <v>Rick Bensley</v>
      </c>
      <c r="W4043">
        <f>Table2[Profit]/Table2[Sales]</f>
        <v>0.44</v>
      </c>
    </row>
    <row r="4044" spans="1:23" x14ac:dyDescent="0.25">
      <c r="A4044">
        <v>4043</v>
      </c>
      <c r="B4044" t="s">
        <v>9626</v>
      </c>
      <c r="C4044" s="1">
        <v>42416</v>
      </c>
      <c r="D4044" s="1">
        <v>42420</v>
      </c>
      <c r="E4044" t="s">
        <v>49</v>
      </c>
      <c r="F4044" t="s">
        <v>3927</v>
      </c>
      <c r="G4044" t="s">
        <v>3928</v>
      </c>
      <c r="H4044" t="s">
        <v>25</v>
      </c>
      <c r="I4044" t="s">
        <v>26</v>
      </c>
      <c r="J4044" t="s">
        <v>1085</v>
      </c>
      <c r="K4044" t="s">
        <v>781</v>
      </c>
      <c r="L4044">
        <v>7109</v>
      </c>
      <c r="M4044" t="s">
        <v>145</v>
      </c>
      <c r="N4044" t="s">
        <v>8175</v>
      </c>
      <c r="O4044" t="s">
        <v>31</v>
      </c>
      <c r="P4044" t="s">
        <v>35</v>
      </c>
      <c r="Q4044" t="s">
        <v>8176</v>
      </c>
      <c r="R4044">
        <v>227.96</v>
      </c>
      <c r="S4044">
        <v>2</v>
      </c>
      <c r="T4044">
        <v>0</v>
      </c>
      <c r="U4044">
        <v>36.473599999999998</v>
      </c>
      <c r="V4044" t="str">
        <f t="shared" si="63"/>
        <v>John Dryer</v>
      </c>
      <c r="W4044">
        <f>Table2[Profit]/Table2[Sales]</f>
        <v>0.15999999999999998</v>
      </c>
    </row>
    <row r="4045" spans="1:23" x14ac:dyDescent="0.25">
      <c r="A4045">
        <v>4044</v>
      </c>
      <c r="B4045" t="s">
        <v>9627</v>
      </c>
      <c r="C4045" s="1">
        <v>42275</v>
      </c>
      <c r="D4045" s="1">
        <v>42280</v>
      </c>
      <c r="E4045" t="s">
        <v>22</v>
      </c>
      <c r="F4045" t="s">
        <v>3023</v>
      </c>
      <c r="G4045" t="s">
        <v>3024</v>
      </c>
      <c r="H4045" t="s">
        <v>25</v>
      </c>
      <c r="I4045" t="s">
        <v>26</v>
      </c>
      <c r="J4045" t="s">
        <v>263</v>
      </c>
      <c r="K4045" t="s">
        <v>264</v>
      </c>
      <c r="L4045">
        <v>10035</v>
      </c>
      <c r="M4045" t="s">
        <v>145</v>
      </c>
      <c r="N4045" t="s">
        <v>1583</v>
      </c>
      <c r="O4045" t="s">
        <v>45</v>
      </c>
      <c r="P4045" t="s">
        <v>77</v>
      </c>
      <c r="Q4045" t="s">
        <v>1584</v>
      </c>
      <c r="R4045">
        <v>293.52</v>
      </c>
      <c r="S4045">
        <v>6</v>
      </c>
      <c r="T4045">
        <v>0</v>
      </c>
      <c r="U4045">
        <v>76.315200000000004</v>
      </c>
      <c r="V4045" t="str">
        <f t="shared" si="63"/>
        <v>Jennifer Jackson</v>
      </c>
      <c r="W4045">
        <f>Table2[Profit]/Table2[Sales]</f>
        <v>0.26</v>
      </c>
    </row>
    <row r="4046" spans="1:23" x14ac:dyDescent="0.25">
      <c r="A4046">
        <v>4045</v>
      </c>
      <c r="B4046" t="s">
        <v>9628</v>
      </c>
      <c r="C4046" s="1">
        <v>42310</v>
      </c>
      <c r="D4046" s="1">
        <v>42314</v>
      </c>
      <c r="E4046" t="s">
        <v>49</v>
      </c>
      <c r="F4046" t="s">
        <v>2443</v>
      </c>
      <c r="G4046" t="s">
        <v>2444</v>
      </c>
      <c r="H4046" t="s">
        <v>25</v>
      </c>
      <c r="I4046" t="s">
        <v>26</v>
      </c>
      <c r="J4046" t="s">
        <v>941</v>
      </c>
      <c r="K4046" t="s">
        <v>42</v>
      </c>
      <c r="L4046">
        <v>92105</v>
      </c>
      <c r="M4046" t="s">
        <v>43</v>
      </c>
      <c r="N4046" t="s">
        <v>5538</v>
      </c>
      <c r="O4046" t="s">
        <v>31</v>
      </c>
      <c r="P4046" t="s">
        <v>64</v>
      </c>
      <c r="Q4046" t="s">
        <v>5539</v>
      </c>
      <c r="R4046">
        <v>96.96</v>
      </c>
      <c r="S4046">
        <v>6</v>
      </c>
      <c r="T4046">
        <v>0</v>
      </c>
      <c r="U4046">
        <v>33.936</v>
      </c>
      <c r="V4046" t="str">
        <f t="shared" si="63"/>
        <v>Liz Thompson</v>
      </c>
      <c r="W4046">
        <f>Table2[Profit]/Table2[Sales]</f>
        <v>0.35000000000000003</v>
      </c>
    </row>
    <row r="4047" spans="1:23" x14ac:dyDescent="0.25">
      <c r="A4047">
        <v>4046</v>
      </c>
      <c r="B4047" t="s">
        <v>9629</v>
      </c>
      <c r="C4047" s="1">
        <v>42582</v>
      </c>
      <c r="D4047" s="1">
        <v>42587</v>
      </c>
      <c r="E4047" t="s">
        <v>49</v>
      </c>
      <c r="F4047" t="s">
        <v>6483</v>
      </c>
      <c r="G4047" t="s">
        <v>6484</v>
      </c>
      <c r="H4047" t="s">
        <v>40</v>
      </c>
      <c r="I4047" t="s">
        <v>26</v>
      </c>
      <c r="J4047" t="s">
        <v>126</v>
      </c>
      <c r="K4047" t="s">
        <v>42</v>
      </c>
      <c r="L4047">
        <v>94122</v>
      </c>
      <c r="M4047" t="s">
        <v>43</v>
      </c>
      <c r="N4047" t="s">
        <v>2236</v>
      </c>
      <c r="O4047" t="s">
        <v>31</v>
      </c>
      <c r="P4047" t="s">
        <v>55</v>
      </c>
      <c r="Q4047" t="s">
        <v>2237</v>
      </c>
      <c r="R4047">
        <v>863.12800000000004</v>
      </c>
      <c r="S4047">
        <v>7</v>
      </c>
      <c r="T4047">
        <v>0.2</v>
      </c>
      <c r="U4047">
        <v>-32.3673</v>
      </c>
      <c r="V4047" t="str">
        <f t="shared" si="63"/>
        <v>Anna Häberlin</v>
      </c>
      <c r="W4047">
        <f>Table2[Profit]/Table2[Sales]</f>
        <v>-3.7499999999999999E-2</v>
      </c>
    </row>
    <row r="4048" spans="1:23" x14ac:dyDescent="0.25">
      <c r="A4048">
        <v>4047</v>
      </c>
      <c r="B4048" t="s">
        <v>9630</v>
      </c>
      <c r="C4048" s="1">
        <v>43045</v>
      </c>
      <c r="D4048" s="1">
        <v>43052</v>
      </c>
      <c r="E4048" t="s">
        <v>49</v>
      </c>
      <c r="F4048" t="s">
        <v>1237</v>
      </c>
      <c r="G4048" t="s">
        <v>1238</v>
      </c>
      <c r="H4048" t="s">
        <v>101</v>
      </c>
      <c r="I4048" t="s">
        <v>26</v>
      </c>
      <c r="J4048" t="s">
        <v>94</v>
      </c>
      <c r="K4048" t="s">
        <v>95</v>
      </c>
      <c r="L4048">
        <v>98105</v>
      </c>
      <c r="M4048" t="s">
        <v>43</v>
      </c>
      <c r="N4048" t="s">
        <v>1213</v>
      </c>
      <c r="O4048" t="s">
        <v>31</v>
      </c>
      <c r="P4048" t="s">
        <v>55</v>
      </c>
      <c r="Q4048" t="s">
        <v>1214</v>
      </c>
      <c r="R4048">
        <v>2036.86</v>
      </c>
      <c r="S4048">
        <v>7</v>
      </c>
      <c r="T4048">
        <v>0</v>
      </c>
      <c r="U4048">
        <v>366.63479999999998</v>
      </c>
      <c r="V4048" t="str">
        <f t="shared" si="63"/>
        <v>Adam Bellavance</v>
      </c>
      <c r="W4048">
        <f>Table2[Profit]/Table2[Sales]</f>
        <v>0.18</v>
      </c>
    </row>
    <row r="4049" spans="1:23" x14ac:dyDescent="0.25">
      <c r="A4049">
        <v>4048</v>
      </c>
      <c r="B4049" t="s">
        <v>9631</v>
      </c>
      <c r="C4049" s="1">
        <v>42414</v>
      </c>
      <c r="D4049" s="1">
        <v>42419</v>
      </c>
      <c r="E4049" t="s">
        <v>49</v>
      </c>
      <c r="F4049" t="s">
        <v>2050</v>
      </c>
      <c r="G4049" t="s">
        <v>2051</v>
      </c>
      <c r="H4049" t="s">
        <v>25</v>
      </c>
      <c r="I4049" t="s">
        <v>26</v>
      </c>
      <c r="J4049" t="s">
        <v>321</v>
      </c>
      <c r="K4049" t="s">
        <v>1473</v>
      </c>
      <c r="L4049">
        <v>39212</v>
      </c>
      <c r="M4049" t="s">
        <v>29</v>
      </c>
      <c r="N4049" t="s">
        <v>3748</v>
      </c>
      <c r="O4049" t="s">
        <v>45</v>
      </c>
      <c r="P4049" t="s">
        <v>67</v>
      </c>
      <c r="Q4049" t="s">
        <v>3749</v>
      </c>
      <c r="R4049">
        <v>264.18</v>
      </c>
      <c r="S4049">
        <v>7</v>
      </c>
      <c r="T4049">
        <v>0</v>
      </c>
      <c r="U4049">
        <v>68.686800000000005</v>
      </c>
      <c r="V4049" t="str">
        <f t="shared" si="63"/>
        <v>Fred McMath</v>
      </c>
      <c r="W4049">
        <f>Table2[Profit]/Table2[Sales]</f>
        <v>0.26</v>
      </c>
    </row>
    <row r="4050" spans="1:23" x14ac:dyDescent="0.25">
      <c r="A4050">
        <v>4049</v>
      </c>
      <c r="B4050" t="s">
        <v>9632</v>
      </c>
      <c r="C4050" s="1">
        <v>41829</v>
      </c>
      <c r="D4050" s="1">
        <v>41833</v>
      </c>
      <c r="E4050" t="s">
        <v>49</v>
      </c>
      <c r="F4050" t="s">
        <v>6219</v>
      </c>
      <c r="G4050" t="s">
        <v>6220</v>
      </c>
      <c r="H4050" t="s">
        <v>101</v>
      </c>
      <c r="I4050" t="s">
        <v>26</v>
      </c>
      <c r="J4050" t="s">
        <v>41</v>
      </c>
      <c r="K4050" t="s">
        <v>42</v>
      </c>
      <c r="L4050">
        <v>90049</v>
      </c>
      <c r="M4050" t="s">
        <v>43</v>
      </c>
      <c r="N4050" t="s">
        <v>5494</v>
      </c>
      <c r="O4050" t="s">
        <v>45</v>
      </c>
      <c r="P4050" t="s">
        <v>46</v>
      </c>
      <c r="Q4050" t="s">
        <v>5495</v>
      </c>
      <c r="R4050">
        <v>2.88</v>
      </c>
      <c r="S4050">
        <v>1</v>
      </c>
      <c r="T4050">
        <v>0</v>
      </c>
      <c r="U4050">
        <v>1.4112</v>
      </c>
      <c r="V4050" t="str">
        <f t="shared" si="63"/>
        <v>Gary Hansen</v>
      </c>
      <c r="W4050">
        <f>Table2[Profit]/Table2[Sales]</f>
        <v>0.49000000000000005</v>
      </c>
    </row>
    <row r="4051" spans="1:23" x14ac:dyDescent="0.25">
      <c r="A4051">
        <v>4050</v>
      </c>
      <c r="B4051" t="s">
        <v>9633</v>
      </c>
      <c r="C4051" s="1">
        <v>42399</v>
      </c>
      <c r="D4051" s="1">
        <v>42404</v>
      </c>
      <c r="E4051" t="s">
        <v>49</v>
      </c>
      <c r="F4051" t="s">
        <v>9634</v>
      </c>
      <c r="G4051" t="s">
        <v>9635</v>
      </c>
      <c r="H4051" t="s">
        <v>40</v>
      </c>
      <c r="I4051" t="s">
        <v>26</v>
      </c>
      <c r="J4051" t="s">
        <v>296</v>
      </c>
      <c r="K4051" t="s">
        <v>208</v>
      </c>
      <c r="L4051">
        <v>60623</v>
      </c>
      <c r="M4051" t="s">
        <v>104</v>
      </c>
      <c r="N4051" t="s">
        <v>289</v>
      </c>
      <c r="O4051" t="s">
        <v>45</v>
      </c>
      <c r="P4051" t="s">
        <v>89</v>
      </c>
      <c r="Q4051" t="s">
        <v>290</v>
      </c>
      <c r="R4051">
        <v>156.512</v>
      </c>
      <c r="S4051">
        <v>4</v>
      </c>
      <c r="T4051">
        <v>0.2</v>
      </c>
      <c r="U4051">
        <v>52.822800000000001</v>
      </c>
      <c r="V4051" t="str">
        <f t="shared" si="63"/>
        <v>Harold Engle</v>
      </c>
      <c r="W4051">
        <f>Table2[Profit]/Table2[Sales]</f>
        <v>0.33750000000000002</v>
      </c>
    </row>
    <row r="4052" spans="1:23" x14ac:dyDescent="0.25">
      <c r="A4052">
        <v>4051</v>
      </c>
      <c r="B4052" t="s">
        <v>9636</v>
      </c>
      <c r="C4052" s="1">
        <v>42635</v>
      </c>
      <c r="D4052" s="1">
        <v>42638</v>
      </c>
      <c r="E4052" t="s">
        <v>185</v>
      </c>
      <c r="F4052" t="s">
        <v>3687</v>
      </c>
      <c r="G4052" t="s">
        <v>3688</v>
      </c>
      <c r="H4052" t="s">
        <v>101</v>
      </c>
      <c r="I4052" t="s">
        <v>26</v>
      </c>
      <c r="J4052" t="s">
        <v>263</v>
      </c>
      <c r="K4052" t="s">
        <v>264</v>
      </c>
      <c r="L4052">
        <v>10035</v>
      </c>
      <c r="M4052" t="s">
        <v>145</v>
      </c>
      <c r="N4052" t="s">
        <v>361</v>
      </c>
      <c r="O4052" t="s">
        <v>45</v>
      </c>
      <c r="P4052" t="s">
        <v>58</v>
      </c>
      <c r="Q4052" t="s">
        <v>362</v>
      </c>
      <c r="R4052">
        <v>128.34</v>
      </c>
      <c r="S4052">
        <v>6</v>
      </c>
      <c r="T4052">
        <v>0</v>
      </c>
      <c r="U4052">
        <v>37.218600000000002</v>
      </c>
      <c r="V4052" t="str">
        <f t="shared" si="63"/>
        <v>Sam Zeldin</v>
      </c>
      <c r="W4052">
        <f>Table2[Profit]/Table2[Sales]</f>
        <v>0.29000000000000004</v>
      </c>
    </row>
    <row r="4053" spans="1:23" x14ac:dyDescent="0.25">
      <c r="A4053">
        <v>4052</v>
      </c>
      <c r="B4053" t="s">
        <v>9637</v>
      </c>
      <c r="C4053" s="1">
        <v>43091</v>
      </c>
      <c r="D4053" s="1">
        <v>43093</v>
      </c>
      <c r="E4053" t="s">
        <v>185</v>
      </c>
      <c r="F4053" t="s">
        <v>3623</v>
      </c>
      <c r="G4053" t="s">
        <v>3624</v>
      </c>
      <c r="H4053" t="s">
        <v>25</v>
      </c>
      <c r="I4053" t="s">
        <v>26</v>
      </c>
      <c r="J4053" t="s">
        <v>41</v>
      </c>
      <c r="K4053" t="s">
        <v>42</v>
      </c>
      <c r="L4053">
        <v>90008</v>
      </c>
      <c r="M4053" t="s">
        <v>43</v>
      </c>
      <c r="N4053" t="s">
        <v>6386</v>
      </c>
      <c r="O4053" t="s">
        <v>70</v>
      </c>
      <c r="P4053" t="s">
        <v>158</v>
      </c>
      <c r="Q4053" t="s">
        <v>6387</v>
      </c>
      <c r="R4053">
        <v>474.95</v>
      </c>
      <c r="S4053">
        <v>5</v>
      </c>
      <c r="T4053">
        <v>0</v>
      </c>
      <c r="U4053">
        <v>142.48500000000001</v>
      </c>
      <c r="V4053" t="str">
        <f t="shared" si="63"/>
        <v>Chad McGuire</v>
      </c>
      <c r="W4053">
        <f>Table2[Profit]/Table2[Sales]</f>
        <v>0.30000000000000004</v>
      </c>
    </row>
    <row r="4054" spans="1:23" x14ac:dyDescent="0.25">
      <c r="A4054">
        <v>4053</v>
      </c>
      <c r="B4054" t="s">
        <v>9638</v>
      </c>
      <c r="C4054" s="1">
        <v>42615</v>
      </c>
      <c r="D4054" s="1">
        <v>42621</v>
      </c>
      <c r="E4054" t="s">
        <v>49</v>
      </c>
      <c r="F4054" t="s">
        <v>5109</v>
      </c>
      <c r="G4054" t="s">
        <v>5110</v>
      </c>
      <c r="H4054" t="s">
        <v>25</v>
      </c>
      <c r="I4054" t="s">
        <v>26</v>
      </c>
      <c r="J4054" t="s">
        <v>1366</v>
      </c>
      <c r="K4054" t="s">
        <v>95</v>
      </c>
      <c r="L4054">
        <v>98198</v>
      </c>
      <c r="M4054" t="s">
        <v>43</v>
      </c>
      <c r="N4054" t="s">
        <v>2364</v>
      </c>
      <c r="O4054" t="s">
        <v>70</v>
      </c>
      <c r="P4054" t="s">
        <v>1204</v>
      </c>
      <c r="Q4054" t="s">
        <v>2365</v>
      </c>
      <c r="R4054">
        <v>999.98</v>
      </c>
      <c r="S4054">
        <v>2</v>
      </c>
      <c r="T4054">
        <v>0</v>
      </c>
      <c r="U4054">
        <v>449.99099999999999</v>
      </c>
      <c r="V4054" t="str">
        <f t="shared" si="63"/>
        <v>Toby Gnade</v>
      </c>
      <c r="W4054">
        <f>Table2[Profit]/Table2[Sales]</f>
        <v>0.44999999999999996</v>
      </c>
    </row>
    <row r="4055" spans="1:23" x14ac:dyDescent="0.25">
      <c r="A4055">
        <v>4054</v>
      </c>
      <c r="B4055" t="s">
        <v>9639</v>
      </c>
      <c r="C4055" s="1">
        <v>42218</v>
      </c>
      <c r="D4055" s="1">
        <v>42222</v>
      </c>
      <c r="E4055" t="s">
        <v>49</v>
      </c>
      <c r="F4055" t="s">
        <v>1811</v>
      </c>
      <c r="G4055" t="s">
        <v>1812</v>
      </c>
      <c r="H4055" t="s">
        <v>25</v>
      </c>
      <c r="I4055" t="s">
        <v>26</v>
      </c>
      <c r="J4055" t="s">
        <v>311</v>
      </c>
      <c r="K4055" t="s">
        <v>413</v>
      </c>
      <c r="L4055">
        <v>97477</v>
      </c>
      <c r="M4055" t="s">
        <v>43</v>
      </c>
      <c r="N4055" t="s">
        <v>6788</v>
      </c>
      <c r="O4055" t="s">
        <v>31</v>
      </c>
      <c r="P4055" t="s">
        <v>55</v>
      </c>
      <c r="Q4055" t="s">
        <v>6789</v>
      </c>
      <c r="R4055">
        <v>277.5</v>
      </c>
      <c r="S4055">
        <v>4</v>
      </c>
      <c r="T4055">
        <v>0.5</v>
      </c>
      <c r="U4055">
        <v>-188.7</v>
      </c>
      <c r="V4055" t="str">
        <f t="shared" si="63"/>
        <v>Darren Koutras</v>
      </c>
      <c r="W4055">
        <f>Table2[Profit]/Table2[Sales]</f>
        <v>-0.67999999999999994</v>
      </c>
    </row>
    <row r="4056" spans="1:23" x14ac:dyDescent="0.25">
      <c r="A4056">
        <v>4055</v>
      </c>
      <c r="B4056" t="s">
        <v>9640</v>
      </c>
      <c r="C4056" s="1">
        <v>42329</v>
      </c>
      <c r="D4056" s="1">
        <v>42333</v>
      </c>
      <c r="E4056" t="s">
        <v>49</v>
      </c>
      <c r="F4056" t="s">
        <v>7747</v>
      </c>
      <c r="G4056" t="s">
        <v>7748</v>
      </c>
      <c r="H4056" t="s">
        <v>25</v>
      </c>
      <c r="I4056" t="s">
        <v>26</v>
      </c>
      <c r="J4056" t="s">
        <v>143</v>
      </c>
      <c r="K4056" t="s">
        <v>144</v>
      </c>
      <c r="L4056">
        <v>19120</v>
      </c>
      <c r="M4056" t="s">
        <v>145</v>
      </c>
      <c r="N4056" t="s">
        <v>3728</v>
      </c>
      <c r="O4056" t="s">
        <v>31</v>
      </c>
      <c r="P4056" t="s">
        <v>55</v>
      </c>
      <c r="Q4056" t="s">
        <v>3729</v>
      </c>
      <c r="R4056">
        <v>1252.704</v>
      </c>
      <c r="S4056">
        <v>8</v>
      </c>
      <c r="T4056">
        <v>0.4</v>
      </c>
      <c r="U4056">
        <v>-480.20319999999998</v>
      </c>
      <c r="V4056" t="str">
        <f t="shared" si="63"/>
        <v>Shahid Shariari</v>
      </c>
      <c r="W4056">
        <f>Table2[Profit]/Table2[Sales]</f>
        <v>-0.38333333333333336</v>
      </c>
    </row>
    <row r="4057" spans="1:23" x14ac:dyDescent="0.25">
      <c r="A4057">
        <v>4056</v>
      </c>
      <c r="B4057" t="s">
        <v>9641</v>
      </c>
      <c r="C4057" s="1">
        <v>42873</v>
      </c>
      <c r="D4057" s="1">
        <v>42877</v>
      </c>
      <c r="E4057" t="s">
        <v>49</v>
      </c>
      <c r="F4057" t="s">
        <v>5225</v>
      </c>
      <c r="G4057" t="s">
        <v>5226</v>
      </c>
      <c r="H4057" t="s">
        <v>40</v>
      </c>
      <c r="I4057" t="s">
        <v>26</v>
      </c>
      <c r="J4057" t="s">
        <v>296</v>
      </c>
      <c r="K4057" t="s">
        <v>208</v>
      </c>
      <c r="L4057">
        <v>60653</v>
      </c>
      <c r="M4057" t="s">
        <v>104</v>
      </c>
      <c r="N4057" t="s">
        <v>4534</v>
      </c>
      <c r="O4057" t="s">
        <v>31</v>
      </c>
      <c r="P4057" t="s">
        <v>64</v>
      </c>
      <c r="Q4057" t="s">
        <v>4535</v>
      </c>
      <c r="R4057">
        <v>22.608000000000001</v>
      </c>
      <c r="S4057">
        <v>3</v>
      </c>
      <c r="T4057">
        <v>0.6</v>
      </c>
      <c r="U4057">
        <v>-10.1736</v>
      </c>
      <c r="V4057" t="str">
        <f t="shared" si="63"/>
        <v>Brendan Murry</v>
      </c>
      <c r="W4057">
        <f>Table2[Profit]/Table2[Sales]</f>
        <v>-0.45</v>
      </c>
    </row>
    <row r="4058" spans="1:23" x14ac:dyDescent="0.25">
      <c r="A4058">
        <v>4057</v>
      </c>
      <c r="B4058" t="s">
        <v>9642</v>
      </c>
      <c r="C4058" s="1">
        <v>42939</v>
      </c>
      <c r="D4058" s="1">
        <v>42943</v>
      </c>
      <c r="E4058" t="s">
        <v>49</v>
      </c>
      <c r="F4058" t="s">
        <v>1695</v>
      </c>
      <c r="G4058" t="s">
        <v>1696</v>
      </c>
      <c r="H4058" t="s">
        <v>40</v>
      </c>
      <c r="I4058" t="s">
        <v>26</v>
      </c>
      <c r="J4058" t="s">
        <v>296</v>
      </c>
      <c r="K4058" t="s">
        <v>208</v>
      </c>
      <c r="L4058">
        <v>60623</v>
      </c>
      <c r="M4058" t="s">
        <v>104</v>
      </c>
      <c r="N4058" t="s">
        <v>3662</v>
      </c>
      <c r="O4058" t="s">
        <v>45</v>
      </c>
      <c r="P4058" t="s">
        <v>89</v>
      </c>
      <c r="Q4058" t="s">
        <v>3663</v>
      </c>
      <c r="R4058">
        <v>63.311999999999998</v>
      </c>
      <c r="S4058">
        <v>3</v>
      </c>
      <c r="T4058">
        <v>0.2</v>
      </c>
      <c r="U4058">
        <v>20.5764</v>
      </c>
      <c r="V4058" t="str">
        <f t="shared" si="63"/>
        <v>Maribeth Yedwab</v>
      </c>
      <c r="W4058">
        <f>Table2[Profit]/Table2[Sales]</f>
        <v>0.32500000000000001</v>
      </c>
    </row>
    <row r="4059" spans="1:23" x14ac:dyDescent="0.25">
      <c r="A4059">
        <v>4058</v>
      </c>
      <c r="B4059" t="s">
        <v>9643</v>
      </c>
      <c r="C4059" s="1">
        <v>42260</v>
      </c>
      <c r="D4059" s="1">
        <v>42264</v>
      </c>
      <c r="E4059" t="s">
        <v>22</v>
      </c>
      <c r="F4059" t="s">
        <v>1297</v>
      </c>
      <c r="G4059" t="s">
        <v>1298</v>
      </c>
      <c r="H4059" t="s">
        <v>25</v>
      </c>
      <c r="I4059" t="s">
        <v>26</v>
      </c>
      <c r="J4059" t="s">
        <v>296</v>
      </c>
      <c r="K4059" t="s">
        <v>208</v>
      </c>
      <c r="L4059">
        <v>60623</v>
      </c>
      <c r="M4059" t="s">
        <v>104</v>
      </c>
      <c r="N4059" t="s">
        <v>4589</v>
      </c>
      <c r="O4059" t="s">
        <v>45</v>
      </c>
      <c r="P4059" t="s">
        <v>170</v>
      </c>
      <c r="Q4059" t="s">
        <v>662</v>
      </c>
      <c r="R4059">
        <v>7.8239999999999998</v>
      </c>
      <c r="S4059">
        <v>1</v>
      </c>
      <c r="T4059">
        <v>0.2</v>
      </c>
      <c r="U4059">
        <v>2.9340000000000002</v>
      </c>
      <c r="V4059" t="str">
        <f t="shared" si="63"/>
        <v>Arthur Gainer</v>
      </c>
      <c r="W4059">
        <f>Table2[Profit]/Table2[Sales]</f>
        <v>0.37500000000000006</v>
      </c>
    </row>
    <row r="4060" spans="1:23" x14ac:dyDescent="0.25">
      <c r="A4060">
        <v>4059</v>
      </c>
      <c r="B4060" t="s">
        <v>9644</v>
      </c>
      <c r="C4060" s="1">
        <v>42714</v>
      </c>
      <c r="D4060" s="1">
        <v>42720</v>
      </c>
      <c r="E4060" t="s">
        <v>49</v>
      </c>
      <c r="F4060" t="s">
        <v>2515</v>
      </c>
      <c r="G4060" t="s">
        <v>2516</v>
      </c>
      <c r="H4060" t="s">
        <v>40</v>
      </c>
      <c r="I4060" t="s">
        <v>26</v>
      </c>
      <c r="J4060" t="s">
        <v>263</v>
      </c>
      <c r="K4060" t="s">
        <v>264</v>
      </c>
      <c r="L4060">
        <v>10024</v>
      </c>
      <c r="M4060" t="s">
        <v>145</v>
      </c>
      <c r="N4060" t="s">
        <v>690</v>
      </c>
      <c r="O4060" t="s">
        <v>45</v>
      </c>
      <c r="P4060" t="s">
        <v>89</v>
      </c>
      <c r="Q4060" t="s">
        <v>691</v>
      </c>
      <c r="R4060">
        <v>62.82</v>
      </c>
      <c r="S4060">
        <v>9</v>
      </c>
      <c r="T4060">
        <v>0</v>
      </c>
      <c r="U4060">
        <v>29.525400000000001</v>
      </c>
      <c r="V4060" t="str">
        <f t="shared" si="63"/>
        <v>Bart Watters</v>
      </c>
      <c r="W4060">
        <f>Table2[Profit]/Table2[Sales]</f>
        <v>0.47000000000000003</v>
      </c>
    </row>
    <row r="4061" spans="1:23" x14ac:dyDescent="0.25">
      <c r="A4061">
        <v>4060</v>
      </c>
      <c r="B4061" t="s">
        <v>9645</v>
      </c>
      <c r="C4061" s="1">
        <v>42279</v>
      </c>
      <c r="D4061" s="1">
        <v>42282</v>
      </c>
      <c r="E4061" t="s">
        <v>22</v>
      </c>
      <c r="F4061" t="s">
        <v>4057</v>
      </c>
      <c r="G4061" t="s">
        <v>4058</v>
      </c>
      <c r="H4061" t="s">
        <v>25</v>
      </c>
      <c r="I4061" t="s">
        <v>26</v>
      </c>
      <c r="J4061" t="s">
        <v>3311</v>
      </c>
      <c r="K4061" t="s">
        <v>2699</v>
      </c>
      <c r="L4061">
        <v>20852</v>
      </c>
      <c r="M4061" t="s">
        <v>145</v>
      </c>
      <c r="N4061" t="s">
        <v>2606</v>
      </c>
      <c r="O4061" t="s">
        <v>45</v>
      </c>
      <c r="P4061" t="s">
        <v>89</v>
      </c>
      <c r="Q4061" t="s">
        <v>2607</v>
      </c>
      <c r="R4061">
        <v>19.440000000000001</v>
      </c>
      <c r="S4061">
        <v>3</v>
      </c>
      <c r="T4061">
        <v>0</v>
      </c>
      <c r="U4061">
        <v>9.3312000000000008</v>
      </c>
      <c r="V4061" t="str">
        <f t="shared" si="63"/>
        <v>Sheri Gordon</v>
      </c>
      <c r="W4061">
        <f>Table2[Profit]/Table2[Sales]</f>
        <v>0.48000000000000004</v>
      </c>
    </row>
    <row r="4062" spans="1:23" x14ac:dyDescent="0.25">
      <c r="A4062">
        <v>4061</v>
      </c>
      <c r="B4062" t="s">
        <v>9646</v>
      </c>
      <c r="C4062" s="1">
        <v>43056</v>
      </c>
      <c r="D4062" s="1">
        <v>43060</v>
      </c>
      <c r="E4062" t="s">
        <v>49</v>
      </c>
      <c r="F4062" t="s">
        <v>5915</v>
      </c>
      <c r="G4062" t="s">
        <v>5916</v>
      </c>
      <c r="H4062" t="s">
        <v>25</v>
      </c>
      <c r="I4062" t="s">
        <v>26</v>
      </c>
      <c r="J4062" t="s">
        <v>263</v>
      </c>
      <c r="K4062" t="s">
        <v>264</v>
      </c>
      <c r="L4062">
        <v>10011</v>
      </c>
      <c r="M4062" t="s">
        <v>145</v>
      </c>
      <c r="N4062" t="s">
        <v>3193</v>
      </c>
      <c r="O4062" t="s">
        <v>45</v>
      </c>
      <c r="P4062" t="s">
        <v>89</v>
      </c>
      <c r="Q4062" t="s">
        <v>3194</v>
      </c>
      <c r="R4062">
        <v>38.880000000000003</v>
      </c>
      <c r="S4062">
        <v>6</v>
      </c>
      <c r="T4062">
        <v>0</v>
      </c>
      <c r="U4062">
        <v>18.662400000000002</v>
      </c>
      <c r="V4062" t="str">
        <f t="shared" si="63"/>
        <v>Christopher Conant</v>
      </c>
      <c r="W4062">
        <f>Table2[Profit]/Table2[Sales]</f>
        <v>0.48000000000000004</v>
      </c>
    </row>
    <row r="4063" spans="1:23" x14ac:dyDescent="0.25">
      <c r="A4063">
        <v>4062</v>
      </c>
      <c r="B4063" t="s">
        <v>9647</v>
      </c>
      <c r="C4063" s="1">
        <v>42338</v>
      </c>
      <c r="D4063" s="1">
        <v>42341</v>
      </c>
      <c r="E4063" t="s">
        <v>185</v>
      </c>
      <c r="F4063" t="s">
        <v>1962</v>
      </c>
      <c r="G4063" t="s">
        <v>1963</v>
      </c>
      <c r="H4063" t="s">
        <v>25</v>
      </c>
      <c r="I4063" t="s">
        <v>26</v>
      </c>
      <c r="J4063" t="s">
        <v>366</v>
      </c>
      <c r="K4063" t="s">
        <v>87</v>
      </c>
      <c r="L4063">
        <v>27707</v>
      </c>
      <c r="M4063" t="s">
        <v>29</v>
      </c>
      <c r="N4063" t="s">
        <v>2359</v>
      </c>
      <c r="O4063" t="s">
        <v>45</v>
      </c>
      <c r="P4063" t="s">
        <v>74</v>
      </c>
      <c r="Q4063" t="s">
        <v>2360</v>
      </c>
      <c r="R4063">
        <v>6.048</v>
      </c>
      <c r="S4063">
        <v>7</v>
      </c>
      <c r="T4063">
        <v>0.7</v>
      </c>
      <c r="U4063">
        <v>-4.2336</v>
      </c>
      <c r="V4063" t="str">
        <f t="shared" si="63"/>
        <v>Lena Radford</v>
      </c>
      <c r="W4063">
        <f>Table2[Profit]/Table2[Sales]</f>
        <v>-0.7</v>
      </c>
    </row>
    <row r="4064" spans="1:23" x14ac:dyDescent="0.25">
      <c r="A4064">
        <v>4063</v>
      </c>
      <c r="B4064" t="s">
        <v>9648</v>
      </c>
      <c r="C4064" s="1">
        <v>42344</v>
      </c>
      <c r="D4064" s="1">
        <v>42349</v>
      </c>
      <c r="E4064" t="s">
        <v>22</v>
      </c>
      <c r="F4064" t="s">
        <v>903</v>
      </c>
      <c r="G4064" t="s">
        <v>904</v>
      </c>
      <c r="H4064" t="s">
        <v>40</v>
      </c>
      <c r="I4064" t="s">
        <v>26</v>
      </c>
      <c r="J4064" t="s">
        <v>8100</v>
      </c>
      <c r="K4064" t="s">
        <v>42</v>
      </c>
      <c r="L4064">
        <v>93101</v>
      </c>
      <c r="M4064" t="s">
        <v>43</v>
      </c>
      <c r="N4064" t="s">
        <v>4118</v>
      </c>
      <c r="O4064" t="s">
        <v>45</v>
      </c>
      <c r="P4064" t="s">
        <v>89</v>
      </c>
      <c r="Q4064" t="s">
        <v>4119</v>
      </c>
      <c r="R4064">
        <v>8.9600000000000009</v>
      </c>
      <c r="S4064">
        <v>2</v>
      </c>
      <c r="T4064">
        <v>0</v>
      </c>
      <c r="U4064">
        <v>4.3903999999999996</v>
      </c>
      <c r="V4064" t="str">
        <f t="shared" si="63"/>
        <v>David Bremer</v>
      </c>
      <c r="W4064">
        <f>Table2[Profit]/Table2[Sales]</f>
        <v>0.48999999999999994</v>
      </c>
    </row>
    <row r="4065" spans="1:23" x14ac:dyDescent="0.25">
      <c r="A4065">
        <v>4064</v>
      </c>
      <c r="B4065" t="s">
        <v>9649</v>
      </c>
      <c r="C4065" s="1">
        <v>42983</v>
      </c>
      <c r="D4065" s="1">
        <v>42987</v>
      </c>
      <c r="E4065" t="s">
        <v>49</v>
      </c>
      <c r="F4065" t="s">
        <v>3576</v>
      </c>
      <c r="G4065" t="s">
        <v>3577</v>
      </c>
      <c r="H4065" t="s">
        <v>25</v>
      </c>
      <c r="I4065" t="s">
        <v>26</v>
      </c>
      <c r="J4065" t="s">
        <v>5032</v>
      </c>
      <c r="K4065" t="s">
        <v>328</v>
      </c>
      <c r="L4065">
        <v>37918</v>
      </c>
      <c r="M4065" t="s">
        <v>29</v>
      </c>
      <c r="N4065" t="s">
        <v>4423</v>
      </c>
      <c r="O4065" t="s">
        <v>70</v>
      </c>
      <c r="P4065" t="s">
        <v>158</v>
      </c>
      <c r="Q4065" t="s">
        <v>4424</v>
      </c>
      <c r="R4065">
        <v>89.567999999999998</v>
      </c>
      <c r="S4065">
        <v>4</v>
      </c>
      <c r="T4065">
        <v>0.2</v>
      </c>
      <c r="U4065">
        <v>-1.1195999999999999</v>
      </c>
      <c r="V4065" t="str">
        <f t="shared" si="63"/>
        <v>Liz Preis</v>
      </c>
      <c r="W4065">
        <f>Table2[Profit]/Table2[Sales]</f>
        <v>-1.2499999999999999E-2</v>
      </c>
    </row>
    <row r="4066" spans="1:23" x14ac:dyDescent="0.25">
      <c r="A4066">
        <v>4065</v>
      </c>
      <c r="B4066" t="s">
        <v>9650</v>
      </c>
      <c r="C4066" s="1">
        <v>42849</v>
      </c>
      <c r="D4066" s="1">
        <v>42855</v>
      </c>
      <c r="E4066" t="s">
        <v>49</v>
      </c>
      <c r="F4066" t="s">
        <v>4974</v>
      </c>
      <c r="G4066" t="s">
        <v>4975</v>
      </c>
      <c r="H4066" t="s">
        <v>25</v>
      </c>
      <c r="I4066" t="s">
        <v>26</v>
      </c>
      <c r="J4066" t="s">
        <v>296</v>
      </c>
      <c r="K4066" t="s">
        <v>208</v>
      </c>
      <c r="L4066">
        <v>60610</v>
      </c>
      <c r="M4066" t="s">
        <v>104</v>
      </c>
      <c r="N4066" t="s">
        <v>4401</v>
      </c>
      <c r="O4066" t="s">
        <v>45</v>
      </c>
      <c r="P4066" t="s">
        <v>74</v>
      </c>
      <c r="Q4066" t="s">
        <v>4402</v>
      </c>
      <c r="R4066">
        <v>10.43</v>
      </c>
      <c r="S4066">
        <v>5</v>
      </c>
      <c r="T4066">
        <v>0.8</v>
      </c>
      <c r="U4066">
        <v>-18.252500000000001</v>
      </c>
      <c r="V4066" t="str">
        <f t="shared" si="63"/>
        <v>Art Ferguson</v>
      </c>
      <c r="W4066">
        <f>Table2[Profit]/Table2[Sales]</f>
        <v>-1.7500000000000002</v>
      </c>
    </row>
    <row r="4067" spans="1:23" x14ac:dyDescent="0.25">
      <c r="A4067">
        <v>4066</v>
      </c>
      <c r="B4067" t="s">
        <v>9651</v>
      </c>
      <c r="C4067" s="1">
        <v>42316</v>
      </c>
      <c r="D4067" s="1">
        <v>42316</v>
      </c>
      <c r="E4067" t="s">
        <v>1278</v>
      </c>
      <c r="F4067" t="s">
        <v>3857</v>
      </c>
      <c r="G4067" t="s">
        <v>3858</v>
      </c>
      <c r="H4067" t="s">
        <v>40</v>
      </c>
      <c r="I4067" t="s">
        <v>26</v>
      </c>
      <c r="J4067" t="s">
        <v>263</v>
      </c>
      <c r="K4067" t="s">
        <v>264</v>
      </c>
      <c r="L4067">
        <v>10024</v>
      </c>
      <c r="M4067" t="s">
        <v>145</v>
      </c>
      <c r="N4067" t="s">
        <v>7430</v>
      </c>
      <c r="O4067" t="s">
        <v>45</v>
      </c>
      <c r="P4067" t="s">
        <v>58</v>
      </c>
      <c r="Q4067" t="s">
        <v>7431</v>
      </c>
      <c r="R4067">
        <v>67.150000000000006</v>
      </c>
      <c r="S4067">
        <v>5</v>
      </c>
      <c r="T4067">
        <v>0</v>
      </c>
      <c r="U4067">
        <v>16.787500000000001</v>
      </c>
      <c r="V4067" t="str">
        <f t="shared" si="63"/>
        <v>Keith Dawkins</v>
      </c>
      <c r="W4067">
        <f>Table2[Profit]/Table2[Sales]</f>
        <v>0.25</v>
      </c>
    </row>
    <row r="4068" spans="1:23" x14ac:dyDescent="0.25">
      <c r="A4068">
        <v>4067</v>
      </c>
      <c r="B4068" t="s">
        <v>9652</v>
      </c>
      <c r="C4068" s="1">
        <v>42120</v>
      </c>
      <c r="D4068" s="1">
        <v>42124</v>
      </c>
      <c r="E4068" t="s">
        <v>49</v>
      </c>
      <c r="F4068" t="s">
        <v>1650</v>
      </c>
      <c r="G4068" t="s">
        <v>1651</v>
      </c>
      <c r="H4068" t="s">
        <v>25</v>
      </c>
      <c r="I4068" t="s">
        <v>26</v>
      </c>
      <c r="J4068" t="s">
        <v>7244</v>
      </c>
      <c r="K4068" t="s">
        <v>53</v>
      </c>
      <c r="L4068">
        <v>32114</v>
      </c>
      <c r="M4068" t="s">
        <v>29</v>
      </c>
      <c r="N4068" t="s">
        <v>54</v>
      </c>
      <c r="O4068" t="s">
        <v>31</v>
      </c>
      <c r="P4068" t="s">
        <v>55</v>
      </c>
      <c r="Q4068" t="s">
        <v>56</v>
      </c>
      <c r="R4068">
        <v>191.5155</v>
      </c>
      <c r="S4068">
        <v>1</v>
      </c>
      <c r="T4068">
        <v>0.45</v>
      </c>
      <c r="U4068">
        <v>-76.606200000000001</v>
      </c>
      <c r="V4068" t="str">
        <f t="shared" si="63"/>
        <v>Sue Ann Reed</v>
      </c>
      <c r="W4068">
        <f>Table2[Profit]/Table2[Sales]</f>
        <v>-0.4</v>
      </c>
    </row>
    <row r="4069" spans="1:23" x14ac:dyDescent="0.25">
      <c r="A4069">
        <v>4068</v>
      </c>
      <c r="B4069" t="s">
        <v>9653</v>
      </c>
      <c r="C4069" s="1">
        <v>42267</v>
      </c>
      <c r="D4069" s="1">
        <v>42271</v>
      </c>
      <c r="E4069" t="s">
        <v>49</v>
      </c>
      <c r="F4069" t="s">
        <v>8161</v>
      </c>
      <c r="G4069" t="s">
        <v>8162</v>
      </c>
      <c r="H4069" t="s">
        <v>25</v>
      </c>
      <c r="I4069" t="s">
        <v>26</v>
      </c>
      <c r="J4069" t="s">
        <v>5545</v>
      </c>
      <c r="K4069" t="s">
        <v>328</v>
      </c>
      <c r="L4069">
        <v>37211</v>
      </c>
      <c r="M4069" t="s">
        <v>29</v>
      </c>
      <c r="N4069" t="s">
        <v>2655</v>
      </c>
      <c r="O4069" t="s">
        <v>45</v>
      </c>
      <c r="P4069" t="s">
        <v>74</v>
      </c>
      <c r="Q4069" t="s">
        <v>2656</v>
      </c>
      <c r="R4069">
        <v>1369.7639999999999</v>
      </c>
      <c r="S4069">
        <v>6</v>
      </c>
      <c r="T4069">
        <v>0.7</v>
      </c>
      <c r="U4069">
        <v>-913.17600000000004</v>
      </c>
      <c r="V4069" t="str">
        <f t="shared" si="63"/>
        <v>Barry Gonzalez</v>
      </c>
      <c r="W4069">
        <f>Table2[Profit]/Table2[Sales]</f>
        <v>-0.66666666666666674</v>
      </c>
    </row>
    <row r="4070" spans="1:23" x14ac:dyDescent="0.25">
      <c r="A4070">
        <v>4069</v>
      </c>
      <c r="B4070" t="s">
        <v>9654</v>
      </c>
      <c r="C4070" s="1">
        <v>42985</v>
      </c>
      <c r="D4070" s="1">
        <v>42990</v>
      </c>
      <c r="E4070" t="s">
        <v>49</v>
      </c>
      <c r="F4070" t="s">
        <v>6094</v>
      </c>
      <c r="G4070" t="s">
        <v>6095</v>
      </c>
      <c r="H4070" t="s">
        <v>40</v>
      </c>
      <c r="I4070" t="s">
        <v>26</v>
      </c>
      <c r="J4070" t="s">
        <v>5545</v>
      </c>
      <c r="K4070" t="s">
        <v>328</v>
      </c>
      <c r="L4070">
        <v>37211</v>
      </c>
      <c r="M4070" t="s">
        <v>29</v>
      </c>
      <c r="N4070" t="s">
        <v>1813</v>
      </c>
      <c r="O4070" t="s">
        <v>45</v>
      </c>
      <c r="P4070" t="s">
        <v>77</v>
      </c>
      <c r="Q4070" t="s">
        <v>1814</v>
      </c>
      <c r="R4070">
        <v>81.567999999999998</v>
      </c>
      <c r="S4070">
        <v>2</v>
      </c>
      <c r="T4070">
        <v>0.2</v>
      </c>
      <c r="U4070">
        <v>7.1372</v>
      </c>
      <c r="V4070" t="str">
        <f t="shared" si="63"/>
        <v>Dario Medina</v>
      </c>
      <c r="W4070">
        <f>Table2[Profit]/Table2[Sales]</f>
        <v>8.7500000000000008E-2</v>
      </c>
    </row>
    <row r="4071" spans="1:23" x14ac:dyDescent="0.25">
      <c r="A4071">
        <v>4070</v>
      </c>
      <c r="B4071" t="s">
        <v>9655</v>
      </c>
      <c r="C4071" s="1">
        <v>42681</v>
      </c>
      <c r="D4071" s="1">
        <v>42686</v>
      </c>
      <c r="E4071" t="s">
        <v>49</v>
      </c>
      <c r="F4071" t="s">
        <v>2193</v>
      </c>
      <c r="G4071" t="s">
        <v>2194</v>
      </c>
      <c r="H4071" t="s">
        <v>25</v>
      </c>
      <c r="I4071" t="s">
        <v>26</v>
      </c>
      <c r="J4071" t="s">
        <v>808</v>
      </c>
      <c r="K4071" t="s">
        <v>103</v>
      </c>
      <c r="L4071">
        <v>75220</v>
      </c>
      <c r="M4071" t="s">
        <v>104</v>
      </c>
      <c r="N4071" t="s">
        <v>9656</v>
      </c>
      <c r="O4071" t="s">
        <v>31</v>
      </c>
      <c r="P4071" t="s">
        <v>64</v>
      </c>
      <c r="Q4071" t="s">
        <v>9657</v>
      </c>
      <c r="R4071">
        <v>44.46</v>
      </c>
      <c r="S4071">
        <v>5</v>
      </c>
      <c r="T4071">
        <v>0.6</v>
      </c>
      <c r="U4071">
        <v>-17.783999999999999</v>
      </c>
      <c r="V4071" t="str">
        <f t="shared" si="63"/>
        <v>Michael Chen</v>
      </c>
      <c r="W4071">
        <f>Table2[Profit]/Table2[Sales]</f>
        <v>-0.39999999999999997</v>
      </c>
    </row>
    <row r="4072" spans="1:23" x14ac:dyDescent="0.25">
      <c r="A4072">
        <v>4071</v>
      </c>
      <c r="B4072" t="s">
        <v>9658</v>
      </c>
      <c r="C4072" s="1">
        <v>42272</v>
      </c>
      <c r="D4072" s="1">
        <v>42279</v>
      </c>
      <c r="E4072" t="s">
        <v>49</v>
      </c>
      <c r="F4072" t="s">
        <v>4150</v>
      </c>
      <c r="G4072" t="s">
        <v>4151</v>
      </c>
      <c r="H4072" t="s">
        <v>40</v>
      </c>
      <c r="I4072" t="s">
        <v>26</v>
      </c>
      <c r="J4072" t="s">
        <v>1173</v>
      </c>
      <c r="K4072" t="s">
        <v>328</v>
      </c>
      <c r="L4072">
        <v>37130</v>
      </c>
      <c r="M4072" t="s">
        <v>29</v>
      </c>
      <c r="N4072" t="s">
        <v>4229</v>
      </c>
      <c r="O4072" t="s">
        <v>45</v>
      </c>
      <c r="P4072" t="s">
        <v>74</v>
      </c>
      <c r="Q4072" t="s">
        <v>4230</v>
      </c>
      <c r="R4072">
        <v>6.3360000000000003</v>
      </c>
      <c r="S4072">
        <v>4</v>
      </c>
      <c r="T4072">
        <v>0.7</v>
      </c>
      <c r="U4072">
        <v>-4.6463999999999999</v>
      </c>
      <c r="V4072" t="str">
        <f t="shared" si="63"/>
        <v>Marina Lichtenstein</v>
      </c>
      <c r="W4072">
        <f>Table2[Profit]/Table2[Sales]</f>
        <v>-0.73333333333333328</v>
      </c>
    </row>
    <row r="4073" spans="1:23" x14ac:dyDescent="0.25">
      <c r="A4073">
        <v>4072</v>
      </c>
      <c r="B4073" t="s">
        <v>9659</v>
      </c>
      <c r="C4073" s="1">
        <v>41915</v>
      </c>
      <c r="D4073" s="1">
        <v>41919</v>
      </c>
      <c r="E4073" t="s">
        <v>49</v>
      </c>
      <c r="F4073" t="s">
        <v>6537</v>
      </c>
      <c r="G4073" t="s">
        <v>6538</v>
      </c>
      <c r="H4073" t="s">
        <v>25</v>
      </c>
      <c r="I4073" t="s">
        <v>26</v>
      </c>
      <c r="J4073" t="s">
        <v>808</v>
      </c>
      <c r="K4073" t="s">
        <v>103</v>
      </c>
      <c r="L4073">
        <v>75217</v>
      </c>
      <c r="M4073" t="s">
        <v>104</v>
      </c>
      <c r="N4073" t="s">
        <v>4246</v>
      </c>
      <c r="O4073" t="s">
        <v>45</v>
      </c>
      <c r="P4073" t="s">
        <v>266</v>
      </c>
      <c r="Q4073" t="s">
        <v>4247</v>
      </c>
      <c r="R4073">
        <v>4.3440000000000003</v>
      </c>
      <c r="S4073">
        <v>3</v>
      </c>
      <c r="T4073">
        <v>0.2</v>
      </c>
      <c r="U4073">
        <v>0.86880000000000002</v>
      </c>
      <c r="V4073" t="str">
        <f t="shared" si="63"/>
        <v>Russell D'Ascenzo</v>
      </c>
      <c r="W4073">
        <f>Table2[Profit]/Table2[Sales]</f>
        <v>0.19999999999999998</v>
      </c>
    </row>
    <row r="4074" spans="1:23" x14ac:dyDescent="0.25">
      <c r="A4074">
        <v>4073</v>
      </c>
      <c r="B4074" t="s">
        <v>9662</v>
      </c>
      <c r="C4074" s="1">
        <v>41688</v>
      </c>
      <c r="D4074" s="1">
        <v>41694</v>
      </c>
      <c r="E4074" t="s">
        <v>49</v>
      </c>
      <c r="F4074" t="s">
        <v>7705</v>
      </c>
      <c r="G4074" t="s">
        <v>7706</v>
      </c>
      <c r="H4074" t="s">
        <v>25</v>
      </c>
      <c r="I4074" t="s">
        <v>26</v>
      </c>
      <c r="J4074" t="s">
        <v>1119</v>
      </c>
      <c r="K4074" t="s">
        <v>103</v>
      </c>
      <c r="L4074">
        <v>76017</v>
      </c>
      <c r="M4074" t="s">
        <v>104</v>
      </c>
      <c r="N4074" t="s">
        <v>6603</v>
      </c>
      <c r="O4074" t="s">
        <v>45</v>
      </c>
      <c r="P4074" t="s">
        <v>58</v>
      </c>
      <c r="Q4074" t="s">
        <v>6604</v>
      </c>
      <c r="R4074">
        <v>12.624000000000001</v>
      </c>
      <c r="S4074">
        <v>2</v>
      </c>
      <c r="T4074">
        <v>0.2</v>
      </c>
      <c r="U4074">
        <v>-2.5247999999999999</v>
      </c>
      <c r="V4074" t="str">
        <f t="shared" si="63"/>
        <v>Aaron Bergman</v>
      </c>
      <c r="W4074">
        <f>Table2[Profit]/Table2[Sales]</f>
        <v>-0.19999999999999998</v>
      </c>
    </row>
    <row r="4075" spans="1:23" x14ac:dyDescent="0.25">
      <c r="A4075">
        <v>4074</v>
      </c>
      <c r="B4075" t="s">
        <v>9663</v>
      </c>
      <c r="C4075" s="1">
        <v>42533</v>
      </c>
      <c r="D4075" s="1">
        <v>42537</v>
      </c>
      <c r="E4075" t="s">
        <v>49</v>
      </c>
      <c r="F4075" t="s">
        <v>888</v>
      </c>
      <c r="G4075" t="s">
        <v>889</v>
      </c>
      <c r="H4075" t="s">
        <v>40</v>
      </c>
      <c r="I4075" t="s">
        <v>26</v>
      </c>
      <c r="J4075" t="s">
        <v>596</v>
      </c>
      <c r="K4075" t="s">
        <v>42</v>
      </c>
      <c r="L4075">
        <v>91104</v>
      </c>
      <c r="M4075" t="s">
        <v>43</v>
      </c>
      <c r="N4075" t="s">
        <v>4607</v>
      </c>
      <c r="O4075" t="s">
        <v>45</v>
      </c>
      <c r="P4075" t="s">
        <v>89</v>
      </c>
      <c r="Q4075" t="s">
        <v>4608</v>
      </c>
      <c r="R4075">
        <v>185.88</v>
      </c>
      <c r="S4075">
        <v>6</v>
      </c>
      <c r="T4075">
        <v>0</v>
      </c>
      <c r="U4075">
        <v>83.646000000000001</v>
      </c>
      <c r="V4075" t="str">
        <f t="shared" si="63"/>
        <v>Erin Ashbrook</v>
      </c>
      <c r="W4075">
        <f>Table2[Profit]/Table2[Sales]</f>
        <v>0.45</v>
      </c>
    </row>
    <row r="4076" spans="1:23" x14ac:dyDescent="0.25">
      <c r="A4076">
        <v>4075</v>
      </c>
      <c r="B4076" t="s">
        <v>9664</v>
      </c>
      <c r="C4076" s="1">
        <v>43040</v>
      </c>
      <c r="D4076" s="1">
        <v>43043</v>
      </c>
      <c r="E4076" t="s">
        <v>22</v>
      </c>
      <c r="F4076" t="s">
        <v>141</v>
      </c>
      <c r="G4076" t="s">
        <v>142</v>
      </c>
      <c r="H4076" t="s">
        <v>25</v>
      </c>
      <c r="I4076" t="s">
        <v>26</v>
      </c>
      <c r="J4076" t="s">
        <v>4010</v>
      </c>
      <c r="K4076" t="s">
        <v>1233</v>
      </c>
      <c r="L4076">
        <v>2149</v>
      </c>
      <c r="M4076" t="s">
        <v>145</v>
      </c>
      <c r="N4076" t="s">
        <v>1090</v>
      </c>
      <c r="O4076" t="s">
        <v>45</v>
      </c>
      <c r="P4076" t="s">
        <v>89</v>
      </c>
      <c r="Q4076" t="s">
        <v>1091</v>
      </c>
      <c r="R4076">
        <v>189.7</v>
      </c>
      <c r="S4076">
        <v>10</v>
      </c>
      <c r="T4076">
        <v>0</v>
      </c>
      <c r="U4076">
        <v>91.055999999999997</v>
      </c>
      <c r="V4076" t="str">
        <f t="shared" si="63"/>
        <v>Sandra Flanagan</v>
      </c>
      <c r="W4076">
        <f>Table2[Profit]/Table2[Sales]</f>
        <v>0.48000000000000004</v>
      </c>
    </row>
    <row r="4077" spans="1:23" x14ac:dyDescent="0.25">
      <c r="A4077">
        <v>4076</v>
      </c>
      <c r="B4077" t="s">
        <v>9665</v>
      </c>
      <c r="C4077" s="1">
        <v>42464</v>
      </c>
      <c r="D4077" s="1">
        <v>42468</v>
      </c>
      <c r="E4077" t="s">
        <v>22</v>
      </c>
      <c r="F4077" t="s">
        <v>5210</v>
      </c>
      <c r="G4077" t="s">
        <v>5211</v>
      </c>
      <c r="H4077" t="s">
        <v>101</v>
      </c>
      <c r="I4077" t="s">
        <v>26</v>
      </c>
      <c r="J4077" t="s">
        <v>271</v>
      </c>
      <c r="K4077" t="s">
        <v>264</v>
      </c>
      <c r="L4077">
        <v>12180</v>
      </c>
      <c r="M4077" t="s">
        <v>145</v>
      </c>
      <c r="N4077" t="s">
        <v>1832</v>
      </c>
      <c r="O4077" t="s">
        <v>31</v>
      </c>
      <c r="P4077" t="s">
        <v>64</v>
      </c>
      <c r="Q4077" t="s">
        <v>1833</v>
      </c>
      <c r="R4077">
        <v>82.64</v>
      </c>
      <c r="S4077">
        <v>2</v>
      </c>
      <c r="T4077">
        <v>0</v>
      </c>
      <c r="U4077">
        <v>7.4375999999999998</v>
      </c>
      <c r="V4077" t="str">
        <f t="shared" si="63"/>
        <v>Becky Castell</v>
      </c>
      <c r="W4077">
        <f>Table2[Profit]/Table2[Sales]</f>
        <v>0.09</v>
      </c>
    </row>
    <row r="4078" spans="1:23" x14ac:dyDescent="0.25">
      <c r="A4078">
        <v>4077</v>
      </c>
      <c r="B4078" t="s">
        <v>9666</v>
      </c>
      <c r="C4078" s="1">
        <v>42551</v>
      </c>
      <c r="D4078" s="1">
        <v>42553</v>
      </c>
      <c r="E4078" t="s">
        <v>22</v>
      </c>
      <c r="F4078" t="s">
        <v>529</v>
      </c>
      <c r="G4078" t="s">
        <v>530</v>
      </c>
      <c r="H4078" t="s">
        <v>25</v>
      </c>
      <c r="I4078" t="s">
        <v>26</v>
      </c>
      <c r="J4078" t="s">
        <v>7314</v>
      </c>
      <c r="K4078" t="s">
        <v>1260</v>
      </c>
      <c r="L4078">
        <v>30328</v>
      </c>
      <c r="M4078" t="s">
        <v>29</v>
      </c>
      <c r="N4078" t="s">
        <v>1442</v>
      </c>
      <c r="O4078" t="s">
        <v>45</v>
      </c>
      <c r="P4078" t="s">
        <v>67</v>
      </c>
      <c r="Q4078" t="s">
        <v>1443</v>
      </c>
      <c r="R4078">
        <v>35.97</v>
      </c>
      <c r="S4078">
        <v>3</v>
      </c>
      <c r="T4078">
        <v>0</v>
      </c>
      <c r="U4078">
        <v>9.7119</v>
      </c>
      <c r="V4078" t="str">
        <f t="shared" si="63"/>
        <v>Philip Fox</v>
      </c>
      <c r="W4078">
        <f>Table2[Profit]/Table2[Sales]</f>
        <v>0.27</v>
      </c>
    </row>
    <row r="4079" spans="1:23" x14ac:dyDescent="0.25">
      <c r="A4079">
        <v>4078</v>
      </c>
      <c r="B4079" t="s">
        <v>9667</v>
      </c>
      <c r="C4079" s="1">
        <v>41904</v>
      </c>
      <c r="D4079" s="1">
        <v>41910</v>
      </c>
      <c r="E4079" t="s">
        <v>49</v>
      </c>
      <c r="F4079" t="s">
        <v>2775</v>
      </c>
      <c r="G4079" t="s">
        <v>2776</v>
      </c>
      <c r="H4079" t="s">
        <v>25</v>
      </c>
      <c r="I4079" t="s">
        <v>26</v>
      </c>
      <c r="J4079" t="s">
        <v>622</v>
      </c>
      <c r="K4079" t="s">
        <v>42</v>
      </c>
      <c r="L4079">
        <v>95123</v>
      </c>
      <c r="M4079" t="s">
        <v>43</v>
      </c>
      <c r="N4079" t="s">
        <v>1181</v>
      </c>
      <c r="O4079" t="s">
        <v>45</v>
      </c>
      <c r="P4079" t="s">
        <v>58</v>
      </c>
      <c r="Q4079" t="s">
        <v>1182</v>
      </c>
      <c r="R4079">
        <v>169.45</v>
      </c>
      <c r="S4079">
        <v>5</v>
      </c>
      <c r="T4079">
        <v>0</v>
      </c>
      <c r="U4079">
        <v>42.362499999999997</v>
      </c>
      <c r="V4079" t="str">
        <f t="shared" si="63"/>
        <v>Sanjit Engle</v>
      </c>
      <c r="W4079">
        <f>Table2[Profit]/Table2[Sales]</f>
        <v>0.25</v>
      </c>
    </row>
    <row r="4080" spans="1:23" x14ac:dyDescent="0.25">
      <c r="A4080">
        <v>4079</v>
      </c>
      <c r="B4080" t="s">
        <v>9668</v>
      </c>
      <c r="C4080" s="1">
        <v>42856</v>
      </c>
      <c r="D4080" s="1">
        <v>42861</v>
      </c>
      <c r="E4080" t="s">
        <v>49</v>
      </c>
      <c r="F4080" t="s">
        <v>1439</v>
      </c>
      <c r="G4080" t="s">
        <v>1440</v>
      </c>
      <c r="H4080" t="s">
        <v>25</v>
      </c>
      <c r="I4080" t="s">
        <v>26</v>
      </c>
      <c r="J4080" t="s">
        <v>1507</v>
      </c>
      <c r="K4080" t="s">
        <v>53</v>
      </c>
      <c r="L4080">
        <v>32216</v>
      </c>
      <c r="M4080" t="s">
        <v>29</v>
      </c>
      <c r="N4080" t="s">
        <v>7575</v>
      </c>
      <c r="O4080" t="s">
        <v>45</v>
      </c>
      <c r="P4080" t="s">
        <v>572</v>
      </c>
      <c r="Q4080" t="s">
        <v>7576</v>
      </c>
      <c r="R4080">
        <v>3.3279999999999998</v>
      </c>
      <c r="S4080">
        <v>2</v>
      </c>
      <c r="T4080">
        <v>0.2</v>
      </c>
      <c r="U4080">
        <v>0.41599999999999998</v>
      </c>
      <c r="V4080" t="str">
        <f t="shared" si="63"/>
        <v>Caroline Jumper</v>
      </c>
      <c r="W4080">
        <f>Table2[Profit]/Table2[Sales]</f>
        <v>0.125</v>
      </c>
    </row>
    <row r="4081" spans="1:23" x14ac:dyDescent="0.25">
      <c r="A4081">
        <v>4080</v>
      </c>
      <c r="B4081" t="s">
        <v>9669</v>
      </c>
      <c r="C4081" s="1">
        <v>43028</v>
      </c>
      <c r="D4081" s="1">
        <v>43028</v>
      </c>
      <c r="E4081" t="s">
        <v>1278</v>
      </c>
      <c r="F4081" t="s">
        <v>6224</v>
      </c>
      <c r="G4081" t="s">
        <v>6225</v>
      </c>
      <c r="H4081" t="s">
        <v>25</v>
      </c>
      <c r="I4081" t="s">
        <v>26</v>
      </c>
      <c r="J4081" t="s">
        <v>1507</v>
      </c>
      <c r="K4081" t="s">
        <v>53</v>
      </c>
      <c r="L4081">
        <v>32216</v>
      </c>
      <c r="M4081" t="s">
        <v>29</v>
      </c>
      <c r="N4081" t="s">
        <v>1499</v>
      </c>
      <c r="O4081" t="s">
        <v>45</v>
      </c>
      <c r="P4081" t="s">
        <v>58</v>
      </c>
      <c r="Q4081" t="s">
        <v>1500</v>
      </c>
      <c r="R4081">
        <v>4.7679999999999998</v>
      </c>
      <c r="S4081">
        <v>2</v>
      </c>
      <c r="T4081">
        <v>0.2</v>
      </c>
      <c r="U4081">
        <v>-0.77480000000000004</v>
      </c>
      <c r="V4081" t="str">
        <f t="shared" si="63"/>
        <v>Pete Takahito</v>
      </c>
      <c r="W4081">
        <f>Table2[Profit]/Table2[Sales]</f>
        <v>-0.16250000000000001</v>
      </c>
    </row>
    <row r="4082" spans="1:23" x14ac:dyDescent="0.25">
      <c r="A4082">
        <v>4081</v>
      </c>
      <c r="B4082" t="s">
        <v>9670</v>
      </c>
      <c r="C4082" s="1">
        <v>41883</v>
      </c>
      <c r="D4082" s="1">
        <v>41887</v>
      </c>
      <c r="E4082" t="s">
        <v>49</v>
      </c>
      <c r="F4082" t="s">
        <v>239</v>
      </c>
      <c r="G4082" t="s">
        <v>240</v>
      </c>
      <c r="H4082" t="s">
        <v>25</v>
      </c>
      <c r="I4082" t="s">
        <v>26</v>
      </c>
      <c r="J4082" t="s">
        <v>263</v>
      </c>
      <c r="K4082" t="s">
        <v>264</v>
      </c>
      <c r="L4082">
        <v>10009</v>
      </c>
      <c r="M4082" t="s">
        <v>145</v>
      </c>
      <c r="N4082" t="s">
        <v>2731</v>
      </c>
      <c r="O4082" t="s">
        <v>45</v>
      </c>
      <c r="P4082" t="s">
        <v>74</v>
      </c>
      <c r="Q4082" t="s">
        <v>2732</v>
      </c>
      <c r="R4082">
        <v>23.744</v>
      </c>
      <c r="S4082">
        <v>2</v>
      </c>
      <c r="T4082">
        <v>0.2</v>
      </c>
      <c r="U4082">
        <v>8.3103999999999996</v>
      </c>
      <c r="V4082" t="str">
        <f t="shared" si="63"/>
        <v>Lena Hernandez</v>
      </c>
      <c r="W4082">
        <f>Table2[Profit]/Table2[Sales]</f>
        <v>0.35</v>
      </c>
    </row>
    <row r="4083" spans="1:23" x14ac:dyDescent="0.25">
      <c r="A4083">
        <v>4082</v>
      </c>
      <c r="B4083" t="s">
        <v>9671</v>
      </c>
      <c r="C4083" s="1">
        <v>41863</v>
      </c>
      <c r="D4083" s="1">
        <v>41867</v>
      </c>
      <c r="E4083" t="s">
        <v>49</v>
      </c>
      <c r="F4083" t="s">
        <v>4905</v>
      </c>
      <c r="G4083" t="s">
        <v>4906</v>
      </c>
      <c r="H4083" t="s">
        <v>25</v>
      </c>
      <c r="I4083" t="s">
        <v>26</v>
      </c>
      <c r="J4083" t="s">
        <v>126</v>
      </c>
      <c r="K4083" t="s">
        <v>42</v>
      </c>
      <c r="L4083">
        <v>94122</v>
      </c>
      <c r="M4083" t="s">
        <v>43</v>
      </c>
      <c r="N4083" t="s">
        <v>5762</v>
      </c>
      <c r="O4083" t="s">
        <v>70</v>
      </c>
      <c r="P4083" t="s">
        <v>71</v>
      </c>
      <c r="Q4083" t="s">
        <v>5763</v>
      </c>
      <c r="R4083">
        <v>806.33600000000001</v>
      </c>
      <c r="S4083">
        <v>8</v>
      </c>
      <c r="T4083">
        <v>0.2</v>
      </c>
      <c r="U4083">
        <v>50.396000000000001</v>
      </c>
      <c r="V4083" t="str">
        <f t="shared" si="63"/>
        <v>Ben Wallace</v>
      </c>
      <c r="W4083">
        <f>Table2[Profit]/Table2[Sales]</f>
        <v>6.25E-2</v>
      </c>
    </row>
    <row r="4084" spans="1:23" x14ac:dyDescent="0.25">
      <c r="A4084">
        <v>4083</v>
      </c>
      <c r="B4084" t="s">
        <v>9672</v>
      </c>
      <c r="C4084" s="1">
        <v>41870</v>
      </c>
      <c r="D4084" s="1">
        <v>41874</v>
      </c>
      <c r="E4084" t="s">
        <v>49</v>
      </c>
      <c r="F4084" t="s">
        <v>7180</v>
      </c>
      <c r="G4084" t="s">
        <v>7181</v>
      </c>
      <c r="H4084" t="s">
        <v>40</v>
      </c>
      <c r="I4084" t="s">
        <v>26</v>
      </c>
      <c r="J4084" t="s">
        <v>490</v>
      </c>
      <c r="K4084" t="s">
        <v>1260</v>
      </c>
      <c r="L4084">
        <v>31907</v>
      </c>
      <c r="M4084" t="s">
        <v>29</v>
      </c>
      <c r="N4084" t="s">
        <v>677</v>
      </c>
      <c r="O4084" t="s">
        <v>45</v>
      </c>
      <c r="P4084" t="s">
        <v>58</v>
      </c>
      <c r="Q4084" t="s">
        <v>678</v>
      </c>
      <c r="R4084">
        <v>344.91</v>
      </c>
      <c r="S4084">
        <v>3</v>
      </c>
      <c r="T4084">
        <v>0</v>
      </c>
      <c r="U4084">
        <v>10.347300000000001</v>
      </c>
      <c r="V4084" t="str">
        <f t="shared" si="63"/>
        <v>Bill Shonely</v>
      </c>
      <c r="W4084">
        <f>Table2[Profit]/Table2[Sales]</f>
        <v>0.03</v>
      </c>
    </row>
    <row r="4085" spans="1:23" x14ac:dyDescent="0.25">
      <c r="A4085">
        <v>4084</v>
      </c>
      <c r="B4085" t="s">
        <v>9673</v>
      </c>
      <c r="C4085" s="1">
        <v>42134</v>
      </c>
      <c r="D4085" s="1">
        <v>42134</v>
      </c>
      <c r="E4085" t="s">
        <v>1278</v>
      </c>
      <c r="F4085" t="s">
        <v>4121</v>
      </c>
      <c r="G4085" t="s">
        <v>4122</v>
      </c>
      <c r="H4085" t="s">
        <v>101</v>
      </c>
      <c r="I4085" t="s">
        <v>26</v>
      </c>
      <c r="J4085" t="s">
        <v>449</v>
      </c>
      <c r="K4085" t="s">
        <v>208</v>
      </c>
      <c r="L4085">
        <v>60505</v>
      </c>
      <c r="M4085" t="s">
        <v>104</v>
      </c>
      <c r="N4085" t="s">
        <v>2122</v>
      </c>
      <c r="O4085" t="s">
        <v>45</v>
      </c>
      <c r="P4085" t="s">
        <v>77</v>
      </c>
      <c r="Q4085" t="s">
        <v>2123</v>
      </c>
      <c r="R4085">
        <v>70.97</v>
      </c>
      <c r="S4085">
        <v>5</v>
      </c>
      <c r="T4085">
        <v>0.8</v>
      </c>
      <c r="U4085">
        <v>-191.619</v>
      </c>
      <c r="V4085" t="str">
        <f t="shared" si="63"/>
        <v>Dennis Pardue</v>
      </c>
      <c r="W4085">
        <f>Table2[Profit]/Table2[Sales]</f>
        <v>-2.7</v>
      </c>
    </row>
    <row r="4086" spans="1:23" x14ac:dyDescent="0.25">
      <c r="A4086">
        <v>4085</v>
      </c>
      <c r="B4086" t="s">
        <v>9674</v>
      </c>
      <c r="C4086" s="1">
        <v>42500</v>
      </c>
      <c r="D4086" s="1">
        <v>42503</v>
      </c>
      <c r="E4086" t="s">
        <v>22</v>
      </c>
      <c r="F4086" t="s">
        <v>370</v>
      </c>
      <c r="G4086" t="s">
        <v>371</v>
      </c>
      <c r="H4086" t="s">
        <v>101</v>
      </c>
      <c r="I4086" t="s">
        <v>26</v>
      </c>
      <c r="J4086" t="s">
        <v>143</v>
      </c>
      <c r="K4086" t="s">
        <v>144</v>
      </c>
      <c r="L4086">
        <v>19134</v>
      </c>
      <c r="M4086" t="s">
        <v>145</v>
      </c>
      <c r="N4086" t="s">
        <v>2496</v>
      </c>
      <c r="O4086" t="s">
        <v>70</v>
      </c>
      <c r="P4086" t="s">
        <v>71</v>
      </c>
      <c r="Q4086" t="s">
        <v>2497</v>
      </c>
      <c r="R4086">
        <v>743.98800000000006</v>
      </c>
      <c r="S4086">
        <v>2</v>
      </c>
      <c r="T4086">
        <v>0.4</v>
      </c>
      <c r="U4086">
        <v>-123.998</v>
      </c>
      <c r="V4086" t="str">
        <f t="shared" si="63"/>
        <v>Christopher Schild</v>
      </c>
      <c r="W4086">
        <f>Table2[Profit]/Table2[Sales]</f>
        <v>-0.16666666666666666</v>
      </c>
    </row>
    <row r="4087" spans="1:23" x14ac:dyDescent="0.25">
      <c r="A4087">
        <v>4086</v>
      </c>
      <c r="B4087" t="s">
        <v>9675</v>
      </c>
      <c r="C4087" s="1">
        <v>42068</v>
      </c>
      <c r="D4087" s="1">
        <v>42072</v>
      </c>
      <c r="E4087" t="s">
        <v>22</v>
      </c>
      <c r="F4087" t="s">
        <v>2721</v>
      </c>
      <c r="G4087" t="s">
        <v>2722</v>
      </c>
      <c r="H4087" t="s">
        <v>25</v>
      </c>
      <c r="I4087" t="s">
        <v>26</v>
      </c>
      <c r="J4087" t="s">
        <v>296</v>
      </c>
      <c r="K4087" t="s">
        <v>208</v>
      </c>
      <c r="L4087">
        <v>60653</v>
      </c>
      <c r="M4087" t="s">
        <v>104</v>
      </c>
      <c r="N4087" t="s">
        <v>3473</v>
      </c>
      <c r="O4087" t="s">
        <v>45</v>
      </c>
      <c r="P4087" t="s">
        <v>74</v>
      </c>
      <c r="Q4087" t="s">
        <v>3474</v>
      </c>
      <c r="R4087">
        <v>11.212</v>
      </c>
      <c r="S4087">
        <v>2</v>
      </c>
      <c r="T4087">
        <v>0.8</v>
      </c>
      <c r="U4087">
        <v>-16.818000000000001</v>
      </c>
      <c r="V4087" t="str">
        <f t="shared" si="63"/>
        <v>Maribeth Schnelling</v>
      </c>
      <c r="W4087">
        <f>Table2[Profit]/Table2[Sales]</f>
        <v>-1.5000000000000002</v>
      </c>
    </row>
    <row r="4088" spans="1:23" x14ac:dyDescent="0.25">
      <c r="A4088">
        <v>4087</v>
      </c>
      <c r="B4088" t="s">
        <v>9676</v>
      </c>
      <c r="C4088" s="1">
        <v>42959</v>
      </c>
      <c r="D4088" s="1">
        <v>42966</v>
      </c>
      <c r="E4088" t="s">
        <v>49</v>
      </c>
      <c r="F4088" t="s">
        <v>6971</v>
      </c>
      <c r="G4088" t="s">
        <v>6972</v>
      </c>
      <c r="H4088" t="s">
        <v>25</v>
      </c>
      <c r="I4088" t="s">
        <v>26</v>
      </c>
      <c r="J4088" t="s">
        <v>94</v>
      </c>
      <c r="K4088" t="s">
        <v>95</v>
      </c>
      <c r="L4088">
        <v>98103</v>
      </c>
      <c r="M4088" t="s">
        <v>43</v>
      </c>
      <c r="N4088" t="s">
        <v>5312</v>
      </c>
      <c r="O4088" t="s">
        <v>70</v>
      </c>
      <c r="P4088" t="s">
        <v>1204</v>
      </c>
      <c r="Q4088" t="s">
        <v>5313</v>
      </c>
      <c r="R4088">
        <v>299.99</v>
      </c>
      <c r="S4088">
        <v>1</v>
      </c>
      <c r="T4088">
        <v>0</v>
      </c>
      <c r="U4088">
        <v>89.997</v>
      </c>
      <c r="V4088" t="str">
        <f t="shared" si="63"/>
        <v>Dana Kaydos</v>
      </c>
      <c r="W4088">
        <f>Table2[Profit]/Table2[Sales]</f>
        <v>0.3</v>
      </c>
    </row>
    <row r="4089" spans="1:23" x14ac:dyDescent="0.25">
      <c r="A4089">
        <v>4088</v>
      </c>
      <c r="B4089" t="s">
        <v>9677</v>
      </c>
      <c r="C4089" s="1">
        <v>42547</v>
      </c>
      <c r="D4089" s="1">
        <v>42547</v>
      </c>
      <c r="E4089" t="s">
        <v>1278</v>
      </c>
      <c r="F4089" t="s">
        <v>3103</v>
      </c>
      <c r="G4089" t="s">
        <v>3104</v>
      </c>
      <c r="H4089" t="s">
        <v>101</v>
      </c>
      <c r="I4089" t="s">
        <v>26</v>
      </c>
      <c r="J4089" t="s">
        <v>560</v>
      </c>
      <c r="K4089" t="s">
        <v>235</v>
      </c>
      <c r="L4089">
        <v>48066</v>
      </c>
      <c r="M4089" t="s">
        <v>104</v>
      </c>
      <c r="N4089" t="s">
        <v>1706</v>
      </c>
      <c r="O4089" t="s">
        <v>45</v>
      </c>
      <c r="P4089" t="s">
        <v>89</v>
      </c>
      <c r="Q4089" t="s">
        <v>1707</v>
      </c>
      <c r="R4089">
        <v>368.91</v>
      </c>
      <c r="S4089">
        <v>9</v>
      </c>
      <c r="T4089">
        <v>0</v>
      </c>
      <c r="U4089">
        <v>180.76589999999999</v>
      </c>
      <c r="V4089" t="str">
        <f t="shared" si="63"/>
        <v>Skye Norling</v>
      </c>
      <c r="W4089">
        <f>Table2[Profit]/Table2[Sales]</f>
        <v>0.48999999999999994</v>
      </c>
    </row>
    <row r="4090" spans="1:23" x14ac:dyDescent="0.25">
      <c r="A4090">
        <v>4089</v>
      </c>
      <c r="B4090" t="s">
        <v>9678</v>
      </c>
      <c r="C4090" s="1">
        <v>42719</v>
      </c>
      <c r="D4090" s="1">
        <v>42723</v>
      </c>
      <c r="E4090" t="s">
        <v>49</v>
      </c>
      <c r="F4090" t="s">
        <v>6115</v>
      </c>
      <c r="G4090" t="s">
        <v>6116</v>
      </c>
      <c r="H4090" t="s">
        <v>101</v>
      </c>
      <c r="I4090" t="s">
        <v>26</v>
      </c>
      <c r="J4090" t="s">
        <v>1682</v>
      </c>
      <c r="K4090" t="s">
        <v>1683</v>
      </c>
      <c r="L4090">
        <v>72701</v>
      </c>
      <c r="M4090" t="s">
        <v>29</v>
      </c>
      <c r="N4090" t="s">
        <v>1391</v>
      </c>
      <c r="O4090" t="s">
        <v>45</v>
      </c>
      <c r="P4090" t="s">
        <v>89</v>
      </c>
      <c r="Q4090" t="s">
        <v>1392</v>
      </c>
      <c r="R4090">
        <v>19.440000000000001</v>
      </c>
      <c r="S4090">
        <v>3</v>
      </c>
      <c r="T4090">
        <v>0</v>
      </c>
      <c r="U4090">
        <v>9.3312000000000008</v>
      </c>
      <c r="V4090" t="str">
        <f t="shared" si="63"/>
        <v>Tony Chapman</v>
      </c>
      <c r="W4090">
        <f>Table2[Profit]/Table2[Sales]</f>
        <v>0.48000000000000004</v>
      </c>
    </row>
    <row r="4091" spans="1:23" x14ac:dyDescent="0.25">
      <c r="A4091">
        <v>4090</v>
      </c>
      <c r="B4091" t="s">
        <v>9679</v>
      </c>
      <c r="C4091" s="1">
        <v>42260</v>
      </c>
      <c r="D4091" s="1">
        <v>42264</v>
      </c>
      <c r="E4091" t="s">
        <v>49</v>
      </c>
      <c r="F4091" t="s">
        <v>4790</v>
      </c>
      <c r="G4091" t="s">
        <v>4791</v>
      </c>
      <c r="H4091" t="s">
        <v>25</v>
      </c>
      <c r="I4091" t="s">
        <v>26</v>
      </c>
      <c r="J4091" t="s">
        <v>1507</v>
      </c>
      <c r="K4091" t="s">
        <v>87</v>
      </c>
      <c r="L4091">
        <v>28540</v>
      </c>
      <c r="M4091" t="s">
        <v>29</v>
      </c>
      <c r="N4091" t="s">
        <v>2440</v>
      </c>
      <c r="O4091" t="s">
        <v>45</v>
      </c>
      <c r="P4091" t="s">
        <v>74</v>
      </c>
      <c r="Q4091" t="s">
        <v>2441</v>
      </c>
      <c r="R4091">
        <v>13.092000000000001</v>
      </c>
      <c r="S4091">
        <v>4</v>
      </c>
      <c r="T4091">
        <v>0.7</v>
      </c>
      <c r="U4091">
        <v>-10.0372</v>
      </c>
      <c r="V4091" t="str">
        <f t="shared" si="63"/>
        <v>Anne McFarland</v>
      </c>
      <c r="W4091">
        <f>Table2[Profit]/Table2[Sales]</f>
        <v>-0.76666666666666661</v>
      </c>
    </row>
    <row r="4092" spans="1:23" x14ac:dyDescent="0.25">
      <c r="A4092">
        <v>4091</v>
      </c>
      <c r="B4092" t="s">
        <v>9680</v>
      </c>
      <c r="C4092" s="1">
        <v>42003</v>
      </c>
      <c r="D4092" s="1">
        <v>42008</v>
      </c>
      <c r="E4092" t="s">
        <v>49</v>
      </c>
      <c r="F4092" t="s">
        <v>1663</v>
      </c>
      <c r="G4092" t="s">
        <v>1664</v>
      </c>
      <c r="H4092" t="s">
        <v>25</v>
      </c>
      <c r="I4092" t="s">
        <v>26</v>
      </c>
      <c r="J4092" t="s">
        <v>263</v>
      </c>
      <c r="K4092" t="s">
        <v>264</v>
      </c>
      <c r="L4092">
        <v>10035</v>
      </c>
      <c r="M4092" t="s">
        <v>145</v>
      </c>
      <c r="N4092" t="s">
        <v>9681</v>
      </c>
      <c r="O4092" t="s">
        <v>45</v>
      </c>
      <c r="P4092" t="s">
        <v>77</v>
      </c>
      <c r="Q4092" t="s">
        <v>9682</v>
      </c>
      <c r="R4092">
        <v>122.94</v>
      </c>
      <c r="S4092">
        <v>3</v>
      </c>
      <c r="T4092">
        <v>0</v>
      </c>
      <c r="U4092">
        <v>30.734999999999999</v>
      </c>
      <c r="V4092" t="str">
        <f t="shared" si="63"/>
        <v>Astrea Jones</v>
      </c>
      <c r="W4092">
        <f>Table2[Profit]/Table2[Sales]</f>
        <v>0.25</v>
      </c>
    </row>
    <row r="4093" spans="1:23" x14ac:dyDescent="0.25">
      <c r="A4093">
        <v>4092</v>
      </c>
      <c r="B4093" t="s">
        <v>9683</v>
      </c>
      <c r="C4093" s="1">
        <v>41758</v>
      </c>
      <c r="D4093" s="1">
        <v>41763</v>
      </c>
      <c r="E4093" t="s">
        <v>49</v>
      </c>
      <c r="F4093" t="s">
        <v>2847</v>
      </c>
      <c r="G4093" t="s">
        <v>2848</v>
      </c>
      <c r="H4093" t="s">
        <v>25</v>
      </c>
      <c r="I4093" t="s">
        <v>26</v>
      </c>
      <c r="J4093" t="s">
        <v>241</v>
      </c>
      <c r="K4093" t="s">
        <v>242</v>
      </c>
      <c r="L4093">
        <v>19901</v>
      </c>
      <c r="M4093" t="s">
        <v>145</v>
      </c>
      <c r="N4093" t="s">
        <v>1658</v>
      </c>
      <c r="O4093" t="s">
        <v>70</v>
      </c>
      <c r="P4093" t="s">
        <v>71</v>
      </c>
      <c r="Q4093" t="s">
        <v>1659</v>
      </c>
      <c r="R4093">
        <v>19.98</v>
      </c>
      <c r="S4093">
        <v>2</v>
      </c>
      <c r="T4093">
        <v>0</v>
      </c>
      <c r="U4093">
        <v>5.1947999999999999</v>
      </c>
      <c r="V4093" t="str">
        <f t="shared" si="63"/>
        <v>Katherine Hughes</v>
      </c>
      <c r="W4093">
        <f>Table2[Profit]/Table2[Sales]</f>
        <v>0.26</v>
      </c>
    </row>
    <row r="4094" spans="1:23" x14ac:dyDescent="0.25">
      <c r="A4094">
        <v>4093</v>
      </c>
      <c r="B4094" t="s">
        <v>9684</v>
      </c>
      <c r="C4094" s="1">
        <v>42765</v>
      </c>
      <c r="D4094" s="1">
        <v>42772</v>
      </c>
      <c r="E4094" t="s">
        <v>49</v>
      </c>
      <c r="F4094" t="s">
        <v>3576</v>
      </c>
      <c r="G4094" t="s">
        <v>3577</v>
      </c>
      <c r="H4094" t="s">
        <v>25</v>
      </c>
      <c r="I4094" t="s">
        <v>26</v>
      </c>
      <c r="J4094" t="s">
        <v>449</v>
      </c>
      <c r="K4094" t="s">
        <v>208</v>
      </c>
      <c r="L4094">
        <v>60505</v>
      </c>
      <c r="M4094" t="s">
        <v>104</v>
      </c>
      <c r="N4094" t="s">
        <v>6788</v>
      </c>
      <c r="O4094" t="s">
        <v>31</v>
      </c>
      <c r="P4094" t="s">
        <v>55</v>
      </c>
      <c r="Q4094" t="s">
        <v>6789</v>
      </c>
      <c r="R4094">
        <v>69.375</v>
      </c>
      <c r="S4094">
        <v>1</v>
      </c>
      <c r="T4094">
        <v>0.5</v>
      </c>
      <c r="U4094">
        <v>-47.174999999999997</v>
      </c>
      <c r="V4094" t="str">
        <f t="shared" si="63"/>
        <v>Liz Preis</v>
      </c>
      <c r="W4094">
        <f>Table2[Profit]/Table2[Sales]</f>
        <v>-0.67999999999999994</v>
      </c>
    </row>
    <row r="4095" spans="1:23" x14ac:dyDescent="0.25">
      <c r="A4095">
        <v>4094</v>
      </c>
      <c r="B4095" t="s">
        <v>9685</v>
      </c>
      <c r="C4095" s="1">
        <v>42729</v>
      </c>
      <c r="D4095" s="1">
        <v>42735</v>
      </c>
      <c r="E4095" t="s">
        <v>49</v>
      </c>
      <c r="F4095" t="s">
        <v>4698</v>
      </c>
      <c r="G4095" t="s">
        <v>4699</v>
      </c>
      <c r="H4095" t="s">
        <v>25</v>
      </c>
      <c r="I4095" t="s">
        <v>26</v>
      </c>
      <c r="J4095" t="s">
        <v>263</v>
      </c>
      <c r="K4095" t="s">
        <v>264</v>
      </c>
      <c r="L4095">
        <v>10009</v>
      </c>
      <c r="M4095" t="s">
        <v>145</v>
      </c>
      <c r="N4095" t="s">
        <v>1566</v>
      </c>
      <c r="O4095" t="s">
        <v>31</v>
      </c>
      <c r="P4095" t="s">
        <v>35</v>
      </c>
      <c r="Q4095" t="s">
        <v>1567</v>
      </c>
      <c r="R4095">
        <v>2563.056</v>
      </c>
      <c r="S4095">
        <v>8</v>
      </c>
      <c r="T4095">
        <v>0.1</v>
      </c>
      <c r="U4095">
        <v>313.26240000000001</v>
      </c>
      <c r="V4095" t="str">
        <f t="shared" si="63"/>
        <v>Joe Elijah</v>
      </c>
      <c r="W4095">
        <f>Table2[Profit]/Table2[Sales]</f>
        <v>0.12222222222222223</v>
      </c>
    </row>
    <row r="4096" spans="1:23" x14ac:dyDescent="0.25">
      <c r="A4096">
        <v>4095</v>
      </c>
      <c r="B4096" t="s">
        <v>9686</v>
      </c>
      <c r="C4096" s="1">
        <v>42663</v>
      </c>
      <c r="D4096" s="1">
        <v>42668</v>
      </c>
      <c r="E4096" t="s">
        <v>49</v>
      </c>
      <c r="F4096" t="s">
        <v>4107</v>
      </c>
      <c r="G4096" t="s">
        <v>4108</v>
      </c>
      <c r="H4096" t="s">
        <v>40</v>
      </c>
      <c r="I4096" t="s">
        <v>26</v>
      </c>
      <c r="J4096" t="s">
        <v>8902</v>
      </c>
      <c r="K4096" t="s">
        <v>42</v>
      </c>
      <c r="L4096">
        <v>92020</v>
      </c>
      <c r="M4096" t="s">
        <v>43</v>
      </c>
      <c r="N4096" t="s">
        <v>7667</v>
      </c>
      <c r="O4096" t="s">
        <v>31</v>
      </c>
      <c r="P4096" t="s">
        <v>35</v>
      </c>
      <c r="Q4096" t="s">
        <v>7668</v>
      </c>
      <c r="R4096">
        <v>387.13600000000002</v>
      </c>
      <c r="S4096">
        <v>4</v>
      </c>
      <c r="T4096">
        <v>0.2</v>
      </c>
      <c r="U4096">
        <v>4.8391999999999999</v>
      </c>
      <c r="V4096" t="str">
        <f t="shared" si="63"/>
        <v>Muhammed Yedwab</v>
      </c>
      <c r="W4096">
        <f>Table2[Profit]/Table2[Sales]</f>
        <v>1.2499999999999999E-2</v>
      </c>
    </row>
    <row r="4097" spans="1:23" x14ac:dyDescent="0.25">
      <c r="A4097">
        <v>4096</v>
      </c>
      <c r="B4097" t="s">
        <v>9687</v>
      </c>
      <c r="C4097" s="1">
        <v>42168</v>
      </c>
      <c r="D4097" s="1">
        <v>42170</v>
      </c>
      <c r="E4097" t="s">
        <v>22</v>
      </c>
      <c r="F4097" t="s">
        <v>8030</v>
      </c>
      <c r="G4097" t="s">
        <v>8031</v>
      </c>
      <c r="H4097" t="s">
        <v>101</v>
      </c>
      <c r="I4097" t="s">
        <v>26</v>
      </c>
      <c r="J4097" t="s">
        <v>311</v>
      </c>
      <c r="K4097" t="s">
        <v>491</v>
      </c>
      <c r="L4097">
        <v>45503</v>
      </c>
      <c r="M4097" t="s">
        <v>145</v>
      </c>
      <c r="N4097" t="s">
        <v>3866</v>
      </c>
      <c r="O4097" t="s">
        <v>45</v>
      </c>
      <c r="P4097" t="s">
        <v>67</v>
      </c>
      <c r="Q4097" t="s">
        <v>3867</v>
      </c>
      <c r="R4097">
        <v>3.4239999999999999</v>
      </c>
      <c r="S4097">
        <v>1</v>
      </c>
      <c r="T4097">
        <v>0.2</v>
      </c>
      <c r="U4097">
        <v>0.29959999999999998</v>
      </c>
      <c r="V4097" t="str">
        <f t="shared" si="63"/>
        <v>Frank Carlisle</v>
      </c>
      <c r="W4097">
        <f>Table2[Profit]/Table2[Sales]</f>
        <v>8.7499999999999994E-2</v>
      </c>
    </row>
    <row r="4098" spans="1:23" x14ac:dyDescent="0.25">
      <c r="A4098">
        <v>4097</v>
      </c>
      <c r="B4098" t="s">
        <v>9688</v>
      </c>
      <c r="C4098" s="1">
        <v>42916</v>
      </c>
      <c r="D4098" s="1">
        <v>42920</v>
      </c>
      <c r="E4098" t="s">
        <v>49</v>
      </c>
      <c r="F4098" t="s">
        <v>4498</v>
      </c>
      <c r="G4098" t="s">
        <v>4499</v>
      </c>
      <c r="H4098" t="s">
        <v>40</v>
      </c>
      <c r="I4098" t="s">
        <v>26</v>
      </c>
      <c r="J4098" t="s">
        <v>2263</v>
      </c>
      <c r="K4098" t="s">
        <v>264</v>
      </c>
      <c r="L4098">
        <v>10550</v>
      </c>
      <c r="M4098" t="s">
        <v>145</v>
      </c>
      <c r="N4098" t="s">
        <v>5963</v>
      </c>
      <c r="O4098" t="s">
        <v>45</v>
      </c>
      <c r="P4098" t="s">
        <v>58</v>
      </c>
      <c r="Q4098" t="s">
        <v>5964</v>
      </c>
      <c r="R4098">
        <v>1085.42</v>
      </c>
      <c r="S4098">
        <v>7</v>
      </c>
      <c r="T4098">
        <v>0</v>
      </c>
      <c r="U4098">
        <v>282.20920000000001</v>
      </c>
      <c r="V4098" t="str">
        <f t="shared" si="63"/>
        <v>Neil Ducich</v>
      </c>
      <c r="W4098">
        <f>Table2[Profit]/Table2[Sales]</f>
        <v>0.26</v>
      </c>
    </row>
    <row r="4099" spans="1:23" x14ac:dyDescent="0.25">
      <c r="A4099">
        <v>4098</v>
      </c>
      <c r="B4099" t="s">
        <v>9689</v>
      </c>
      <c r="C4099" s="1">
        <v>42181</v>
      </c>
      <c r="D4099" s="1">
        <v>42185</v>
      </c>
      <c r="E4099" t="s">
        <v>49</v>
      </c>
      <c r="F4099" t="s">
        <v>7488</v>
      </c>
      <c r="G4099" t="s">
        <v>7489</v>
      </c>
      <c r="H4099" t="s">
        <v>101</v>
      </c>
      <c r="I4099" t="s">
        <v>26</v>
      </c>
      <c r="J4099" t="s">
        <v>1111</v>
      </c>
      <c r="K4099" t="s">
        <v>491</v>
      </c>
      <c r="L4099">
        <v>44107</v>
      </c>
      <c r="M4099" t="s">
        <v>145</v>
      </c>
      <c r="N4099" t="s">
        <v>444</v>
      </c>
      <c r="O4099" t="s">
        <v>45</v>
      </c>
      <c r="P4099" t="s">
        <v>89</v>
      </c>
      <c r="Q4099" t="s">
        <v>445</v>
      </c>
      <c r="R4099">
        <v>43.055999999999997</v>
      </c>
      <c r="S4099">
        <v>9</v>
      </c>
      <c r="T4099">
        <v>0.2</v>
      </c>
      <c r="U4099">
        <v>15.607799999999999</v>
      </c>
      <c r="V4099" t="str">
        <f t="shared" ref="V4099:V4162" si="64">TRIM(G4099)</f>
        <v>Dennis Bolton</v>
      </c>
      <c r="W4099">
        <f>Table2[Profit]/Table2[Sales]</f>
        <v>0.36249999999999999</v>
      </c>
    </row>
    <row r="4100" spans="1:23" x14ac:dyDescent="0.25">
      <c r="A4100">
        <v>4099</v>
      </c>
      <c r="B4100" t="s">
        <v>9690</v>
      </c>
      <c r="C4100" s="1">
        <v>42421</v>
      </c>
      <c r="D4100" s="1">
        <v>42425</v>
      </c>
      <c r="E4100" t="s">
        <v>49</v>
      </c>
      <c r="F4100" t="s">
        <v>9577</v>
      </c>
      <c r="G4100" t="s">
        <v>9578</v>
      </c>
      <c r="H4100" t="s">
        <v>101</v>
      </c>
      <c r="I4100" t="s">
        <v>26</v>
      </c>
      <c r="J4100" t="s">
        <v>893</v>
      </c>
      <c r="K4100" t="s">
        <v>53</v>
      </c>
      <c r="L4100">
        <v>33614</v>
      </c>
      <c r="M4100" t="s">
        <v>29</v>
      </c>
      <c r="N4100" t="s">
        <v>3116</v>
      </c>
      <c r="O4100" t="s">
        <v>45</v>
      </c>
      <c r="P4100" t="s">
        <v>74</v>
      </c>
      <c r="Q4100" t="s">
        <v>3117</v>
      </c>
      <c r="R4100">
        <v>3.762</v>
      </c>
      <c r="S4100">
        <v>3</v>
      </c>
      <c r="T4100">
        <v>0.7</v>
      </c>
      <c r="U4100">
        <v>-2.7587999999999999</v>
      </c>
      <c r="V4100" t="str">
        <f t="shared" si="64"/>
        <v>Lindsay Castell</v>
      </c>
      <c r="W4100">
        <f>Table2[Profit]/Table2[Sales]</f>
        <v>-0.73333333333333328</v>
      </c>
    </row>
    <row r="4101" spans="1:23" x14ac:dyDescent="0.25">
      <c r="A4101">
        <v>4100</v>
      </c>
      <c r="B4101" t="s">
        <v>9691</v>
      </c>
      <c r="C4101" s="1">
        <v>42847</v>
      </c>
      <c r="D4101" s="1">
        <v>42851</v>
      </c>
      <c r="E4101" t="s">
        <v>49</v>
      </c>
      <c r="F4101" t="s">
        <v>1941</v>
      </c>
      <c r="G4101" t="s">
        <v>1942</v>
      </c>
      <c r="H4101" t="s">
        <v>25</v>
      </c>
      <c r="I4101" t="s">
        <v>26</v>
      </c>
      <c r="J4101" t="s">
        <v>490</v>
      </c>
      <c r="K4101" t="s">
        <v>1260</v>
      </c>
      <c r="L4101">
        <v>31907</v>
      </c>
      <c r="M4101" t="s">
        <v>29</v>
      </c>
      <c r="N4101" t="s">
        <v>3441</v>
      </c>
      <c r="O4101" t="s">
        <v>45</v>
      </c>
      <c r="P4101" t="s">
        <v>58</v>
      </c>
      <c r="Q4101" t="s">
        <v>3442</v>
      </c>
      <c r="R4101">
        <v>675.06</v>
      </c>
      <c r="S4101">
        <v>3</v>
      </c>
      <c r="T4101">
        <v>0</v>
      </c>
      <c r="U4101">
        <v>87.757800000000003</v>
      </c>
      <c r="V4101" t="str">
        <f t="shared" si="64"/>
        <v>Bruce Degenhardt</v>
      </c>
      <c r="W4101">
        <f>Table2[Profit]/Table2[Sales]</f>
        <v>0.13</v>
      </c>
    </row>
    <row r="4102" spans="1:23" x14ac:dyDescent="0.25">
      <c r="A4102">
        <v>4101</v>
      </c>
      <c r="B4102" t="s">
        <v>9692</v>
      </c>
      <c r="C4102" s="1">
        <v>42864</v>
      </c>
      <c r="D4102" s="1">
        <v>42865</v>
      </c>
      <c r="E4102" t="s">
        <v>185</v>
      </c>
      <c r="F4102" t="s">
        <v>1755</v>
      </c>
      <c r="G4102" t="s">
        <v>1756</v>
      </c>
      <c r="H4102" t="s">
        <v>40</v>
      </c>
      <c r="I4102" t="s">
        <v>26</v>
      </c>
      <c r="J4102" t="s">
        <v>1507</v>
      </c>
      <c r="K4102" t="s">
        <v>87</v>
      </c>
      <c r="L4102">
        <v>28540</v>
      </c>
      <c r="M4102" t="s">
        <v>29</v>
      </c>
      <c r="N4102" t="s">
        <v>498</v>
      </c>
      <c r="O4102" t="s">
        <v>45</v>
      </c>
      <c r="P4102" t="s">
        <v>170</v>
      </c>
      <c r="Q4102" t="s">
        <v>499</v>
      </c>
      <c r="R4102">
        <v>65.231999999999999</v>
      </c>
      <c r="S4102">
        <v>3</v>
      </c>
      <c r="T4102">
        <v>0.2</v>
      </c>
      <c r="U4102">
        <v>22.015799999999999</v>
      </c>
      <c r="V4102" t="str">
        <f t="shared" si="64"/>
        <v>Matt Connell</v>
      </c>
      <c r="W4102">
        <f>Table2[Profit]/Table2[Sales]</f>
        <v>0.33749999999999997</v>
      </c>
    </row>
    <row r="4103" spans="1:23" x14ac:dyDescent="0.25">
      <c r="A4103">
        <v>4102</v>
      </c>
      <c r="B4103" t="s">
        <v>9693</v>
      </c>
      <c r="C4103" s="1">
        <v>42359</v>
      </c>
      <c r="D4103" s="1">
        <v>42364</v>
      </c>
      <c r="E4103" t="s">
        <v>22</v>
      </c>
      <c r="F4103" t="s">
        <v>3687</v>
      </c>
      <c r="G4103" t="s">
        <v>3688</v>
      </c>
      <c r="H4103" t="s">
        <v>101</v>
      </c>
      <c r="I4103" t="s">
        <v>26</v>
      </c>
      <c r="J4103" t="s">
        <v>9072</v>
      </c>
      <c r="K4103" t="s">
        <v>208</v>
      </c>
      <c r="L4103">
        <v>60174</v>
      </c>
      <c r="M4103" t="s">
        <v>104</v>
      </c>
      <c r="N4103" t="s">
        <v>3237</v>
      </c>
      <c r="O4103" t="s">
        <v>70</v>
      </c>
      <c r="P4103" t="s">
        <v>675</v>
      </c>
      <c r="Q4103" t="s">
        <v>3238</v>
      </c>
      <c r="R4103">
        <v>600.53</v>
      </c>
      <c r="S4103">
        <v>2</v>
      </c>
      <c r="T4103">
        <v>0.3</v>
      </c>
      <c r="U4103">
        <v>137.26400000000001</v>
      </c>
      <c r="V4103" t="str">
        <f t="shared" si="64"/>
        <v>Sam Zeldin</v>
      </c>
      <c r="W4103">
        <f>Table2[Profit]/Table2[Sales]</f>
        <v>0.22857142857142859</v>
      </c>
    </row>
    <row r="4104" spans="1:23" x14ac:dyDescent="0.25">
      <c r="A4104">
        <v>4103</v>
      </c>
      <c r="B4104" t="s">
        <v>9694</v>
      </c>
      <c r="C4104" s="1">
        <v>41863</v>
      </c>
      <c r="D4104" s="1">
        <v>41867</v>
      </c>
      <c r="E4104" t="s">
        <v>49</v>
      </c>
      <c r="F4104" t="s">
        <v>6835</v>
      </c>
      <c r="G4104" t="s">
        <v>6836</v>
      </c>
      <c r="H4104" t="s">
        <v>101</v>
      </c>
      <c r="I4104" t="s">
        <v>26</v>
      </c>
      <c r="J4104" t="s">
        <v>1406</v>
      </c>
      <c r="K4104" t="s">
        <v>53</v>
      </c>
      <c r="L4104">
        <v>33180</v>
      </c>
      <c r="M4104" t="s">
        <v>29</v>
      </c>
      <c r="N4104" t="s">
        <v>8859</v>
      </c>
      <c r="O4104" t="s">
        <v>45</v>
      </c>
      <c r="P4104" t="s">
        <v>89</v>
      </c>
      <c r="Q4104" t="s">
        <v>8860</v>
      </c>
      <c r="R4104">
        <v>31.103999999999999</v>
      </c>
      <c r="S4104">
        <v>6</v>
      </c>
      <c r="T4104">
        <v>0.2</v>
      </c>
      <c r="U4104">
        <v>10.8864</v>
      </c>
      <c r="V4104" t="str">
        <f t="shared" si="64"/>
        <v>Duane Huffman</v>
      </c>
      <c r="W4104">
        <f>Table2[Profit]/Table2[Sales]</f>
        <v>0.35000000000000003</v>
      </c>
    </row>
    <row r="4105" spans="1:23" x14ac:dyDescent="0.25">
      <c r="A4105">
        <v>4104</v>
      </c>
      <c r="B4105" t="s">
        <v>9695</v>
      </c>
      <c r="C4105" s="1">
        <v>42349</v>
      </c>
      <c r="D4105" s="1">
        <v>42353</v>
      </c>
      <c r="E4105" t="s">
        <v>49</v>
      </c>
      <c r="F4105" t="s">
        <v>558</v>
      </c>
      <c r="G4105" t="s">
        <v>559</v>
      </c>
      <c r="H4105" t="s">
        <v>25</v>
      </c>
      <c r="I4105" t="s">
        <v>26</v>
      </c>
      <c r="J4105" t="s">
        <v>271</v>
      </c>
      <c r="K4105" t="s">
        <v>491</v>
      </c>
      <c r="L4105">
        <v>45373</v>
      </c>
      <c r="M4105" t="s">
        <v>145</v>
      </c>
      <c r="N4105" t="s">
        <v>5806</v>
      </c>
      <c r="O4105" t="s">
        <v>45</v>
      </c>
      <c r="P4105" t="s">
        <v>74</v>
      </c>
      <c r="Q4105" t="s">
        <v>5807</v>
      </c>
      <c r="R4105">
        <v>10.332000000000001</v>
      </c>
      <c r="S4105">
        <v>3</v>
      </c>
      <c r="T4105">
        <v>0.7</v>
      </c>
      <c r="U4105">
        <v>-7.5768000000000004</v>
      </c>
      <c r="V4105" t="str">
        <f t="shared" si="64"/>
        <v>Lena Creighton</v>
      </c>
      <c r="W4105">
        <f>Table2[Profit]/Table2[Sales]</f>
        <v>-0.73333333333333328</v>
      </c>
    </row>
    <row r="4106" spans="1:23" x14ac:dyDescent="0.25">
      <c r="A4106">
        <v>4105</v>
      </c>
      <c r="B4106" t="s">
        <v>9696</v>
      </c>
      <c r="C4106" s="1">
        <v>43042</v>
      </c>
      <c r="D4106" s="1">
        <v>43046</v>
      </c>
      <c r="E4106" t="s">
        <v>49</v>
      </c>
      <c r="F4106" t="s">
        <v>6479</v>
      </c>
      <c r="G4106" t="s">
        <v>6480</v>
      </c>
      <c r="H4106" t="s">
        <v>40</v>
      </c>
      <c r="I4106" t="s">
        <v>26</v>
      </c>
      <c r="J4106" t="s">
        <v>94</v>
      </c>
      <c r="K4106" t="s">
        <v>95</v>
      </c>
      <c r="L4106">
        <v>98103</v>
      </c>
      <c r="M4106" t="s">
        <v>43</v>
      </c>
      <c r="N4106" t="s">
        <v>4753</v>
      </c>
      <c r="O4106" t="s">
        <v>45</v>
      </c>
      <c r="P4106" t="s">
        <v>74</v>
      </c>
      <c r="Q4106" t="s">
        <v>4754</v>
      </c>
      <c r="R4106">
        <v>18.367999999999999</v>
      </c>
      <c r="S4106">
        <v>4</v>
      </c>
      <c r="T4106">
        <v>0.2</v>
      </c>
      <c r="U4106">
        <v>5.9695999999999998</v>
      </c>
      <c r="V4106" t="str">
        <f t="shared" si="64"/>
        <v>Jack O'Briant</v>
      </c>
      <c r="W4106">
        <f>Table2[Profit]/Table2[Sales]</f>
        <v>0.32500000000000001</v>
      </c>
    </row>
    <row r="4107" spans="1:23" x14ac:dyDescent="0.25">
      <c r="A4107">
        <v>4106</v>
      </c>
      <c r="B4107" t="s">
        <v>9697</v>
      </c>
      <c r="C4107" s="1">
        <v>42807</v>
      </c>
      <c r="D4107" s="1">
        <v>42811</v>
      </c>
      <c r="E4107" t="s">
        <v>49</v>
      </c>
      <c r="F4107" t="s">
        <v>2955</v>
      </c>
      <c r="G4107" t="s">
        <v>2956</v>
      </c>
      <c r="H4107" t="s">
        <v>25</v>
      </c>
      <c r="I4107" t="s">
        <v>26</v>
      </c>
      <c r="J4107" t="s">
        <v>263</v>
      </c>
      <c r="K4107" t="s">
        <v>264</v>
      </c>
      <c r="L4107">
        <v>10011</v>
      </c>
      <c r="M4107" t="s">
        <v>145</v>
      </c>
      <c r="N4107" t="s">
        <v>4661</v>
      </c>
      <c r="O4107" t="s">
        <v>70</v>
      </c>
      <c r="P4107" t="s">
        <v>71</v>
      </c>
      <c r="Q4107" t="s">
        <v>4662</v>
      </c>
      <c r="R4107">
        <v>299.89999999999998</v>
      </c>
      <c r="S4107">
        <v>2</v>
      </c>
      <c r="T4107">
        <v>0</v>
      </c>
      <c r="U4107">
        <v>74.974999999999994</v>
      </c>
      <c r="V4107" t="str">
        <f t="shared" si="64"/>
        <v>Meg Tillman</v>
      </c>
      <c r="W4107">
        <f>Table2[Profit]/Table2[Sales]</f>
        <v>0.25</v>
      </c>
    </row>
    <row r="4108" spans="1:23" x14ac:dyDescent="0.25">
      <c r="A4108">
        <v>4107</v>
      </c>
      <c r="B4108" t="s">
        <v>9698</v>
      </c>
      <c r="C4108" s="1">
        <v>42520</v>
      </c>
      <c r="D4108" s="1">
        <v>42524</v>
      </c>
      <c r="E4108" t="s">
        <v>49</v>
      </c>
      <c r="F4108" t="s">
        <v>4050</v>
      </c>
      <c r="G4108" t="s">
        <v>4051</v>
      </c>
      <c r="H4108" t="s">
        <v>40</v>
      </c>
      <c r="I4108" t="s">
        <v>26</v>
      </c>
      <c r="J4108" t="s">
        <v>1119</v>
      </c>
      <c r="K4108" t="s">
        <v>312</v>
      </c>
      <c r="L4108">
        <v>22204</v>
      </c>
      <c r="M4108" t="s">
        <v>29</v>
      </c>
      <c r="N4108" t="s">
        <v>494</v>
      </c>
      <c r="O4108" t="s">
        <v>45</v>
      </c>
      <c r="P4108" t="s">
        <v>170</v>
      </c>
      <c r="Q4108" t="s">
        <v>495</v>
      </c>
      <c r="R4108">
        <v>26.55</v>
      </c>
      <c r="S4108">
        <v>9</v>
      </c>
      <c r="T4108">
        <v>0</v>
      </c>
      <c r="U4108">
        <v>12.744</v>
      </c>
      <c r="V4108" t="str">
        <f t="shared" si="64"/>
        <v>Edward Becker</v>
      </c>
      <c r="W4108">
        <f>Table2[Profit]/Table2[Sales]</f>
        <v>0.48</v>
      </c>
    </row>
    <row r="4109" spans="1:23" x14ac:dyDescent="0.25">
      <c r="A4109">
        <v>4108</v>
      </c>
      <c r="B4109" t="s">
        <v>9699</v>
      </c>
      <c r="C4109" s="1">
        <v>42190</v>
      </c>
      <c r="D4109" s="1">
        <v>42196</v>
      </c>
      <c r="E4109" t="s">
        <v>49</v>
      </c>
      <c r="F4109" t="s">
        <v>2261</v>
      </c>
      <c r="G4109" t="s">
        <v>2262</v>
      </c>
      <c r="H4109" t="s">
        <v>40</v>
      </c>
      <c r="I4109" t="s">
        <v>26</v>
      </c>
      <c r="J4109" t="s">
        <v>460</v>
      </c>
      <c r="K4109" t="s">
        <v>87</v>
      </c>
      <c r="L4109">
        <v>28205</v>
      </c>
      <c r="M4109" t="s">
        <v>29</v>
      </c>
      <c r="N4109" t="s">
        <v>5633</v>
      </c>
      <c r="O4109" t="s">
        <v>31</v>
      </c>
      <c r="P4109" t="s">
        <v>64</v>
      </c>
      <c r="Q4109" t="s">
        <v>5634</v>
      </c>
      <c r="R4109">
        <v>4.9279999999999999</v>
      </c>
      <c r="S4109">
        <v>2</v>
      </c>
      <c r="T4109">
        <v>0.2</v>
      </c>
      <c r="U4109">
        <v>0.73919999999999997</v>
      </c>
      <c r="V4109" t="str">
        <f t="shared" si="64"/>
        <v>Roland Schwarz</v>
      </c>
      <c r="W4109">
        <f>Table2[Profit]/Table2[Sales]</f>
        <v>0.15</v>
      </c>
    </row>
    <row r="4110" spans="1:23" x14ac:dyDescent="0.25">
      <c r="A4110">
        <v>4109</v>
      </c>
      <c r="B4110" t="s">
        <v>9700</v>
      </c>
      <c r="C4110" s="1">
        <v>41709</v>
      </c>
      <c r="D4110" s="1">
        <v>41713</v>
      </c>
      <c r="E4110" t="s">
        <v>49</v>
      </c>
      <c r="F4110" t="s">
        <v>4978</v>
      </c>
      <c r="G4110" t="s">
        <v>4979</v>
      </c>
      <c r="H4110" t="s">
        <v>25</v>
      </c>
      <c r="I4110" t="s">
        <v>26</v>
      </c>
      <c r="J4110" t="s">
        <v>560</v>
      </c>
      <c r="K4110" t="s">
        <v>42</v>
      </c>
      <c r="L4110">
        <v>95661</v>
      </c>
      <c r="M4110" t="s">
        <v>43</v>
      </c>
      <c r="N4110" t="s">
        <v>6853</v>
      </c>
      <c r="O4110" t="s">
        <v>45</v>
      </c>
      <c r="P4110" t="s">
        <v>67</v>
      </c>
      <c r="Q4110" t="s">
        <v>6854</v>
      </c>
      <c r="R4110">
        <v>7.98</v>
      </c>
      <c r="S4110">
        <v>3</v>
      </c>
      <c r="T4110">
        <v>0</v>
      </c>
      <c r="U4110">
        <v>2.0748000000000002</v>
      </c>
      <c r="V4110" t="str">
        <f t="shared" si="64"/>
        <v>Richard Bierner</v>
      </c>
      <c r="W4110">
        <f>Table2[Profit]/Table2[Sales]</f>
        <v>0.26</v>
      </c>
    </row>
    <row r="4111" spans="1:23" x14ac:dyDescent="0.25">
      <c r="A4111">
        <v>4110</v>
      </c>
      <c r="B4111" t="s">
        <v>9701</v>
      </c>
      <c r="C4111" s="1">
        <v>42114</v>
      </c>
      <c r="D4111" s="1">
        <v>42118</v>
      </c>
      <c r="E4111" t="s">
        <v>49</v>
      </c>
      <c r="F4111" t="s">
        <v>1866</v>
      </c>
      <c r="G4111" t="s">
        <v>1867</v>
      </c>
      <c r="H4111" t="s">
        <v>25</v>
      </c>
      <c r="I4111" t="s">
        <v>26</v>
      </c>
      <c r="J4111" t="s">
        <v>873</v>
      </c>
      <c r="K4111" t="s">
        <v>235</v>
      </c>
      <c r="L4111">
        <v>48234</v>
      </c>
      <c r="M4111" t="s">
        <v>104</v>
      </c>
      <c r="N4111" t="s">
        <v>949</v>
      </c>
      <c r="O4111" t="s">
        <v>45</v>
      </c>
      <c r="P4111" t="s">
        <v>170</v>
      </c>
      <c r="Q4111" t="s">
        <v>950</v>
      </c>
      <c r="R4111">
        <v>180.96</v>
      </c>
      <c r="S4111">
        <v>2</v>
      </c>
      <c r="T4111">
        <v>0</v>
      </c>
      <c r="U4111">
        <v>81.432000000000002</v>
      </c>
      <c r="V4111" t="str">
        <f t="shared" si="64"/>
        <v>Olvera Toch</v>
      </c>
      <c r="W4111">
        <f>Table2[Profit]/Table2[Sales]</f>
        <v>0.45</v>
      </c>
    </row>
    <row r="4112" spans="1:23" x14ac:dyDescent="0.25">
      <c r="A4112">
        <v>4111</v>
      </c>
      <c r="B4112" t="s">
        <v>9702</v>
      </c>
      <c r="C4112" s="1">
        <v>42942</v>
      </c>
      <c r="D4112" s="1">
        <v>42948</v>
      </c>
      <c r="E4112" t="s">
        <v>49</v>
      </c>
      <c r="F4112" t="s">
        <v>3587</v>
      </c>
      <c r="G4112" t="s">
        <v>3588</v>
      </c>
      <c r="H4112" t="s">
        <v>40</v>
      </c>
      <c r="I4112" t="s">
        <v>26</v>
      </c>
      <c r="J4112" t="s">
        <v>41</v>
      </c>
      <c r="K4112" t="s">
        <v>42</v>
      </c>
      <c r="L4112">
        <v>90036</v>
      </c>
      <c r="M4112" t="s">
        <v>43</v>
      </c>
      <c r="N4112" t="s">
        <v>8022</v>
      </c>
      <c r="O4112" t="s">
        <v>70</v>
      </c>
      <c r="P4112" t="s">
        <v>158</v>
      </c>
      <c r="Q4112" t="s">
        <v>8023</v>
      </c>
      <c r="R4112">
        <v>1649.95</v>
      </c>
      <c r="S4112">
        <v>5</v>
      </c>
      <c r="T4112">
        <v>0</v>
      </c>
      <c r="U4112">
        <v>659.98</v>
      </c>
      <c r="V4112" t="str">
        <f t="shared" si="64"/>
        <v>George Zrebassa</v>
      </c>
      <c r="W4112">
        <f>Table2[Profit]/Table2[Sales]</f>
        <v>0.4</v>
      </c>
    </row>
    <row r="4113" spans="1:23" x14ac:dyDescent="0.25">
      <c r="A4113">
        <v>4112</v>
      </c>
      <c r="B4113" t="s">
        <v>9703</v>
      </c>
      <c r="C4113" s="1">
        <v>41943</v>
      </c>
      <c r="D4113" s="1">
        <v>41945</v>
      </c>
      <c r="E4113" t="s">
        <v>22</v>
      </c>
      <c r="F4113" t="s">
        <v>5672</v>
      </c>
      <c r="G4113" t="s">
        <v>5673</v>
      </c>
      <c r="H4113" t="s">
        <v>101</v>
      </c>
      <c r="I4113" t="s">
        <v>26</v>
      </c>
      <c r="J4113" t="s">
        <v>126</v>
      </c>
      <c r="K4113" t="s">
        <v>42</v>
      </c>
      <c r="L4113">
        <v>94110</v>
      </c>
      <c r="M4113" t="s">
        <v>43</v>
      </c>
      <c r="N4113" t="s">
        <v>1990</v>
      </c>
      <c r="O4113" t="s">
        <v>70</v>
      </c>
      <c r="P4113" t="s">
        <v>71</v>
      </c>
      <c r="Q4113" t="s">
        <v>1991</v>
      </c>
      <c r="R4113">
        <v>73.584000000000003</v>
      </c>
      <c r="S4113">
        <v>2</v>
      </c>
      <c r="T4113">
        <v>0.2</v>
      </c>
      <c r="U4113">
        <v>8.2782</v>
      </c>
      <c r="V4113" t="str">
        <f t="shared" si="64"/>
        <v>Nancy Lomonaco</v>
      </c>
      <c r="W4113">
        <f>Table2[Profit]/Table2[Sales]</f>
        <v>0.11249999999999999</v>
      </c>
    </row>
    <row r="4114" spans="1:23" x14ac:dyDescent="0.25">
      <c r="A4114">
        <v>4113</v>
      </c>
      <c r="B4114" t="s">
        <v>9704</v>
      </c>
      <c r="C4114" s="1">
        <v>43042</v>
      </c>
      <c r="D4114" s="1">
        <v>43048</v>
      </c>
      <c r="E4114" t="s">
        <v>49</v>
      </c>
      <c r="F4114" t="s">
        <v>6319</v>
      </c>
      <c r="G4114" t="s">
        <v>6320</v>
      </c>
      <c r="H4114" t="s">
        <v>25</v>
      </c>
      <c r="I4114" t="s">
        <v>26</v>
      </c>
      <c r="J4114" t="s">
        <v>5826</v>
      </c>
      <c r="K4114" t="s">
        <v>42</v>
      </c>
      <c r="L4114">
        <v>93309</v>
      </c>
      <c r="M4114" t="s">
        <v>43</v>
      </c>
      <c r="N4114" t="s">
        <v>8113</v>
      </c>
      <c r="O4114" t="s">
        <v>31</v>
      </c>
      <c r="P4114" t="s">
        <v>55</v>
      </c>
      <c r="Q4114" t="s">
        <v>8114</v>
      </c>
      <c r="R4114">
        <v>486.36799999999999</v>
      </c>
      <c r="S4114">
        <v>4</v>
      </c>
      <c r="T4114">
        <v>0.2</v>
      </c>
      <c r="U4114">
        <v>36.477600000000002</v>
      </c>
      <c r="V4114" t="str">
        <f t="shared" si="64"/>
        <v>Bruce Geld</v>
      </c>
      <c r="W4114">
        <f>Table2[Profit]/Table2[Sales]</f>
        <v>7.5000000000000011E-2</v>
      </c>
    </row>
    <row r="4115" spans="1:23" x14ac:dyDescent="0.25">
      <c r="A4115">
        <v>4114</v>
      </c>
      <c r="B4115" t="s">
        <v>9705</v>
      </c>
      <c r="C4115" s="1">
        <v>42593</v>
      </c>
      <c r="D4115" s="1">
        <v>42598</v>
      </c>
      <c r="E4115" t="s">
        <v>49</v>
      </c>
      <c r="F4115" t="s">
        <v>1641</v>
      </c>
      <c r="G4115" t="s">
        <v>1642</v>
      </c>
      <c r="H4115" t="s">
        <v>101</v>
      </c>
      <c r="I4115" t="s">
        <v>26</v>
      </c>
      <c r="J4115" t="s">
        <v>4454</v>
      </c>
      <c r="K4115" t="s">
        <v>641</v>
      </c>
      <c r="L4115">
        <v>74133</v>
      </c>
      <c r="M4115" t="s">
        <v>104</v>
      </c>
      <c r="N4115" t="s">
        <v>2606</v>
      </c>
      <c r="O4115" t="s">
        <v>45</v>
      </c>
      <c r="P4115" t="s">
        <v>89</v>
      </c>
      <c r="Q4115" t="s">
        <v>2607</v>
      </c>
      <c r="R4115">
        <v>32.4</v>
      </c>
      <c r="S4115">
        <v>5</v>
      </c>
      <c r="T4115">
        <v>0</v>
      </c>
      <c r="U4115">
        <v>15.552</v>
      </c>
      <c r="V4115" t="str">
        <f t="shared" si="64"/>
        <v>Michelle Tran</v>
      </c>
      <c r="W4115">
        <f>Table2[Profit]/Table2[Sales]</f>
        <v>0.48</v>
      </c>
    </row>
    <row r="4116" spans="1:23" x14ac:dyDescent="0.25">
      <c r="A4116">
        <v>4115</v>
      </c>
      <c r="B4116" t="s">
        <v>9706</v>
      </c>
      <c r="C4116" s="1">
        <v>42576</v>
      </c>
      <c r="D4116" s="1">
        <v>42576</v>
      </c>
      <c r="E4116" t="s">
        <v>1278</v>
      </c>
      <c r="F4116" t="s">
        <v>5210</v>
      </c>
      <c r="G4116" t="s">
        <v>5211</v>
      </c>
      <c r="H4116" t="s">
        <v>101</v>
      </c>
      <c r="I4116" t="s">
        <v>26</v>
      </c>
      <c r="J4116" t="s">
        <v>126</v>
      </c>
      <c r="K4116" t="s">
        <v>42</v>
      </c>
      <c r="L4116">
        <v>94122</v>
      </c>
      <c r="M4116" t="s">
        <v>43</v>
      </c>
      <c r="N4116" t="s">
        <v>3969</v>
      </c>
      <c r="O4116" t="s">
        <v>45</v>
      </c>
      <c r="P4116" t="s">
        <v>67</v>
      </c>
      <c r="Q4116" t="s">
        <v>3970</v>
      </c>
      <c r="R4116">
        <v>37.17</v>
      </c>
      <c r="S4116">
        <v>9</v>
      </c>
      <c r="T4116">
        <v>0</v>
      </c>
      <c r="U4116">
        <v>11.151</v>
      </c>
      <c r="V4116" t="str">
        <f t="shared" si="64"/>
        <v>Becky Castell</v>
      </c>
      <c r="W4116">
        <f>Table2[Profit]/Table2[Sales]</f>
        <v>0.3</v>
      </c>
    </row>
    <row r="4117" spans="1:23" x14ac:dyDescent="0.25">
      <c r="A4117">
        <v>4116</v>
      </c>
      <c r="B4117" t="s">
        <v>9707</v>
      </c>
      <c r="C4117" s="1">
        <v>41699</v>
      </c>
      <c r="D4117" s="1">
        <v>41705</v>
      </c>
      <c r="E4117" t="s">
        <v>49</v>
      </c>
      <c r="F4117" t="s">
        <v>4531</v>
      </c>
      <c r="G4117" t="s">
        <v>4532</v>
      </c>
      <c r="H4117" t="s">
        <v>25</v>
      </c>
      <c r="I4117" t="s">
        <v>26</v>
      </c>
      <c r="J4117" t="s">
        <v>181</v>
      </c>
      <c r="K4117" t="s">
        <v>103</v>
      </c>
      <c r="L4117">
        <v>77036</v>
      </c>
      <c r="M4117" t="s">
        <v>104</v>
      </c>
      <c r="N4117" t="s">
        <v>5092</v>
      </c>
      <c r="O4117" t="s">
        <v>45</v>
      </c>
      <c r="P4117" t="s">
        <v>58</v>
      </c>
      <c r="Q4117" t="s">
        <v>5093</v>
      </c>
      <c r="R4117">
        <v>137.352</v>
      </c>
      <c r="S4117">
        <v>3</v>
      </c>
      <c r="T4117">
        <v>0.2</v>
      </c>
      <c r="U4117">
        <v>8.5845000000000002</v>
      </c>
      <c r="V4117" t="str">
        <f t="shared" si="64"/>
        <v>Giulietta Weimer</v>
      </c>
      <c r="W4117">
        <f>Table2[Profit]/Table2[Sales]</f>
        <v>6.25E-2</v>
      </c>
    </row>
    <row r="4118" spans="1:23" x14ac:dyDescent="0.25">
      <c r="A4118">
        <v>4117</v>
      </c>
      <c r="B4118" t="s">
        <v>9708</v>
      </c>
      <c r="C4118" s="1">
        <v>42761</v>
      </c>
      <c r="D4118" s="1">
        <v>42766</v>
      </c>
      <c r="E4118" t="s">
        <v>49</v>
      </c>
      <c r="F4118" t="s">
        <v>1818</v>
      </c>
      <c r="G4118" t="s">
        <v>1819</v>
      </c>
      <c r="H4118" t="s">
        <v>25</v>
      </c>
      <c r="I4118" t="s">
        <v>26</v>
      </c>
      <c r="J4118" t="s">
        <v>490</v>
      </c>
      <c r="K4118" t="s">
        <v>1260</v>
      </c>
      <c r="L4118">
        <v>31907</v>
      </c>
      <c r="M4118" t="s">
        <v>29</v>
      </c>
      <c r="N4118" t="s">
        <v>515</v>
      </c>
      <c r="O4118" t="s">
        <v>31</v>
      </c>
      <c r="P4118" t="s">
        <v>64</v>
      </c>
      <c r="Q4118" t="s">
        <v>516</v>
      </c>
      <c r="R4118">
        <v>62.72</v>
      </c>
      <c r="S4118">
        <v>4</v>
      </c>
      <c r="T4118">
        <v>0</v>
      </c>
      <c r="U4118">
        <v>24.460799999999999</v>
      </c>
      <c r="V4118" t="str">
        <f t="shared" si="64"/>
        <v>Bradley Drucker</v>
      </c>
      <c r="W4118">
        <f>Table2[Profit]/Table2[Sales]</f>
        <v>0.39</v>
      </c>
    </row>
    <row r="4119" spans="1:23" x14ac:dyDescent="0.25">
      <c r="A4119">
        <v>4118</v>
      </c>
      <c r="B4119" t="s">
        <v>9709</v>
      </c>
      <c r="C4119" s="1">
        <v>41832</v>
      </c>
      <c r="D4119" s="1">
        <v>41836</v>
      </c>
      <c r="E4119" t="s">
        <v>49</v>
      </c>
      <c r="F4119" t="s">
        <v>3173</v>
      </c>
      <c r="G4119" t="s">
        <v>3174</v>
      </c>
      <c r="H4119" t="s">
        <v>101</v>
      </c>
      <c r="I4119" t="s">
        <v>26</v>
      </c>
      <c r="J4119" t="s">
        <v>7666</v>
      </c>
      <c r="K4119" t="s">
        <v>103</v>
      </c>
      <c r="L4119">
        <v>77573</v>
      </c>
      <c r="M4119" t="s">
        <v>104</v>
      </c>
      <c r="N4119" t="s">
        <v>3265</v>
      </c>
      <c r="O4119" t="s">
        <v>31</v>
      </c>
      <c r="P4119" t="s">
        <v>35</v>
      </c>
      <c r="Q4119" t="s">
        <v>3266</v>
      </c>
      <c r="R4119">
        <v>512.35799999999995</v>
      </c>
      <c r="S4119">
        <v>3</v>
      </c>
      <c r="T4119">
        <v>0.3</v>
      </c>
      <c r="U4119">
        <v>-14.6388</v>
      </c>
      <c r="V4119" t="str">
        <f t="shared" si="64"/>
        <v>Paul Van Hugh</v>
      </c>
      <c r="W4119">
        <f>Table2[Profit]/Table2[Sales]</f>
        <v>-2.8571428571428574E-2</v>
      </c>
    </row>
    <row r="4120" spans="1:23" x14ac:dyDescent="0.25">
      <c r="A4120">
        <v>4119</v>
      </c>
      <c r="B4120" t="s">
        <v>9710</v>
      </c>
      <c r="C4120" s="1">
        <v>42836</v>
      </c>
      <c r="D4120" s="1">
        <v>42841</v>
      </c>
      <c r="E4120" t="s">
        <v>49</v>
      </c>
      <c r="F4120" t="s">
        <v>316</v>
      </c>
      <c r="G4120" t="s">
        <v>317</v>
      </c>
      <c r="H4120" t="s">
        <v>25</v>
      </c>
      <c r="I4120" t="s">
        <v>26</v>
      </c>
      <c r="J4120" t="s">
        <v>2189</v>
      </c>
      <c r="K4120" t="s">
        <v>87</v>
      </c>
      <c r="L4120">
        <v>27217</v>
      </c>
      <c r="M4120" t="s">
        <v>29</v>
      </c>
      <c r="N4120" t="s">
        <v>3461</v>
      </c>
      <c r="O4120" t="s">
        <v>45</v>
      </c>
      <c r="P4120" t="s">
        <v>67</v>
      </c>
      <c r="Q4120" t="s">
        <v>3462</v>
      </c>
      <c r="R4120">
        <v>1.752</v>
      </c>
      <c r="S4120">
        <v>1</v>
      </c>
      <c r="T4120">
        <v>0.2</v>
      </c>
      <c r="U4120">
        <v>0.15329999999999999</v>
      </c>
      <c r="V4120" t="str">
        <f t="shared" si="64"/>
        <v>Henry MacAllister</v>
      </c>
      <c r="W4120">
        <f>Table2[Profit]/Table2[Sales]</f>
        <v>8.7499999999999994E-2</v>
      </c>
    </row>
    <row r="4121" spans="1:23" x14ac:dyDescent="0.25">
      <c r="A4121">
        <v>4120</v>
      </c>
      <c r="B4121" t="s">
        <v>9711</v>
      </c>
      <c r="C4121" s="1">
        <v>43052</v>
      </c>
      <c r="D4121" s="1">
        <v>43057</v>
      </c>
      <c r="E4121" t="s">
        <v>49</v>
      </c>
      <c r="F4121" t="s">
        <v>1636</v>
      </c>
      <c r="G4121" t="s">
        <v>1637</v>
      </c>
      <c r="H4121" t="s">
        <v>25</v>
      </c>
      <c r="I4121" t="s">
        <v>26</v>
      </c>
      <c r="J4121" t="s">
        <v>263</v>
      </c>
      <c r="K4121" t="s">
        <v>264</v>
      </c>
      <c r="L4121">
        <v>10009</v>
      </c>
      <c r="M4121" t="s">
        <v>145</v>
      </c>
      <c r="N4121" t="s">
        <v>2316</v>
      </c>
      <c r="O4121" t="s">
        <v>45</v>
      </c>
      <c r="P4121" t="s">
        <v>58</v>
      </c>
      <c r="Q4121" t="s">
        <v>2317</v>
      </c>
      <c r="R4121">
        <v>11.21</v>
      </c>
      <c r="S4121">
        <v>1</v>
      </c>
      <c r="T4121">
        <v>0</v>
      </c>
      <c r="U4121">
        <v>3.363</v>
      </c>
      <c r="V4121" t="str">
        <f t="shared" si="64"/>
        <v>Erin Mull</v>
      </c>
      <c r="W4121">
        <f>Table2[Profit]/Table2[Sales]</f>
        <v>0.3</v>
      </c>
    </row>
    <row r="4122" spans="1:23" x14ac:dyDescent="0.25">
      <c r="A4122">
        <v>4121</v>
      </c>
      <c r="B4122" t="s">
        <v>9712</v>
      </c>
      <c r="C4122" s="1">
        <v>42343</v>
      </c>
      <c r="D4122" s="1">
        <v>42344</v>
      </c>
      <c r="E4122" t="s">
        <v>185</v>
      </c>
      <c r="F4122" t="s">
        <v>141</v>
      </c>
      <c r="G4122" t="s">
        <v>142</v>
      </c>
      <c r="H4122" t="s">
        <v>25</v>
      </c>
      <c r="I4122" t="s">
        <v>26</v>
      </c>
      <c r="J4122" t="s">
        <v>808</v>
      </c>
      <c r="K4122" t="s">
        <v>103</v>
      </c>
      <c r="L4122">
        <v>75220</v>
      </c>
      <c r="M4122" t="s">
        <v>104</v>
      </c>
      <c r="N4122" t="s">
        <v>6099</v>
      </c>
      <c r="O4122" t="s">
        <v>45</v>
      </c>
      <c r="P4122" t="s">
        <v>67</v>
      </c>
      <c r="Q4122" t="s">
        <v>6100</v>
      </c>
      <c r="R4122">
        <v>45.04</v>
      </c>
      <c r="S4122">
        <v>2</v>
      </c>
      <c r="T4122">
        <v>0.2</v>
      </c>
      <c r="U4122">
        <v>4.5039999999999996</v>
      </c>
      <c r="V4122" t="str">
        <f t="shared" si="64"/>
        <v>Sandra Flanagan</v>
      </c>
      <c r="W4122">
        <f>Table2[Profit]/Table2[Sales]</f>
        <v>9.9999999999999992E-2</v>
      </c>
    </row>
    <row r="4123" spans="1:23" x14ac:dyDescent="0.25">
      <c r="A4123">
        <v>4122</v>
      </c>
      <c r="B4123" t="s">
        <v>9713</v>
      </c>
      <c r="C4123" s="1">
        <v>42639</v>
      </c>
      <c r="D4123" s="1">
        <v>42644</v>
      </c>
      <c r="E4123" t="s">
        <v>49</v>
      </c>
      <c r="F4123" t="s">
        <v>5407</v>
      </c>
      <c r="G4123" t="s">
        <v>5408</v>
      </c>
      <c r="H4123" t="s">
        <v>25</v>
      </c>
      <c r="I4123" t="s">
        <v>26</v>
      </c>
      <c r="J4123" t="s">
        <v>181</v>
      </c>
      <c r="K4123" t="s">
        <v>103</v>
      </c>
      <c r="L4123">
        <v>77095</v>
      </c>
      <c r="M4123" t="s">
        <v>104</v>
      </c>
      <c r="N4123" t="s">
        <v>3498</v>
      </c>
      <c r="O4123" t="s">
        <v>45</v>
      </c>
      <c r="P4123" t="s">
        <v>74</v>
      </c>
      <c r="Q4123" t="s">
        <v>8382</v>
      </c>
      <c r="R4123">
        <v>15.624000000000001</v>
      </c>
      <c r="S4123">
        <v>2</v>
      </c>
      <c r="T4123">
        <v>0.8</v>
      </c>
      <c r="U4123">
        <v>-24.9984</v>
      </c>
      <c r="V4123" t="str">
        <f t="shared" si="64"/>
        <v>Shahid Collister</v>
      </c>
      <c r="W4123">
        <f>Table2[Profit]/Table2[Sales]</f>
        <v>-1.5999999999999999</v>
      </c>
    </row>
    <row r="4124" spans="1:23" x14ac:dyDescent="0.25">
      <c r="A4124">
        <v>4123</v>
      </c>
      <c r="B4124" t="s">
        <v>9714</v>
      </c>
      <c r="C4124" s="1">
        <v>42693</v>
      </c>
      <c r="D4124" s="1">
        <v>42699</v>
      </c>
      <c r="E4124" t="s">
        <v>49</v>
      </c>
      <c r="F4124" t="s">
        <v>3660</v>
      </c>
      <c r="G4124" t="s">
        <v>3661</v>
      </c>
      <c r="H4124" t="s">
        <v>25</v>
      </c>
      <c r="I4124" t="s">
        <v>26</v>
      </c>
      <c r="J4124" t="s">
        <v>1161</v>
      </c>
      <c r="K4124" t="s">
        <v>264</v>
      </c>
      <c r="L4124">
        <v>11561</v>
      </c>
      <c r="M4124" t="s">
        <v>145</v>
      </c>
      <c r="N4124" t="s">
        <v>6353</v>
      </c>
      <c r="O4124" t="s">
        <v>45</v>
      </c>
      <c r="P4124" t="s">
        <v>77</v>
      </c>
      <c r="Q4124" t="s">
        <v>6354</v>
      </c>
      <c r="R4124">
        <v>8.74</v>
      </c>
      <c r="S4124">
        <v>2</v>
      </c>
      <c r="T4124">
        <v>0</v>
      </c>
      <c r="U4124">
        <v>2.2724000000000002</v>
      </c>
      <c r="V4124" t="str">
        <f t="shared" si="64"/>
        <v>Natalie DeCherney</v>
      </c>
      <c r="W4124">
        <f>Table2[Profit]/Table2[Sales]</f>
        <v>0.26</v>
      </c>
    </row>
    <row r="4125" spans="1:23" x14ac:dyDescent="0.25">
      <c r="A4125">
        <v>4124</v>
      </c>
      <c r="B4125" t="s">
        <v>9715</v>
      </c>
      <c r="C4125" s="1">
        <v>42986</v>
      </c>
      <c r="D4125" s="1">
        <v>42987</v>
      </c>
      <c r="E4125" t="s">
        <v>185</v>
      </c>
      <c r="F4125" t="s">
        <v>8030</v>
      </c>
      <c r="G4125" t="s">
        <v>8031</v>
      </c>
      <c r="H4125" t="s">
        <v>101</v>
      </c>
      <c r="I4125" t="s">
        <v>26</v>
      </c>
      <c r="J4125" t="s">
        <v>2298</v>
      </c>
      <c r="K4125" t="s">
        <v>53</v>
      </c>
      <c r="L4125">
        <v>33012</v>
      </c>
      <c r="M4125" t="s">
        <v>29</v>
      </c>
      <c r="N4125" t="s">
        <v>1611</v>
      </c>
      <c r="O4125" t="s">
        <v>45</v>
      </c>
      <c r="P4125" t="s">
        <v>58</v>
      </c>
      <c r="Q4125" t="s">
        <v>1612</v>
      </c>
      <c r="R4125">
        <v>61.68</v>
      </c>
      <c r="S4125">
        <v>5</v>
      </c>
      <c r="T4125">
        <v>0.2</v>
      </c>
      <c r="U4125">
        <v>5.3970000000000002</v>
      </c>
      <c r="V4125" t="str">
        <f t="shared" si="64"/>
        <v>Frank Carlisle</v>
      </c>
      <c r="W4125">
        <f>Table2[Profit]/Table2[Sales]</f>
        <v>8.7500000000000008E-2</v>
      </c>
    </row>
    <row r="4126" spans="1:23" x14ac:dyDescent="0.25">
      <c r="A4126">
        <v>4125</v>
      </c>
      <c r="B4126" t="s">
        <v>9716</v>
      </c>
      <c r="C4126" s="1">
        <v>42937</v>
      </c>
      <c r="D4126" s="1">
        <v>42940</v>
      </c>
      <c r="E4126" t="s">
        <v>22</v>
      </c>
      <c r="F4126" t="s">
        <v>1071</v>
      </c>
      <c r="G4126" t="s">
        <v>1072</v>
      </c>
      <c r="H4126" t="s">
        <v>40</v>
      </c>
      <c r="I4126" t="s">
        <v>26</v>
      </c>
      <c r="J4126" t="s">
        <v>449</v>
      </c>
      <c r="K4126" t="s">
        <v>208</v>
      </c>
      <c r="L4126">
        <v>60505</v>
      </c>
      <c r="M4126" t="s">
        <v>104</v>
      </c>
      <c r="N4126" t="s">
        <v>741</v>
      </c>
      <c r="O4126" t="s">
        <v>45</v>
      </c>
      <c r="P4126" t="s">
        <v>74</v>
      </c>
      <c r="Q4126" t="s">
        <v>742</v>
      </c>
      <c r="R4126">
        <v>2.8639999999999999</v>
      </c>
      <c r="S4126">
        <v>4</v>
      </c>
      <c r="T4126">
        <v>0.8</v>
      </c>
      <c r="U4126">
        <v>-4.5823999999999998</v>
      </c>
      <c r="V4126" t="str">
        <f t="shared" si="64"/>
        <v>Kelly Lampkin</v>
      </c>
      <c r="W4126">
        <f>Table2[Profit]/Table2[Sales]</f>
        <v>-1.6</v>
      </c>
    </row>
    <row r="4127" spans="1:23" x14ac:dyDescent="0.25">
      <c r="A4127">
        <v>4126</v>
      </c>
      <c r="B4127" t="s">
        <v>9717</v>
      </c>
      <c r="C4127" s="1">
        <v>43014</v>
      </c>
      <c r="D4127" s="1">
        <v>43019</v>
      </c>
      <c r="E4127" t="s">
        <v>49</v>
      </c>
      <c r="F4127" t="s">
        <v>1631</v>
      </c>
      <c r="G4127" t="s">
        <v>1632</v>
      </c>
      <c r="H4127" t="s">
        <v>25</v>
      </c>
      <c r="I4127" t="s">
        <v>26</v>
      </c>
      <c r="J4127" t="s">
        <v>1085</v>
      </c>
      <c r="K4127" t="s">
        <v>781</v>
      </c>
      <c r="L4127">
        <v>7109</v>
      </c>
      <c r="M4127" t="s">
        <v>145</v>
      </c>
      <c r="N4127" t="s">
        <v>4099</v>
      </c>
      <c r="O4127" t="s">
        <v>45</v>
      </c>
      <c r="P4127" t="s">
        <v>89</v>
      </c>
      <c r="Q4127" t="s">
        <v>4100</v>
      </c>
      <c r="R4127">
        <v>143.69999999999999</v>
      </c>
      <c r="S4127">
        <v>3</v>
      </c>
      <c r="T4127">
        <v>0</v>
      </c>
      <c r="U4127">
        <v>68.975999999999999</v>
      </c>
      <c r="V4127" t="str">
        <f t="shared" si="64"/>
        <v>Xylona Preis</v>
      </c>
      <c r="W4127">
        <f>Table2[Profit]/Table2[Sales]</f>
        <v>0.48000000000000004</v>
      </c>
    </row>
    <row r="4128" spans="1:23" x14ac:dyDescent="0.25">
      <c r="A4128">
        <v>4127</v>
      </c>
      <c r="B4128" t="s">
        <v>9718</v>
      </c>
      <c r="C4128" s="1">
        <v>43046</v>
      </c>
      <c r="D4128" s="1">
        <v>43050</v>
      </c>
      <c r="E4128" t="s">
        <v>49</v>
      </c>
      <c r="F4128" t="s">
        <v>1892</v>
      </c>
      <c r="G4128" t="s">
        <v>1893</v>
      </c>
      <c r="H4128" t="s">
        <v>25</v>
      </c>
      <c r="I4128" t="s">
        <v>26</v>
      </c>
      <c r="J4128" t="s">
        <v>263</v>
      </c>
      <c r="K4128" t="s">
        <v>264</v>
      </c>
      <c r="L4128">
        <v>10024</v>
      </c>
      <c r="M4128" t="s">
        <v>145</v>
      </c>
      <c r="N4128" t="s">
        <v>9719</v>
      </c>
      <c r="O4128" t="s">
        <v>70</v>
      </c>
      <c r="P4128" t="s">
        <v>158</v>
      </c>
      <c r="Q4128" t="s">
        <v>9720</v>
      </c>
      <c r="R4128">
        <v>7.88</v>
      </c>
      <c r="S4128">
        <v>4</v>
      </c>
      <c r="T4128">
        <v>0</v>
      </c>
      <c r="U4128">
        <v>2.5215999999999998</v>
      </c>
      <c r="V4128" t="str">
        <f t="shared" si="64"/>
        <v>Frank Preis</v>
      </c>
      <c r="W4128">
        <f>Table2[Profit]/Table2[Sales]</f>
        <v>0.32</v>
      </c>
    </row>
    <row r="4129" spans="1:23" x14ac:dyDescent="0.25">
      <c r="A4129">
        <v>4128</v>
      </c>
      <c r="B4129" t="s">
        <v>9721</v>
      </c>
      <c r="C4129" s="1">
        <v>42438</v>
      </c>
      <c r="D4129" s="1">
        <v>42441</v>
      </c>
      <c r="E4129" t="s">
        <v>185</v>
      </c>
      <c r="F4129" t="s">
        <v>4275</v>
      </c>
      <c r="G4129" t="s">
        <v>4276</v>
      </c>
      <c r="H4129" t="s">
        <v>25</v>
      </c>
      <c r="I4129" t="s">
        <v>26</v>
      </c>
      <c r="J4129" t="s">
        <v>9722</v>
      </c>
      <c r="K4129" t="s">
        <v>1233</v>
      </c>
      <c r="L4129">
        <v>1810</v>
      </c>
      <c r="M4129" t="s">
        <v>145</v>
      </c>
      <c r="N4129" t="s">
        <v>2316</v>
      </c>
      <c r="O4129" t="s">
        <v>45</v>
      </c>
      <c r="P4129" t="s">
        <v>58</v>
      </c>
      <c r="Q4129" t="s">
        <v>2317</v>
      </c>
      <c r="R4129">
        <v>11.21</v>
      </c>
      <c r="S4129">
        <v>1</v>
      </c>
      <c r="T4129">
        <v>0</v>
      </c>
      <c r="U4129">
        <v>3.363</v>
      </c>
      <c r="V4129" t="str">
        <f t="shared" si="64"/>
        <v>Pamela Stobb</v>
      </c>
      <c r="W4129">
        <f>Table2[Profit]/Table2[Sales]</f>
        <v>0.3</v>
      </c>
    </row>
    <row r="4130" spans="1:23" x14ac:dyDescent="0.25">
      <c r="A4130">
        <v>4129</v>
      </c>
      <c r="B4130" t="s">
        <v>9723</v>
      </c>
      <c r="C4130" s="1">
        <v>42868</v>
      </c>
      <c r="D4130" s="1">
        <v>42873</v>
      </c>
      <c r="E4130" t="s">
        <v>22</v>
      </c>
      <c r="F4130" t="s">
        <v>1655</v>
      </c>
      <c r="G4130" t="s">
        <v>1656</v>
      </c>
      <c r="H4130" t="s">
        <v>101</v>
      </c>
      <c r="I4130" t="s">
        <v>26</v>
      </c>
      <c r="J4130" t="s">
        <v>600</v>
      </c>
      <c r="K4130" t="s">
        <v>242</v>
      </c>
      <c r="L4130">
        <v>19711</v>
      </c>
      <c r="M4130" t="s">
        <v>145</v>
      </c>
      <c r="N4130" t="s">
        <v>4701</v>
      </c>
      <c r="O4130" t="s">
        <v>45</v>
      </c>
      <c r="P4130" t="s">
        <v>74</v>
      </c>
      <c r="Q4130" t="s">
        <v>4702</v>
      </c>
      <c r="R4130">
        <v>299.52</v>
      </c>
      <c r="S4130">
        <v>9</v>
      </c>
      <c r="T4130">
        <v>0</v>
      </c>
      <c r="U4130">
        <v>149.76</v>
      </c>
      <c r="V4130" t="str">
        <f t="shared" si="64"/>
        <v>Carl Weiss</v>
      </c>
      <c r="W4130">
        <f>Table2[Profit]/Table2[Sales]</f>
        <v>0.5</v>
      </c>
    </row>
    <row r="4131" spans="1:23" x14ac:dyDescent="0.25">
      <c r="A4131">
        <v>4130</v>
      </c>
      <c r="B4131" t="s">
        <v>9724</v>
      </c>
      <c r="C4131" s="1">
        <v>42553</v>
      </c>
      <c r="D4131" s="1">
        <v>42559</v>
      </c>
      <c r="E4131" t="s">
        <v>49</v>
      </c>
      <c r="F4131" t="s">
        <v>2847</v>
      </c>
      <c r="G4131" t="s">
        <v>2848</v>
      </c>
      <c r="H4131" t="s">
        <v>25</v>
      </c>
      <c r="I4131" t="s">
        <v>26</v>
      </c>
      <c r="J4131" t="s">
        <v>1119</v>
      </c>
      <c r="K4131" t="s">
        <v>312</v>
      </c>
      <c r="L4131">
        <v>22204</v>
      </c>
      <c r="M4131" t="s">
        <v>29</v>
      </c>
      <c r="N4131" t="s">
        <v>9725</v>
      </c>
      <c r="O4131" t="s">
        <v>45</v>
      </c>
      <c r="P4131" t="s">
        <v>67</v>
      </c>
      <c r="Q4131" t="s">
        <v>9726</v>
      </c>
      <c r="R4131">
        <v>7.7</v>
      </c>
      <c r="S4131">
        <v>2</v>
      </c>
      <c r="T4131">
        <v>0</v>
      </c>
      <c r="U4131">
        <v>3.157</v>
      </c>
      <c r="V4131" t="str">
        <f t="shared" si="64"/>
        <v>Katherine Hughes</v>
      </c>
      <c r="W4131">
        <f>Table2[Profit]/Table2[Sales]</f>
        <v>0.41</v>
      </c>
    </row>
    <row r="4132" spans="1:23" x14ac:dyDescent="0.25">
      <c r="A4132">
        <v>4131</v>
      </c>
      <c r="B4132" t="s">
        <v>9727</v>
      </c>
      <c r="C4132" s="1">
        <v>42000</v>
      </c>
      <c r="D4132" s="1">
        <v>42007</v>
      </c>
      <c r="E4132" t="s">
        <v>49</v>
      </c>
      <c r="F4132" t="s">
        <v>4856</v>
      </c>
      <c r="G4132" t="s">
        <v>4857</v>
      </c>
      <c r="H4132" t="s">
        <v>40</v>
      </c>
      <c r="I4132" t="s">
        <v>26</v>
      </c>
      <c r="J4132" t="s">
        <v>350</v>
      </c>
      <c r="K4132" t="s">
        <v>351</v>
      </c>
      <c r="L4132">
        <v>35601</v>
      </c>
      <c r="M4132" t="s">
        <v>29</v>
      </c>
      <c r="N4132" t="s">
        <v>9084</v>
      </c>
      <c r="O4132" t="s">
        <v>45</v>
      </c>
      <c r="P4132" t="s">
        <v>89</v>
      </c>
      <c r="Q4132" t="s">
        <v>9085</v>
      </c>
      <c r="R4132">
        <v>23.92</v>
      </c>
      <c r="S4132">
        <v>4</v>
      </c>
      <c r="T4132">
        <v>0</v>
      </c>
      <c r="U4132">
        <v>11.720800000000001</v>
      </c>
      <c r="V4132" t="str">
        <f t="shared" si="64"/>
        <v>Tamara Chand</v>
      </c>
      <c r="W4132">
        <f>Table2[Profit]/Table2[Sales]</f>
        <v>0.49</v>
      </c>
    </row>
    <row r="4133" spans="1:23" x14ac:dyDescent="0.25">
      <c r="A4133">
        <v>4132</v>
      </c>
      <c r="B4133" t="s">
        <v>9728</v>
      </c>
      <c r="C4133" s="1">
        <v>42838</v>
      </c>
      <c r="D4133" s="1">
        <v>42842</v>
      </c>
      <c r="E4133" t="s">
        <v>49</v>
      </c>
      <c r="F4133" t="s">
        <v>3725</v>
      </c>
      <c r="G4133" t="s">
        <v>3726</v>
      </c>
      <c r="H4133" t="s">
        <v>40</v>
      </c>
      <c r="I4133" t="s">
        <v>26</v>
      </c>
      <c r="J4133" t="s">
        <v>1167</v>
      </c>
      <c r="K4133" t="s">
        <v>42</v>
      </c>
      <c r="L4133">
        <v>92345</v>
      </c>
      <c r="M4133" t="s">
        <v>43</v>
      </c>
      <c r="N4133" t="s">
        <v>4737</v>
      </c>
      <c r="O4133" t="s">
        <v>31</v>
      </c>
      <c r="P4133" t="s">
        <v>35</v>
      </c>
      <c r="Q4133" t="s">
        <v>4738</v>
      </c>
      <c r="R4133">
        <v>436.70400000000001</v>
      </c>
      <c r="S4133">
        <v>6</v>
      </c>
      <c r="T4133">
        <v>0.2</v>
      </c>
      <c r="U4133">
        <v>-38.211599999999997</v>
      </c>
      <c r="V4133" t="str">
        <f t="shared" si="64"/>
        <v>Yana Sorensen</v>
      </c>
      <c r="W4133">
        <f>Table2[Profit]/Table2[Sales]</f>
        <v>-8.7499999999999994E-2</v>
      </c>
    </row>
    <row r="4134" spans="1:23" x14ac:dyDescent="0.25">
      <c r="A4134">
        <v>4133</v>
      </c>
      <c r="B4134" t="s">
        <v>9729</v>
      </c>
      <c r="C4134" s="1">
        <v>41957</v>
      </c>
      <c r="D4134" s="1">
        <v>41963</v>
      </c>
      <c r="E4134" t="s">
        <v>49</v>
      </c>
      <c r="F4134" t="s">
        <v>3456</v>
      </c>
      <c r="G4134" t="s">
        <v>3457</v>
      </c>
      <c r="H4134" t="s">
        <v>25</v>
      </c>
      <c r="I4134" t="s">
        <v>26</v>
      </c>
      <c r="J4134" t="s">
        <v>4771</v>
      </c>
      <c r="K4134" t="s">
        <v>312</v>
      </c>
      <c r="L4134">
        <v>23320</v>
      </c>
      <c r="M4134" t="s">
        <v>29</v>
      </c>
      <c r="N4134" t="s">
        <v>3890</v>
      </c>
      <c r="O4134" t="s">
        <v>45</v>
      </c>
      <c r="P4134" t="s">
        <v>89</v>
      </c>
      <c r="Q4134" t="s">
        <v>3891</v>
      </c>
      <c r="R4134">
        <v>32.4</v>
      </c>
      <c r="S4134">
        <v>5</v>
      </c>
      <c r="T4134">
        <v>0</v>
      </c>
      <c r="U4134">
        <v>15.552</v>
      </c>
      <c r="V4134" t="str">
        <f t="shared" si="64"/>
        <v>Chris Cortes</v>
      </c>
      <c r="W4134">
        <f>Table2[Profit]/Table2[Sales]</f>
        <v>0.48</v>
      </c>
    </row>
    <row r="4135" spans="1:23" x14ac:dyDescent="0.25">
      <c r="A4135">
        <v>4134</v>
      </c>
      <c r="B4135" t="s">
        <v>9730</v>
      </c>
      <c r="C4135" s="1">
        <v>42897</v>
      </c>
      <c r="D4135" s="1">
        <v>42900</v>
      </c>
      <c r="E4135" t="s">
        <v>185</v>
      </c>
      <c r="F4135" t="s">
        <v>124</v>
      </c>
      <c r="G4135" t="s">
        <v>125</v>
      </c>
      <c r="H4135" t="s">
        <v>25</v>
      </c>
      <c r="I4135" t="s">
        <v>26</v>
      </c>
      <c r="J4135" t="s">
        <v>41</v>
      </c>
      <c r="K4135" t="s">
        <v>42</v>
      </c>
      <c r="L4135">
        <v>90036</v>
      </c>
      <c r="M4135" t="s">
        <v>43</v>
      </c>
      <c r="N4135" t="s">
        <v>2163</v>
      </c>
      <c r="O4135" t="s">
        <v>45</v>
      </c>
      <c r="P4135" t="s">
        <v>77</v>
      </c>
      <c r="Q4135" t="s">
        <v>2164</v>
      </c>
      <c r="R4135">
        <v>61.44</v>
      </c>
      <c r="S4135">
        <v>3</v>
      </c>
      <c r="T4135">
        <v>0</v>
      </c>
      <c r="U4135">
        <v>16.588799999999999</v>
      </c>
      <c r="V4135" t="str">
        <f t="shared" si="64"/>
        <v>Zuschuss Donatelli</v>
      </c>
      <c r="W4135">
        <f>Table2[Profit]/Table2[Sales]</f>
        <v>0.27</v>
      </c>
    </row>
    <row r="4136" spans="1:23" x14ac:dyDescent="0.25">
      <c r="A4136">
        <v>4135</v>
      </c>
      <c r="B4136" t="s">
        <v>9731</v>
      </c>
      <c r="C4136" s="1">
        <v>42699</v>
      </c>
      <c r="D4136" s="1">
        <v>42704</v>
      </c>
      <c r="E4136" t="s">
        <v>49</v>
      </c>
      <c r="F4136" t="s">
        <v>2234</v>
      </c>
      <c r="G4136" t="s">
        <v>2235</v>
      </c>
      <c r="H4136" t="s">
        <v>25</v>
      </c>
      <c r="I4136" t="s">
        <v>26</v>
      </c>
      <c r="J4136" t="s">
        <v>1657</v>
      </c>
      <c r="K4136" t="s">
        <v>351</v>
      </c>
      <c r="L4136">
        <v>35810</v>
      </c>
      <c r="M4136" t="s">
        <v>29</v>
      </c>
      <c r="N4136" t="s">
        <v>1800</v>
      </c>
      <c r="O4136" t="s">
        <v>45</v>
      </c>
      <c r="P4136" t="s">
        <v>58</v>
      </c>
      <c r="Q4136" t="s">
        <v>1801</v>
      </c>
      <c r="R4136">
        <v>73.36</v>
      </c>
      <c r="S4136">
        <v>7</v>
      </c>
      <c r="T4136">
        <v>0</v>
      </c>
      <c r="U4136">
        <v>19.807200000000002</v>
      </c>
      <c r="V4136" t="str">
        <f t="shared" si="64"/>
        <v>Jay Kimmel</v>
      </c>
      <c r="W4136">
        <f>Table2[Profit]/Table2[Sales]</f>
        <v>0.27</v>
      </c>
    </row>
    <row r="4137" spans="1:23" x14ac:dyDescent="0.25">
      <c r="A4137">
        <v>4136</v>
      </c>
      <c r="B4137" t="s">
        <v>9732</v>
      </c>
      <c r="C4137" s="1">
        <v>41719</v>
      </c>
      <c r="D4137" s="1">
        <v>41723</v>
      </c>
      <c r="E4137" t="s">
        <v>49</v>
      </c>
      <c r="F4137" t="s">
        <v>2489</v>
      </c>
      <c r="G4137" t="s">
        <v>2490</v>
      </c>
      <c r="H4137" t="s">
        <v>25</v>
      </c>
      <c r="I4137" t="s">
        <v>26</v>
      </c>
      <c r="J4137" t="s">
        <v>5032</v>
      </c>
      <c r="K4137" t="s">
        <v>328</v>
      </c>
      <c r="L4137">
        <v>37918</v>
      </c>
      <c r="M4137" t="s">
        <v>29</v>
      </c>
      <c r="N4137" t="s">
        <v>843</v>
      </c>
      <c r="O4137" t="s">
        <v>45</v>
      </c>
      <c r="P4137" t="s">
        <v>46</v>
      </c>
      <c r="Q4137" t="s">
        <v>844</v>
      </c>
      <c r="R4137">
        <v>59.2</v>
      </c>
      <c r="S4137">
        <v>5</v>
      </c>
      <c r="T4137">
        <v>0.2</v>
      </c>
      <c r="U4137">
        <v>22.2</v>
      </c>
      <c r="V4137" t="str">
        <f t="shared" si="64"/>
        <v>Gary McGarr</v>
      </c>
      <c r="W4137">
        <f>Table2[Profit]/Table2[Sales]</f>
        <v>0.37499999999999994</v>
      </c>
    </row>
    <row r="4138" spans="1:23" x14ac:dyDescent="0.25">
      <c r="A4138">
        <v>4137</v>
      </c>
      <c r="B4138" t="s">
        <v>9733</v>
      </c>
      <c r="C4138" s="1">
        <v>42124</v>
      </c>
      <c r="D4138" s="1">
        <v>42128</v>
      </c>
      <c r="E4138" t="s">
        <v>49</v>
      </c>
      <c r="F4138" t="s">
        <v>3923</v>
      </c>
      <c r="G4138" t="s">
        <v>3924</v>
      </c>
      <c r="H4138" t="s">
        <v>40</v>
      </c>
      <c r="I4138" t="s">
        <v>26</v>
      </c>
      <c r="J4138" t="s">
        <v>1465</v>
      </c>
      <c r="K4138" t="s">
        <v>1233</v>
      </c>
      <c r="L4138">
        <v>1841</v>
      </c>
      <c r="M4138" t="s">
        <v>145</v>
      </c>
      <c r="N4138" t="s">
        <v>814</v>
      </c>
      <c r="O4138" t="s">
        <v>31</v>
      </c>
      <c r="P4138" t="s">
        <v>64</v>
      </c>
      <c r="Q4138" t="s">
        <v>815</v>
      </c>
      <c r="R4138">
        <v>31.4</v>
      </c>
      <c r="S4138">
        <v>5</v>
      </c>
      <c r="T4138">
        <v>0</v>
      </c>
      <c r="U4138">
        <v>13.188000000000001</v>
      </c>
      <c r="V4138" t="str">
        <f t="shared" si="64"/>
        <v>Jane Waco</v>
      </c>
      <c r="W4138">
        <f>Table2[Profit]/Table2[Sales]</f>
        <v>0.42000000000000004</v>
      </c>
    </row>
    <row r="4139" spans="1:23" x14ac:dyDescent="0.25">
      <c r="A4139">
        <v>4138</v>
      </c>
      <c r="B4139" t="s">
        <v>9734</v>
      </c>
      <c r="C4139" s="1">
        <v>42858</v>
      </c>
      <c r="D4139" s="1">
        <v>42863</v>
      </c>
      <c r="E4139" t="s">
        <v>49</v>
      </c>
      <c r="F4139" t="s">
        <v>5604</v>
      </c>
      <c r="G4139" t="s">
        <v>5605</v>
      </c>
      <c r="H4139" t="s">
        <v>40</v>
      </c>
      <c r="I4139" t="s">
        <v>26</v>
      </c>
      <c r="J4139" t="s">
        <v>143</v>
      </c>
      <c r="K4139" t="s">
        <v>144</v>
      </c>
      <c r="L4139">
        <v>19134</v>
      </c>
      <c r="M4139" t="s">
        <v>145</v>
      </c>
      <c r="N4139" t="s">
        <v>8185</v>
      </c>
      <c r="O4139" t="s">
        <v>31</v>
      </c>
      <c r="P4139" t="s">
        <v>64</v>
      </c>
      <c r="Q4139" t="s">
        <v>8186</v>
      </c>
      <c r="R4139">
        <v>32.448</v>
      </c>
      <c r="S4139">
        <v>2</v>
      </c>
      <c r="T4139">
        <v>0.2</v>
      </c>
      <c r="U4139">
        <v>7.3007999999999997</v>
      </c>
      <c r="V4139" t="str">
        <f t="shared" si="64"/>
        <v>Bill Overfelt</v>
      </c>
      <c r="W4139">
        <f>Table2[Profit]/Table2[Sales]</f>
        <v>0.22499999999999998</v>
      </c>
    </row>
    <row r="4140" spans="1:23" x14ac:dyDescent="0.25">
      <c r="A4140">
        <v>4139</v>
      </c>
      <c r="B4140" t="s">
        <v>9735</v>
      </c>
      <c r="C4140" s="1">
        <v>42608</v>
      </c>
      <c r="D4140" s="1">
        <v>42612</v>
      </c>
      <c r="E4140" t="s">
        <v>49</v>
      </c>
      <c r="F4140" t="s">
        <v>1631</v>
      </c>
      <c r="G4140" t="s">
        <v>1632</v>
      </c>
      <c r="H4140" t="s">
        <v>25</v>
      </c>
      <c r="I4140" t="s">
        <v>26</v>
      </c>
      <c r="J4140" t="s">
        <v>7537</v>
      </c>
      <c r="K4140" t="s">
        <v>1260</v>
      </c>
      <c r="L4140">
        <v>30605</v>
      </c>
      <c r="M4140" t="s">
        <v>29</v>
      </c>
      <c r="N4140" t="s">
        <v>5163</v>
      </c>
      <c r="O4140" t="s">
        <v>31</v>
      </c>
      <c r="P4140" t="s">
        <v>64</v>
      </c>
      <c r="Q4140" t="s">
        <v>5164</v>
      </c>
      <c r="R4140">
        <v>186.54</v>
      </c>
      <c r="S4140">
        <v>3</v>
      </c>
      <c r="T4140">
        <v>0</v>
      </c>
      <c r="U4140">
        <v>41.038800000000002</v>
      </c>
      <c r="V4140" t="str">
        <f t="shared" si="64"/>
        <v>Xylona Preis</v>
      </c>
      <c r="W4140">
        <f>Table2[Profit]/Table2[Sales]</f>
        <v>0.22000000000000003</v>
      </c>
    </row>
    <row r="4141" spans="1:23" x14ac:dyDescent="0.25">
      <c r="A4141">
        <v>4140</v>
      </c>
      <c r="B4141" t="s">
        <v>9736</v>
      </c>
      <c r="C4141" s="1">
        <v>41740</v>
      </c>
      <c r="D4141" s="1">
        <v>41747</v>
      </c>
      <c r="E4141" t="s">
        <v>49</v>
      </c>
      <c r="F4141" t="s">
        <v>4238</v>
      </c>
      <c r="G4141" t="s">
        <v>4239</v>
      </c>
      <c r="H4141" t="s">
        <v>25</v>
      </c>
      <c r="I4141" t="s">
        <v>26</v>
      </c>
      <c r="J4141" t="s">
        <v>1737</v>
      </c>
      <c r="K4141" t="s">
        <v>1738</v>
      </c>
      <c r="L4141">
        <v>59405</v>
      </c>
      <c r="M4141" t="s">
        <v>43</v>
      </c>
      <c r="N4141" t="s">
        <v>1031</v>
      </c>
      <c r="O4141" t="s">
        <v>45</v>
      </c>
      <c r="P4141" t="s">
        <v>58</v>
      </c>
      <c r="Q4141" t="s">
        <v>1032</v>
      </c>
      <c r="R4141">
        <v>87.08</v>
      </c>
      <c r="S4141">
        <v>7</v>
      </c>
      <c r="T4141">
        <v>0</v>
      </c>
      <c r="U4141">
        <v>24.382400000000001</v>
      </c>
      <c r="V4141" t="str">
        <f t="shared" si="64"/>
        <v>Michelle Moray</v>
      </c>
      <c r="W4141">
        <f>Table2[Profit]/Table2[Sales]</f>
        <v>0.28000000000000003</v>
      </c>
    </row>
    <row r="4142" spans="1:23" x14ac:dyDescent="0.25">
      <c r="A4142">
        <v>4141</v>
      </c>
      <c r="B4142" t="s">
        <v>9737</v>
      </c>
      <c r="C4142" s="1">
        <v>42737</v>
      </c>
      <c r="D4142" s="1">
        <v>42739</v>
      </c>
      <c r="E4142" t="s">
        <v>22</v>
      </c>
      <c r="F4142" t="s">
        <v>8440</v>
      </c>
      <c r="G4142" t="s">
        <v>8441</v>
      </c>
      <c r="H4142" t="s">
        <v>25</v>
      </c>
      <c r="I4142" t="s">
        <v>26</v>
      </c>
      <c r="J4142" t="s">
        <v>4086</v>
      </c>
      <c r="K4142" t="s">
        <v>103</v>
      </c>
      <c r="L4142">
        <v>79907</v>
      </c>
      <c r="M4142" t="s">
        <v>104</v>
      </c>
      <c r="N4142" t="s">
        <v>4046</v>
      </c>
      <c r="O4142" t="s">
        <v>45</v>
      </c>
      <c r="P4142" t="s">
        <v>67</v>
      </c>
      <c r="Q4142" t="s">
        <v>4047</v>
      </c>
      <c r="R4142">
        <v>31.744</v>
      </c>
      <c r="S4142">
        <v>2</v>
      </c>
      <c r="T4142">
        <v>0.2</v>
      </c>
      <c r="U4142">
        <v>3.968</v>
      </c>
      <c r="V4142" t="str">
        <f t="shared" si="64"/>
        <v>Trudy Schmidt</v>
      </c>
      <c r="W4142">
        <f>Table2[Profit]/Table2[Sales]</f>
        <v>0.125</v>
      </c>
    </row>
    <row r="4143" spans="1:23" x14ac:dyDescent="0.25">
      <c r="A4143">
        <v>4142</v>
      </c>
      <c r="B4143" t="s">
        <v>9738</v>
      </c>
      <c r="C4143" s="1">
        <v>42853</v>
      </c>
      <c r="D4143" s="1">
        <v>42857</v>
      </c>
      <c r="E4143" t="s">
        <v>49</v>
      </c>
      <c r="F4143" t="s">
        <v>4474</v>
      </c>
      <c r="G4143" t="s">
        <v>4475</v>
      </c>
      <c r="H4143" t="s">
        <v>25</v>
      </c>
      <c r="I4143" t="s">
        <v>26</v>
      </c>
      <c r="J4143" t="s">
        <v>9739</v>
      </c>
      <c r="K4143" t="s">
        <v>53</v>
      </c>
      <c r="L4143">
        <v>34741</v>
      </c>
      <c r="M4143" t="s">
        <v>29</v>
      </c>
      <c r="N4143" t="s">
        <v>4495</v>
      </c>
      <c r="O4143" t="s">
        <v>70</v>
      </c>
      <c r="P4143" t="s">
        <v>71</v>
      </c>
      <c r="Q4143" t="s">
        <v>4496</v>
      </c>
      <c r="R4143">
        <v>751.98400000000004</v>
      </c>
      <c r="S4143">
        <v>2</v>
      </c>
      <c r="T4143">
        <v>0.2</v>
      </c>
      <c r="U4143">
        <v>84.598200000000006</v>
      </c>
      <c r="V4143" t="str">
        <f t="shared" si="64"/>
        <v>Janet Lee</v>
      </c>
      <c r="W4143">
        <f>Table2[Profit]/Table2[Sales]</f>
        <v>0.1125</v>
      </c>
    </row>
    <row r="4144" spans="1:23" x14ac:dyDescent="0.25">
      <c r="A4144">
        <v>4143</v>
      </c>
      <c r="B4144" t="s">
        <v>9740</v>
      </c>
      <c r="C4144" s="1">
        <v>42765</v>
      </c>
      <c r="D4144" s="1">
        <v>42768</v>
      </c>
      <c r="E4144" t="s">
        <v>185</v>
      </c>
      <c r="F4144" t="s">
        <v>3687</v>
      </c>
      <c r="G4144" t="s">
        <v>3688</v>
      </c>
      <c r="H4144" t="s">
        <v>101</v>
      </c>
      <c r="I4144" t="s">
        <v>26</v>
      </c>
      <c r="J4144" t="s">
        <v>94</v>
      </c>
      <c r="K4144" t="s">
        <v>95</v>
      </c>
      <c r="L4144">
        <v>98105</v>
      </c>
      <c r="M4144" t="s">
        <v>43</v>
      </c>
      <c r="N4144" t="s">
        <v>69</v>
      </c>
      <c r="O4144" t="s">
        <v>70</v>
      </c>
      <c r="P4144" t="s">
        <v>71</v>
      </c>
      <c r="Q4144" t="s">
        <v>72</v>
      </c>
      <c r="R4144">
        <v>604.76800000000003</v>
      </c>
      <c r="S4144">
        <v>4</v>
      </c>
      <c r="T4144">
        <v>0.2</v>
      </c>
      <c r="U4144">
        <v>60.476799999999997</v>
      </c>
      <c r="V4144" t="str">
        <f t="shared" si="64"/>
        <v>Sam Zeldin</v>
      </c>
      <c r="W4144">
        <f>Table2[Profit]/Table2[Sales]</f>
        <v>9.9999999999999992E-2</v>
      </c>
    </row>
    <row r="4145" spans="1:23" x14ac:dyDescent="0.25">
      <c r="A4145">
        <v>4144</v>
      </c>
      <c r="B4145" t="s">
        <v>9741</v>
      </c>
      <c r="C4145" s="1">
        <v>41889</v>
      </c>
      <c r="D4145" s="1">
        <v>41894</v>
      </c>
      <c r="E4145" t="s">
        <v>22</v>
      </c>
      <c r="F4145" t="s">
        <v>7739</v>
      </c>
      <c r="G4145" t="s">
        <v>7740</v>
      </c>
      <c r="H4145" t="s">
        <v>40</v>
      </c>
      <c r="I4145" t="s">
        <v>26</v>
      </c>
      <c r="J4145" t="s">
        <v>905</v>
      </c>
      <c r="K4145" t="s">
        <v>42</v>
      </c>
      <c r="L4145">
        <v>95051</v>
      </c>
      <c r="M4145" t="s">
        <v>43</v>
      </c>
      <c r="N4145" t="s">
        <v>9742</v>
      </c>
      <c r="O4145" t="s">
        <v>45</v>
      </c>
      <c r="P4145" t="s">
        <v>572</v>
      </c>
      <c r="Q4145" t="s">
        <v>9743</v>
      </c>
      <c r="R4145">
        <v>27.36</v>
      </c>
      <c r="S4145">
        <v>4</v>
      </c>
      <c r="T4145">
        <v>0</v>
      </c>
      <c r="U4145">
        <v>7.3872</v>
      </c>
      <c r="V4145" t="str">
        <f t="shared" si="64"/>
        <v>Lisa Ryan</v>
      </c>
      <c r="W4145">
        <f>Table2[Profit]/Table2[Sales]</f>
        <v>0.27</v>
      </c>
    </row>
    <row r="4146" spans="1:23" x14ac:dyDescent="0.25">
      <c r="A4146">
        <v>4145</v>
      </c>
      <c r="B4146" t="s">
        <v>9744</v>
      </c>
      <c r="C4146" s="1">
        <v>42532</v>
      </c>
      <c r="D4146" s="1">
        <v>42537</v>
      </c>
      <c r="E4146" t="s">
        <v>49</v>
      </c>
      <c r="F4146" t="s">
        <v>2272</v>
      </c>
      <c r="G4146" t="s">
        <v>2273</v>
      </c>
      <c r="H4146" t="s">
        <v>25</v>
      </c>
      <c r="I4146" t="s">
        <v>26</v>
      </c>
      <c r="J4146" t="s">
        <v>41</v>
      </c>
      <c r="K4146" t="s">
        <v>42</v>
      </c>
      <c r="L4146">
        <v>90049</v>
      </c>
      <c r="M4146" t="s">
        <v>43</v>
      </c>
      <c r="N4146" t="s">
        <v>896</v>
      </c>
      <c r="O4146" t="s">
        <v>31</v>
      </c>
      <c r="P4146" t="s">
        <v>55</v>
      </c>
      <c r="Q4146" t="s">
        <v>897</v>
      </c>
      <c r="R4146">
        <v>902.71199999999999</v>
      </c>
      <c r="S4146">
        <v>3</v>
      </c>
      <c r="T4146">
        <v>0.2</v>
      </c>
      <c r="U4146">
        <v>33.851700000000001</v>
      </c>
      <c r="V4146" t="str">
        <f t="shared" si="64"/>
        <v>Seth Vernon</v>
      </c>
      <c r="W4146">
        <f>Table2[Profit]/Table2[Sales]</f>
        <v>3.7499999999999999E-2</v>
      </c>
    </row>
    <row r="4147" spans="1:23" x14ac:dyDescent="0.25">
      <c r="A4147">
        <v>4146</v>
      </c>
      <c r="B4147" t="s">
        <v>9745</v>
      </c>
      <c r="C4147" s="1">
        <v>42660</v>
      </c>
      <c r="D4147" s="1">
        <v>42664</v>
      </c>
      <c r="E4147" t="s">
        <v>49</v>
      </c>
      <c r="F4147" t="s">
        <v>3692</v>
      </c>
      <c r="G4147" t="s">
        <v>3693</v>
      </c>
      <c r="H4147" t="s">
        <v>101</v>
      </c>
      <c r="I4147" t="s">
        <v>26</v>
      </c>
      <c r="J4147" t="s">
        <v>3419</v>
      </c>
      <c r="K4147" t="s">
        <v>42</v>
      </c>
      <c r="L4147">
        <v>93727</v>
      </c>
      <c r="M4147" t="s">
        <v>43</v>
      </c>
      <c r="N4147" t="s">
        <v>7149</v>
      </c>
      <c r="O4147" t="s">
        <v>31</v>
      </c>
      <c r="P4147" t="s">
        <v>32</v>
      </c>
      <c r="Q4147" t="s">
        <v>7150</v>
      </c>
      <c r="R4147">
        <v>120.666</v>
      </c>
      <c r="S4147">
        <v>2</v>
      </c>
      <c r="T4147">
        <v>0.15</v>
      </c>
      <c r="U4147">
        <v>21.294</v>
      </c>
      <c r="V4147" t="str">
        <f t="shared" si="64"/>
        <v>Michael Granlund</v>
      </c>
      <c r="W4147">
        <f>Table2[Profit]/Table2[Sales]</f>
        <v>0.17647058823529413</v>
      </c>
    </row>
    <row r="4148" spans="1:23" x14ac:dyDescent="0.25">
      <c r="A4148">
        <v>4147</v>
      </c>
      <c r="B4148" t="s">
        <v>9746</v>
      </c>
      <c r="C4148" s="1">
        <v>42000</v>
      </c>
      <c r="D4148" s="1">
        <v>42003</v>
      </c>
      <c r="E4148" t="s">
        <v>185</v>
      </c>
      <c r="F4148" t="s">
        <v>6795</v>
      </c>
      <c r="G4148" t="s">
        <v>6796</v>
      </c>
      <c r="H4148" t="s">
        <v>25</v>
      </c>
      <c r="I4148" t="s">
        <v>26</v>
      </c>
      <c r="J4148" t="s">
        <v>102</v>
      </c>
      <c r="K4148" t="s">
        <v>103</v>
      </c>
      <c r="L4148">
        <v>76106</v>
      </c>
      <c r="M4148" t="s">
        <v>104</v>
      </c>
      <c r="N4148" t="s">
        <v>1700</v>
      </c>
      <c r="O4148" t="s">
        <v>45</v>
      </c>
      <c r="P4148" t="s">
        <v>74</v>
      </c>
      <c r="Q4148" t="s">
        <v>1701</v>
      </c>
      <c r="R4148">
        <v>4.984</v>
      </c>
      <c r="S4148">
        <v>1</v>
      </c>
      <c r="T4148">
        <v>0.8</v>
      </c>
      <c r="U4148">
        <v>-8.4727999999999994</v>
      </c>
      <c r="V4148" t="str">
        <f t="shared" si="64"/>
        <v>Nathan Cano</v>
      </c>
      <c r="W4148">
        <f>Table2[Profit]/Table2[Sales]</f>
        <v>-1.7</v>
      </c>
    </row>
    <row r="4149" spans="1:23" x14ac:dyDescent="0.25">
      <c r="A4149">
        <v>4148</v>
      </c>
      <c r="B4149" t="s">
        <v>9747</v>
      </c>
      <c r="C4149" s="1">
        <v>42698</v>
      </c>
      <c r="D4149" s="1">
        <v>42705</v>
      </c>
      <c r="E4149" t="s">
        <v>49</v>
      </c>
      <c r="F4149" t="s">
        <v>5741</v>
      </c>
      <c r="G4149" t="s">
        <v>5742</v>
      </c>
      <c r="H4149" t="s">
        <v>101</v>
      </c>
      <c r="I4149" t="s">
        <v>26</v>
      </c>
      <c r="J4149" t="s">
        <v>94</v>
      </c>
      <c r="K4149" t="s">
        <v>95</v>
      </c>
      <c r="L4149">
        <v>98105</v>
      </c>
      <c r="M4149" t="s">
        <v>43</v>
      </c>
      <c r="N4149" t="s">
        <v>3438</v>
      </c>
      <c r="O4149" t="s">
        <v>31</v>
      </c>
      <c r="P4149" t="s">
        <v>64</v>
      </c>
      <c r="Q4149" t="s">
        <v>3439</v>
      </c>
      <c r="R4149">
        <v>82.26</v>
      </c>
      <c r="S4149">
        <v>3</v>
      </c>
      <c r="T4149">
        <v>0</v>
      </c>
      <c r="U4149">
        <v>33.726599999999998</v>
      </c>
      <c r="V4149" t="str">
        <f t="shared" si="64"/>
        <v>Steve Carroll</v>
      </c>
      <c r="W4149">
        <f>Table2[Profit]/Table2[Sales]</f>
        <v>0.40999999999999992</v>
      </c>
    </row>
    <row r="4150" spans="1:23" x14ac:dyDescent="0.25">
      <c r="A4150">
        <v>4149</v>
      </c>
      <c r="B4150" t="s">
        <v>9748</v>
      </c>
      <c r="C4150" s="1">
        <v>42684</v>
      </c>
      <c r="D4150" s="1">
        <v>42687</v>
      </c>
      <c r="E4150" t="s">
        <v>185</v>
      </c>
      <c r="F4150" t="s">
        <v>1675</v>
      </c>
      <c r="G4150" t="s">
        <v>1676</v>
      </c>
      <c r="H4150" t="s">
        <v>25</v>
      </c>
      <c r="I4150" t="s">
        <v>26</v>
      </c>
      <c r="J4150" t="s">
        <v>126</v>
      </c>
      <c r="K4150" t="s">
        <v>42</v>
      </c>
      <c r="L4150">
        <v>94110</v>
      </c>
      <c r="M4150" t="s">
        <v>43</v>
      </c>
      <c r="N4150" t="s">
        <v>4162</v>
      </c>
      <c r="O4150" t="s">
        <v>45</v>
      </c>
      <c r="P4150" t="s">
        <v>58</v>
      </c>
      <c r="Q4150" t="s">
        <v>4163</v>
      </c>
      <c r="R4150">
        <v>29.74</v>
      </c>
      <c r="S4150">
        <v>1</v>
      </c>
      <c r="T4150">
        <v>0</v>
      </c>
      <c r="U4150">
        <v>4.4610000000000003</v>
      </c>
      <c r="V4150" t="str">
        <f t="shared" si="64"/>
        <v>Rose O'Brian</v>
      </c>
      <c r="W4150">
        <f>Table2[Profit]/Table2[Sales]</f>
        <v>0.15000000000000002</v>
      </c>
    </row>
    <row r="4151" spans="1:23" x14ac:dyDescent="0.25">
      <c r="A4151">
        <v>4150</v>
      </c>
      <c r="B4151" t="s">
        <v>9749</v>
      </c>
      <c r="C4151" s="1">
        <v>42009</v>
      </c>
      <c r="D4151" s="1">
        <v>42014</v>
      </c>
      <c r="E4151" t="s">
        <v>49</v>
      </c>
      <c r="F4151" t="s">
        <v>2564</v>
      </c>
      <c r="G4151" t="s">
        <v>2565</v>
      </c>
      <c r="H4151" t="s">
        <v>101</v>
      </c>
      <c r="I4151" t="s">
        <v>26</v>
      </c>
      <c r="J4151" t="s">
        <v>126</v>
      </c>
      <c r="K4151" t="s">
        <v>42</v>
      </c>
      <c r="L4151">
        <v>94110</v>
      </c>
      <c r="M4151" t="s">
        <v>43</v>
      </c>
      <c r="N4151" t="s">
        <v>3579</v>
      </c>
      <c r="O4151" t="s">
        <v>45</v>
      </c>
      <c r="P4151" t="s">
        <v>77</v>
      </c>
      <c r="Q4151" t="s">
        <v>3580</v>
      </c>
      <c r="R4151">
        <v>87.36</v>
      </c>
      <c r="S4151">
        <v>6</v>
      </c>
      <c r="T4151">
        <v>0</v>
      </c>
      <c r="U4151">
        <v>23.587199999999999</v>
      </c>
      <c r="V4151" t="str">
        <f t="shared" si="64"/>
        <v>James Lanier</v>
      </c>
      <c r="W4151">
        <f>Table2[Profit]/Table2[Sales]</f>
        <v>0.27</v>
      </c>
    </row>
    <row r="4152" spans="1:23" x14ac:dyDescent="0.25">
      <c r="A4152">
        <v>4151</v>
      </c>
      <c r="B4152" t="s">
        <v>9750</v>
      </c>
      <c r="C4152" s="1">
        <v>42815</v>
      </c>
      <c r="D4152" s="1">
        <v>42821</v>
      </c>
      <c r="E4152" t="s">
        <v>49</v>
      </c>
      <c r="F4152" t="s">
        <v>3804</v>
      </c>
      <c r="G4152" t="s">
        <v>3805</v>
      </c>
      <c r="H4152" t="s">
        <v>40</v>
      </c>
      <c r="I4152" t="s">
        <v>26</v>
      </c>
      <c r="J4152" t="s">
        <v>5828</v>
      </c>
      <c r="K4152" t="s">
        <v>53</v>
      </c>
      <c r="L4152">
        <v>33068</v>
      </c>
      <c r="M4152" t="s">
        <v>29</v>
      </c>
      <c r="N4152" t="s">
        <v>5816</v>
      </c>
      <c r="O4152" t="s">
        <v>45</v>
      </c>
      <c r="P4152" t="s">
        <v>77</v>
      </c>
      <c r="Q4152" t="s">
        <v>5817</v>
      </c>
      <c r="R4152">
        <v>64.384</v>
      </c>
      <c r="S4152">
        <v>1</v>
      </c>
      <c r="T4152">
        <v>0.2</v>
      </c>
      <c r="U4152">
        <v>8.048</v>
      </c>
      <c r="V4152" t="str">
        <f t="shared" si="64"/>
        <v>Pauline Webber</v>
      </c>
      <c r="W4152">
        <f>Table2[Profit]/Table2[Sales]</f>
        <v>0.125</v>
      </c>
    </row>
    <row r="4153" spans="1:23" x14ac:dyDescent="0.25">
      <c r="A4153">
        <v>4152</v>
      </c>
      <c r="B4153" t="s">
        <v>9751</v>
      </c>
      <c r="C4153" s="1">
        <v>42320</v>
      </c>
      <c r="D4153" s="1">
        <v>42326</v>
      </c>
      <c r="E4153" t="s">
        <v>49</v>
      </c>
      <c r="F4153" t="s">
        <v>7591</v>
      </c>
      <c r="G4153" t="s">
        <v>7592</v>
      </c>
      <c r="H4153" t="s">
        <v>40</v>
      </c>
      <c r="I4153" t="s">
        <v>26</v>
      </c>
      <c r="J4153" t="s">
        <v>181</v>
      </c>
      <c r="K4153" t="s">
        <v>103</v>
      </c>
      <c r="L4153">
        <v>77095</v>
      </c>
      <c r="M4153" t="s">
        <v>104</v>
      </c>
      <c r="N4153" t="s">
        <v>3330</v>
      </c>
      <c r="O4153" t="s">
        <v>45</v>
      </c>
      <c r="P4153" t="s">
        <v>58</v>
      </c>
      <c r="Q4153" t="s">
        <v>3331</v>
      </c>
      <c r="R4153">
        <v>64.784000000000006</v>
      </c>
      <c r="S4153">
        <v>1</v>
      </c>
      <c r="T4153">
        <v>0.2</v>
      </c>
      <c r="U4153">
        <v>-14.5764</v>
      </c>
      <c r="V4153" t="str">
        <f t="shared" si="64"/>
        <v>Monica Federle</v>
      </c>
      <c r="W4153">
        <f>Table2[Profit]/Table2[Sales]</f>
        <v>-0.22499999999999998</v>
      </c>
    </row>
    <row r="4154" spans="1:23" x14ac:dyDescent="0.25">
      <c r="A4154">
        <v>4153</v>
      </c>
      <c r="B4154" t="s">
        <v>9752</v>
      </c>
      <c r="C4154" s="1">
        <v>41891</v>
      </c>
      <c r="D4154" s="1">
        <v>41896</v>
      </c>
      <c r="E4154" t="s">
        <v>22</v>
      </c>
      <c r="F4154" t="s">
        <v>3456</v>
      </c>
      <c r="G4154" t="s">
        <v>3457</v>
      </c>
      <c r="H4154" t="s">
        <v>25</v>
      </c>
      <c r="I4154" t="s">
        <v>26</v>
      </c>
      <c r="J4154" t="s">
        <v>296</v>
      </c>
      <c r="K4154" t="s">
        <v>208</v>
      </c>
      <c r="L4154">
        <v>60653</v>
      </c>
      <c r="M4154" t="s">
        <v>104</v>
      </c>
      <c r="N4154" t="s">
        <v>2705</v>
      </c>
      <c r="O4154" t="s">
        <v>45</v>
      </c>
      <c r="P4154" t="s">
        <v>89</v>
      </c>
      <c r="Q4154" t="s">
        <v>2706</v>
      </c>
      <c r="R4154">
        <v>10.896000000000001</v>
      </c>
      <c r="S4154">
        <v>3</v>
      </c>
      <c r="T4154">
        <v>0.2</v>
      </c>
      <c r="U4154">
        <v>3.4049999999999998</v>
      </c>
      <c r="V4154" t="str">
        <f t="shared" si="64"/>
        <v>Chris Cortes</v>
      </c>
      <c r="W4154">
        <f>Table2[Profit]/Table2[Sales]</f>
        <v>0.31249999999999994</v>
      </c>
    </row>
    <row r="4155" spans="1:23" x14ac:dyDescent="0.25">
      <c r="A4155">
        <v>4154</v>
      </c>
      <c r="B4155" t="s">
        <v>9753</v>
      </c>
      <c r="C4155" s="1">
        <v>42446</v>
      </c>
      <c r="D4155" s="1">
        <v>42448</v>
      </c>
      <c r="E4155" t="s">
        <v>22</v>
      </c>
      <c r="F4155" t="s">
        <v>5892</v>
      </c>
      <c r="G4155" t="s">
        <v>5893</v>
      </c>
      <c r="H4155" t="s">
        <v>25</v>
      </c>
      <c r="I4155" t="s">
        <v>26</v>
      </c>
      <c r="J4155" t="s">
        <v>126</v>
      </c>
      <c r="K4155" t="s">
        <v>42</v>
      </c>
      <c r="L4155">
        <v>94109</v>
      </c>
      <c r="M4155" t="s">
        <v>43</v>
      </c>
      <c r="N4155" t="s">
        <v>1949</v>
      </c>
      <c r="O4155" t="s">
        <v>70</v>
      </c>
      <c r="P4155" t="s">
        <v>71</v>
      </c>
      <c r="Q4155" t="s">
        <v>1950</v>
      </c>
      <c r="R4155">
        <v>84.784000000000006</v>
      </c>
      <c r="S4155">
        <v>2</v>
      </c>
      <c r="T4155">
        <v>0.2</v>
      </c>
      <c r="U4155">
        <v>-20.136199999999999</v>
      </c>
      <c r="V4155" t="str">
        <f t="shared" si="64"/>
        <v>Anna Chung</v>
      </c>
      <c r="W4155">
        <f>Table2[Profit]/Table2[Sales]</f>
        <v>-0.23749999999999996</v>
      </c>
    </row>
    <row r="4156" spans="1:23" x14ac:dyDescent="0.25">
      <c r="A4156">
        <v>4155</v>
      </c>
      <c r="B4156" t="s">
        <v>9754</v>
      </c>
      <c r="C4156" s="1">
        <v>42408</v>
      </c>
      <c r="D4156" s="1">
        <v>42415</v>
      </c>
      <c r="E4156" t="s">
        <v>49</v>
      </c>
      <c r="F4156" t="s">
        <v>8517</v>
      </c>
      <c r="G4156" t="s">
        <v>8518</v>
      </c>
      <c r="H4156" t="s">
        <v>40</v>
      </c>
      <c r="I4156" t="s">
        <v>26</v>
      </c>
      <c r="J4156" t="s">
        <v>181</v>
      </c>
      <c r="K4156" t="s">
        <v>103</v>
      </c>
      <c r="L4156">
        <v>77036</v>
      </c>
      <c r="M4156" t="s">
        <v>104</v>
      </c>
      <c r="N4156" t="s">
        <v>3312</v>
      </c>
      <c r="O4156" t="s">
        <v>31</v>
      </c>
      <c r="P4156" t="s">
        <v>35</v>
      </c>
      <c r="Q4156" t="s">
        <v>3313</v>
      </c>
      <c r="R4156">
        <v>241.5</v>
      </c>
      <c r="S4156">
        <v>4</v>
      </c>
      <c r="T4156">
        <v>0.3</v>
      </c>
      <c r="U4156">
        <v>0</v>
      </c>
      <c r="V4156" t="str">
        <f t="shared" si="64"/>
        <v>Mark Haberlin</v>
      </c>
      <c r="W4156">
        <f>Table2[Profit]/Table2[Sales]</f>
        <v>0</v>
      </c>
    </row>
    <row r="4157" spans="1:23" x14ac:dyDescent="0.25">
      <c r="A4157">
        <v>4156</v>
      </c>
      <c r="B4157" t="s">
        <v>9755</v>
      </c>
      <c r="C4157" s="1">
        <v>42700</v>
      </c>
      <c r="D4157" s="1">
        <v>42702</v>
      </c>
      <c r="E4157" t="s">
        <v>185</v>
      </c>
      <c r="F4157" t="s">
        <v>4303</v>
      </c>
      <c r="G4157" t="s">
        <v>4304</v>
      </c>
      <c r="H4157" t="s">
        <v>101</v>
      </c>
      <c r="I4157" t="s">
        <v>26</v>
      </c>
      <c r="J4157" t="s">
        <v>9756</v>
      </c>
      <c r="K4157" t="s">
        <v>740</v>
      </c>
      <c r="L4157">
        <v>6484</v>
      </c>
      <c r="M4157" t="s">
        <v>145</v>
      </c>
      <c r="N4157" t="s">
        <v>3118</v>
      </c>
      <c r="O4157" t="s">
        <v>70</v>
      </c>
      <c r="P4157" t="s">
        <v>158</v>
      </c>
      <c r="Q4157" t="s">
        <v>3119</v>
      </c>
      <c r="R4157">
        <v>59.97</v>
      </c>
      <c r="S4157">
        <v>3</v>
      </c>
      <c r="T4157">
        <v>0</v>
      </c>
      <c r="U4157">
        <v>14.9925</v>
      </c>
      <c r="V4157" t="str">
        <f t="shared" si="64"/>
        <v>Cynthia Delaney</v>
      </c>
      <c r="W4157">
        <f>Table2[Profit]/Table2[Sales]</f>
        <v>0.25</v>
      </c>
    </row>
    <row r="4158" spans="1:23" x14ac:dyDescent="0.25">
      <c r="A4158">
        <v>4157</v>
      </c>
      <c r="B4158" t="s">
        <v>9757</v>
      </c>
      <c r="C4158" s="1">
        <v>42982</v>
      </c>
      <c r="D4158" s="1">
        <v>42986</v>
      </c>
      <c r="E4158" t="s">
        <v>49</v>
      </c>
      <c r="F4158" t="s">
        <v>474</v>
      </c>
      <c r="G4158" t="s">
        <v>475</v>
      </c>
      <c r="H4158" t="s">
        <v>40</v>
      </c>
      <c r="I4158" t="s">
        <v>26</v>
      </c>
      <c r="J4158" t="s">
        <v>3145</v>
      </c>
      <c r="K4158" t="s">
        <v>42</v>
      </c>
      <c r="L4158">
        <v>94601</v>
      </c>
      <c r="M4158" t="s">
        <v>43</v>
      </c>
      <c r="N4158" t="s">
        <v>4639</v>
      </c>
      <c r="O4158" t="s">
        <v>45</v>
      </c>
      <c r="P4158" t="s">
        <v>74</v>
      </c>
      <c r="Q4158" t="s">
        <v>4640</v>
      </c>
      <c r="R4158">
        <v>11.808</v>
      </c>
      <c r="S4158">
        <v>3</v>
      </c>
      <c r="T4158">
        <v>0.2</v>
      </c>
      <c r="U4158">
        <v>4.1327999999999996</v>
      </c>
      <c r="V4158" t="str">
        <f t="shared" si="64"/>
        <v>Cynthia Voltz</v>
      </c>
      <c r="W4158">
        <f>Table2[Profit]/Table2[Sales]</f>
        <v>0.35</v>
      </c>
    </row>
    <row r="4159" spans="1:23" x14ac:dyDescent="0.25">
      <c r="A4159">
        <v>4158</v>
      </c>
      <c r="B4159" t="s">
        <v>9758</v>
      </c>
      <c r="C4159" s="1">
        <v>42152</v>
      </c>
      <c r="D4159" s="1">
        <v>42158</v>
      </c>
      <c r="E4159" t="s">
        <v>49</v>
      </c>
      <c r="F4159" t="s">
        <v>4956</v>
      </c>
      <c r="G4159" t="s">
        <v>4957</v>
      </c>
      <c r="H4159" t="s">
        <v>25</v>
      </c>
      <c r="I4159" t="s">
        <v>26</v>
      </c>
      <c r="J4159" t="s">
        <v>1281</v>
      </c>
      <c r="K4159" t="s">
        <v>740</v>
      </c>
      <c r="L4159">
        <v>6040</v>
      </c>
      <c r="M4159" t="s">
        <v>145</v>
      </c>
      <c r="N4159" t="s">
        <v>2770</v>
      </c>
      <c r="O4159" t="s">
        <v>45</v>
      </c>
      <c r="P4159" t="s">
        <v>58</v>
      </c>
      <c r="Q4159" t="s">
        <v>2771</v>
      </c>
      <c r="R4159">
        <v>16.239999999999998</v>
      </c>
      <c r="S4159">
        <v>1</v>
      </c>
      <c r="T4159">
        <v>0</v>
      </c>
      <c r="U4159">
        <v>2.4359999999999999</v>
      </c>
      <c r="V4159" t="str">
        <f t="shared" si="64"/>
        <v>Trudy Brown</v>
      </c>
      <c r="W4159">
        <f>Table2[Profit]/Table2[Sales]</f>
        <v>0.15000000000000002</v>
      </c>
    </row>
    <row r="4160" spans="1:23" x14ac:dyDescent="0.25">
      <c r="A4160">
        <v>4159</v>
      </c>
      <c r="B4160" t="s">
        <v>9759</v>
      </c>
      <c r="C4160" s="1">
        <v>41944</v>
      </c>
      <c r="D4160" s="1">
        <v>41948</v>
      </c>
      <c r="E4160" t="s">
        <v>49</v>
      </c>
      <c r="F4160" t="s">
        <v>3055</v>
      </c>
      <c r="G4160" t="s">
        <v>3056</v>
      </c>
      <c r="H4160" t="s">
        <v>40</v>
      </c>
      <c r="I4160" t="s">
        <v>26</v>
      </c>
      <c r="J4160" t="s">
        <v>5936</v>
      </c>
      <c r="K4160" t="s">
        <v>781</v>
      </c>
      <c r="L4160">
        <v>7050</v>
      </c>
      <c r="M4160" t="s">
        <v>145</v>
      </c>
      <c r="N4160" t="s">
        <v>1964</v>
      </c>
      <c r="O4160" t="s">
        <v>45</v>
      </c>
      <c r="P4160" t="s">
        <v>77</v>
      </c>
      <c r="Q4160" t="s">
        <v>1965</v>
      </c>
      <c r="R4160">
        <v>76.12</v>
      </c>
      <c r="S4160">
        <v>2</v>
      </c>
      <c r="T4160">
        <v>0</v>
      </c>
      <c r="U4160">
        <v>22.0748</v>
      </c>
      <c r="V4160" t="str">
        <f t="shared" si="64"/>
        <v>Deirdre Greer</v>
      </c>
      <c r="W4160">
        <f>Table2[Profit]/Table2[Sales]</f>
        <v>0.28999999999999998</v>
      </c>
    </row>
    <row r="4161" spans="1:23" x14ac:dyDescent="0.25">
      <c r="A4161">
        <v>4160</v>
      </c>
      <c r="B4161" t="s">
        <v>9760</v>
      </c>
      <c r="C4161" s="1">
        <v>42731</v>
      </c>
      <c r="D4161" s="1">
        <v>42734</v>
      </c>
      <c r="E4161" t="s">
        <v>185</v>
      </c>
      <c r="F4161" t="s">
        <v>2281</v>
      </c>
      <c r="G4161" t="s">
        <v>2282</v>
      </c>
      <c r="H4161" t="s">
        <v>101</v>
      </c>
      <c r="I4161" t="s">
        <v>26</v>
      </c>
      <c r="J4161" t="s">
        <v>794</v>
      </c>
      <c r="K4161" t="s">
        <v>491</v>
      </c>
      <c r="L4161">
        <v>44312</v>
      </c>
      <c r="M4161" t="s">
        <v>145</v>
      </c>
      <c r="N4161" t="s">
        <v>492</v>
      </c>
      <c r="O4161" t="s">
        <v>45</v>
      </c>
      <c r="P4161" t="s">
        <v>266</v>
      </c>
      <c r="Q4161" t="s">
        <v>493</v>
      </c>
      <c r="R4161">
        <v>17.184000000000001</v>
      </c>
      <c r="S4161">
        <v>6</v>
      </c>
      <c r="T4161">
        <v>0.2</v>
      </c>
      <c r="U4161">
        <v>6.2291999999999996</v>
      </c>
      <c r="V4161" t="str">
        <f t="shared" si="64"/>
        <v>Ross DeVincentis</v>
      </c>
      <c r="W4161">
        <f>Table2[Profit]/Table2[Sales]</f>
        <v>0.36249999999999993</v>
      </c>
    </row>
    <row r="4162" spans="1:23" x14ac:dyDescent="0.25">
      <c r="A4162">
        <v>4161</v>
      </c>
      <c r="B4162" t="s">
        <v>9761</v>
      </c>
      <c r="C4162" s="1">
        <v>43073</v>
      </c>
      <c r="D4162" s="1">
        <v>43075</v>
      </c>
      <c r="E4162" t="s">
        <v>185</v>
      </c>
      <c r="F4162" t="s">
        <v>2388</v>
      </c>
      <c r="G4162" t="s">
        <v>2389</v>
      </c>
      <c r="H4162" t="s">
        <v>40</v>
      </c>
      <c r="I4162" t="s">
        <v>26</v>
      </c>
      <c r="J4162" t="s">
        <v>41</v>
      </c>
      <c r="K4162" t="s">
        <v>42</v>
      </c>
      <c r="L4162">
        <v>90032</v>
      </c>
      <c r="M4162" t="s">
        <v>43</v>
      </c>
      <c r="N4162" t="s">
        <v>3920</v>
      </c>
      <c r="O4162" t="s">
        <v>45</v>
      </c>
      <c r="P4162" t="s">
        <v>89</v>
      </c>
      <c r="Q4162" t="s">
        <v>3921</v>
      </c>
      <c r="R4162">
        <v>11.76</v>
      </c>
      <c r="S4162">
        <v>2</v>
      </c>
      <c r="T4162">
        <v>0</v>
      </c>
      <c r="U4162">
        <v>5.7624000000000004</v>
      </c>
      <c r="V4162" t="str">
        <f t="shared" si="64"/>
        <v>Chris Selesnick</v>
      </c>
      <c r="W4162">
        <f>Table2[Profit]/Table2[Sales]</f>
        <v>0.49000000000000005</v>
      </c>
    </row>
    <row r="4163" spans="1:23" x14ac:dyDescent="0.25">
      <c r="A4163">
        <v>4162</v>
      </c>
      <c r="B4163" t="s">
        <v>9762</v>
      </c>
      <c r="C4163" s="1">
        <v>43092</v>
      </c>
      <c r="D4163" s="1">
        <v>43099</v>
      </c>
      <c r="E4163" t="s">
        <v>49</v>
      </c>
      <c r="F4163" t="s">
        <v>6043</v>
      </c>
      <c r="G4163" t="s">
        <v>6044</v>
      </c>
      <c r="H4163" t="s">
        <v>101</v>
      </c>
      <c r="I4163" t="s">
        <v>26</v>
      </c>
      <c r="J4163" t="s">
        <v>9763</v>
      </c>
      <c r="K4163" t="s">
        <v>740</v>
      </c>
      <c r="L4163">
        <v>6810</v>
      </c>
      <c r="M4163" t="s">
        <v>145</v>
      </c>
      <c r="N4163" t="s">
        <v>3846</v>
      </c>
      <c r="O4163" t="s">
        <v>31</v>
      </c>
      <c r="P4163" t="s">
        <v>64</v>
      </c>
      <c r="Q4163" t="s">
        <v>3847</v>
      </c>
      <c r="R4163">
        <v>27.46</v>
      </c>
      <c r="S4163">
        <v>2</v>
      </c>
      <c r="T4163">
        <v>0</v>
      </c>
      <c r="U4163">
        <v>9.8856000000000002</v>
      </c>
      <c r="V4163" t="str">
        <f t="shared" ref="V4163:V4226" si="65">TRIM(G4163)</f>
        <v>Julia Barnett</v>
      </c>
      <c r="W4163">
        <f>Table2[Profit]/Table2[Sales]</f>
        <v>0.36</v>
      </c>
    </row>
    <row r="4164" spans="1:23" x14ac:dyDescent="0.25">
      <c r="A4164">
        <v>4163</v>
      </c>
      <c r="B4164" t="s">
        <v>9764</v>
      </c>
      <c r="C4164" s="1">
        <v>42705</v>
      </c>
      <c r="D4164" s="1">
        <v>42710</v>
      </c>
      <c r="E4164" t="s">
        <v>22</v>
      </c>
      <c r="F4164" t="s">
        <v>3411</v>
      </c>
      <c r="G4164" t="s">
        <v>3412</v>
      </c>
      <c r="H4164" t="s">
        <v>25</v>
      </c>
      <c r="I4164" t="s">
        <v>26</v>
      </c>
      <c r="J4164" t="s">
        <v>606</v>
      </c>
      <c r="K4164" t="s">
        <v>1233</v>
      </c>
      <c r="L4164">
        <v>2038</v>
      </c>
      <c r="M4164" t="s">
        <v>145</v>
      </c>
      <c r="N4164" t="s">
        <v>7418</v>
      </c>
      <c r="O4164" t="s">
        <v>70</v>
      </c>
      <c r="P4164" t="s">
        <v>71</v>
      </c>
      <c r="Q4164" t="s">
        <v>7419</v>
      </c>
      <c r="R4164">
        <v>137.94</v>
      </c>
      <c r="S4164">
        <v>3</v>
      </c>
      <c r="T4164">
        <v>0</v>
      </c>
      <c r="U4164">
        <v>35.864400000000003</v>
      </c>
      <c r="V4164" t="str">
        <f t="shared" si="65"/>
        <v>Eva Jacobs</v>
      </c>
      <c r="W4164">
        <f>Table2[Profit]/Table2[Sales]</f>
        <v>0.26</v>
      </c>
    </row>
    <row r="4165" spans="1:23" x14ac:dyDescent="0.25">
      <c r="A4165">
        <v>4164</v>
      </c>
      <c r="B4165" t="s">
        <v>9765</v>
      </c>
      <c r="C4165" s="1">
        <v>41820</v>
      </c>
      <c r="D4165" s="1">
        <v>41820</v>
      </c>
      <c r="E4165" t="s">
        <v>1278</v>
      </c>
      <c r="F4165" t="s">
        <v>3095</v>
      </c>
      <c r="G4165" t="s">
        <v>3096</v>
      </c>
      <c r="H4165" t="s">
        <v>25</v>
      </c>
      <c r="I4165" t="s">
        <v>26</v>
      </c>
      <c r="J4165" t="s">
        <v>514</v>
      </c>
      <c r="K4165" t="s">
        <v>87</v>
      </c>
      <c r="L4165">
        <v>28403</v>
      </c>
      <c r="M4165" t="s">
        <v>29</v>
      </c>
      <c r="N4165" t="s">
        <v>692</v>
      </c>
      <c r="O4165" t="s">
        <v>45</v>
      </c>
      <c r="P4165" t="s">
        <v>89</v>
      </c>
      <c r="Q4165" t="s">
        <v>693</v>
      </c>
      <c r="R4165">
        <v>310.68799999999999</v>
      </c>
      <c r="S4165">
        <v>7</v>
      </c>
      <c r="T4165">
        <v>0.2</v>
      </c>
      <c r="U4165">
        <v>108.74079999999999</v>
      </c>
      <c r="V4165" t="str">
        <f t="shared" si="65"/>
        <v>Brian DeCherney</v>
      </c>
      <c r="W4165">
        <f>Table2[Profit]/Table2[Sales]</f>
        <v>0.35</v>
      </c>
    </row>
    <row r="4166" spans="1:23" x14ac:dyDescent="0.25">
      <c r="A4166">
        <v>4165</v>
      </c>
      <c r="B4166" t="s">
        <v>9766</v>
      </c>
      <c r="C4166" s="1">
        <v>41885</v>
      </c>
      <c r="D4166" s="1">
        <v>41886</v>
      </c>
      <c r="E4166" t="s">
        <v>185</v>
      </c>
      <c r="F4166" t="s">
        <v>2291</v>
      </c>
      <c r="G4166" t="s">
        <v>2292</v>
      </c>
      <c r="H4166" t="s">
        <v>101</v>
      </c>
      <c r="I4166" t="s">
        <v>26</v>
      </c>
      <c r="J4166" t="s">
        <v>181</v>
      </c>
      <c r="K4166" t="s">
        <v>103</v>
      </c>
      <c r="L4166">
        <v>77095</v>
      </c>
      <c r="M4166" t="s">
        <v>104</v>
      </c>
      <c r="N4166" t="s">
        <v>8012</v>
      </c>
      <c r="O4166" t="s">
        <v>45</v>
      </c>
      <c r="P4166" t="s">
        <v>74</v>
      </c>
      <c r="Q4166" t="s">
        <v>8013</v>
      </c>
      <c r="R4166">
        <v>7.68</v>
      </c>
      <c r="S4166">
        <v>5</v>
      </c>
      <c r="T4166">
        <v>0.8</v>
      </c>
      <c r="U4166">
        <v>-11.52</v>
      </c>
      <c r="V4166" t="str">
        <f t="shared" si="65"/>
        <v>Mathew Reese</v>
      </c>
      <c r="W4166">
        <f>Table2[Profit]/Table2[Sales]</f>
        <v>-1.5</v>
      </c>
    </row>
    <row r="4167" spans="1:23" x14ac:dyDescent="0.25">
      <c r="A4167">
        <v>4166</v>
      </c>
      <c r="B4167" t="s">
        <v>9767</v>
      </c>
      <c r="C4167" s="1">
        <v>43041</v>
      </c>
      <c r="D4167" s="1">
        <v>43046</v>
      </c>
      <c r="E4167" t="s">
        <v>22</v>
      </c>
      <c r="F4167" t="s">
        <v>6073</v>
      </c>
      <c r="G4167" t="s">
        <v>6074</v>
      </c>
      <c r="H4167" t="s">
        <v>101</v>
      </c>
      <c r="I4167" t="s">
        <v>26</v>
      </c>
      <c r="J4167" t="s">
        <v>311</v>
      </c>
      <c r="K4167" t="s">
        <v>491</v>
      </c>
      <c r="L4167">
        <v>45503</v>
      </c>
      <c r="M4167" t="s">
        <v>145</v>
      </c>
      <c r="N4167" t="s">
        <v>3476</v>
      </c>
      <c r="O4167" t="s">
        <v>31</v>
      </c>
      <c r="P4167" t="s">
        <v>35</v>
      </c>
      <c r="Q4167" t="s">
        <v>3477</v>
      </c>
      <c r="R4167">
        <v>155.37200000000001</v>
      </c>
      <c r="S4167">
        <v>2</v>
      </c>
      <c r="T4167">
        <v>0.3</v>
      </c>
      <c r="U4167">
        <v>-35.513599999999997</v>
      </c>
      <c r="V4167" t="str">
        <f t="shared" si="65"/>
        <v>Sharelle Roach</v>
      </c>
      <c r="W4167">
        <f>Table2[Profit]/Table2[Sales]</f>
        <v>-0.22857142857142854</v>
      </c>
    </row>
    <row r="4168" spans="1:23" x14ac:dyDescent="0.25">
      <c r="A4168">
        <v>4167</v>
      </c>
      <c r="B4168" t="s">
        <v>9768</v>
      </c>
      <c r="C4168" s="1">
        <v>42107</v>
      </c>
      <c r="D4168" s="1">
        <v>42112</v>
      </c>
      <c r="E4168" t="s">
        <v>49</v>
      </c>
      <c r="F4168" t="s">
        <v>4233</v>
      </c>
      <c r="G4168" t="s">
        <v>4234</v>
      </c>
      <c r="H4168" t="s">
        <v>25</v>
      </c>
      <c r="I4168" t="s">
        <v>26</v>
      </c>
      <c r="J4168" t="s">
        <v>3860</v>
      </c>
      <c r="K4168" t="s">
        <v>303</v>
      </c>
      <c r="L4168">
        <v>85301</v>
      </c>
      <c r="M4168" t="s">
        <v>43</v>
      </c>
      <c r="N4168" t="s">
        <v>3990</v>
      </c>
      <c r="O4168" t="s">
        <v>45</v>
      </c>
      <c r="P4168" t="s">
        <v>58</v>
      </c>
      <c r="Q4168" t="s">
        <v>3991</v>
      </c>
      <c r="R4168">
        <v>10.744</v>
      </c>
      <c r="S4168">
        <v>1</v>
      </c>
      <c r="T4168">
        <v>0.2</v>
      </c>
      <c r="U4168">
        <v>0.80579999999999996</v>
      </c>
      <c r="V4168" t="str">
        <f t="shared" si="65"/>
        <v>Thea Hendricks</v>
      </c>
      <c r="W4168">
        <f>Table2[Profit]/Table2[Sales]</f>
        <v>7.4999999999999997E-2</v>
      </c>
    </row>
    <row r="4169" spans="1:23" x14ac:dyDescent="0.25">
      <c r="A4169">
        <v>4168</v>
      </c>
      <c r="B4169" t="s">
        <v>9769</v>
      </c>
      <c r="C4169" s="1">
        <v>42343</v>
      </c>
      <c r="D4169" s="1">
        <v>42347</v>
      </c>
      <c r="E4169" t="s">
        <v>22</v>
      </c>
      <c r="F4169" t="s">
        <v>5550</v>
      </c>
      <c r="G4169" t="s">
        <v>5551</v>
      </c>
      <c r="H4169" t="s">
        <v>25</v>
      </c>
      <c r="I4169" t="s">
        <v>26</v>
      </c>
      <c r="J4169" t="s">
        <v>263</v>
      </c>
      <c r="K4169" t="s">
        <v>264</v>
      </c>
      <c r="L4169">
        <v>10009</v>
      </c>
      <c r="M4169" t="s">
        <v>145</v>
      </c>
      <c r="N4169" t="s">
        <v>3498</v>
      </c>
      <c r="O4169" t="s">
        <v>45</v>
      </c>
      <c r="P4169" t="s">
        <v>74</v>
      </c>
      <c r="Q4169" t="s">
        <v>3499</v>
      </c>
      <c r="R4169">
        <v>232.4</v>
      </c>
      <c r="S4169">
        <v>5</v>
      </c>
      <c r="T4169">
        <v>0.2</v>
      </c>
      <c r="U4169">
        <v>78.435000000000002</v>
      </c>
      <c r="V4169" t="str">
        <f t="shared" si="65"/>
        <v>Brian Derr</v>
      </c>
      <c r="W4169">
        <f>Table2[Profit]/Table2[Sales]</f>
        <v>0.33750000000000002</v>
      </c>
    </row>
    <row r="4170" spans="1:23" x14ac:dyDescent="0.25">
      <c r="A4170">
        <v>4169</v>
      </c>
      <c r="B4170" t="s">
        <v>9770</v>
      </c>
      <c r="C4170" s="1">
        <v>42401</v>
      </c>
      <c r="D4170" s="1">
        <v>42407</v>
      </c>
      <c r="E4170" t="s">
        <v>49</v>
      </c>
      <c r="F4170" t="s">
        <v>3449</v>
      </c>
      <c r="G4170" t="s">
        <v>3450</v>
      </c>
      <c r="H4170" t="s">
        <v>40</v>
      </c>
      <c r="I4170" t="s">
        <v>26</v>
      </c>
      <c r="J4170" t="s">
        <v>41</v>
      </c>
      <c r="K4170" t="s">
        <v>42</v>
      </c>
      <c r="L4170">
        <v>90036</v>
      </c>
      <c r="M4170" t="s">
        <v>43</v>
      </c>
      <c r="N4170" t="s">
        <v>625</v>
      </c>
      <c r="O4170" t="s">
        <v>45</v>
      </c>
      <c r="P4170" t="s">
        <v>89</v>
      </c>
      <c r="Q4170" t="s">
        <v>626</v>
      </c>
      <c r="R4170">
        <v>105.52</v>
      </c>
      <c r="S4170">
        <v>4</v>
      </c>
      <c r="T4170">
        <v>0</v>
      </c>
      <c r="U4170">
        <v>48.539200000000001</v>
      </c>
      <c r="V4170" t="str">
        <f t="shared" si="65"/>
        <v>Suzanne McNair</v>
      </c>
      <c r="W4170">
        <f>Table2[Profit]/Table2[Sales]</f>
        <v>0.46</v>
      </c>
    </row>
    <row r="4171" spans="1:23" x14ac:dyDescent="0.25">
      <c r="A4171">
        <v>4170</v>
      </c>
      <c r="B4171" t="s">
        <v>9771</v>
      </c>
      <c r="C4171" s="1">
        <v>42924</v>
      </c>
      <c r="D4171" s="1">
        <v>42928</v>
      </c>
      <c r="E4171" t="s">
        <v>49</v>
      </c>
      <c r="F4171" t="s">
        <v>9634</v>
      </c>
      <c r="G4171" t="s">
        <v>9635</v>
      </c>
      <c r="H4171" t="s">
        <v>40</v>
      </c>
      <c r="I4171" t="s">
        <v>26</v>
      </c>
      <c r="J4171" t="s">
        <v>600</v>
      </c>
      <c r="K4171" t="s">
        <v>242</v>
      </c>
      <c r="L4171">
        <v>19711</v>
      </c>
      <c r="M4171" t="s">
        <v>145</v>
      </c>
      <c r="N4171" t="s">
        <v>6120</v>
      </c>
      <c r="O4171" t="s">
        <v>31</v>
      </c>
      <c r="P4171" t="s">
        <v>64</v>
      </c>
      <c r="Q4171" t="s">
        <v>6121</v>
      </c>
      <c r="R4171">
        <v>83.92</v>
      </c>
      <c r="S4171">
        <v>4</v>
      </c>
      <c r="T4171">
        <v>0</v>
      </c>
      <c r="U4171">
        <v>5.8743999999999996</v>
      </c>
      <c r="V4171" t="str">
        <f t="shared" si="65"/>
        <v>Harold Engle</v>
      </c>
      <c r="W4171">
        <f>Table2[Profit]/Table2[Sales]</f>
        <v>6.9999999999999993E-2</v>
      </c>
    </row>
    <row r="4172" spans="1:23" x14ac:dyDescent="0.25">
      <c r="A4172">
        <v>4171</v>
      </c>
      <c r="B4172" t="s">
        <v>9772</v>
      </c>
      <c r="C4172" s="1">
        <v>42349</v>
      </c>
      <c r="D4172" s="1">
        <v>42355</v>
      </c>
      <c r="E4172" t="s">
        <v>49</v>
      </c>
      <c r="F4172" t="s">
        <v>714</v>
      </c>
      <c r="G4172" t="s">
        <v>715</v>
      </c>
      <c r="H4172" t="s">
        <v>101</v>
      </c>
      <c r="I4172" t="s">
        <v>26</v>
      </c>
      <c r="J4172" t="s">
        <v>4795</v>
      </c>
      <c r="K4172" t="s">
        <v>42</v>
      </c>
      <c r="L4172">
        <v>92404</v>
      </c>
      <c r="M4172" t="s">
        <v>43</v>
      </c>
      <c r="N4172" t="s">
        <v>2526</v>
      </c>
      <c r="O4172" t="s">
        <v>45</v>
      </c>
      <c r="P4172" t="s">
        <v>74</v>
      </c>
      <c r="Q4172" t="s">
        <v>2527</v>
      </c>
      <c r="R4172">
        <v>110.52800000000001</v>
      </c>
      <c r="S4172">
        <v>4</v>
      </c>
      <c r="T4172">
        <v>0.2</v>
      </c>
      <c r="U4172">
        <v>38.684800000000003</v>
      </c>
      <c r="V4172" t="str">
        <f t="shared" si="65"/>
        <v>Jim Kriz</v>
      </c>
      <c r="W4172">
        <f>Table2[Profit]/Table2[Sales]</f>
        <v>0.35000000000000003</v>
      </c>
    </row>
    <row r="4173" spans="1:23" x14ac:dyDescent="0.25">
      <c r="A4173">
        <v>4172</v>
      </c>
      <c r="B4173" t="s">
        <v>9773</v>
      </c>
      <c r="C4173" s="1">
        <v>42689</v>
      </c>
      <c r="D4173" s="1">
        <v>42689</v>
      </c>
      <c r="E4173" t="s">
        <v>1278</v>
      </c>
      <c r="F4173" t="s">
        <v>223</v>
      </c>
      <c r="G4173" t="s">
        <v>224</v>
      </c>
      <c r="H4173" t="s">
        <v>40</v>
      </c>
      <c r="I4173" t="s">
        <v>26</v>
      </c>
      <c r="J4173" t="s">
        <v>2189</v>
      </c>
      <c r="K4173" t="s">
        <v>87</v>
      </c>
      <c r="L4173">
        <v>27217</v>
      </c>
      <c r="M4173" t="s">
        <v>29</v>
      </c>
      <c r="N4173" t="s">
        <v>503</v>
      </c>
      <c r="O4173" t="s">
        <v>31</v>
      </c>
      <c r="P4173" t="s">
        <v>55</v>
      </c>
      <c r="Q4173" t="s">
        <v>504</v>
      </c>
      <c r="R4173">
        <v>630.024</v>
      </c>
      <c r="S4173">
        <v>4</v>
      </c>
      <c r="T4173">
        <v>0.4</v>
      </c>
      <c r="U4173">
        <v>-199.5076</v>
      </c>
      <c r="V4173" t="str">
        <f t="shared" si="65"/>
        <v>Odella Nelson</v>
      </c>
      <c r="W4173">
        <f>Table2[Profit]/Table2[Sales]</f>
        <v>-0.31666666666666665</v>
      </c>
    </row>
    <row r="4174" spans="1:23" x14ac:dyDescent="0.25">
      <c r="A4174">
        <v>4173</v>
      </c>
      <c r="B4174" t="s">
        <v>9774</v>
      </c>
      <c r="C4174" s="1">
        <v>42499</v>
      </c>
      <c r="D4174" s="1">
        <v>42502</v>
      </c>
      <c r="E4174" t="s">
        <v>22</v>
      </c>
      <c r="F4174" t="s">
        <v>4233</v>
      </c>
      <c r="G4174" t="s">
        <v>4234</v>
      </c>
      <c r="H4174" t="s">
        <v>25</v>
      </c>
      <c r="I4174" t="s">
        <v>26</v>
      </c>
      <c r="J4174" t="s">
        <v>1948</v>
      </c>
      <c r="K4174" t="s">
        <v>312</v>
      </c>
      <c r="L4174">
        <v>24153</v>
      </c>
      <c r="M4174" t="s">
        <v>29</v>
      </c>
      <c r="N4174" t="s">
        <v>763</v>
      </c>
      <c r="O4174" t="s">
        <v>45</v>
      </c>
      <c r="P4174" t="s">
        <v>67</v>
      </c>
      <c r="Q4174" t="s">
        <v>764</v>
      </c>
      <c r="R4174">
        <v>27.86</v>
      </c>
      <c r="S4174">
        <v>7</v>
      </c>
      <c r="T4174">
        <v>0</v>
      </c>
      <c r="U4174">
        <v>9.1937999999999995</v>
      </c>
      <c r="V4174" t="str">
        <f t="shared" si="65"/>
        <v>Thea Hendricks</v>
      </c>
      <c r="W4174">
        <f>Table2[Profit]/Table2[Sales]</f>
        <v>0.33</v>
      </c>
    </row>
    <row r="4175" spans="1:23" x14ac:dyDescent="0.25">
      <c r="A4175">
        <v>4174</v>
      </c>
      <c r="B4175" t="s">
        <v>9775</v>
      </c>
      <c r="C4175" s="1">
        <v>42804</v>
      </c>
      <c r="D4175" s="1">
        <v>42808</v>
      </c>
      <c r="E4175" t="s">
        <v>49</v>
      </c>
      <c r="F4175" t="s">
        <v>1680</v>
      </c>
      <c r="G4175" t="s">
        <v>1681</v>
      </c>
      <c r="H4175" t="s">
        <v>25</v>
      </c>
      <c r="I4175" t="s">
        <v>26</v>
      </c>
      <c r="J4175" t="s">
        <v>808</v>
      </c>
      <c r="K4175" t="s">
        <v>103</v>
      </c>
      <c r="L4175">
        <v>75217</v>
      </c>
      <c r="M4175" t="s">
        <v>104</v>
      </c>
      <c r="N4175" t="s">
        <v>2314</v>
      </c>
      <c r="O4175" t="s">
        <v>31</v>
      </c>
      <c r="P4175" t="s">
        <v>55</v>
      </c>
      <c r="Q4175" t="s">
        <v>2315</v>
      </c>
      <c r="R4175">
        <v>933.40800000000002</v>
      </c>
      <c r="S4175">
        <v>4</v>
      </c>
      <c r="T4175">
        <v>0.3</v>
      </c>
      <c r="U4175">
        <v>-173.34719999999999</v>
      </c>
      <c r="V4175" t="str">
        <f t="shared" si="65"/>
        <v>Maribeth Dona</v>
      </c>
      <c r="W4175">
        <f>Table2[Profit]/Table2[Sales]</f>
        <v>-0.18571428571428569</v>
      </c>
    </row>
    <row r="4176" spans="1:23" x14ac:dyDescent="0.25">
      <c r="A4176">
        <v>4175</v>
      </c>
      <c r="B4176" t="s">
        <v>9776</v>
      </c>
      <c r="C4176" s="1">
        <v>42721</v>
      </c>
      <c r="D4176" s="1">
        <v>42725</v>
      </c>
      <c r="E4176" t="s">
        <v>49</v>
      </c>
      <c r="F4176" t="s">
        <v>2784</v>
      </c>
      <c r="G4176" t="s">
        <v>2785</v>
      </c>
      <c r="H4176" t="s">
        <v>40</v>
      </c>
      <c r="I4176" t="s">
        <v>26</v>
      </c>
      <c r="J4176" t="s">
        <v>1119</v>
      </c>
      <c r="K4176" t="s">
        <v>103</v>
      </c>
      <c r="L4176">
        <v>76017</v>
      </c>
      <c r="M4176" t="s">
        <v>104</v>
      </c>
      <c r="N4176" t="s">
        <v>4685</v>
      </c>
      <c r="O4176" t="s">
        <v>45</v>
      </c>
      <c r="P4176" t="s">
        <v>89</v>
      </c>
      <c r="Q4176" t="s">
        <v>4686</v>
      </c>
      <c r="R4176">
        <v>51.84</v>
      </c>
      <c r="S4176">
        <v>10</v>
      </c>
      <c r="T4176">
        <v>0.2</v>
      </c>
      <c r="U4176">
        <v>18.143999999999998</v>
      </c>
      <c r="V4176" t="str">
        <f t="shared" si="65"/>
        <v>Adam Hart</v>
      </c>
      <c r="W4176">
        <f>Table2[Profit]/Table2[Sales]</f>
        <v>0.34999999999999992</v>
      </c>
    </row>
    <row r="4177" spans="1:23" x14ac:dyDescent="0.25">
      <c r="A4177">
        <v>4176</v>
      </c>
      <c r="B4177" t="s">
        <v>9777</v>
      </c>
      <c r="C4177" s="1">
        <v>42831</v>
      </c>
      <c r="D4177" s="1">
        <v>42837</v>
      </c>
      <c r="E4177" t="s">
        <v>49</v>
      </c>
      <c r="F4177" t="s">
        <v>4387</v>
      </c>
      <c r="G4177" t="s">
        <v>4388</v>
      </c>
      <c r="H4177" t="s">
        <v>101</v>
      </c>
      <c r="I4177" t="s">
        <v>26</v>
      </c>
      <c r="J4177" t="s">
        <v>5073</v>
      </c>
      <c r="K4177" t="s">
        <v>482</v>
      </c>
      <c r="L4177">
        <v>52302</v>
      </c>
      <c r="M4177" t="s">
        <v>104</v>
      </c>
      <c r="N4177" t="s">
        <v>1046</v>
      </c>
      <c r="O4177" t="s">
        <v>45</v>
      </c>
      <c r="P4177" t="s">
        <v>89</v>
      </c>
      <c r="Q4177" t="s">
        <v>183</v>
      </c>
      <c r="R4177">
        <v>106.32</v>
      </c>
      <c r="S4177">
        <v>3</v>
      </c>
      <c r="T4177">
        <v>0</v>
      </c>
      <c r="U4177">
        <v>49.970399999999998</v>
      </c>
      <c r="V4177" t="str">
        <f t="shared" si="65"/>
        <v>Max Ludwig</v>
      </c>
      <c r="W4177">
        <f>Table2[Profit]/Table2[Sales]</f>
        <v>0.47000000000000003</v>
      </c>
    </row>
    <row r="4178" spans="1:23" x14ac:dyDescent="0.25">
      <c r="A4178">
        <v>4177</v>
      </c>
      <c r="B4178" t="s">
        <v>9778</v>
      </c>
      <c r="C4178" s="1">
        <v>42864</v>
      </c>
      <c r="D4178" s="1">
        <v>42866</v>
      </c>
      <c r="E4178" t="s">
        <v>185</v>
      </c>
      <c r="F4178" t="s">
        <v>6326</v>
      </c>
      <c r="G4178" t="s">
        <v>6327</v>
      </c>
      <c r="H4178" t="s">
        <v>101</v>
      </c>
      <c r="I4178" t="s">
        <v>26</v>
      </c>
      <c r="J4178" t="s">
        <v>94</v>
      </c>
      <c r="K4178" t="s">
        <v>95</v>
      </c>
      <c r="L4178">
        <v>98105</v>
      </c>
      <c r="M4178" t="s">
        <v>43</v>
      </c>
      <c r="N4178" t="s">
        <v>3092</v>
      </c>
      <c r="O4178" t="s">
        <v>45</v>
      </c>
      <c r="P4178" t="s">
        <v>74</v>
      </c>
      <c r="Q4178" t="s">
        <v>3093</v>
      </c>
      <c r="R4178">
        <v>147.91999999999999</v>
      </c>
      <c r="S4178">
        <v>5</v>
      </c>
      <c r="T4178">
        <v>0.2</v>
      </c>
      <c r="U4178">
        <v>46.225000000000001</v>
      </c>
      <c r="V4178" t="str">
        <f t="shared" si="65"/>
        <v>Laurel Beltran</v>
      </c>
      <c r="W4178">
        <f>Table2[Profit]/Table2[Sales]</f>
        <v>0.31250000000000006</v>
      </c>
    </row>
    <row r="4179" spans="1:23" x14ac:dyDescent="0.25">
      <c r="A4179">
        <v>4178</v>
      </c>
      <c r="B4179" t="s">
        <v>9779</v>
      </c>
      <c r="C4179" s="1">
        <v>43020</v>
      </c>
      <c r="D4179" s="1">
        <v>43024</v>
      </c>
      <c r="E4179" t="s">
        <v>49</v>
      </c>
      <c r="F4179" t="s">
        <v>638</v>
      </c>
      <c r="G4179" t="s">
        <v>639</v>
      </c>
      <c r="H4179" t="s">
        <v>25</v>
      </c>
      <c r="I4179" t="s">
        <v>26</v>
      </c>
      <c r="J4179" t="s">
        <v>1111</v>
      </c>
      <c r="K4179" t="s">
        <v>781</v>
      </c>
      <c r="L4179">
        <v>8701</v>
      </c>
      <c r="M4179" t="s">
        <v>145</v>
      </c>
      <c r="N4179" t="s">
        <v>243</v>
      </c>
      <c r="O4179" t="s">
        <v>70</v>
      </c>
      <c r="P4179" t="s">
        <v>158</v>
      </c>
      <c r="Q4179" t="s">
        <v>244</v>
      </c>
      <c r="R4179">
        <v>45</v>
      </c>
      <c r="S4179">
        <v>3</v>
      </c>
      <c r="T4179">
        <v>0</v>
      </c>
      <c r="U4179">
        <v>4.95</v>
      </c>
      <c r="V4179" t="str">
        <f t="shared" si="65"/>
        <v>Nora Paige</v>
      </c>
      <c r="W4179">
        <f>Table2[Profit]/Table2[Sales]</f>
        <v>0.11</v>
      </c>
    </row>
    <row r="4180" spans="1:23" x14ac:dyDescent="0.25">
      <c r="A4180">
        <v>4179</v>
      </c>
      <c r="B4180" t="s">
        <v>9780</v>
      </c>
      <c r="C4180" s="1">
        <v>42610</v>
      </c>
      <c r="D4180" s="1">
        <v>42612</v>
      </c>
      <c r="E4180" t="s">
        <v>185</v>
      </c>
      <c r="F4180" t="s">
        <v>4050</v>
      </c>
      <c r="G4180" t="s">
        <v>4051</v>
      </c>
      <c r="H4180" t="s">
        <v>40</v>
      </c>
      <c r="I4180" t="s">
        <v>26</v>
      </c>
      <c r="J4180" t="s">
        <v>999</v>
      </c>
      <c r="K4180" t="s">
        <v>491</v>
      </c>
      <c r="L4180">
        <v>45231</v>
      </c>
      <c r="M4180" t="s">
        <v>145</v>
      </c>
      <c r="N4180" t="s">
        <v>8012</v>
      </c>
      <c r="O4180" t="s">
        <v>45</v>
      </c>
      <c r="P4180" t="s">
        <v>74</v>
      </c>
      <c r="Q4180" t="s">
        <v>8013</v>
      </c>
      <c r="R4180">
        <v>18.431999999999999</v>
      </c>
      <c r="S4180">
        <v>8</v>
      </c>
      <c r="T4180">
        <v>0.7</v>
      </c>
      <c r="U4180">
        <v>-12.288</v>
      </c>
      <c r="V4180" t="str">
        <f t="shared" si="65"/>
        <v>Edward Becker</v>
      </c>
      <c r="W4180">
        <f>Table2[Profit]/Table2[Sales]</f>
        <v>-0.66666666666666674</v>
      </c>
    </row>
    <row r="4181" spans="1:23" x14ac:dyDescent="0.25">
      <c r="A4181">
        <v>4180</v>
      </c>
      <c r="B4181" t="s">
        <v>9781</v>
      </c>
      <c r="C4181" s="1">
        <v>42279</v>
      </c>
      <c r="D4181" s="1">
        <v>42284</v>
      </c>
      <c r="E4181" t="s">
        <v>49</v>
      </c>
      <c r="F4181" t="s">
        <v>2146</v>
      </c>
      <c r="G4181" t="s">
        <v>2147</v>
      </c>
      <c r="H4181" t="s">
        <v>25</v>
      </c>
      <c r="I4181" t="s">
        <v>26</v>
      </c>
      <c r="J4181" t="s">
        <v>6843</v>
      </c>
      <c r="K4181" t="s">
        <v>450</v>
      </c>
      <c r="L4181">
        <v>80229</v>
      </c>
      <c r="M4181" t="s">
        <v>43</v>
      </c>
      <c r="N4181" t="s">
        <v>9742</v>
      </c>
      <c r="O4181" t="s">
        <v>45</v>
      </c>
      <c r="P4181" t="s">
        <v>572</v>
      </c>
      <c r="Q4181" t="s">
        <v>9743</v>
      </c>
      <c r="R4181">
        <v>10.944000000000001</v>
      </c>
      <c r="S4181">
        <v>2</v>
      </c>
      <c r="T4181">
        <v>0.2</v>
      </c>
      <c r="U4181">
        <v>0.95760000000000001</v>
      </c>
      <c r="V4181" t="str">
        <f t="shared" si="65"/>
        <v>Resi Pölking</v>
      </c>
      <c r="W4181">
        <f>Table2[Profit]/Table2[Sales]</f>
        <v>8.7499999999999994E-2</v>
      </c>
    </row>
    <row r="4182" spans="1:23" x14ac:dyDescent="0.25">
      <c r="A4182">
        <v>4181</v>
      </c>
      <c r="B4182" t="s">
        <v>9782</v>
      </c>
      <c r="C4182" s="1">
        <v>43062</v>
      </c>
      <c r="D4182" s="1">
        <v>43064</v>
      </c>
      <c r="E4182" t="s">
        <v>185</v>
      </c>
      <c r="F4182" t="s">
        <v>3466</v>
      </c>
      <c r="G4182" t="s">
        <v>3467</v>
      </c>
      <c r="H4182" t="s">
        <v>25</v>
      </c>
      <c r="I4182" t="s">
        <v>26</v>
      </c>
      <c r="J4182" t="s">
        <v>560</v>
      </c>
      <c r="K4182" t="s">
        <v>235</v>
      </c>
      <c r="L4182">
        <v>48066</v>
      </c>
      <c r="M4182" t="s">
        <v>104</v>
      </c>
      <c r="N4182" t="s">
        <v>1842</v>
      </c>
      <c r="O4182" t="s">
        <v>45</v>
      </c>
      <c r="P4182" t="s">
        <v>572</v>
      </c>
      <c r="Q4182" t="s">
        <v>1285</v>
      </c>
      <c r="R4182">
        <v>4.3600000000000003</v>
      </c>
      <c r="S4182">
        <v>2</v>
      </c>
      <c r="T4182">
        <v>0</v>
      </c>
      <c r="U4182">
        <v>0.1744</v>
      </c>
      <c r="V4182" t="str">
        <f t="shared" si="65"/>
        <v>Dan Campbell</v>
      </c>
      <c r="W4182">
        <f>Table2[Profit]/Table2[Sales]</f>
        <v>3.9999999999999994E-2</v>
      </c>
    </row>
    <row r="4183" spans="1:23" x14ac:dyDescent="0.25">
      <c r="A4183">
        <v>4182</v>
      </c>
      <c r="B4183" t="s">
        <v>9783</v>
      </c>
      <c r="C4183" s="1">
        <v>43051</v>
      </c>
      <c r="D4183" s="1">
        <v>43055</v>
      </c>
      <c r="E4183" t="s">
        <v>49</v>
      </c>
      <c r="F4183" t="s">
        <v>1171</v>
      </c>
      <c r="G4183" t="s">
        <v>1172</v>
      </c>
      <c r="H4183" t="s">
        <v>40</v>
      </c>
      <c r="I4183" t="s">
        <v>26</v>
      </c>
      <c r="J4183" t="s">
        <v>3989</v>
      </c>
      <c r="K4183" t="s">
        <v>303</v>
      </c>
      <c r="L4183">
        <v>85281</v>
      </c>
      <c r="M4183" t="s">
        <v>43</v>
      </c>
      <c r="N4183" t="s">
        <v>5768</v>
      </c>
      <c r="O4183" t="s">
        <v>70</v>
      </c>
      <c r="P4183" t="s">
        <v>158</v>
      </c>
      <c r="Q4183" t="s">
        <v>5769</v>
      </c>
      <c r="R4183">
        <v>62.351999999999997</v>
      </c>
      <c r="S4183">
        <v>6</v>
      </c>
      <c r="T4183">
        <v>0.2</v>
      </c>
      <c r="U4183">
        <v>-10.9116</v>
      </c>
      <c r="V4183" t="str">
        <f t="shared" si="65"/>
        <v>Don Jones</v>
      </c>
      <c r="W4183">
        <f>Table2[Profit]/Table2[Sales]</f>
        <v>-0.17500000000000002</v>
      </c>
    </row>
    <row r="4184" spans="1:23" x14ac:dyDescent="0.25">
      <c r="A4184">
        <v>4183</v>
      </c>
      <c r="B4184" t="s">
        <v>9784</v>
      </c>
      <c r="C4184" s="1">
        <v>42723</v>
      </c>
      <c r="D4184" s="1">
        <v>42725</v>
      </c>
      <c r="E4184" t="s">
        <v>22</v>
      </c>
      <c r="F4184" t="s">
        <v>479</v>
      </c>
      <c r="G4184" t="s">
        <v>480</v>
      </c>
      <c r="H4184" t="s">
        <v>25</v>
      </c>
      <c r="I4184" t="s">
        <v>26</v>
      </c>
      <c r="J4184" t="s">
        <v>4671</v>
      </c>
      <c r="K4184" t="s">
        <v>144</v>
      </c>
      <c r="L4184">
        <v>19601</v>
      </c>
      <c r="M4184" t="s">
        <v>145</v>
      </c>
      <c r="N4184" t="s">
        <v>6857</v>
      </c>
      <c r="O4184" t="s">
        <v>31</v>
      </c>
      <c r="P4184" t="s">
        <v>64</v>
      </c>
      <c r="Q4184" t="s">
        <v>6858</v>
      </c>
      <c r="R4184">
        <v>303.92</v>
      </c>
      <c r="S4184">
        <v>5</v>
      </c>
      <c r="T4184">
        <v>0.2</v>
      </c>
      <c r="U4184">
        <v>-30.391999999999999</v>
      </c>
      <c r="V4184" t="str">
        <f t="shared" si="65"/>
        <v>Clay Ludtke</v>
      </c>
      <c r="W4184">
        <f>Table2[Profit]/Table2[Sales]</f>
        <v>-9.9999999999999992E-2</v>
      </c>
    </row>
    <row r="4185" spans="1:23" x14ac:dyDescent="0.25">
      <c r="A4185">
        <v>4184</v>
      </c>
      <c r="B4185" t="s">
        <v>9785</v>
      </c>
      <c r="C4185" s="1">
        <v>41728</v>
      </c>
      <c r="D4185" s="1">
        <v>41734</v>
      </c>
      <c r="E4185" t="s">
        <v>49</v>
      </c>
      <c r="F4185" t="s">
        <v>3240</v>
      </c>
      <c r="G4185" t="s">
        <v>3241</v>
      </c>
      <c r="H4185" t="s">
        <v>25</v>
      </c>
      <c r="I4185" t="s">
        <v>26</v>
      </c>
      <c r="J4185" t="s">
        <v>5989</v>
      </c>
      <c r="K4185" t="s">
        <v>226</v>
      </c>
      <c r="L4185">
        <v>55124</v>
      </c>
      <c r="M4185" t="s">
        <v>104</v>
      </c>
      <c r="N4185" t="s">
        <v>2132</v>
      </c>
      <c r="O4185" t="s">
        <v>45</v>
      </c>
      <c r="P4185" t="s">
        <v>58</v>
      </c>
      <c r="Q4185" t="s">
        <v>2133</v>
      </c>
      <c r="R4185">
        <v>129.30000000000001</v>
      </c>
      <c r="S4185">
        <v>2</v>
      </c>
      <c r="T4185">
        <v>0</v>
      </c>
      <c r="U4185">
        <v>6.4649999999999999</v>
      </c>
      <c r="V4185" t="str">
        <f t="shared" si="65"/>
        <v>Nat Carroll</v>
      </c>
      <c r="W4185">
        <f>Table2[Profit]/Table2[Sales]</f>
        <v>4.9999999999999996E-2</v>
      </c>
    </row>
    <row r="4186" spans="1:23" x14ac:dyDescent="0.25">
      <c r="A4186">
        <v>4185</v>
      </c>
      <c r="B4186" t="s">
        <v>9786</v>
      </c>
      <c r="C4186" s="1">
        <v>43047</v>
      </c>
      <c r="D4186" s="1">
        <v>43052</v>
      </c>
      <c r="E4186" t="s">
        <v>49</v>
      </c>
      <c r="F4186" t="s">
        <v>5595</v>
      </c>
      <c r="G4186" t="s">
        <v>5596</v>
      </c>
      <c r="H4186" t="s">
        <v>40</v>
      </c>
      <c r="I4186" t="s">
        <v>26</v>
      </c>
      <c r="J4186" t="s">
        <v>4400</v>
      </c>
      <c r="K4186" t="s">
        <v>2699</v>
      </c>
      <c r="L4186">
        <v>21215</v>
      </c>
      <c r="M4186" t="s">
        <v>145</v>
      </c>
      <c r="N4186" t="s">
        <v>3438</v>
      </c>
      <c r="O4186" t="s">
        <v>31</v>
      </c>
      <c r="P4186" t="s">
        <v>64</v>
      </c>
      <c r="Q4186" t="s">
        <v>3439</v>
      </c>
      <c r="R4186">
        <v>274.2</v>
      </c>
      <c r="S4186">
        <v>10</v>
      </c>
      <c r="T4186">
        <v>0</v>
      </c>
      <c r="U4186">
        <v>112.422</v>
      </c>
      <c r="V4186" t="str">
        <f t="shared" si="65"/>
        <v>Kean Nguyen</v>
      </c>
      <c r="W4186">
        <f>Table2[Profit]/Table2[Sales]</f>
        <v>0.41000000000000003</v>
      </c>
    </row>
    <row r="4187" spans="1:23" x14ac:dyDescent="0.25">
      <c r="A4187">
        <v>4186</v>
      </c>
      <c r="B4187" t="s">
        <v>9787</v>
      </c>
      <c r="C4187" s="1">
        <v>41896</v>
      </c>
      <c r="D4187" s="1">
        <v>41900</v>
      </c>
      <c r="E4187" t="s">
        <v>22</v>
      </c>
      <c r="F4187" t="s">
        <v>5267</v>
      </c>
      <c r="G4187" t="s">
        <v>5268</v>
      </c>
      <c r="H4187" t="s">
        <v>40</v>
      </c>
      <c r="I4187" t="s">
        <v>26</v>
      </c>
      <c r="J4187" t="s">
        <v>5842</v>
      </c>
      <c r="K4187" t="s">
        <v>103</v>
      </c>
      <c r="L4187">
        <v>78415</v>
      </c>
      <c r="M4187" t="s">
        <v>104</v>
      </c>
      <c r="N4187" t="s">
        <v>3719</v>
      </c>
      <c r="O4187" t="s">
        <v>45</v>
      </c>
      <c r="P4187" t="s">
        <v>266</v>
      </c>
      <c r="Q4187" t="s">
        <v>3720</v>
      </c>
      <c r="R4187">
        <v>6.048</v>
      </c>
      <c r="S4187">
        <v>4</v>
      </c>
      <c r="T4187">
        <v>0.2</v>
      </c>
      <c r="U4187">
        <v>-1.3608</v>
      </c>
      <c r="V4187" t="str">
        <f t="shared" si="65"/>
        <v>Scott Cohen</v>
      </c>
      <c r="W4187">
        <f>Table2[Profit]/Table2[Sales]</f>
        <v>-0.22500000000000001</v>
      </c>
    </row>
    <row r="4188" spans="1:23" x14ac:dyDescent="0.25">
      <c r="A4188">
        <v>4187</v>
      </c>
      <c r="B4188" t="s">
        <v>9788</v>
      </c>
      <c r="C4188" s="1">
        <v>42267</v>
      </c>
      <c r="D4188" s="1">
        <v>42273</v>
      </c>
      <c r="E4188" t="s">
        <v>49</v>
      </c>
      <c r="F4188" t="s">
        <v>4790</v>
      </c>
      <c r="G4188" t="s">
        <v>4791</v>
      </c>
      <c r="H4188" t="s">
        <v>25</v>
      </c>
      <c r="I4188" t="s">
        <v>26</v>
      </c>
      <c r="J4188" t="s">
        <v>1380</v>
      </c>
      <c r="K4188" t="s">
        <v>1381</v>
      </c>
      <c r="L4188">
        <v>89115</v>
      </c>
      <c r="M4188" t="s">
        <v>43</v>
      </c>
      <c r="N4188" t="s">
        <v>6226</v>
      </c>
      <c r="O4188" t="s">
        <v>45</v>
      </c>
      <c r="P4188" t="s">
        <v>74</v>
      </c>
      <c r="Q4188" t="s">
        <v>6227</v>
      </c>
      <c r="R4188">
        <v>45.584000000000003</v>
      </c>
      <c r="S4188">
        <v>11</v>
      </c>
      <c r="T4188">
        <v>0.2</v>
      </c>
      <c r="U4188">
        <v>16.5242</v>
      </c>
      <c r="V4188" t="str">
        <f t="shared" si="65"/>
        <v>Anne McFarland</v>
      </c>
      <c r="W4188">
        <f>Table2[Profit]/Table2[Sales]</f>
        <v>0.36249999999999999</v>
      </c>
    </row>
    <row r="4189" spans="1:23" x14ac:dyDescent="0.25">
      <c r="A4189">
        <v>4188</v>
      </c>
      <c r="B4189" t="s">
        <v>9789</v>
      </c>
      <c r="C4189" s="1">
        <v>42348</v>
      </c>
      <c r="D4189" s="1">
        <v>42354</v>
      </c>
      <c r="E4189" t="s">
        <v>49</v>
      </c>
      <c r="F4189" t="s">
        <v>2948</v>
      </c>
      <c r="G4189" t="s">
        <v>2949</v>
      </c>
      <c r="H4189" t="s">
        <v>25</v>
      </c>
      <c r="I4189" t="s">
        <v>26</v>
      </c>
      <c r="J4189" t="s">
        <v>2148</v>
      </c>
      <c r="K4189" t="s">
        <v>491</v>
      </c>
      <c r="L4189">
        <v>44105</v>
      </c>
      <c r="M4189" t="s">
        <v>145</v>
      </c>
      <c r="N4189" t="s">
        <v>5501</v>
      </c>
      <c r="O4189" t="s">
        <v>70</v>
      </c>
      <c r="P4189" t="s">
        <v>158</v>
      </c>
      <c r="Q4189" t="s">
        <v>5502</v>
      </c>
      <c r="R4189">
        <v>25.488</v>
      </c>
      <c r="S4189">
        <v>2</v>
      </c>
      <c r="T4189">
        <v>0.2</v>
      </c>
      <c r="U4189">
        <v>4.4603999999999999</v>
      </c>
      <c r="V4189" t="str">
        <f t="shared" si="65"/>
        <v>Ryan Akin</v>
      </c>
      <c r="W4189">
        <f>Table2[Profit]/Table2[Sales]</f>
        <v>0.17499999999999999</v>
      </c>
    </row>
    <row r="4190" spans="1:23" x14ac:dyDescent="0.25">
      <c r="A4190">
        <v>4189</v>
      </c>
      <c r="B4190" t="s">
        <v>9790</v>
      </c>
      <c r="C4190" s="1">
        <v>41787</v>
      </c>
      <c r="D4190" s="1">
        <v>41791</v>
      </c>
      <c r="E4190" t="s">
        <v>49</v>
      </c>
      <c r="F4190" t="s">
        <v>4882</v>
      </c>
      <c r="G4190" t="s">
        <v>4883</v>
      </c>
      <c r="H4190" t="s">
        <v>25</v>
      </c>
      <c r="I4190" t="s">
        <v>26</v>
      </c>
      <c r="J4190" t="s">
        <v>94</v>
      </c>
      <c r="K4190" t="s">
        <v>95</v>
      </c>
      <c r="L4190">
        <v>98105</v>
      </c>
      <c r="M4190" t="s">
        <v>43</v>
      </c>
      <c r="N4190" t="s">
        <v>7142</v>
      </c>
      <c r="O4190" t="s">
        <v>45</v>
      </c>
      <c r="P4190" t="s">
        <v>74</v>
      </c>
      <c r="Q4190" t="s">
        <v>7143</v>
      </c>
      <c r="R4190">
        <v>136.96</v>
      </c>
      <c r="S4190">
        <v>4</v>
      </c>
      <c r="T4190">
        <v>0.2</v>
      </c>
      <c r="U4190">
        <v>51.36</v>
      </c>
      <c r="V4190" t="str">
        <f t="shared" si="65"/>
        <v>Magdelene Morse</v>
      </c>
      <c r="W4190">
        <f>Table2[Profit]/Table2[Sales]</f>
        <v>0.375</v>
      </c>
    </row>
    <row r="4191" spans="1:23" x14ac:dyDescent="0.25">
      <c r="A4191">
        <v>4190</v>
      </c>
      <c r="B4191" t="s">
        <v>9791</v>
      </c>
      <c r="C4191" s="1">
        <v>42808</v>
      </c>
      <c r="D4191" s="1">
        <v>42811</v>
      </c>
      <c r="E4191" t="s">
        <v>22</v>
      </c>
      <c r="F4191" t="s">
        <v>2239</v>
      </c>
      <c r="G4191" t="s">
        <v>2240</v>
      </c>
      <c r="H4191" t="s">
        <v>40</v>
      </c>
      <c r="I4191" t="s">
        <v>26</v>
      </c>
      <c r="J4191" t="s">
        <v>296</v>
      </c>
      <c r="K4191" t="s">
        <v>208</v>
      </c>
      <c r="L4191">
        <v>60623</v>
      </c>
      <c r="M4191" t="s">
        <v>104</v>
      </c>
      <c r="N4191" t="s">
        <v>7367</v>
      </c>
      <c r="O4191" t="s">
        <v>70</v>
      </c>
      <c r="P4191" t="s">
        <v>71</v>
      </c>
      <c r="Q4191" t="s">
        <v>7368</v>
      </c>
      <c r="R4191">
        <v>49.616</v>
      </c>
      <c r="S4191">
        <v>2</v>
      </c>
      <c r="T4191">
        <v>0.2</v>
      </c>
      <c r="U4191">
        <v>4.9615999999999998</v>
      </c>
      <c r="V4191" t="str">
        <f t="shared" si="65"/>
        <v>Brad Norvell</v>
      </c>
      <c r="W4191">
        <f>Table2[Profit]/Table2[Sales]</f>
        <v>9.9999999999999992E-2</v>
      </c>
    </row>
    <row r="4192" spans="1:23" x14ac:dyDescent="0.25">
      <c r="A4192">
        <v>4191</v>
      </c>
      <c r="B4192" t="s">
        <v>9792</v>
      </c>
      <c r="C4192" s="1">
        <v>42712</v>
      </c>
      <c r="D4192" s="1">
        <v>42716</v>
      </c>
      <c r="E4192" t="s">
        <v>22</v>
      </c>
      <c r="F4192" t="s">
        <v>6043</v>
      </c>
      <c r="G4192" t="s">
        <v>6044</v>
      </c>
      <c r="H4192" t="s">
        <v>101</v>
      </c>
      <c r="I4192" t="s">
        <v>26</v>
      </c>
      <c r="J4192" t="s">
        <v>490</v>
      </c>
      <c r="K4192" t="s">
        <v>491</v>
      </c>
      <c r="L4192">
        <v>43229</v>
      </c>
      <c r="M4192" t="s">
        <v>145</v>
      </c>
      <c r="N4192" t="s">
        <v>1020</v>
      </c>
      <c r="O4192" t="s">
        <v>45</v>
      </c>
      <c r="P4192" t="s">
        <v>89</v>
      </c>
      <c r="Q4192" t="s">
        <v>1021</v>
      </c>
      <c r="R4192">
        <v>10.584</v>
      </c>
      <c r="S4192">
        <v>3</v>
      </c>
      <c r="T4192">
        <v>0.2</v>
      </c>
      <c r="U4192">
        <v>3.4398</v>
      </c>
      <c r="V4192" t="str">
        <f t="shared" si="65"/>
        <v>Julia Barnett</v>
      </c>
      <c r="W4192">
        <f>Table2[Profit]/Table2[Sales]</f>
        <v>0.32500000000000001</v>
      </c>
    </row>
    <row r="4193" spans="1:23" x14ac:dyDescent="0.25">
      <c r="A4193">
        <v>4192</v>
      </c>
      <c r="B4193" t="s">
        <v>9793</v>
      </c>
      <c r="C4193" s="1">
        <v>42861</v>
      </c>
      <c r="D4193" s="1">
        <v>42865</v>
      </c>
      <c r="E4193" t="s">
        <v>49</v>
      </c>
      <c r="F4193" t="s">
        <v>1199</v>
      </c>
      <c r="G4193" t="s">
        <v>1200</v>
      </c>
      <c r="H4193" t="s">
        <v>25</v>
      </c>
      <c r="I4193" t="s">
        <v>26</v>
      </c>
      <c r="J4193" t="s">
        <v>1299</v>
      </c>
      <c r="K4193" t="s">
        <v>303</v>
      </c>
      <c r="L4193">
        <v>85705</v>
      </c>
      <c r="M4193" t="s">
        <v>43</v>
      </c>
      <c r="N4193" t="s">
        <v>625</v>
      </c>
      <c r="O4193" t="s">
        <v>45</v>
      </c>
      <c r="P4193" t="s">
        <v>89</v>
      </c>
      <c r="Q4193" t="s">
        <v>626</v>
      </c>
      <c r="R4193">
        <v>84.415999999999997</v>
      </c>
      <c r="S4193">
        <v>4</v>
      </c>
      <c r="T4193">
        <v>0.2</v>
      </c>
      <c r="U4193">
        <v>27.435199999999998</v>
      </c>
      <c r="V4193" t="str">
        <f t="shared" si="65"/>
        <v>Doug Bickford</v>
      </c>
      <c r="W4193">
        <f>Table2[Profit]/Table2[Sales]</f>
        <v>0.32500000000000001</v>
      </c>
    </row>
    <row r="4194" spans="1:23" x14ac:dyDescent="0.25">
      <c r="A4194">
        <v>4193</v>
      </c>
      <c r="B4194" t="s">
        <v>9794</v>
      </c>
      <c r="C4194" s="1">
        <v>42435</v>
      </c>
      <c r="D4194" s="1">
        <v>42439</v>
      </c>
      <c r="E4194" t="s">
        <v>49</v>
      </c>
      <c r="F4194" t="s">
        <v>6043</v>
      </c>
      <c r="G4194" t="s">
        <v>6044</v>
      </c>
      <c r="H4194" t="s">
        <v>101</v>
      </c>
      <c r="I4194" t="s">
        <v>26</v>
      </c>
      <c r="J4194" t="s">
        <v>143</v>
      </c>
      <c r="K4194" t="s">
        <v>144</v>
      </c>
      <c r="L4194">
        <v>19120</v>
      </c>
      <c r="M4194" t="s">
        <v>145</v>
      </c>
      <c r="N4194" t="s">
        <v>3446</v>
      </c>
      <c r="O4194" t="s">
        <v>70</v>
      </c>
      <c r="P4194" t="s">
        <v>71</v>
      </c>
      <c r="Q4194" t="s">
        <v>3447</v>
      </c>
      <c r="R4194">
        <v>431.94</v>
      </c>
      <c r="S4194">
        <v>2</v>
      </c>
      <c r="T4194">
        <v>0.4</v>
      </c>
      <c r="U4194">
        <v>-71.989999999999995</v>
      </c>
      <c r="V4194" t="str">
        <f t="shared" si="65"/>
        <v>Julia Barnett</v>
      </c>
      <c r="W4194">
        <f>Table2[Profit]/Table2[Sales]</f>
        <v>-0.16666666666666666</v>
      </c>
    </row>
    <row r="4195" spans="1:23" x14ac:dyDescent="0.25">
      <c r="A4195">
        <v>4194</v>
      </c>
      <c r="B4195" t="s">
        <v>9795</v>
      </c>
      <c r="C4195" s="1">
        <v>43031</v>
      </c>
      <c r="D4195" s="1">
        <v>43032</v>
      </c>
      <c r="E4195" t="s">
        <v>185</v>
      </c>
      <c r="F4195" t="s">
        <v>2784</v>
      </c>
      <c r="G4195" t="s">
        <v>2785</v>
      </c>
      <c r="H4195" t="s">
        <v>40</v>
      </c>
      <c r="I4195" t="s">
        <v>26</v>
      </c>
      <c r="J4195" t="s">
        <v>7134</v>
      </c>
      <c r="K4195" t="s">
        <v>1388</v>
      </c>
      <c r="L4195">
        <v>2920</v>
      </c>
      <c r="M4195" t="s">
        <v>145</v>
      </c>
      <c r="N4195" t="s">
        <v>3746</v>
      </c>
      <c r="O4195" t="s">
        <v>31</v>
      </c>
      <c r="P4195" t="s">
        <v>55</v>
      </c>
      <c r="Q4195" t="s">
        <v>3216</v>
      </c>
      <c r="R4195">
        <v>240.744</v>
      </c>
      <c r="S4195">
        <v>4</v>
      </c>
      <c r="T4195">
        <v>0.3</v>
      </c>
      <c r="U4195">
        <v>-13.7568</v>
      </c>
      <c r="V4195" t="str">
        <f t="shared" si="65"/>
        <v>Adam Hart</v>
      </c>
      <c r="W4195">
        <f>Table2[Profit]/Table2[Sales]</f>
        <v>-5.7142857142857141E-2</v>
      </c>
    </row>
    <row r="4196" spans="1:23" x14ac:dyDescent="0.25">
      <c r="A4196">
        <v>4195</v>
      </c>
      <c r="B4196" t="s">
        <v>9796</v>
      </c>
      <c r="C4196" s="1">
        <v>41757</v>
      </c>
      <c r="D4196" s="1">
        <v>41759</v>
      </c>
      <c r="E4196" t="s">
        <v>185</v>
      </c>
      <c r="F4196" t="s">
        <v>3958</v>
      </c>
      <c r="G4196" t="s">
        <v>3959</v>
      </c>
      <c r="H4196" t="s">
        <v>25</v>
      </c>
      <c r="I4196" t="s">
        <v>26</v>
      </c>
      <c r="J4196" t="s">
        <v>126</v>
      </c>
      <c r="K4196" t="s">
        <v>42</v>
      </c>
      <c r="L4196">
        <v>94122</v>
      </c>
      <c r="M4196" t="s">
        <v>43</v>
      </c>
      <c r="N4196" t="s">
        <v>6011</v>
      </c>
      <c r="O4196" t="s">
        <v>70</v>
      </c>
      <c r="P4196" t="s">
        <v>71</v>
      </c>
      <c r="Q4196" t="s">
        <v>6012</v>
      </c>
      <c r="R4196">
        <v>1679.96</v>
      </c>
      <c r="S4196">
        <v>5</v>
      </c>
      <c r="T4196">
        <v>0.2</v>
      </c>
      <c r="U4196">
        <v>125.997</v>
      </c>
      <c r="V4196" t="str">
        <f t="shared" si="65"/>
        <v>Arianne Irving</v>
      </c>
      <c r="W4196">
        <f>Table2[Profit]/Table2[Sales]</f>
        <v>7.4999999999999997E-2</v>
      </c>
    </row>
    <row r="4197" spans="1:23" x14ac:dyDescent="0.25">
      <c r="A4197">
        <v>4196</v>
      </c>
      <c r="B4197" t="s">
        <v>9797</v>
      </c>
      <c r="C4197" s="1">
        <v>42478</v>
      </c>
      <c r="D4197" s="1">
        <v>42483</v>
      </c>
      <c r="E4197" t="s">
        <v>49</v>
      </c>
      <c r="F4197" t="s">
        <v>8085</v>
      </c>
      <c r="G4197" t="s">
        <v>8086</v>
      </c>
      <c r="H4197" t="s">
        <v>40</v>
      </c>
      <c r="I4197" t="s">
        <v>26</v>
      </c>
      <c r="J4197" t="s">
        <v>181</v>
      </c>
      <c r="K4197" t="s">
        <v>103</v>
      </c>
      <c r="L4197">
        <v>77070</v>
      </c>
      <c r="M4197" t="s">
        <v>104</v>
      </c>
      <c r="N4197" t="s">
        <v>3134</v>
      </c>
      <c r="O4197" t="s">
        <v>31</v>
      </c>
      <c r="P4197" t="s">
        <v>35</v>
      </c>
      <c r="Q4197" t="s">
        <v>3135</v>
      </c>
      <c r="R4197">
        <v>344.37200000000001</v>
      </c>
      <c r="S4197">
        <v>4</v>
      </c>
      <c r="T4197">
        <v>0.3</v>
      </c>
      <c r="U4197">
        <v>-93.472399999999993</v>
      </c>
      <c r="V4197" t="str">
        <f t="shared" si="65"/>
        <v>Thea Hudgings</v>
      </c>
      <c r="W4197">
        <f>Table2[Profit]/Table2[Sales]</f>
        <v>-0.27142857142857141</v>
      </c>
    </row>
    <row r="4198" spans="1:23" x14ac:dyDescent="0.25">
      <c r="A4198">
        <v>4197</v>
      </c>
      <c r="B4198" t="s">
        <v>9798</v>
      </c>
      <c r="C4198" s="1">
        <v>42512</v>
      </c>
      <c r="D4198" s="1">
        <v>42519</v>
      </c>
      <c r="E4198" t="s">
        <v>49</v>
      </c>
      <c r="F4198" t="s">
        <v>4415</v>
      </c>
      <c r="G4198" t="s">
        <v>4416</v>
      </c>
      <c r="H4198" t="s">
        <v>40</v>
      </c>
      <c r="I4198" t="s">
        <v>26</v>
      </c>
      <c r="J4198" t="s">
        <v>41</v>
      </c>
      <c r="K4198" t="s">
        <v>42</v>
      </c>
      <c r="L4198">
        <v>90049</v>
      </c>
      <c r="M4198" t="s">
        <v>43</v>
      </c>
      <c r="N4198" t="s">
        <v>820</v>
      </c>
      <c r="O4198" t="s">
        <v>70</v>
      </c>
      <c r="P4198" t="s">
        <v>71</v>
      </c>
      <c r="Q4198" t="s">
        <v>821</v>
      </c>
      <c r="R4198">
        <v>222.38399999999999</v>
      </c>
      <c r="S4198">
        <v>2</v>
      </c>
      <c r="T4198">
        <v>0.2</v>
      </c>
      <c r="U4198">
        <v>22.238399999999999</v>
      </c>
      <c r="V4198" t="str">
        <f t="shared" si="65"/>
        <v>Jim Epp</v>
      </c>
      <c r="W4198">
        <f>Table2[Profit]/Table2[Sales]</f>
        <v>0.1</v>
      </c>
    </row>
    <row r="4199" spans="1:23" x14ac:dyDescent="0.25">
      <c r="A4199">
        <v>4198</v>
      </c>
      <c r="B4199" t="s">
        <v>9799</v>
      </c>
      <c r="C4199" s="1">
        <v>42883</v>
      </c>
      <c r="D4199" s="1">
        <v>42888</v>
      </c>
      <c r="E4199" t="s">
        <v>22</v>
      </c>
      <c r="F4199" t="s">
        <v>2139</v>
      </c>
      <c r="G4199" t="s">
        <v>2140</v>
      </c>
      <c r="H4199" t="s">
        <v>40</v>
      </c>
      <c r="I4199" t="s">
        <v>26</v>
      </c>
      <c r="J4199" t="s">
        <v>296</v>
      </c>
      <c r="K4199" t="s">
        <v>208</v>
      </c>
      <c r="L4199">
        <v>60653</v>
      </c>
      <c r="M4199" t="s">
        <v>104</v>
      </c>
      <c r="N4199" t="s">
        <v>297</v>
      </c>
      <c r="O4199" t="s">
        <v>31</v>
      </c>
      <c r="P4199" t="s">
        <v>35</v>
      </c>
      <c r="Q4199" t="s">
        <v>545</v>
      </c>
      <c r="R4199">
        <v>106.869</v>
      </c>
      <c r="S4199">
        <v>3</v>
      </c>
      <c r="T4199">
        <v>0.3</v>
      </c>
      <c r="U4199">
        <v>-29.007300000000001</v>
      </c>
      <c r="V4199" t="str">
        <f t="shared" si="65"/>
        <v>Tiffany House</v>
      </c>
      <c r="W4199">
        <f>Table2[Profit]/Table2[Sales]</f>
        <v>-0.27142857142857146</v>
      </c>
    </row>
    <row r="4200" spans="1:23" x14ac:dyDescent="0.25">
      <c r="A4200">
        <v>4199</v>
      </c>
      <c r="B4200" t="s">
        <v>9800</v>
      </c>
      <c r="C4200" s="1">
        <v>41876</v>
      </c>
      <c r="D4200" s="1">
        <v>41880</v>
      </c>
      <c r="E4200" t="s">
        <v>49</v>
      </c>
      <c r="F4200" t="s">
        <v>4698</v>
      </c>
      <c r="G4200" t="s">
        <v>4699</v>
      </c>
      <c r="H4200" t="s">
        <v>25</v>
      </c>
      <c r="I4200" t="s">
        <v>26</v>
      </c>
      <c r="J4200" t="s">
        <v>181</v>
      </c>
      <c r="K4200" t="s">
        <v>103</v>
      </c>
      <c r="L4200">
        <v>77070</v>
      </c>
      <c r="M4200" t="s">
        <v>104</v>
      </c>
      <c r="N4200" t="s">
        <v>4548</v>
      </c>
      <c r="O4200" t="s">
        <v>45</v>
      </c>
      <c r="P4200" t="s">
        <v>74</v>
      </c>
      <c r="Q4200" t="s">
        <v>4549</v>
      </c>
      <c r="R4200">
        <v>25.68</v>
      </c>
      <c r="S4200">
        <v>3</v>
      </c>
      <c r="T4200">
        <v>0.8</v>
      </c>
      <c r="U4200">
        <v>-39.804000000000002</v>
      </c>
      <c r="V4200" t="str">
        <f t="shared" si="65"/>
        <v>Joe Elijah</v>
      </c>
      <c r="W4200">
        <f>Table2[Profit]/Table2[Sales]</f>
        <v>-1.55</v>
      </c>
    </row>
    <row r="4201" spans="1:23" x14ac:dyDescent="0.25">
      <c r="A4201">
        <v>4200</v>
      </c>
      <c r="B4201" t="s">
        <v>9801</v>
      </c>
      <c r="C4201" s="1">
        <v>41881</v>
      </c>
      <c r="D4201" s="1">
        <v>41886</v>
      </c>
      <c r="E4201" t="s">
        <v>49</v>
      </c>
      <c r="F4201" t="s">
        <v>2042</v>
      </c>
      <c r="G4201" t="s">
        <v>2043</v>
      </c>
      <c r="H4201" t="s">
        <v>25</v>
      </c>
      <c r="I4201" t="s">
        <v>26</v>
      </c>
      <c r="J4201" t="s">
        <v>508</v>
      </c>
      <c r="K4201" t="s">
        <v>740</v>
      </c>
      <c r="L4201">
        <v>6010</v>
      </c>
      <c r="M4201" t="s">
        <v>145</v>
      </c>
      <c r="N4201" t="s">
        <v>3362</v>
      </c>
      <c r="O4201" t="s">
        <v>45</v>
      </c>
      <c r="P4201" t="s">
        <v>74</v>
      </c>
      <c r="Q4201" t="s">
        <v>3363</v>
      </c>
      <c r="R4201">
        <v>25.3</v>
      </c>
      <c r="S4201">
        <v>5</v>
      </c>
      <c r="T4201">
        <v>0</v>
      </c>
      <c r="U4201">
        <v>11.891</v>
      </c>
      <c r="V4201" t="str">
        <f t="shared" si="65"/>
        <v>Annie Thurman</v>
      </c>
      <c r="W4201">
        <f>Table2[Profit]/Table2[Sales]</f>
        <v>0.47</v>
      </c>
    </row>
    <row r="4202" spans="1:23" x14ac:dyDescent="0.25">
      <c r="A4202">
        <v>4201</v>
      </c>
      <c r="B4202" t="s">
        <v>9802</v>
      </c>
      <c r="C4202" s="1">
        <v>42250</v>
      </c>
      <c r="D4202" s="1">
        <v>42254</v>
      </c>
      <c r="E4202" t="s">
        <v>22</v>
      </c>
      <c r="F4202" t="s">
        <v>5002</v>
      </c>
      <c r="G4202" t="s">
        <v>5003</v>
      </c>
      <c r="H4202" t="s">
        <v>25</v>
      </c>
      <c r="I4202" t="s">
        <v>26</v>
      </c>
      <c r="J4202" t="s">
        <v>8213</v>
      </c>
      <c r="K4202" t="s">
        <v>235</v>
      </c>
      <c r="L4202">
        <v>49423</v>
      </c>
      <c r="M4202" t="s">
        <v>104</v>
      </c>
      <c r="N4202" t="s">
        <v>6576</v>
      </c>
      <c r="O4202" t="s">
        <v>45</v>
      </c>
      <c r="P4202" t="s">
        <v>46</v>
      </c>
      <c r="Q4202" t="s">
        <v>6577</v>
      </c>
      <c r="R4202">
        <v>7.5</v>
      </c>
      <c r="S4202">
        <v>2</v>
      </c>
      <c r="T4202">
        <v>0</v>
      </c>
      <c r="U4202">
        <v>3.6</v>
      </c>
      <c r="V4202" t="str">
        <f t="shared" si="65"/>
        <v>John Huston</v>
      </c>
      <c r="W4202">
        <f>Table2[Profit]/Table2[Sales]</f>
        <v>0.48000000000000004</v>
      </c>
    </row>
    <row r="4203" spans="1:23" x14ac:dyDescent="0.25">
      <c r="A4203">
        <v>4202</v>
      </c>
      <c r="B4203" t="s">
        <v>9803</v>
      </c>
      <c r="C4203" s="1">
        <v>41726</v>
      </c>
      <c r="D4203" s="1">
        <v>41730</v>
      </c>
      <c r="E4203" t="s">
        <v>49</v>
      </c>
      <c r="F4203" t="s">
        <v>5865</v>
      </c>
      <c r="G4203" t="s">
        <v>5866</v>
      </c>
      <c r="H4203" t="s">
        <v>101</v>
      </c>
      <c r="I4203" t="s">
        <v>26</v>
      </c>
      <c r="J4203" t="s">
        <v>5354</v>
      </c>
      <c r="K4203" t="s">
        <v>660</v>
      </c>
      <c r="L4203">
        <v>87105</v>
      </c>
      <c r="M4203" t="s">
        <v>43</v>
      </c>
      <c r="N4203" t="s">
        <v>730</v>
      </c>
      <c r="O4203" t="s">
        <v>70</v>
      </c>
      <c r="P4203" t="s">
        <v>71</v>
      </c>
      <c r="Q4203" t="s">
        <v>731</v>
      </c>
      <c r="R4203">
        <v>302.37599999999998</v>
      </c>
      <c r="S4203">
        <v>3</v>
      </c>
      <c r="T4203">
        <v>0.2</v>
      </c>
      <c r="U4203">
        <v>22.6782</v>
      </c>
      <c r="V4203" t="str">
        <f t="shared" si="65"/>
        <v>Daniel Raglin</v>
      </c>
      <c r="W4203">
        <f>Table2[Profit]/Table2[Sales]</f>
        <v>7.5000000000000011E-2</v>
      </c>
    </row>
    <row r="4204" spans="1:23" x14ac:dyDescent="0.25">
      <c r="A4204">
        <v>4203</v>
      </c>
      <c r="B4204" t="s">
        <v>9804</v>
      </c>
      <c r="C4204" s="1">
        <v>42134</v>
      </c>
      <c r="D4204" s="1">
        <v>42139</v>
      </c>
      <c r="E4204" t="s">
        <v>49</v>
      </c>
      <c r="F4204" t="s">
        <v>2211</v>
      </c>
      <c r="G4204" t="s">
        <v>2212</v>
      </c>
      <c r="H4204" t="s">
        <v>25</v>
      </c>
      <c r="I4204" t="s">
        <v>26</v>
      </c>
      <c r="J4204" t="s">
        <v>1459</v>
      </c>
      <c r="K4204" t="s">
        <v>450</v>
      </c>
      <c r="L4204">
        <v>80027</v>
      </c>
      <c r="M4204" t="s">
        <v>43</v>
      </c>
      <c r="N4204" t="s">
        <v>4734</v>
      </c>
      <c r="O4204" t="s">
        <v>70</v>
      </c>
      <c r="P4204" t="s">
        <v>158</v>
      </c>
      <c r="Q4204" t="s">
        <v>4735</v>
      </c>
      <c r="R4204">
        <v>46.688000000000002</v>
      </c>
      <c r="S4204">
        <v>4</v>
      </c>
      <c r="T4204">
        <v>0.2</v>
      </c>
      <c r="U4204">
        <v>-2.9180000000000001</v>
      </c>
      <c r="V4204" t="str">
        <f t="shared" si="65"/>
        <v>Alan Barnes</v>
      </c>
      <c r="W4204">
        <f>Table2[Profit]/Table2[Sales]</f>
        <v>-6.25E-2</v>
      </c>
    </row>
    <row r="4205" spans="1:23" x14ac:dyDescent="0.25">
      <c r="A4205">
        <v>4204</v>
      </c>
      <c r="B4205" t="s">
        <v>9805</v>
      </c>
      <c r="C4205" s="1">
        <v>42103</v>
      </c>
      <c r="D4205" s="1">
        <v>42108</v>
      </c>
      <c r="E4205" t="s">
        <v>49</v>
      </c>
      <c r="F4205" t="s">
        <v>4084</v>
      </c>
      <c r="G4205" t="s">
        <v>4085</v>
      </c>
      <c r="H4205" t="s">
        <v>25</v>
      </c>
      <c r="I4205" t="s">
        <v>26</v>
      </c>
      <c r="J4205" t="s">
        <v>263</v>
      </c>
      <c r="K4205" t="s">
        <v>264</v>
      </c>
      <c r="L4205">
        <v>10024</v>
      </c>
      <c r="M4205" t="s">
        <v>145</v>
      </c>
      <c r="N4205" t="s">
        <v>4703</v>
      </c>
      <c r="O4205" t="s">
        <v>45</v>
      </c>
      <c r="P4205" t="s">
        <v>58</v>
      </c>
      <c r="Q4205" t="s">
        <v>4704</v>
      </c>
      <c r="R4205">
        <v>17.940000000000001</v>
      </c>
      <c r="S4205">
        <v>3</v>
      </c>
      <c r="T4205">
        <v>0</v>
      </c>
      <c r="U4205">
        <v>3.0497999999999998</v>
      </c>
      <c r="V4205" t="str">
        <f t="shared" si="65"/>
        <v>Mick Crebagga</v>
      </c>
      <c r="W4205">
        <f>Table2[Profit]/Table2[Sales]</f>
        <v>0.16999999999999998</v>
      </c>
    </row>
    <row r="4206" spans="1:23" x14ac:dyDescent="0.25">
      <c r="A4206">
        <v>4205</v>
      </c>
      <c r="B4206" t="s">
        <v>9806</v>
      </c>
      <c r="C4206" s="1">
        <v>42103</v>
      </c>
      <c r="D4206" s="1">
        <v>42108</v>
      </c>
      <c r="E4206" t="s">
        <v>49</v>
      </c>
      <c r="F4206" t="s">
        <v>4026</v>
      </c>
      <c r="G4206" t="s">
        <v>4027</v>
      </c>
      <c r="H4206" t="s">
        <v>25</v>
      </c>
      <c r="I4206" t="s">
        <v>26</v>
      </c>
      <c r="J4206" t="s">
        <v>2762</v>
      </c>
      <c r="K4206" t="s">
        <v>740</v>
      </c>
      <c r="L4206">
        <v>6360</v>
      </c>
      <c r="M4206" t="s">
        <v>145</v>
      </c>
      <c r="N4206" t="s">
        <v>2032</v>
      </c>
      <c r="O4206" t="s">
        <v>45</v>
      </c>
      <c r="P4206" t="s">
        <v>77</v>
      </c>
      <c r="Q4206" t="s">
        <v>2033</v>
      </c>
      <c r="R4206">
        <v>370.14</v>
      </c>
      <c r="S4206">
        <v>3</v>
      </c>
      <c r="T4206">
        <v>0</v>
      </c>
      <c r="U4206">
        <v>144.3546</v>
      </c>
      <c r="V4206" t="str">
        <f t="shared" si="65"/>
        <v>Ivan Gibson</v>
      </c>
      <c r="W4206">
        <f>Table2[Profit]/Table2[Sales]</f>
        <v>0.39</v>
      </c>
    </row>
    <row r="4207" spans="1:23" x14ac:dyDescent="0.25">
      <c r="A4207">
        <v>4206</v>
      </c>
      <c r="B4207" t="s">
        <v>9807</v>
      </c>
      <c r="C4207" s="1">
        <v>42632</v>
      </c>
      <c r="D4207" s="1">
        <v>42636</v>
      </c>
      <c r="E4207" t="s">
        <v>49</v>
      </c>
      <c r="F4207" t="s">
        <v>3227</v>
      </c>
      <c r="G4207" t="s">
        <v>3228</v>
      </c>
      <c r="H4207" t="s">
        <v>40</v>
      </c>
      <c r="I4207" t="s">
        <v>26</v>
      </c>
      <c r="J4207" t="s">
        <v>126</v>
      </c>
      <c r="K4207" t="s">
        <v>42</v>
      </c>
      <c r="L4207">
        <v>94122</v>
      </c>
      <c r="M4207" t="s">
        <v>43</v>
      </c>
      <c r="N4207" t="s">
        <v>354</v>
      </c>
      <c r="O4207" t="s">
        <v>45</v>
      </c>
      <c r="P4207" t="s">
        <v>74</v>
      </c>
      <c r="Q4207" t="s">
        <v>355</v>
      </c>
      <c r="R4207">
        <v>8.9280000000000008</v>
      </c>
      <c r="S4207">
        <v>2</v>
      </c>
      <c r="T4207">
        <v>0.2</v>
      </c>
      <c r="U4207">
        <v>3.1248</v>
      </c>
      <c r="V4207" t="str">
        <f t="shared" si="65"/>
        <v>Frank Hawley</v>
      </c>
      <c r="W4207">
        <f>Table2[Profit]/Table2[Sales]</f>
        <v>0.35</v>
      </c>
    </row>
    <row r="4208" spans="1:23" x14ac:dyDescent="0.25">
      <c r="A4208">
        <v>4207</v>
      </c>
      <c r="B4208" t="s">
        <v>9808</v>
      </c>
      <c r="C4208" s="1">
        <v>42685</v>
      </c>
      <c r="D4208" s="1">
        <v>42691</v>
      </c>
      <c r="E4208" t="s">
        <v>49</v>
      </c>
      <c r="F4208" t="s">
        <v>1327</v>
      </c>
      <c r="G4208" t="s">
        <v>1328</v>
      </c>
      <c r="H4208" t="s">
        <v>40</v>
      </c>
      <c r="I4208" t="s">
        <v>26</v>
      </c>
      <c r="J4208" t="s">
        <v>5974</v>
      </c>
      <c r="K4208" t="s">
        <v>251</v>
      </c>
      <c r="L4208">
        <v>46060</v>
      </c>
      <c r="M4208" t="s">
        <v>104</v>
      </c>
      <c r="N4208" t="s">
        <v>5192</v>
      </c>
      <c r="O4208" t="s">
        <v>31</v>
      </c>
      <c r="P4208" t="s">
        <v>55</v>
      </c>
      <c r="Q4208" t="s">
        <v>5193</v>
      </c>
      <c r="R4208">
        <v>2678.94</v>
      </c>
      <c r="S4208">
        <v>6</v>
      </c>
      <c r="T4208">
        <v>0</v>
      </c>
      <c r="U4208">
        <v>241.1046</v>
      </c>
      <c r="V4208" t="str">
        <f t="shared" si="65"/>
        <v>Alejandro Savely</v>
      </c>
      <c r="W4208">
        <f>Table2[Profit]/Table2[Sales]</f>
        <v>0.09</v>
      </c>
    </row>
    <row r="4209" spans="1:23" x14ac:dyDescent="0.25">
      <c r="A4209">
        <v>4208</v>
      </c>
      <c r="B4209" t="s">
        <v>9809</v>
      </c>
      <c r="C4209" s="1">
        <v>42848</v>
      </c>
      <c r="D4209" s="1">
        <v>42852</v>
      </c>
      <c r="E4209" t="s">
        <v>49</v>
      </c>
      <c r="F4209" t="s">
        <v>417</v>
      </c>
      <c r="G4209" t="s">
        <v>418</v>
      </c>
      <c r="H4209" t="s">
        <v>101</v>
      </c>
      <c r="I4209" t="s">
        <v>26</v>
      </c>
      <c r="J4209" t="s">
        <v>5243</v>
      </c>
      <c r="K4209" t="s">
        <v>328</v>
      </c>
      <c r="L4209">
        <v>37042</v>
      </c>
      <c r="M4209" t="s">
        <v>29</v>
      </c>
      <c r="N4209" t="s">
        <v>1429</v>
      </c>
      <c r="O4209" t="s">
        <v>31</v>
      </c>
      <c r="P4209" t="s">
        <v>32</v>
      </c>
      <c r="Q4209" t="s">
        <v>1430</v>
      </c>
      <c r="R4209">
        <v>387.13600000000002</v>
      </c>
      <c r="S4209">
        <v>4</v>
      </c>
      <c r="T4209">
        <v>0.2</v>
      </c>
      <c r="U4209">
        <v>-14.5176</v>
      </c>
      <c r="V4209" t="str">
        <f t="shared" si="65"/>
        <v>Parhena Norris</v>
      </c>
      <c r="W4209">
        <f>Table2[Profit]/Table2[Sales]</f>
        <v>-3.7499999999999999E-2</v>
      </c>
    </row>
    <row r="4210" spans="1:23" x14ac:dyDescent="0.25">
      <c r="A4210">
        <v>4209</v>
      </c>
      <c r="B4210" t="s">
        <v>9810</v>
      </c>
      <c r="C4210" s="1">
        <v>42299</v>
      </c>
      <c r="D4210" s="1">
        <v>42303</v>
      </c>
      <c r="E4210" t="s">
        <v>22</v>
      </c>
      <c r="F4210" t="s">
        <v>3506</v>
      </c>
      <c r="G4210" t="s">
        <v>3507</v>
      </c>
      <c r="H4210" t="s">
        <v>25</v>
      </c>
      <c r="I4210" t="s">
        <v>26</v>
      </c>
      <c r="J4210" t="s">
        <v>7070</v>
      </c>
      <c r="K4210" t="s">
        <v>53</v>
      </c>
      <c r="L4210">
        <v>33021</v>
      </c>
      <c r="M4210" t="s">
        <v>29</v>
      </c>
      <c r="N4210" t="s">
        <v>1031</v>
      </c>
      <c r="O4210" t="s">
        <v>45</v>
      </c>
      <c r="P4210" t="s">
        <v>58</v>
      </c>
      <c r="Q4210" t="s">
        <v>1032</v>
      </c>
      <c r="R4210">
        <v>9.952</v>
      </c>
      <c r="S4210">
        <v>1</v>
      </c>
      <c r="T4210">
        <v>0.2</v>
      </c>
      <c r="U4210">
        <v>0.99519999999999997</v>
      </c>
      <c r="V4210" t="str">
        <f t="shared" si="65"/>
        <v>Gene McClure</v>
      </c>
      <c r="W4210">
        <f>Table2[Profit]/Table2[Sales]</f>
        <v>9.9999999999999992E-2</v>
      </c>
    </row>
    <row r="4211" spans="1:23" x14ac:dyDescent="0.25">
      <c r="A4211">
        <v>4210</v>
      </c>
      <c r="B4211" t="s">
        <v>9811</v>
      </c>
      <c r="C4211" s="1">
        <v>42834</v>
      </c>
      <c r="D4211" s="1">
        <v>42839</v>
      </c>
      <c r="E4211" t="s">
        <v>49</v>
      </c>
      <c r="F4211" t="s">
        <v>4556</v>
      </c>
      <c r="G4211" t="s">
        <v>4557</v>
      </c>
      <c r="H4211" t="s">
        <v>40</v>
      </c>
      <c r="I4211" t="s">
        <v>26</v>
      </c>
      <c r="J4211" t="s">
        <v>4968</v>
      </c>
      <c r="K4211" t="s">
        <v>144</v>
      </c>
      <c r="L4211">
        <v>17403</v>
      </c>
      <c r="M4211" t="s">
        <v>145</v>
      </c>
      <c r="N4211" t="s">
        <v>1382</v>
      </c>
      <c r="O4211" t="s">
        <v>45</v>
      </c>
      <c r="P4211" t="s">
        <v>74</v>
      </c>
      <c r="Q4211" t="s">
        <v>1383</v>
      </c>
      <c r="R4211">
        <v>37.896000000000001</v>
      </c>
      <c r="S4211">
        <v>4</v>
      </c>
      <c r="T4211">
        <v>0.7</v>
      </c>
      <c r="U4211">
        <v>-29.053599999999999</v>
      </c>
      <c r="V4211" t="str">
        <f t="shared" si="65"/>
        <v>Noah Childs</v>
      </c>
      <c r="W4211">
        <f>Table2[Profit]/Table2[Sales]</f>
        <v>-0.76666666666666661</v>
      </c>
    </row>
    <row r="4212" spans="1:23" x14ac:dyDescent="0.25">
      <c r="A4212">
        <v>4211</v>
      </c>
      <c r="B4212" t="s">
        <v>9812</v>
      </c>
      <c r="C4212" s="1">
        <v>43035</v>
      </c>
      <c r="D4212" s="1">
        <v>43040</v>
      </c>
      <c r="E4212" t="s">
        <v>49</v>
      </c>
      <c r="F4212" t="s">
        <v>614</v>
      </c>
      <c r="G4212" t="s">
        <v>615</v>
      </c>
      <c r="H4212" t="s">
        <v>101</v>
      </c>
      <c r="I4212" t="s">
        <v>26</v>
      </c>
      <c r="J4212" t="s">
        <v>1799</v>
      </c>
      <c r="K4212" t="s">
        <v>303</v>
      </c>
      <c r="L4212">
        <v>85204</v>
      </c>
      <c r="M4212" t="s">
        <v>43</v>
      </c>
      <c r="N4212" t="s">
        <v>6645</v>
      </c>
      <c r="O4212" t="s">
        <v>45</v>
      </c>
      <c r="P4212" t="s">
        <v>89</v>
      </c>
      <c r="Q4212" t="s">
        <v>6646</v>
      </c>
      <c r="R4212">
        <v>44.783999999999999</v>
      </c>
      <c r="S4212">
        <v>1</v>
      </c>
      <c r="T4212">
        <v>0.2</v>
      </c>
      <c r="U4212">
        <v>16.234200000000001</v>
      </c>
      <c r="V4212" t="str">
        <f t="shared" si="65"/>
        <v>Tamara Willingham</v>
      </c>
      <c r="W4212">
        <f>Table2[Profit]/Table2[Sales]</f>
        <v>0.36250000000000004</v>
      </c>
    </row>
    <row r="4213" spans="1:23" x14ac:dyDescent="0.25">
      <c r="A4213">
        <v>4212</v>
      </c>
      <c r="B4213" t="s">
        <v>9813</v>
      </c>
      <c r="C4213" s="1">
        <v>42307</v>
      </c>
      <c r="D4213" s="1">
        <v>42307</v>
      </c>
      <c r="E4213" t="s">
        <v>1278</v>
      </c>
      <c r="F4213" t="s">
        <v>2378</v>
      </c>
      <c r="G4213" t="s">
        <v>2379</v>
      </c>
      <c r="H4213" t="s">
        <v>40</v>
      </c>
      <c r="I4213" t="s">
        <v>26</v>
      </c>
      <c r="J4213" t="s">
        <v>263</v>
      </c>
      <c r="K4213" t="s">
        <v>264</v>
      </c>
      <c r="L4213">
        <v>10024</v>
      </c>
      <c r="M4213" t="s">
        <v>145</v>
      </c>
      <c r="N4213" t="s">
        <v>9814</v>
      </c>
      <c r="O4213" t="s">
        <v>70</v>
      </c>
      <c r="P4213" t="s">
        <v>675</v>
      </c>
      <c r="Q4213" t="s">
        <v>9815</v>
      </c>
      <c r="R4213">
        <v>1035.8</v>
      </c>
      <c r="S4213">
        <v>4</v>
      </c>
      <c r="T4213">
        <v>0</v>
      </c>
      <c r="U4213">
        <v>269.30799999999999</v>
      </c>
      <c r="V4213" t="str">
        <f t="shared" si="65"/>
        <v>Barry Französisch</v>
      </c>
      <c r="W4213">
        <f>Table2[Profit]/Table2[Sales]</f>
        <v>0.26</v>
      </c>
    </row>
    <row r="4214" spans="1:23" x14ac:dyDescent="0.25">
      <c r="A4214">
        <v>4213</v>
      </c>
      <c r="B4214" t="s">
        <v>9816</v>
      </c>
      <c r="C4214" s="1">
        <v>43087</v>
      </c>
      <c r="D4214" s="1">
        <v>43093</v>
      </c>
      <c r="E4214" t="s">
        <v>49</v>
      </c>
      <c r="F4214" t="s">
        <v>4090</v>
      </c>
      <c r="G4214" t="s">
        <v>4091</v>
      </c>
      <c r="H4214" t="s">
        <v>101</v>
      </c>
      <c r="I4214" t="s">
        <v>26</v>
      </c>
      <c r="J4214" t="s">
        <v>126</v>
      </c>
      <c r="K4214" t="s">
        <v>42</v>
      </c>
      <c r="L4214">
        <v>94110</v>
      </c>
      <c r="M4214" t="s">
        <v>43</v>
      </c>
      <c r="N4214" t="s">
        <v>2572</v>
      </c>
      <c r="O4214" t="s">
        <v>45</v>
      </c>
      <c r="P4214" t="s">
        <v>67</v>
      </c>
      <c r="Q4214" t="s">
        <v>2573</v>
      </c>
      <c r="R4214">
        <v>5.76</v>
      </c>
      <c r="S4214">
        <v>2</v>
      </c>
      <c r="T4214">
        <v>0</v>
      </c>
      <c r="U4214">
        <v>1.6704000000000001</v>
      </c>
      <c r="V4214" t="str">
        <f t="shared" si="65"/>
        <v>Tonja Turnell</v>
      </c>
      <c r="W4214">
        <f>Table2[Profit]/Table2[Sales]</f>
        <v>0.29000000000000004</v>
      </c>
    </row>
    <row r="4215" spans="1:23" x14ac:dyDescent="0.25">
      <c r="A4215">
        <v>4214</v>
      </c>
      <c r="B4215" t="s">
        <v>9817</v>
      </c>
      <c r="C4215" s="1">
        <v>42441</v>
      </c>
      <c r="D4215" s="1">
        <v>42445</v>
      </c>
      <c r="E4215" t="s">
        <v>49</v>
      </c>
      <c r="F4215" t="s">
        <v>4920</v>
      </c>
      <c r="G4215" t="s">
        <v>4921</v>
      </c>
      <c r="H4215" t="s">
        <v>25</v>
      </c>
      <c r="I4215" t="s">
        <v>26</v>
      </c>
      <c r="J4215" t="s">
        <v>41</v>
      </c>
      <c r="K4215" t="s">
        <v>42</v>
      </c>
      <c r="L4215">
        <v>90036</v>
      </c>
      <c r="M4215" t="s">
        <v>43</v>
      </c>
      <c r="N4215" t="s">
        <v>7120</v>
      </c>
      <c r="O4215" t="s">
        <v>45</v>
      </c>
      <c r="P4215" t="s">
        <v>89</v>
      </c>
      <c r="Q4215" t="s">
        <v>7121</v>
      </c>
      <c r="R4215">
        <v>19.98</v>
      </c>
      <c r="S4215">
        <v>2</v>
      </c>
      <c r="T4215">
        <v>0</v>
      </c>
      <c r="U4215">
        <v>8.9909999999999997</v>
      </c>
      <c r="V4215" t="str">
        <f t="shared" si="65"/>
        <v>Scot Wooten</v>
      </c>
      <c r="W4215">
        <f>Table2[Profit]/Table2[Sales]</f>
        <v>0.44999999999999996</v>
      </c>
    </row>
    <row r="4216" spans="1:23" x14ac:dyDescent="0.25">
      <c r="A4216">
        <v>4215</v>
      </c>
      <c r="B4216" t="s">
        <v>9818</v>
      </c>
      <c r="C4216" s="1">
        <v>41841</v>
      </c>
      <c r="D4216" s="1">
        <v>41847</v>
      </c>
      <c r="E4216" t="s">
        <v>49</v>
      </c>
      <c r="F4216" t="s">
        <v>2536</v>
      </c>
      <c r="G4216" t="s">
        <v>2537</v>
      </c>
      <c r="H4216" t="s">
        <v>25</v>
      </c>
      <c r="I4216" t="s">
        <v>26</v>
      </c>
      <c r="J4216" t="s">
        <v>2499</v>
      </c>
      <c r="K4216" t="s">
        <v>135</v>
      </c>
      <c r="L4216">
        <v>68104</v>
      </c>
      <c r="M4216" t="s">
        <v>104</v>
      </c>
      <c r="N4216" t="s">
        <v>8312</v>
      </c>
      <c r="O4216" t="s">
        <v>70</v>
      </c>
      <c r="P4216" t="s">
        <v>71</v>
      </c>
      <c r="Q4216" t="s">
        <v>8313</v>
      </c>
      <c r="R4216">
        <v>35.979999999999997</v>
      </c>
      <c r="S4216">
        <v>2</v>
      </c>
      <c r="T4216">
        <v>0</v>
      </c>
      <c r="U4216">
        <v>10.074400000000001</v>
      </c>
      <c r="V4216" t="str">
        <f t="shared" si="65"/>
        <v>Patrick Gardner</v>
      </c>
      <c r="W4216">
        <f>Table2[Profit]/Table2[Sales]</f>
        <v>0.28000000000000003</v>
      </c>
    </row>
    <row r="4217" spans="1:23" x14ac:dyDescent="0.25">
      <c r="A4217">
        <v>4216</v>
      </c>
      <c r="B4217" t="s">
        <v>9819</v>
      </c>
      <c r="C4217" s="1">
        <v>42514</v>
      </c>
      <c r="D4217" s="1">
        <v>42518</v>
      </c>
      <c r="E4217" t="s">
        <v>49</v>
      </c>
      <c r="F4217" t="s">
        <v>4121</v>
      </c>
      <c r="G4217" t="s">
        <v>4122</v>
      </c>
      <c r="H4217" t="s">
        <v>101</v>
      </c>
      <c r="I4217" t="s">
        <v>26</v>
      </c>
      <c r="J4217" t="s">
        <v>143</v>
      </c>
      <c r="K4217" t="s">
        <v>144</v>
      </c>
      <c r="L4217">
        <v>19120</v>
      </c>
      <c r="M4217" t="s">
        <v>145</v>
      </c>
      <c r="N4217" t="s">
        <v>3515</v>
      </c>
      <c r="O4217" t="s">
        <v>45</v>
      </c>
      <c r="P4217" t="s">
        <v>67</v>
      </c>
      <c r="Q4217" t="s">
        <v>3516</v>
      </c>
      <c r="R4217">
        <v>16.655999999999999</v>
      </c>
      <c r="S4217">
        <v>3</v>
      </c>
      <c r="T4217">
        <v>0.2</v>
      </c>
      <c r="U4217">
        <v>3.3311999999999999</v>
      </c>
      <c r="V4217" t="str">
        <f t="shared" si="65"/>
        <v>Dennis Pardue</v>
      </c>
      <c r="W4217">
        <f>Table2[Profit]/Table2[Sales]</f>
        <v>0.2</v>
      </c>
    </row>
    <row r="4218" spans="1:23" x14ac:dyDescent="0.25">
      <c r="A4218">
        <v>4217</v>
      </c>
      <c r="B4218" t="s">
        <v>9820</v>
      </c>
      <c r="C4218" s="1">
        <v>42777</v>
      </c>
      <c r="D4218" s="1">
        <v>42781</v>
      </c>
      <c r="E4218" t="s">
        <v>49</v>
      </c>
      <c r="F4218" t="s">
        <v>1171</v>
      </c>
      <c r="G4218" t="s">
        <v>1172</v>
      </c>
      <c r="H4218" t="s">
        <v>40</v>
      </c>
      <c r="I4218" t="s">
        <v>26</v>
      </c>
      <c r="J4218" t="s">
        <v>263</v>
      </c>
      <c r="K4218" t="s">
        <v>264</v>
      </c>
      <c r="L4218">
        <v>10024</v>
      </c>
      <c r="M4218" t="s">
        <v>145</v>
      </c>
      <c r="N4218" t="s">
        <v>1868</v>
      </c>
      <c r="O4218" t="s">
        <v>45</v>
      </c>
      <c r="P4218" t="s">
        <v>46</v>
      </c>
      <c r="Q4218" t="s">
        <v>1869</v>
      </c>
      <c r="R4218">
        <v>20.7</v>
      </c>
      <c r="S4218">
        <v>2</v>
      </c>
      <c r="T4218">
        <v>0</v>
      </c>
      <c r="U4218">
        <v>9.9359999999999999</v>
      </c>
      <c r="V4218" t="str">
        <f t="shared" si="65"/>
        <v>Don Jones</v>
      </c>
      <c r="W4218">
        <f>Table2[Profit]/Table2[Sales]</f>
        <v>0.48000000000000004</v>
      </c>
    </row>
    <row r="4219" spans="1:23" x14ac:dyDescent="0.25">
      <c r="A4219">
        <v>4218</v>
      </c>
      <c r="B4219" t="s">
        <v>9821</v>
      </c>
      <c r="C4219" s="1">
        <v>42633</v>
      </c>
      <c r="D4219" s="1">
        <v>42637</v>
      </c>
      <c r="E4219" t="s">
        <v>49</v>
      </c>
      <c r="F4219" t="s">
        <v>5592</v>
      </c>
      <c r="G4219" t="s">
        <v>5593</v>
      </c>
      <c r="H4219" t="s">
        <v>25</v>
      </c>
      <c r="I4219" t="s">
        <v>26</v>
      </c>
      <c r="J4219" t="s">
        <v>6317</v>
      </c>
      <c r="K4219" t="s">
        <v>235</v>
      </c>
      <c r="L4219">
        <v>49505</v>
      </c>
      <c r="M4219" t="s">
        <v>104</v>
      </c>
      <c r="N4219" t="s">
        <v>6850</v>
      </c>
      <c r="O4219" t="s">
        <v>45</v>
      </c>
      <c r="P4219" t="s">
        <v>74</v>
      </c>
      <c r="Q4219" t="s">
        <v>6851</v>
      </c>
      <c r="R4219">
        <v>83.7</v>
      </c>
      <c r="S4219">
        <v>5</v>
      </c>
      <c r="T4219">
        <v>0</v>
      </c>
      <c r="U4219">
        <v>41.012999999999998</v>
      </c>
      <c r="V4219" t="str">
        <f t="shared" si="65"/>
        <v>Edward Nazzal</v>
      </c>
      <c r="W4219">
        <f>Table2[Profit]/Table2[Sales]</f>
        <v>0.48999999999999994</v>
      </c>
    </row>
    <row r="4220" spans="1:23" x14ac:dyDescent="0.25">
      <c r="A4220">
        <v>4219</v>
      </c>
      <c r="B4220" t="s">
        <v>9822</v>
      </c>
      <c r="C4220" s="1">
        <v>43002</v>
      </c>
      <c r="D4220" s="1">
        <v>43002</v>
      </c>
      <c r="E4220" t="s">
        <v>1278</v>
      </c>
      <c r="F4220" t="s">
        <v>1445</v>
      </c>
      <c r="G4220" t="s">
        <v>1446</v>
      </c>
      <c r="H4220" t="s">
        <v>25</v>
      </c>
      <c r="I4220" t="s">
        <v>26</v>
      </c>
      <c r="J4220" t="s">
        <v>94</v>
      </c>
      <c r="K4220" t="s">
        <v>95</v>
      </c>
      <c r="L4220">
        <v>98115</v>
      </c>
      <c r="M4220" t="s">
        <v>43</v>
      </c>
      <c r="N4220" t="s">
        <v>2152</v>
      </c>
      <c r="O4220" t="s">
        <v>31</v>
      </c>
      <c r="P4220" t="s">
        <v>64</v>
      </c>
      <c r="Q4220" t="s">
        <v>2153</v>
      </c>
      <c r="R4220">
        <v>199.8</v>
      </c>
      <c r="S4220">
        <v>10</v>
      </c>
      <c r="T4220">
        <v>0</v>
      </c>
      <c r="U4220">
        <v>71.927999999999997</v>
      </c>
      <c r="V4220" t="str">
        <f t="shared" si="65"/>
        <v>Philip Brown</v>
      </c>
      <c r="W4220">
        <f>Table2[Profit]/Table2[Sales]</f>
        <v>0.36</v>
      </c>
    </row>
    <row r="4221" spans="1:23" x14ac:dyDescent="0.25">
      <c r="A4221">
        <v>4220</v>
      </c>
      <c r="B4221" t="s">
        <v>9823</v>
      </c>
      <c r="C4221" s="1">
        <v>42821</v>
      </c>
      <c r="D4221" s="1">
        <v>42825</v>
      </c>
      <c r="E4221" t="s">
        <v>49</v>
      </c>
      <c r="F4221" t="s">
        <v>9824</v>
      </c>
      <c r="G4221" t="s">
        <v>9825</v>
      </c>
      <c r="H4221" t="s">
        <v>101</v>
      </c>
      <c r="I4221" t="s">
        <v>26</v>
      </c>
      <c r="J4221" t="s">
        <v>3419</v>
      </c>
      <c r="K4221" t="s">
        <v>42</v>
      </c>
      <c r="L4221">
        <v>93727</v>
      </c>
      <c r="M4221" t="s">
        <v>43</v>
      </c>
      <c r="N4221" t="s">
        <v>5017</v>
      </c>
      <c r="O4221" t="s">
        <v>45</v>
      </c>
      <c r="P4221" t="s">
        <v>89</v>
      </c>
      <c r="Q4221" t="s">
        <v>5018</v>
      </c>
      <c r="R4221">
        <v>45.68</v>
      </c>
      <c r="S4221">
        <v>2</v>
      </c>
      <c r="T4221">
        <v>0</v>
      </c>
      <c r="U4221">
        <v>21.012799999999999</v>
      </c>
      <c r="V4221" t="str">
        <f t="shared" si="65"/>
        <v>Brendan Dodson</v>
      </c>
      <c r="W4221">
        <f>Table2[Profit]/Table2[Sales]</f>
        <v>0.45999999999999996</v>
      </c>
    </row>
    <row r="4222" spans="1:23" x14ac:dyDescent="0.25">
      <c r="A4222">
        <v>4221</v>
      </c>
      <c r="B4222" t="s">
        <v>9826</v>
      </c>
      <c r="C4222" s="1">
        <v>42402</v>
      </c>
      <c r="D4222" s="1">
        <v>42404</v>
      </c>
      <c r="E4222" t="s">
        <v>22</v>
      </c>
      <c r="F4222" t="s">
        <v>2775</v>
      </c>
      <c r="G4222" t="s">
        <v>2776</v>
      </c>
      <c r="H4222" t="s">
        <v>25</v>
      </c>
      <c r="I4222" t="s">
        <v>26</v>
      </c>
      <c r="J4222" t="s">
        <v>1119</v>
      </c>
      <c r="K4222" t="s">
        <v>312</v>
      </c>
      <c r="L4222">
        <v>22204</v>
      </c>
      <c r="M4222" t="s">
        <v>29</v>
      </c>
      <c r="N4222" t="s">
        <v>7065</v>
      </c>
      <c r="O4222" t="s">
        <v>70</v>
      </c>
      <c r="P4222" t="s">
        <v>675</v>
      </c>
      <c r="Q4222" t="s">
        <v>7066</v>
      </c>
      <c r="R4222">
        <v>8749.9500000000007</v>
      </c>
      <c r="S4222">
        <v>5</v>
      </c>
      <c r="T4222">
        <v>0</v>
      </c>
      <c r="U4222">
        <v>2799.9839999999999</v>
      </c>
      <c r="V4222" t="str">
        <f t="shared" si="65"/>
        <v>Sanjit Engle</v>
      </c>
      <c r="W4222">
        <f>Table2[Profit]/Table2[Sales]</f>
        <v>0.31999999999999995</v>
      </c>
    </row>
    <row r="4223" spans="1:23" x14ac:dyDescent="0.25">
      <c r="A4223">
        <v>4222</v>
      </c>
      <c r="B4223" t="s">
        <v>9827</v>
      </c>
      <c r="C4223" s="1">
        <v>42923</v>
      </c>
      <c r="D4223" s="1">
        <v>42927</v>
      </c>
      <c r="E4223" t="s">
        <v>49</v>
      </c>
      <c r="F4223" t="s">
        <v>2042</v>
      </c>
      <c r="G4223" t="s">
        <v>2043</v>
      </c>
      <c r="H4223" t="s">
        <v>25</v>
      </c>
      <c r="I4223" t="s">
        <v>26</v>
      </c>
      <c r="J4223" t="s">
        <v>41</v>
      </c>
      <c r="K4223" t="s">
        <v>42</v>
      </c>
      <c r="L4223">
        <v>90049</v>
      </c>
      <c r="M4223" t="s">
        <v>43</v>
      </c>
      <c r="N4223" t="s">
        <v>4210</v>
      </c>
      <c r="O4223" t="s">
        <v>45</v>
      </c>
      <c r="P4223" t="s">
        <v>266</v>
      </c>
      <c r="Q4223" t="s">
        <v>4211</v>
      </c>
      <c r="R4223">
        <v>5.94</v>
      </c>
      <c r="S4223">
        <v>3</v>
      </c>
      <c r="T4223">
        <v>0</v>
      </c>
      <c r="U4223">
        <v>0.1188</v>
      </c>
      <c r="V4223" t="str">
        <f t="shared" si="65"/>
        <v>Annie Thurman</v>
      </c>
      <c r="W4223">
        <f>Table2[Profit]/Table2[Sales]</f>
        <v>0.02</v>
      </c>
    </row>
    <row r="4224" spans="1:23" x14ac:dyDescent="0.25">
      <c r="A4224">
        <v>4223</v>
      </c>
      <c r="B4224" t="s">
        <v>9828</v>
      </c>
      <c r="C4224" s="1">
        <v>42300</v>
      </c>
      <c r="D4224" s="1">
        <v>42305</v>
      </c>
      <c r="E4224" t="s">
        <v>49</v>
      </c>
      <c r="F4224" t="s">
        <v>4394</v>
      </c>
      <c r="G4224" t="s">
        <v>4395</v>
      </c>
      <c r="H4224" t="s">
        <v>25</v>
      </c>
      <c r="I4224" t="s">
        <v>26</v>
      </c>
      <c r="J4224" t="s">
        <v>4777</v>
      </c>
      <c r="K4224" t="s">
        <v>103</v>
      </c>
      <c r="L4224">
        <v>79424</v>
      </c>
      <c r="M4224" t="s">
        <v>104</v>
      </c>
      <c r="N4224" t="s">
        <v>6809</v>
      </c>
      <c r="O4224" t="s">
        <v>45</v>
      </c>
      <c r="P4224" t="s">
        <v>89</v>
      </c>
      <c r="Q4224" t="s">
        <v>6810</v>
      </c>
      <c r="R4224">
        <v>60.735999999999997</v>
      </c>
      <c r="S4224">
        <v>8</v>
      </c>
      <c r="T4224">
        <v>0.2</v>
      </c>
      <c r="U4224">
        <v>20.4984</v>
      </c>
      <c r="V4224" t="str">
        <f t="shared" si="65"/>
        <v>Craig Carroll</v>
      </c>
      <c r="W4224">
        <f>Table2[Profit]/Table2[Sales]</f>
        <v>0.33750000000000002</v>
      </c>
    </row>
    <row r="4225" spans="1:23" x14ac:dyDescent="0.25">
      <c r="A4225">
        <v>4224</v>
      </c>
      <c r="B4225" t="s">
        <v>9829</v>
      </c>
      <c r="C4225" s="1">
        <v>42706</v>
      </c>
      <c r="D4225" s="1">
        <v>42712</v>
      </c>
      <c r="E4225" t="s">
        <v>49</v>
      </c>
      <c r="F4225" t="s">
        <v>1100</v>
      </c>
      <c r="G4225" t="s">
        <v>1101</v>
      </c>
      <c r="H4225" t="s">
        <v>40</v>
      </c>
      <c r="I4225" t="s">
        <v>26</v>
      </c>
      <c r="J4225" t="s">
        <v>9285</v>
      </c>
      <c r="K4225" t="s">
        <v>450</v>
      </c>
      <c r="L4225">
        <v>80501</v>
      </c>
      <c r="M4225" t="s">
        <v>43</v>
      </c>
      <c r="N4225" t="s">
        <v>6975</v>
      </c>
      <c r="O4225" t="s">
        <v>70</v>
      </c>
      <c r="P4225" t="s">
        <v>158</v>
      </c>
      <c r="Q4225" t="s">
        <v>6976</v>
      </c>
      <c r="R4225">
        <v>165.6</v>
      </c>
      <c r="S4225">
        <v>3</v>
      </c>
      <c r="T4225">
        <v>0.2</v>
      </c>
      <c r="U4225">
        <v>-6.21</v>
      </c>
      <c r="V4225" t="str">
        <f t="shared" si="65"/>
        <v>Alan Schoenberger</v>
      </c>
      <c r="W4225">
        <f>Table2[Profit]/Table2[Sales]</f>
        <v>-3.7499999999999999E-2</v>
      </c>
    </row>
    <row r="4226" spans="1:23" x14ac:dyDescent="0.25">
      <c r="A4226">
        <v>4225</v>
      </c>
      <c r="B4226" t="s">
        <v>9830</v>
      </c>
      <c r="C4226" s="1">
        <v>41703</v>
      </c>
      <c r="D4226" s="1">
        <v>41706</v>
      </c>
      <c r="E4226" t="s">
        <v>22</v>
      </c>
      <c r="F4226" t="s">
        <v>4040</v>
      </c>
      <c r="G4226" t="s">
        <v>4041</v>
      </c>
      <c r="H4226" t="s">
        <v>25</v>
      </c>
      <c r="I4226" t="s">
        <v>26</v>
      </c>
      <c r="J4226" t="s">
        <v>3137</v>
      </c>
      <c r="K4226" t="s">
        <v>264</v>
      </c>
      <c r="L4226">
        <v>10701</v>
      </c>
      <c r="M4226" t="s">
        <v>145</v>
      </c>
      <c r="N4226" t="s">
        <v>1541</v>
      </c>
      <c r="O4226" t="s">
        <v>45</v>
      </c>
      <c r="P4226" t="s">
        <v>67</v>
      </c>
      <c r="Q4226" t="s">
        <v>1542</v>
      </c>
      <c r="R4226">
        <v>59.52</v>
      </c>
      <c r="S4226">
        <v>3</v>
      </c>
      <c r="T4226">
        <v>0</v>
      </c>
      <c r="U4226">
        <v>15.475199999999999</v>
      </c>
      <c r="V4226" t="str">
        <f t="shared" si="65"/>
        <v>Aimee Bixby</v>
      </c>
      <c r="W4226">
        <f>Table2[Profit]/Table2[Sales]</f>
        <v>0.25999999999999995</v>
      </c>
    </row>
    <row r="4227" spans="1:23" x14ac:dyDescent="0.25">
      <c r="A4227">
        <v>4226</v>
      </c>
      <c r="B4227" t="s">
        <v>9831</v>
      </c>
      <c r="C4227" s="1">
        <v>42064</v>
      </c>
      <c r="D4227" s="1">
        <v>42066</v>
      </c>
      <c r="E4227" t="s">
        <v>22</v>
      </c>
      <c r="F4227" t="s">
        <v>6451</v>
      </c>
      <c r="G4227" t="s">
        <v>6452</v>
      </c>
      <c r="H4227" t="s">
        <v>40</v>
      </c>
      <c r="I4227" t="s">
        <v>26</v>
      </c>
      <c r="J4227" t="s">
        <v>41</v>
      </c>
      <c r="K4227" t="s">
        <v>42</v>
      </c>
      <c r="L4227">
        <v>90045</v>
      </c>
      <c r="M4227" t="s">
        <v>43</v>
      </c>
      <c r="N4227" t="s">
        <v>1658</v>
      </c>
      <c r="O4227" t="s">
        <v>70</v>
      </c>
      <c r="P4227" t="s">
        <v>71</v>
      </c>
      <c r="Q4227" t="s">
        <v>1659</v>
      </c>
      <c r="R4227">
        <v>15.984</v>
      </c>
      <c r="S4227">
        <v>2</v>
      </c>
      <c r="T4227">
        <v>0.2</v>
      </c>
      <c r="U4227">
        <v>1.1988000000000001</v>
      </c>
      <c r="V4227" t="str">
        <f t="shared" ref="V4227:V4290" si="66">TRIM(G4227)</f>
        <v>Dave Hallsten</v>
      </c>
      <c r="W4227">
        <f>Table2[Profit]/Table2[Sales]</f>
        <v>7.5000000000000011E-2</v>
      </c>
    </row>
    <row r="4228" spans="1:23" x14ac:dyDescent="0.25">
      <c r="A4228">
        <v>4227</v>
      </c>
      <c r="B4228" t="s">
        <v>9832</v>
      </c>
      <c r="C4228" s="1">
        <v>41690</v>
      </c>
      <c r="D4228" s="1">
        <v>41694</v>
      </c>
      <c r="E4228" t="s">
        <v>49</v>
      </c>
      <c r="F4228" t="s">
        <v>2116</v>
      </c>
      <c r="G4228" t="s">
        <v>2117</v>
      </c>
      <c r="H4228" t="s">
        <v>101</v>
      </c>
      <c r="I4228" t="s">
        <v>26</v>
      </c>
      <c r="J4228" t="s">
        <v>41</v>
      </c>
      <c r="K4228" t="s">
        <v>42</v>
      </c>
      <c r="L4228">
        <v>90049</v>
      </c>
      <c r="M4228" t="s">
        <v>43</v>
      </c>
      <c r="N4228" t="s">
        <v>6518</v>
      </c>
      <c r="O4228" t="s">
        <v>45</v>
      </c>
      <c r="P4228" t="s">
        <v>89</v>
      </c>
      <c r="Q4228" t="s">
        <v>6519</v>
      </c>
      <c r="R4228">
        <v>12.96</v>
      </c>
      <c r="S4228">
        <v>2</v>
      </c>
      <c r="T4228">
        <v>0</v>
      </c>
      <c r="U4228">
        <v>6.2207999999999997</v>
      </c>
      <c r="V4228" t="str">
        <f t="shared" si="66"/>
        <v>Steven Roelle</v>
      </c>
      <c r="W4228">
        <f>Table2[Profit]/Table2[Sales]</f>
        <v>0.47999999999999993</v>
      </c>
    </row>
    <row r="4229" spans="1:23" x14ac:dyDescent="0.25">
      <c r="A4229">
        <v>4228</v>
      </c>
      <c r="B4229" t="s">
        <v>9833</v>
      </c>
      <c r="C4229" s="1">
        <v>42492</v>
      </c>
      <c r="D4229" s="1">
        <v>42496</v>
      </c>
      <c r="E4229" t="s">
        <v>49</v>
      </c>
      <c r="F4229" t="s">
        <v>7533</v>
      </c>
      <c r="G4229" t="s">
        <v>7534</v>
      </c>
      <c r="H4229" t="s">
        <v>25</v>
      </c>
      <c r="I4229" t="s">
        <v>26</v>
      </c>
      <c r="J4229" t="s">
        <v>1590</v>
      </c>
      <c r="K4229" t="s">
        <v>103</v>
      </c>
      <c r="L4229">
        <v>79109</v>
      </c>
      <c r="M4229" t="s">
        <v>104</v>
      </c>
      <c r="N4229" t="s">
        <v>6800</v>
      </c>
      <c r="O4229" t="s">
        <v>31</v>
      </c>
      <c r="P4229" t="s">
        <v>35</v>
      </c>
      <c r="Q4229" t="s">
        <v>6801</v>
      </c>
      <c r="R4229">
        <v>366.74400000000003</v>
      </c>
      <c r="S4229">
        <v>4</v>
      </c>
      <c r="T4229">
        <v>0.3</v>
      </c>
      <c r="U4229">
        <v>-110.0232</v>
      </c>
      <c r="V4229" t="str">
        <f t="shared" si="66"/>
        <v>Nick Radford</v>
      </c>
      <c r="W4229">
        <f>Table2[Profit]/Table2[Sales]</f>
        <v>-0.3</v>
      </c>
    </row>
    <row r="4230" spans="1:23" x14ac:dyDescent="0.25">
      <c r="A4230">
        <v>4229</v>
      </c>
      <c r="B4230" t="s">
        <v>9834</v>
      </c>
      <c r="C4230" s="1">
        <v>42437</v>
      </c>
      <c r="D4230" s="1">
        <v>42441</v>
      </c>
      <c r="E4230" t="s">
        <v>49</v>
      </c>
      <c r="F4230" t="s">
        <v>2620</v>
      </c>
      <c r="G4230" t="s">
        <v>2621</v>
      </c>
      <c r="H4230" t="s">
        <v>101</v>
      </c>
      <c r="I4230" t="s">
        <v>26</v>
      </c>
      <c r="J4230" t="s">
        <v>808</v>
      </c>
      <c r="K4230" t="s">
        <v>103</v>
      </c>
      <c r="L4230">
        <v>75217</v>
      </c>
      <c r="M4230" t="s">
        <v>104</v>
      </c>
      <c r="N4230" t="s">
        <v>4639</v>
      </c>
      <c r="O4230" t="s">
        <v>45</v>
      </c>
      <c r="P4230" t="s">
        <v>74</v>
      </c>
      <c r="Q4230" t="s">
        <v>4640</v>
      </c>
      <c r="R4230">
        <v>8.8559999999999999</v>
      </c>
      <c r="S4230">
        <v>9</v>
      </c>
      <c r="T4230">
        <v>0.8</v>
      </c>
      <c r="U4230">
        <v>-14.169600000000001</v>
      </c>
      <c r="V4230" t="str">
        <f t="shared" si="66"/>
        <v>Sanjit Jacobs</v>
      </c>
      <c r="W4230">
        <f>Table2[Profit]/Table2[Sales]</f>
        <v>-1.6</v>
      </c>
    </row>
    <row r="4231" spans="1:23" x14ac:dyDescent="0.25">
      <c r="A4231">
        <v>4230</v>
      </c>
      <c r="B4231" t="s">
        <v>9835</v>
      </c>
      <c r="C4231" s="1">
        <v>42349</v>
      </c>
      <c r="D4231" s="1">
        <v>42352</v>
      </c>
      <c r="E4231" t="s">
        <v>185</v>
      </c>
      <c r="F4231" t="s">
        <v>1880</v>
      </c>
      <c r="G4231" t="s">
        <v>1881</v>
      </c>
      <c r="H4231" t="s">
        <v>25</v>
      </c>
      <c r="I4231" t="s">
        <v>26</v>
      </c>
      <c r="J4231" t="s">
        <v>873</v>
      </c>
      <c r="K4231" t="s">
        <v>235</v>
      </c>
      <c r="L4231">
        <v>48205</v>
      </c>
      <c r="M4231" t="s">
        <v>104</v>
      </c>
      <c r="N4231" t="s">
        <v>3039</v>
      </c>
      <c r="O4231" t="s">
        <v>70</v>
      </c>
      <c r="P4231" t="s">
        <v>158</v>
      </c>
      <c r="Q4231" t="s">
        <v>3040</v>
      </c>
      <c r="R4231">
        <v>175.23</v>
      </c>
      <c r="S4231">
        <v>11</v>
      </c>
      <c r="T4231">
        <v>0</v>
      </c>
      <c r="U4231">
        <v>61.330500000000001</v>
      </c>
      <c r="V4231" t="str">
        <f t="shared" si="66"/>
        <v>Cynthia Arntzen</v>
      </c>
      <c r="W4231">
        <f>Table2[Profit]/Table2[Sales]</f>
        <v>0.35000000000000003</v>
      </c>
    </row>
    <row r="4232" spans="1:23" x14ac:dyDescent="0.25">
      <c r="A4232">
        <v>4231</v>
      </c>
      <c r="B4232" t="s">
        <v>9836</v>
      </c>
      <c r="C4232" s="1">
        <v>42726</v>
      </c>
      <c r="D4232" s="1">
        <v>42730</v>
      </c>
      <c r="E4232" t="s">
        <v>49</v>
      </c>
      <c r="F4232" t="s">
        <v>558</v>
      </c>
      <c r="G4232" t="s">
        <v>559</v>
      </c>
      <c r="H4232" t="s">
        <v>25</v>
      </c>
      <c r="I4232" t="s">
        <v>26</v>
      </c>
      <c r="J4232" t="s">
        <v>263</v>
      </c>
      <c r="K4232" t="s">
        <v>264</v>
      </c>
      <c r="L4232">
        <v>10035</v>
      </c>
      <c r="M4232" t="s">
        <v>145</v>
      </c>
      <c r="N4232" t="s">
        <v>5657</v>
      </c>
      <c r="O4232" t="s">
        <v>45</v>
      </c>
      <c r="P4232" t="s">
        <v>74</v>
      </c>
      <c r="Q4232" t="s">
        <v>5658</v>
      </c>
      <c r="R4232">
        <v>25.584</v>
      </c>
      <c r="S4232">
        <v>2</v>
      </c>
      <c r="T4232">
        <v>0.2</v>
      </c>
      <c r="U4232">
        <v>8.9543999999999997</v>
      </c>
      <c r="V4232" t="str">
        <f t="shared" si="66"/>
        <v>Lena Creighton</v>
      </c>
      <c r="W4232">
        <f>Table2[Profit]/Table2[Sales]</f>
        <v>0.35</v>
      </c>
    </row>
    <row r="4233" spans="1:23" x14ac:dyDescent="0.25">
      <c r="A4233">
        <v>4232</v>
      </c>
      <c r="B4233" t="s">
        <v>9837</v>
      </c>
      <c r="C4233" s="1">
        <v>42402</v>
      </c>
      <c r="D4233" s="1">
        <v>42408</v>
      </c>
      <c r="E4233" t="s">
        <v>49</v>
      </c>
      <c r="F4233" t="s">
        <v>3044</v>
      </c>
      <c r="G4233" t="s">
        <v>3045</v>
      </c>
      <c r="H4233" t="s">
        <v>40</v>
      </c>
      <c r="I4233" t="s">
        <v>26</v>
      </c>
      <c r="J4233" t="s">
        <v>181</v>
      </c>
      <c r="K4233" t="s">
        <v>103</v>
      </c>
      <c r="L4233">
        <v>77041</v>
      </c>
      <c r="M4233" t="s">
        <v>104</v>
      </c>
      <c r="N4233" t="s">
        <v>2840</v>
      </c>
      <c r="O4233" t="s">
        <v>31</v>
      </c>
      <c r="P4233" t="s">
        <v>64</v>
      </c>
      <c r="Q4233" t="s">
        <v>2841</v>
      </c>
      <c r="R4233">
        <v>73.784000000000006</v>
      </c>
      <c r="S4233">
        <v>2</v>
      </c>
      <c r="T4233">
        <v>0.6</v>
      </c>
      <c r="U4233">
        <v>-77.473200000000006</v>
      </c>
      <c r="V4233" t="str">
        <f t="shared" si="66"/>
        <v>Noel Staavos</v>
      </c>
      <c r="W4233">
        <f>Table2[Profit]/Table2[Sales]</f>
        <v>-1.05</v>
      </c>
    </row>
    <row r="4234" spans="1:23" x14ac:dyDescent="0.25">
      <c r="A4234">
        <v>4233</v>
      </c>
      <c r="B4234" t="s">
        <v>9838</v>
      </c>
      <c r="C4234" s="1">
        <v>42891</v>
      </c>
      <c r="D4234" s="1">
        <v>42895</v>
      </c>
      <c r="E4234" t="s">
        <v>49</v>
      </c>
      <c r="F4234" t="s">
        <v>3044</v>
      </c>
      <c r="G4234" t="s">
        <v>3045</v>
      </c>
      <c r="H4234" t="s">
        <v>40</v>
      </c>
      <c r="I4234" t="s">
        <v>26</v>
      </c>
      <c r="J4234" t="s">
        <v>5921</v>
      </c>
      <c r="K4234" t="s">
        <v>53</v>
      </c>
      <c r="L4234">
        <v>32839</v>
      </c>
      <c r="M4234" t="s">
        <v>29</v>
      </c>
      <c r="N4234" t="s">
        <v>5156</v>
      </c>
      <c r="O4234" t="s">
        <v>45</v>
      </c>
      <c r="P4234" t="s">
        <v>89</v>
      </c>
      <c r="Q4234" t="s">
        <v>5157</v>
      </c>
      <c r="R4234">
        <v>20.736000000000001</v>
      </c>
      <c r="S4234">
        <v>4</v>
      </c>
      <c r="T4234">
        <v>0.2</v>
      </c>
      <c r="U4234">
        <v>7.2576000000000001</v>
      </c>
      <c r="V4234" t="str">
        <f t="shared" si="66"/>
        <v>Noel Staavos</v>
      </c>
      <c r="W4234">
        <f>Table2[Profit]/Table2[Sales]</f>
        <v>0.35</v>
      </c>
    </row>
    <row r="4235" spans="1:23" x14ac:dyDescent="0.25">
      <c r="A4235">
        <v>4234</v>
      </c>
      <c r="B4235" t="s">
        <v>9839</v>
      </c>
      <c r="C4235" s="1">
        <v>42237</v>
      </c>
      <c r="D4235" s="1">
        <v>42242</v>
      </c>
      <c r="E4235" t="s">
        <v>49</v>
      </c>
      <c r="F4235" t="s">
        <v>3559</v>
      </c>
      <c r="G4235" t="s">
        <v>3560</v>
      </c>
      <c r="H4235" t="s">
        <v>40</v>
      </c>
      <c r="I4235" t="s">
        <v>26</v>
      </c>
      <c r="J4235" t="s">
        <v>2548</v>
      </c>
      <c r="K4235" t="s">
        <v>28</v>
      </c>
      <c r="L4235">
        <v>41042</v>
      </c>
      <c r="M4235" t="s">
        <v>29</v>
      </c>
      <c r="N4235" t="s">
        <v>990</v>
      </c>
      <c r="O4235" t="s">
        <v>45</v>
      </c>
      <c r="P4235" t="s">
        <v>67</v>
      </c>
      <c r="Q4235" t="s">
        <v>991</v>
      </c>
      <c r="R4235">
        <v>17.52</v>
      </c>
      <c r="S4235">
        <v>3</v>
      </c>
      <c r="T4235">
        <v>0</v>
      </c>
      <c r="U4235">
        <v>8.2344000000000008</v>
      </c>
      <c r="V4235" t="str">
        <f t="shared" si="66"/>
        <v>Henry Goldwyn</v>
      </c>
      <c r="W4235">
        <f>Table2[Profit]/Table2[Sales]</f>
        <v>0.47000000000000008</v>
      </c>
    </row>
    <row r="4236" spans="1:23" x14ac:dyDescent="0.25">
      <c r="A4236">
        <v>4235</v>
      </c>
      <c r="B4236" t="s">
        <v>9840</v>
      </c>
      <c r="C4236" s="1">
        <v>42467</v>
      </c>
      <c r="D4236" s="1">
        <v>42471</v>
      </c>
      <c r="E4236" t="s">
        <v>49</v>
      </c>
      <c r="F4236" t="s">
        <v>1913</v>
      </c>
      <c r="G4236" t="s">
        <v>1914</v>
      </c>
      <c r="H4236" t="s">
        <v>25</v>
      </c>
      <c r="I4236" t="s">
        <v>26</v>
      </c>
      <c r="J4236" t="s">
        <v>263</v>
      </c>
      <c r="K4236" t="s">
        <v>264</v>
      </c>
      <c r="L4236">
        <v>10009</v>
      </c>
      <c r="M4236" t="s">
        <v>145</v>
      </c>
      <c r="N4236" t="s">
        <v>66</v>
      </c>
      <c r="O4236" t="s">
        <v>45</v>
      </c>
      <c r="P4236" t="s">
        <v>67</v>
      </c>
      <c r="Q4236" t="s">
        <v>68</v>
      </c>
      <c r="R4236">
        <v>3.64</v>
      </c>
      <c r="S4236">
        <v>2</v>
      </c>
      <c r="T4236">
        <v>0</v>
      </c>
      <c r="U4236">
        <v>0.98280000000000001</v>
      </c>
      <c r="V4236" t="str">
        <f t="shared" si="66"/>
        <v>Sarah Foster</v>
      </c>
      <c r="W4236">
        <f>Table2[Profit]/Table2[Sales]</f>
        <v>0.27</v>
      </c>
    </row>
    <row r="4237" spans="1:23" x14ac:dyDescent="0.25">
      <c r="A4237">
        <v>4236</v>
      </c>
      <c r="B4237" t="s">
        <v>9841</v>
      </c>
      <c r="C4237" s="1">
        <v>42890</v>
      </c>
      <c r="D4237" s="1">
        <v>42893</v>
      </c>
      <c r="E4237" t="s">
        <v>22</v>
      </c>
      <c r="F4237" t="s">
        <v>1636</v>
      </c>
      <c r="G4237" t="s">
        <v>1637</v>
      </c>
      <c r="H4237" t="s">
        <v>25</v>
      </c>
      <c r="I4237" t="s">
        <v>26</v>
      </c>
      <c r="J4237" t="s">
        <v>5778</v>
      </c>
      <c r="K4237" t="s">
        <v>103</v>
      </c>
      <c r="L4237">
        <v>75034</v>
      </c>
      <c r="M4237" t="s">
        <v>104</v>
      </c>
      <c r="N4237" t="s">
        <v>5253</v>
      </c>
      <c r="O4237" t="s">
        <v>31</v>
      </c>
      <c r="P4237" t="s">
        <v>64</v>
      </c>
      <c r="Q4237" t="s">
        <v>5254</v>
      </c>
      <c r="R4237">
        <v>30.335999999999999</v>
      </c>
      <c r="S4237">
        <v>6</v>
      </c>
      <c r="T4237">
        <v>0.6</v>
      </c>
      <c r="U4237">
        <v>-17.443200000000001</v>
      </c>
      <c r="V4237" t="str">
        <f t="shared" si="66"/>
        <v>Erin Mull</v>
      </c>
      <c r="W4237">
        <f>Table2[Profit]/Table2[Sales]</f>
        <v>-0.57500000000000007</v>
      </c>
    </row>
    <row r="4238" spans="1:23" x14ac:dyDescent="0.25">
      <c r="A4238">
        <v>4237</v>
      </c>
      <c r="B4238" t="s">
        <v>9842</v>
      </c>
      <c r="C4238" s="1">
        <v>43073</v>
      </c>
      <c r="D4238" s="1">
        <v>43079</v>
      </c>
      <c r="E4238" t="s">
        <v>49</v>
      </c>
      <c r="F4238" t="s">
        <v>8310</v>
      </c>
      <c r="G4238" t="s">
        <v>8311</v>
      </c>
      <c r="H4238" t="s">
        <v>25</v>
      </c>
      <c r="I4238" t="s">
        <v>26</v>
      </c>
      <c r="J4238" t="s">
        <v>4724</v>
      </c>
      <c r="K4238" t="s">
        <v>781</v>
      </c>
      <c r="L4238">
        <v>7501</v>
      </c>
      <c r="M4238" t="s">
        <v>145</v>
      </c>
      <c r="N4238" t="s">
        <v>9357</v>
      </c>
      <c r="O4238" t="s">
        <v>31</v>
      </c>
      <c r="P4238" t="s">
        <v>64</v>
      </c>
      <c r="Q4238" t="s">
        <v>9358</v>
      </c>
      <c r="R4238">
        <v>12.99</v>
      </c>
      <c r="S4238">
        <v>1</v>
      </c>
      <c r="T4238">
        <v>0</v>
      </c>
      <c r="U4238">
        <v>1.5588</v>
      </c>
      <c r="V4238" t="str">
        <f t="shared" si="66"/>
        <v>Doug O'Connell</v>
      </c>
      <c r="W4238">
        <f>Table2[Profit]/Table2[Sales]</f>
        <v>0.12</v>
      </c>
    </row>
    <row r="4239" spans="1:23" x14ac:dyDescent="0.25">
      <c r="A4239">
        <v>4238</v>
      </c>
      <c r="B4239" t="s">
        <v>9843</v>
      </c>
      <c r="C4239" s="1">
        <v>42380</v>
      </c>
      <c r="D4239" s="1">
        <v>42384</v>
      </c>
      <c r="E4239" t="s">
        <v>49</v>
      </c>
      <c r="F4239" t="s">
        <v>755</v>
      </c>
      <c r="G4239" t="s">
        <v>756</v>
      </c>
      <c r="H4239" t="s">
        <v>101</v>
      </c>
      <c r="I4239" t="s">
        <v>26</v>
      </c>
      <c r="J4239" t="s">
        <v>490</v>
      </c>
      <c r="K4239" t="s">
        <v>491</v>
      </c>
      <c r="L4239">
        <v>43229</v>
      </c>
      <c r="M4239" t="s">
        <v>145</v>
      </c>
      <c r="N4239" t="s">
        <v>3341</v>
      </c>
      <c r="O4239" t="s">
        <v>31</v>
      </c>
      <c r="P4239" t="s">
        <v>64</v>
      </c>
      <c r="Q4239" t="s">
        <v>3342</v>
      </c>
      <c r="R4239">
        <v>54.991999999999997</v>
      </c>
      <c r="S4239">
        <v>14</v>
      </c>
      <c r="T4239">
        <v>0.2</v>
      </c>
      <c r="U4239">
        <v>8.9361999999999995</v>
      </c>
      <c r="V4239" t="str">
        <f t="shared" si="66"/>
        <v>Mark Packer</v>
      </c>
      <c r="W4239">
        <f>Table2[Profit]/Table2[Sales]</f>
        <v>0.16250000000000001</v>
      </c>
    </row>
    <row r="4240" spans="1:23" x14ac:dyDescent="0.25">
      <c r="A4240">
        <v>4239</v>
      </c>
      <c r="B4240" t="s">
        <v>9844</v>
      </c>
      <c r="C4240" s="1">
        <v>42461</v>
      </c>
      <c r="D4240" s="1">
        <v>42467</v>
      </c>
      <c r="E4240" t="s">
        <v>49</v>
      </c>
      <c r="F4240" t="s">
        <v>4107</v>
      </c>
      <c r="G4240" t="s">
        <v>4108</v>
      </c>
      <c r="H4240" t="s">
        <v>40</v>
      </c>
      <c r="I4240" t="s">
        <v>26</v>
      </c>
      <c r="J4240" t="s">
        <v>2517</v>
      </c>
      <c r="K4240" t="s">
        <v>113</v>
      </c>
      <c r="L4240">
        <v>53209</v>
      </c>
      <c r="M4240" t="s">
        <v>104</v>
      </c>
      <c r="N4240" t="s">
        <v>3006</v>
      </c>
      <c r="O4240" t="s">
        <v>70</v>
      </c>
      <c r="P4240" t="s">
        <v>71</v>
      </c>
      <c r="Q4240" t="s">
        <v>3007</v>
      </c>
      <c r="R4240">
        <v>12.99</v>
      </c>
      <c r="S4240">
        <v>1</v>
      </c>
      <c r="T4240">
        <v>0</v>
      </c>
      <c r="U4240">
        <v>0.25979999999999998</v>
      </c>
      <c r="V4240" t="str">
        <f t="shared" si="66"/>
        <v>Muhammed Yedwab</v>
      </c>
      <c r="W4240">
        <f>Table2[Profit]/Table2[Sales]</f>
        <v>1.9999999999999997E-2</v>
      </c>
    </row>
    <row r="4241" spans="1:23" x14ac:dyDescent="0.25">
      <c r="A4241">
        <v>4240</v>
      </c>
      <c r="B4241" t="s">
        <v>9845</v>
      </c>
      <c r="C4241" s="1">
        <v>42999</v>
      </c>
      <c r="D4241" s="1">
        <v>43003</v>
      </c>
      <c r="E4241" t="s">
        <v>49</v>
      </c>
      <c r="F4241" t="s">
        <v>1199</v>
      </c>
      <c r="G4241" t="s">
        <v>1200</v>
      </c>
      <c r="H4241" t="s">
        <v>25</v>
      </c>
      <c r="I4241" t="s">
        <v>26</v>
      </c>
      <c r="J4241" t="s">
        <v>126</v>
      </c>
      <c r="K4241" t="s">
        <v>42</v>
      </c>
      <c r="L4241">
        <v>94109</v>
      </c>
      <c r="M4241" t="s">
        <v>43</v>
      </c>
      <c r="N4241" t="s">
        <v>929</v>
      </c>
      <c r="O4241" t="s">
        <v>45</v>
      </c>
      <c r="P4241" t="s">
        <v>89</v>
      </c>
      <c r="Q4241" t="s">
        <v>930</v>
      </c>
      <c r="R4241">
        <v>55.86</v>
      </c>
      <c r="S4241">
        <v>7</v>
      </c>
      <c r="T4241">
        <v>0</v>
      </c>
      <c r="U4241">
        <v>27.93</v>
      </c>
      <c r="V4241" t="str">
        <f t="shared" si="66"/>
        <v>Doug Bickford</v>
      </c>
      <c r="W4241">
        <f>Table2[Profit]/Table2[Sales]</f>
        <v>0.5</v>
      </c>
    </row>
    <row r="4242" spans="1:23" x14ac:dyDescent="0.25">
      <c r="A4242">
        <v>4241</v>
      </c>
      <c r="B4242" t="s">
        <v>9846</v>
      </c>
      <c r="C4242" s="1">
        <v>42810</v>
      </c>
      <c r="D4242" s="1">
        <v>42810</v>
      </c>
      <c r="E4242" t="s">
        <v>1278</v>
      </c>
      <c r="F4242" t="s">
        <v>6946</v>
      </c>
      <c r="G4242" t="s">
        <v>6947</v>
      </c>
      <c r="H4242" t="s">
        <v>25</v>
      </c>
      <c r="I4242" t="s">
        <v>26</v>
      </c>
      <c r="J4242" t="s">
        <v>490</v>
      </c>
      <c r="K4242" t="s">
        <v>491</v>
      </c>
      <c r="L4242">
        <v>43229</v>
      </c>
      <c r="M4242" t="s">
        <v>145</v>
      </c>
      <c r="N4242" t="s">
        <v>3819</v>
      </c>
      <c r="O4242" t="s">
        <v>70</v>
      </c>
      <c r="P4242" t="s">
        <v>71</v>
      </c>
      <c r="Q4242" t="s">
        <v>3820</v>
      </c>
      <c r="R4242">
        <v>44.375999999999998</v>
      </c>
      <c r="S4242">
        <v>2</v>
      </c>
      <c r="T4242">
        <v>0.4</v>
      </c>
      <c r="U4242">
        <v>-7.3959999999999999</v>
      </c>
      <c r="V4242" t="str">
        <f t="shared" si="66"/>
        <v>Susan Pistek</v>
      </c>
      <c r="W4242">
        <f>Table2[Profit]/Table2[Sales]</f>
        <v>-0.16666666666666669</v>
      </c>
    </row>
    <row r="4243" spans="1:23" x14ac:dyDescent="0.25">
      <c r="A4243">
        <v>4242</v>
      </c>
      <c r="B4243" t="s">
        <v>9847</v>
      </c>
      <c r="C4243" s="1">
        <v>43049</v>
      </c>
      <c r="D4243" s="1">
        <v>43056</v>
      </c>
      <c r="E4243" t="s">
        <v>49</v>
      </c>
      <c r="F4243" t="s">
        <v>3833</v>
      </c>
      <c r="G4243" t="s">
        <v>3834</v>
      </c>
      <c r="H4243" t="s">
        <v>101</v>
      </c>
      <c r="I4243" t="s">
        <v>26</v>
      </c>
      <c r="J4243" t="s">
        <v>41</v>
      </c>
      <c r="K4243" t="s">
        <v>42</v>
      </c>
      <c r="L4243">
        <v>90008</v>
      </c>
      <c r="M4243" t="s">
        <v>43</v>
      </c>
      <c r="N4243" t="s">
        <v>5282</v>
      </c>
      <c r="O4243" t="s">
        <v>31</v>
      </c>
      <c r="P4243" t="s">
        <v>35</v>
      </c>
      <c r="Q4243" t="s">
        <v>5283</v>
      </c>
      <c r="R4243">
        <v>241.42400000000001</v>
      </c>
      <c r="S4243">
        <v>2</v>
      </c>
      <c r="T4243">
        <v>0.2</v>
      </c>
      <c r="U4243">
        <v>-36.2136</v>
      </c>
      <c r="V4243" t="str">
        <f t="shared" si="66"/>
        <v>Maria Etezadi</v>
      </c>
      <c r="W4243">
        <f>Table2[Profit]/Table2[Sales]</f>
        <v>-0.15</v>
      </c>
    </row>
    <row r="4244" spans="1:23" x14ac:dyDescent="0.25">
      <c r="A4244">
        <v>4243</v>
      </c>
      <c r="B4244" t="s">
        <v>9848</v>
      </c>
      <c r="C4244" s="1">
        <v>42704</v>
      </c>
      <c r="D4244" s="1">
        <v>42710</v>
      </c>
      <c r="E4244" t="s">
        <v>49</v>
      </c>
      <c r="F4244" t="s">
        <v>798</v>
      </c>
      <c r="G4244" t="s">
        <v>799</v>
      </c>
      <c r="H4244" t="s">
        <v>25</v>
      </c>
      <c r="I4244" t="s">
        <v>26</v>
      </c>
      <c r="J4244" t="s">
        <v>873</v>
      </c>
      <c r="K4244" t="s">
        <v>235</v>
      </c>
      <c r="L4244">
        <v>48227</v>
      </c>
      <c r="M4244" t="s">
        <v>104</v>
      </c>
      <c r="N4244" t="s">
        <v>5237</v>
      </c>
      <c r="O4244" t="s">
        <v>45</v>
      </c>
      <c r="P4244" t="s">
        <v>89</v>
      </c>
      <c r="Q4244" t="s">
        <v>5238</v>
      </c>
      <c r="R4244">
        <v>33.36</v>
      </c>
      <c r="S4244">
        <v>4</v>
      </c>
      <c r="T4244">
        <v>0</v>
      </c>
      <c r="U4244">
        <v>16.68</v>
      </c>
      <c r="V4244" t="str">
        <f t="shared" si="66"/>
        <v>Bruce Stewart</v>
      </c>
      <c r="W4244">
        <f>Table2[Profit]/Table2[Sales]</f>
        <v>0.5</v>
      </c>
    </row>
    <row r="4245" spans="1:23" x14ac:dyDescent="0.25">
      <c r="A4245">
        <v>4244</v>
      </c>
      <c r="B4245" t="s">
        <v>9849</v>
      </c>
      <c r="C4245" s="1">
        <v>42017</v>
      </c>
      <c r="D4245" s="1">
        <v>42019</v>
      </c>
      <c r="E4245" t="s">
        <v>22</v>
      </c>
      <c r="F4245" t="s">
        <v>7682</v>
      </c>
      <c r="G4245" t="s">
        <v>7683</v>
      </c>
      <c r="H4245" t="s">
        <v>40</v>
      </c>
      <c r="I4245" t="s">
        <v>26</v>
      </c>
      <c r="J4245" t="s">
        <v>490</v>
      </c>
      <c r="K4245" t="s">
        <v>1260</v>
      </c>
      <c r="L4245">
        <v>31907</v>
      </c>
      <c r="M4245" t="s">
        <v>29</v>
      </c>
      <c r="N4245" t="s">
        <v>2333</v>
      </c>
      <c r="O4245" t="s">
        <v>45</v>
      </c>
      <c r="P4245" t="s">
        <v>46</v>
      </c>
      <c r="Q4245" t="s">
        <v>2334</v>
      </c>
      <c r="R4245">
        <v>9.82</v>
      </c>
      <c r="S4245">
        <v>2</v>
      </c>
      <c r="T4245">
        <v>0</v>
      </c>
      <c r="U4245">
        <v>4.8117999999999999</v>
      </c>
      <c r="V4245" t="str">
        <f t="shared" si="66"/>
        <v>Karen Seio</v>
      </c>
      <c r="W4245">
        <f>Table2[Profit]/Table2[Sales]</f>
        <v>0.49</v>
      </c>
    </row>
    <row r="4246" spans="1:23" x14ac:dyDescent="0.25">
      <c r="A4246">
        <v>4245</v>
      </c>
      <c r="B4246" t="s">
        <v>9850</v>
      </c>
      <c r="C4246" s="1">
        <v>41775</v>
      </c>
      <c r="D4246" s="1">
        <v>41779</v>
      </c>
      <c r="E4246" t="s">
        <v>49</v>
      </c>
      <c r="F4246" t="s">
        <v>6298</v>
      </c>
      <c r="G4246" t="s">
        <v>6299</v>
      </c>
      <c r="H4246" t="s">
        <v>25</v>
      </c>
      <c r="I4246" t="s">
        <v>26</v>
      </c>
      <c r="J4246" t="s">
        <v>126</v>
      </c>
      <c r="K4246" t="s">
        <v>42</v>
      </c>
      <c r="L4246">
        <v>94122</v>
      </c>
      <c r="M4246" t="s">
        <v>43</v>
      </c>
      <c r="N4246" t="s">
        <v>4717</v>
      </c>
      <c r="O4246" t="s">
        <v>70</v>
      </c>
      <c r="P4246" t="s">
        <v>158</v>
      </c>
      <c r="Q4246" t="s">
        <v>4718</v>
      </c>
      <c r="R4246">
        <v>56.4</v>
      </c>
      <c r="S4246">
        <v>3</v>
      </c>
      <c r="T4246">
        <v>0</v>
      </c>
      <c r="U4246">
        <v>3.3839999999999999</v>
      </c>
      <c r="V4246" t="str">
        <f t="shared" si="66"/>
        <v>Cindy Chapman</v>
      </c>
      <c r="W4246">
        <f>Table2[Profit]/Table2[Sales]</f>
        <v>0.06</v>
      </c>
    </row>
    <row r="4247" spans="1:23" x14ac:dyDescent="0.25">
      <c r="A4247">
        <v>4246</v>
      </c>
      <c r="B4247" t="s">
        <v>9851</v>
      </c>
      <c r="C4247" s="1">
        <v>42162</v>
      </c>
      <c r="D4247" s="1">
        <v>42166</v>
      </c>
      <c r="E4247" t="s">
        <v>49</v>
      </c>
      <c r="F4247" t="s">
        <v>9852</v>
      </c>
      <c r="G4247" t="s">
        <v>9853</v>
      </c>
      <c r="H4247" t="s">
        <v>101</v>
      </c>
      <c r="I4247" t="s">
        <v>26</v>
      </c>
      <c r="J4247" t="s">
        <v>143</v>
      </c>
      <c r="K4247" t="s">
        <v>144</v>
      </c>
      <c r="L4247">
        <v>19143</v>
      </c>
      <c r="M4247" t="s">
        <v>145</v>
      </c>
      <c r="N4247" t="s">
        <v>3025</v>
      </c>
      <c r="O4247" t="s">
        <v>45</v>
      </c>
      <c r="P4247" t="s">
        <v>74</v>
      </c>
      <c r="Q4247" t="s">
        <v>3026</v>
      </c>
      <c r="R4247">
        <v>18.312000000000001</v>
      </c>
      <c r="S4247">
        <v>4</v>
      </c>
      <c r="T4247">
        <v>0.7</v>
      </c>
      <c r="U4247">
        <v>-12.208</v>
      </c>
      <c r="V4247" t="str">
        <f t="shared" si="66"/>
        <v>Harold Dahlen</v>
      </c>
      <c r="W4247">
        <f>Table2[Profit]/Table2[Sales]</f>
        <v>-0.66666666666666663</v>
      </c>
    </row>
    <row r="4248" spans="1:23" x14ac:dyDescent="0.25">
      <c r="A4248">
        <v>4247</v>
      </c>
      <c r="B4248" t="s">
        <v>9854</v>
      </c>
      <c r="C4248" s="1">
        <v>42803</v>
      </c>
      <c r="D4248" s="1">
        <v>42807</v>
      </c>
      <c r="E4248" t="s">
        <v>49</v>
      </c>
      <c r="F4248" t="s">
        <v>400</v>
      </c>
      <c r="G4248" t="s">
        <v>401</v>
      </c>
      <c r="H4248" t="s">
        <v>25</v>
      </c>
      <c r="I4248" t="s">
        <v>26</v>
      </c>
      <c r="J4248" t="s">
        <v>41</v>
      </c>
      <c r="K4248" t="s">
        <v>42</v>
      </c>
      <c r="L4248">
        <v>90008</v>
      </c>
      <c r="M4248" t="s">
        <v>43</v>
      </c>
      <c r="N4248" t="s">
        <v>5312</v>
      </c>
      <c r="O4248" t="s">
        <v>70</v>
      </c>
      <c r="P4248" t="s">
        <v>1204</v>
      </c>
      <c r="Q4248" t="s">
        <v>5313</v>
      </c>
      <c r="R4248">
        <v>479.98399999999998</v>
      </c>
      <c r="S4248">
        <v>2</v>
      </c>
      <c r="T4248">
        <v>0.2</v>
      </c>
      <c r="U4248">
        <v>59.997999999999998</v>
      </c>
      <c r="V4248" t="str">
        <f t="shared" si="66"/>
        <v>Karl Braun</v>
      </c>
      <c r="W4248">
        <f>Table2[Profit]/Table2[Sales]</f>
        <v>0.125</v>
      </c>
    </row>
    <row r="4249" spans="1:23" x14ac:dyDescent="0.25">
      <c r="A4249">
        <v>4248</v>
      </c>
      <c r="B4249" t="s">
        <v>9855</v>
      </c>
      <c r="C4249" s="1">
        <v>42360</v>
      </c>
      <c r="D4249" s="1">
        <v>42361</v>
      </c>
      <c r="E4249" t="s">
        <v>185</v>
      </c>
      <c r="F4249" t="s">
        <v>3326</v>
      </c>
      <c r="G4249" t="s">
        <v>3327</v>
      </c>
      <c r="H4249" t="s">
        <v>40</v>
      </c>
      <c r="I4249" t="s">
        <v>26</v>
      </c>
      <c r="J4249" t="s">
        <v>143</v>
      </c>
      <c r="K4249" t="s">
        <v>144</v>
      </c>
      <c r="L4249">
        <v>19140</v>
      </c>
      <c r="M4249" t="s">
        <v>145</v>
      </c>
      <c r="N4249" t="s">
        <v>4804</v>
      </c>
      <c r="O4249" t="s">
        <v>45</v>
      </c>
      <c r="P4249" t="s">
        <v>58</v>
      </c>
      <c r="Q4249" t="s">
        <v>4805</v>
      </c>
      <c r="R4249">
        <v>33.567999999999998</v>
      </c>
      <c r="S4249">
        <v>2</v>
      </c>
      <c r="T4249">
        <v>0.2</v>
      </c>
      <c r="U4249">
        <v>1.6783999999999999</v>
      </c>
      <c r="V4249" t="str">
        <f t="shared" si="66"/>
        <v>Harold Ryan</v>
      </c>
      <c r="W4249">
        <f>Table2[Profit]/Table2[Sales]</f>
        <v>0.05</v>
      </c>
    </row>
    <row r="4250" spans="1:23" x14ac:dyDescent="0.25">
      <c r="A4250">
        <v>4249</v>
      </c>
      <c r="B4250" t="s">
        <v>9856</v>
      </c>
      <c r="C4250" s="1">
        <v>41857</v>
      </c>
      <c r="D4250" s="1">
        <v>41862</v>
      </c>
      <c r="E4250" t="s">
        <v>49</v>
      </c>
      <c r="F4250" t="s">
        <v>4956</v>
      </c>
      <c r="G4250" t="s">
        <v>4957</v>
      </c>
      <c r="H4250" t="s">
        <v>25</v>
      </c>
      <c r="I4250" t="s">
        <v>26</v>
      </c>
      <c r="J4250" t="s">
        <v>263</v>
      </c>
      <c r="K4250" t="s">
        <v>264</v>
      </c>
      <c r="L4250">
        <v>10035</v>
      </c>
      <c r="M4250" t="s">
        <v>145</v>
      </c>
      <c r="N4250" t="s">
        <v>1572</v>
      </c>
      <c r="O4250" t="s">
        <v>70</v>
      </c>
      <c r="P4250" t="s">
        <v>158</v>
      </c>
      <c r="Q4250" t="s">
        <v>1573</v>
      </c>
      <c r="R4250">
        <v>199.98</v>
      </c>
      <c r="S4250">
        <v>2</v>
      </c>
      <c r="T4250">
        <v>0</v>
      </c>
      <c r="U4250">
        <v>83.991600000000005</v>
      </c>
      <c r="V4250" t="str">
        <f t="shared" si="66"/>
        <v>Trudy Brown</v>
      </c>
      <c r="W4250">
        <f>Table2[Profit]/Table2[Sales]</f>
        <v>0.42000000000000004</v>
      </c>
    </row>
    <row r="4251" spans="1:23" x14ac:dyDescent="0.25">
      <c r="A4251">
        <v>4250</v>
      </c>
      <c r="B4251" t="s">
        <v>9857</v>
      </c>
      <c r="C4251" s="1">
        <v>42456</v>
      </c>
      <c r="D4251" s="1">
        <v>42460</v>
      </c>
      <c r="E4251" t="s">
        <v>49</v>
      </c>
      <c r="F4251" t="s">
        <v>871</v>
      </c>
      <c r="G4251" t="s">
        <v>872</v>
      </c>
      <c r="H4251" t="s">
        <v>40</v>
      </c>
      <c r="I4251" t="s">
        <v>26</v>
      </c>
      <c r="J4251" t="s">
        <v>490</v>
      </c>
      <c r="K4251" t="s">
        <v>1260</v>
      </c>
      <c r="L4251">
        <v>31907</v>
      </c>
      <c r="M4251" t="s">
        <v>29</v>
      </c>
      <c r="N4251" t="s">
        <v>7258</v>
      </c>
      <c r="O4251" t="s">
        <v>31</v>
      </c>
      <c r="P4251" t="s">
        <v>64</v>
      </c>
      <c r="Q4251" t="s">
        <v>7259</v>
      </c>
      <c r="R4251">
        <v>20.239999999999998</v>
      </c>
      <c r="S4251">
        <v>1</v>
      </c>
      <c r="T4251">
        <v>0</v>
      </c>
      <c r="U4251">
        <v>8.7032000000000007</v>
      </c>
      <c r="V4251" t="str">
        <f t="shared" si="66"/>
        <v>David Smith</v>
      </c>
      <c r="W4251">
        <f>Table2[Profit]/Table2[Sales]</f>
        <v>0.43000000000000005</v>
      </c>
    </row>
    <row r="4252" spans="1:23" x14ac:dyDescent="0.25">
      <c r="A4252">
        <v>4251</v>
      </c>
      <c r="B4252" t="s">
        <v>9858</v>
      </c>
      <c r="C4252" s="1">
        <v>42343</v>
      </c>
      <c r="D4252" s="1">
        <v>42348</v>
      </c>
      <c r="E4252" t="s">
        <v>49</v>
      </c>
      <c r="F4252" t="s">
        <v>2724</v>
      </c>
      <c r="G4252" t="s">
        <v>2725</v>
      </c>
      <c r="H4252" t="s">
        <v>40</v>
      </c>
      <c r="I4252" t="s">
        <v>26</v>
      </c>
      <c r="J4252" t="s">
        <v>41</v>
      </c>
      <c r="K4252" t="s">
        <v>42</v>
      </c>
      <c r="L4252">
        <v>90049</v>
      </c>
      <c r="M4252" t="s">
        <v>43</v>
      </c>
      <c r="N4252" t="s">
        <v>837</v>
      </c>
      <c r="O4252" t="s">
        <v>70</v>
      </c>
      <c r="P4252" t="s">
        <v>158</v>
      </c>
      <c r="Q4252" t="s">
        <v>838</v>
      </c>
      <c r="R4252">
        <v>39</v>
      </c>
      <c r="S4252">
        <v>3</v>
      </c>
      <c r="T4252">
        <v>0</v>
      </c>
      <c r="U4252">
        <v>17.55</v>
      </c>
      <c r="V4252" t="str">
        <f t="shared" si="66"/>
        <v>George Bell</v>
      </c>
      <c r="W4252">
        <f>Table2[Profit]/Table2[Sales]</f>
        <v>0.45</v>
      </c>
    </row>
    <row r="4253" spans="1:23" x14ac:dyDescent="0.25">
      <c r="A4253">
        <v>4252</v>
      </c>
      <c r="B4253" t="s">
        <v>9859</v>
      </c>
      <c r="C4253" s="1">
        <v>42258</v>
      </c>
      <c r="D4253" s="1">
        <v>42259</v>
      </c>
      <c r="E4253" t="s">
        <v>185</v>
      </c>
      <c r="F4253" t="s">
        <v>2724</v>
      </c>
      <c r="G4253" t="s">
        <v>2725</v>
      </c>
      <c r="H4253" t="s">
        <v>40</v>
      </c>
      <c r="I4253" t="s">
        <v>26</v>
      </c>
      <c r="J4253" t="s">
        <v>449</v>
      </c>
      <c r="K4253" t="s">
        <v>450</v>
      </c>
      <c r="L4253">
        <v>80013</v>
      </c>
      <c r="M4253" t="s">
        <v>43</v>
      </c>
      <c r="N4253" t="s">
        <v>1692</v>
      </c>
      <c r="O4253" t="s">
        <v>31</v>
      </c>
      <c r="P4253" t="s">
        <v>64</v>
      </c>
      <c r="Q4253" t="s">
        <v>1693</v>
      </c>
      <c r="R4253">
        <v>24.64</v>
      </c>
      <c r="S4253">
        <v>4</v>
      </c>
      <c r="T4253">
        <v>0.2</v>
      </c>
      <c r="U4253">
        <v>4.0039999999999996</v>
      </c>
      <c r="V4253" t="str">
        <f t="shared" si="66"/>
        <v>George Bell</v>
      </c>
      <c r="W4253">
        <f>Table2[Profit]/Table2[Sales]</f>
        <v>0.16249999999999998</v>
      </c>
    </row>
    <row r="4254" spans="1:23" x14ac:dyDescent="0.25">
      <c r="A4254">
        <v>4253</v>
      </c>
      <c r="B4254" t="s">
        <v>9860</v>
      </c>
      <c r="C4254" s="1">
        <v>42202</v>
      </c>
      <c r="D4254" s="1">
        <v>42209</v>
      </c>
      <c r="E4254" t="s">
        <v>49</v>
      </c>
      <c r="F4254" t="s">
        <v>1258</v>
      </c>
      <c r="G4254" t="s">
        <v>1259</v>
      </c>
      <c r="H4254" t="s">
        <v>40</v>
      </c>
      <c r="I4254" t="s">
        <v>26</v>
      </c>
      <c r="J4254" t="s">
        <v>181</v>
      </c>
      <c r="K4254" t="s">
        <v>103</v>
      </c>
      <c r="L4254">
        <v>77041</v>
      </c>
      <c r="M4254" t="s">
        <v>104</v>
      </c>
      <c r="N4254" t="s">
        <v>8820</v>
      </c>
      <c r="O4254" t="s">
        <v>45</v>
      </c>
      <c r="P4254" t="s">
        <v>46</v>
      </c>
      <c r="Q4254" t="s">
        <v>8821</v>
      </c>
      <c r="R4254">
        <v>6.2640000000000002</v>
      </c>
      <c r="S4254">
        <v>3</v>
      </c>
      <c r="T4254">
        <v>0.2</v>
      </c>
      <c r="U4254">
        <v>2.0358000000000001</v>
      </c>
      <c r="V4254" t="str">
        <f t="shared" si="66"/>
        <v>Victoria Brennan</v>
      </c>
      <c r="W4254">
        <f>Table2[Profit]/Table2[Sales]</f>
        <v>0.32500000000000001</v>
      </c>
    </row>
    <row r="4255" spans="1:23" x14ac:dyDescent="0.25">
      <c r="A4255">
        <v>4254</v>
      </c>
      <c r="B4255" t="s">
        <v>9861</v>
      </c>
      <c r="C4255" s="1">
        <v>41789</v>
      </c>
      <c r="D4255" s="1">
        <v>41793</v>
      </c>
      <c r="E4255" t="s">
        <v>49</v>
      </c>
      <c r="F4255" t="s">
        <v>3827</v>
      </c>
      <c r="G4255" t="s">
        <v>3828</v>
      </c>
      <c r="H4255" t="s">
        <v>40</v>
      </c>
      <c r="I4255" t="s">
        <v>26</v>
      </c>
      <c r="J4255" t="s">
        <v>296</v>
      </c>
      <c r="K4255" t="s">
        <v>208</v>
      </c>
      <c r="L4255">
        <v>60623</v>
      </c>
      <c r="M4255" t="s">
        <v>104</v>
      </c>
      <c r="N4255" t="s">
        <v>3248</v>
      </c>
      <c r="O4255" t="s">
        <v>70</v>
      </c>
      <c r="P4255" t="s">
        <v>1204</v>
      </c>
      <c r="Q4255" t="s">
        <v>3249</v>
      </c>
      <c r="R4255">
        <v>719.976</v>
      </c>
      <c r="S4255">
        <v>3</v>
      </c>
      <c r="T4255">
        <v>0.2</v>
      </c>
      <c r="U4255">
        <v>134.99549999999999</v>
      </c>
      <c r="V4255" t="str">
        <f t="shared" si="66"/>
        <v>Mark Cousins</v>
      </c>
      <c r="W4255">
        <f>Table2[Profit]/Table2[Sales]</f>
        <v>0.1875</v>
      </c>
    </row>
    <row r="4256" spans="1:23" x14ac:dyDescent="0.25">
      <c r="A4256">
        <v>4255</v>
      </c>
      <c r="B4256" t="s">
        <v>9862</v>
      </c>
      <c r="C4256" s="1">
        <v>43052</v>
      </c>
      <c r="D4256" s="1">
        <v>43059</v>
      </c>
      <c r="E4256" t="s">
        <v>49</v>
      </c>
      <c r="F4256" t="s">
        <v>770</v>
      </c>
      <c r="G4256" t="s">
        <v>771</v>
      </c>
      <c r="H4256" t="s">
        <v>25</v>
      </c>
      <c r="I4256" t="s">
        <v>26</v>
      </c>
      <c r="J4256" t="s">
        <v>350</v>
      </c>
      <c r="K4256" t="s">
        <v>351</v>
      </c>
      <c r="L4256">
        <v>35601</v>
      </c>
      <c r="M4256" t="s">
        <v>29</v>
      </c>
      <c r="N4256" t="s">
        <v>2702</v>
      </c>
      <c r="O4256" t="s">
        <v>70</v>
      </c>
      <c r="P4256" t="s">
        <v>158</v>
      </c>
      <c r="Q4256" t="s">
        <v>2703</v>
      </c>
      <c r="R4256">
        <v>239.92</v>
      </c>
      <c r="S4256">
        <v>8</v>
      </c>
      <c r="T4256">
        <v>0</v>
      </c>
      <c r="U4256">
        <v>23.992000000000001</v>
      </c>
      <c r="V4256" t="str">
        <f t="shared" si="66"/>
        <v>Cassandra Brandow</v>
      </c>
      <c r="W4256">
        <f>Table2[Profit]/Table2[Sales]</f>
        <v>0.1</v>
      </c>
    </row>
    <row r="4257" spans="1:23" x14ac:dyDescent="0.25">
      <c r="A4257">
        <v>4256</v>
      </c>
      <c r="B4257" t="s">
        <v>9863</v>
      </c>
      <c r="C4257" s="1">
        <v>42713</v>
      </c>
      <c r="D4257" s="1">
        <v>42715</v>
      </c>
      <c r="E4257" t="s">
        <v>185</v>
      </c>
      <c r="F4257" t="s">
        <v>3283</v>
      </c>
      <c r="G4257" t="s">
        <v>3284</v>
      </c>
      <c r="H4257" t="s">
        <v>25</v>
      </c>
      <c r="I4257" t="s">
        <v>26</v>
      </c>
      <c r="J4257" t="s">
        <v>311</v>
      </c>
      <c r="K4257" t="s">
        <v>312</v>
      </c>
      <c r="L4257">
        <v>22153</v>
      </c>
      <c r="M4257" t="s">
        <v>29</v>
      </c>
      <c r="N4257" t="s">
        <v>3837</v>
      </c>
      <c r="O4257" t="s">
        <v>31</v>
      </c>
      <c r="P4257" t="s">
        <v>55</v>
      </c>
      <c r="Q4257" t="s">
        <v>3838</v>
      </c>
      <c r="R4257">
        <v>1056.8599999999999</v>
      </c>
      <c r="S4257">
        <v>7</v>
      </c>
      <c r="T4257">
        <v>0</v>
      </c>
      <c r="U4257">
        <v>158.529</v>
      </c>
      <c r="V4257" t="str">
        <f t="shared" si="66"/>
        <v>Paul MacIntyre</v>
      </c>
      <c r="W4257">
        <f>Table2[Profit]/Table2[Sales]</f>
        <v>0.15000000000000002</v>
      </c>
    </row>
    <row r="4258" spans="1:23" x14ac:dyDescent="0.25">
      <c r="A4258">
        <v>4257</v>
      </c>
      <c r="B4258" t="s">
        <v>9864</v>
      </c>
      <c r="C4258" s="1">
        <v>42085</v>
      </c>
      <c r="D4258" s="1">
        <v>42085</v>
      </c>
      <c r="E4258" t="s">
        <v>1278</v>
      </c>
      <c r="F4258" t="s">
        <v>2371</v>
      </c>
      <c r="G4258" t="s">
        <v>2372</v>
      </c>
      <c r="H4258" t="s">
        <v>25</v>
      </c>
      <c r="I4258" t="s">
        <v>26</v>
      </c>
      <c r="J4258" t="s">
        <v>6669</v>
      </c>
      <c r="K4258" t="s">
        <v>53</v>
      </c>
      <c r="L4258">
        <v>33317</v>
      </c>
      <c r="M4258" t="s">
        <v>29</v>
      </c>
      <c r="N4258" t="s">
        <v>1638</v>
      </c>
      <c r="O4258" t="s">
        <v>70</v>
      </c>
      <c r="P4258" t="s">
        <v>158</v>
      </c>
      <c r="Q4258" t="s">
        <v>1639</v>
      </c>
      <c r="R4258">
        <v>447.94400000000002</v>
      </c>
      <c r="S4258">
        <v>7</v>
      </c>
      <c r="T4258">
        <v>0.2</v>
      </c>
      <c r="U4258">
        <v>89.588800000000006</v>
      </c>
      <c r="V4258" t="str">
        <f t="shared" si="66"/>
        <v>Debra Catini</v>
      </c>
      <c r="W4258">
        <f>Table2[Profit]/Table2[Sales]</f>
        <v>0.2</v>
      </c>
    </row>
    <row r="4259" spans="1:23" x14ac:dyDescent="0.25">
      <c r="A4259">
        <v>4258</v>
      </c>
      <c r="B4259" t="s">
        <v>9865</v>
      </c>
      <c r="C4259" s="1">
        <v>42727</v>
      </c>
      <c r="D4259" s="1">
        <v>42730</v>
      </c>
      <c r="E4259" t="s">
        <v>22</v>
      </c>
      <c r="F4259" t="s">
        <v>1334</v>
      </c>
      <c r="G4259" t="s">
        <v>1335</v>
      </c>
      <c r="H4259" t="s">
        <v>40</v>
      </c>
      <c r="I4259" t="s">
        <v>26</v>
      </c>
      <c r="J4259" t="s">
        <v>181</v>
      </c>
      <c r="K4259" t="s">
        <v>103</v>
      </c>
      <c r="L4259">
        <v>77041</v>
      </c>
      <c r="M4259" t="s">
        <v>104</v>
      </c>
      <c r="N4259" t="s">
        <v>3318</v>
      </c>
      <c r="O4259" t="s">
        <v>70</v>
      </c>
      <c r="P4259" t="s">
        <v>71</v>
      </c>
      <c r="Q4259" t="s">
        <v>3319</v>
      </c>
      <c r="R4259">
        <v>453.57600000000002</v>
      </c>
      <c r="S4259">
        <v>3</v>
      </c>
      <c r="T4259">
        <v>0.2</v>
      </c>
      <c r="U4259">
        <v>39.687899999999999</v>
      </c>
      <c r="V4259" t="str">
        <f t="shared" si="66"/>
        <v>Laura Armstrong</v>
      </c>
      <c r="W4259">
        <f>Table2[Profit]/Table2[Sales]</f>
        <v>8.7499999999999994E-2</v>
      </c>
    </row>
    <row r="4260" spans="1:23" x14ac:dyDescent="0.25">
      <c r="A4260">
        <v>4259</v>
      </c>
      <c r="B4260" t="s">
        <v>9866</v>
      </c>
      <c r="C4260" s="1">
        <v>42462</v>
      </c>
      <c r="D4260" s="1">
        <v>42466</v>
      </c>
      <c r="E4260" t="s">
        <v>22</v>
      </c>
      <c r="F4260" t="s">
        <v>2062</v>
      </c>
      <c r="G4260" t="s">
        <v>2063</v>
      </c>
      <c r="H4260" t="s">
        <v>40</v>
      </c>
      <c r="I4260" t="s">
        <v>26</v>
      </c>
      <c r="J4260" t="s">
        <v>2517</v>
      </c>
      <c r="K4260" t="s">
        <v>113</v>
      </c>
      <c r="L4260">
        <v>53209</v>
      </c>
      <c r="M4260" t="s">
        <v>104</v>
      </c>
      <c r="N4260" t="s">
        <v>3863</v>
      </c>
      <c r="O4260" t="s">
        <v>31</v>
      </c>
      <c r="P4260" t="s">
        <v>35</v>
      </c>
      <c r="Q4260" t="s">
        <v>3864</v>
      </c>
      <c r="R4260">
        <v>1454.9</v>
      </c>
      <c r="S4260">
        <v>5</v>
      </c>
      <c r="T4260">
        <v>0</v>
      </c>
      <c r="U4260">
        <v>378.274</v>
      </c>
      <c r="V4260" t="str">
        <f t="shared" si="66"/>
        <v>Denny Joy</v>
      </c>
      <c r="W4260">
        <f>Table2[Profit]/Table2[Sales]</f>
        <v>0.26</v>
      </c>
    </row>
    <row r="4261" spans="1:23" x14ac:dyDescent="0.25">
      <c r="A4261">
        <v>4260</v>
      </c>
      <c r="B4261" t="s">
        <v>9867</v>
      </c>
      <c r="C4261" s="1">
        <v>42855</v>
      </c>
      <c r="D4261" s="1">
        <v>42859</v>
      </c>
      <c r="E4261" t="s">
        <v>49</v>
      </c>
      <c r="F4261" t="s">
        <v>3434</v>
      </c>
      <c r="G4261" t="s">
        <v>3435</v>
      </c>
      <c r="H4261" t="s">
        <v>101</v>
      </c>
      <c r="I4261" t="s">
        <v>26</v>
      </c>
      <c r="J4261" t="s">
        <v>9868</v>
      </c>
      <c r="K4261" t="s">
        <v>53</v>
      </c>
      <c r="L4261">
        <v>32771</v>
      </c>
      <c r="M4261" t="s">
        <v>29</v>
      </c>
      <c r="N4261" t="s">
        <v>3733</v>
      </c>
      <c r="O4261" t="s">
        <v>45</v>
      </c>
      <c r="P4261" t="s">
        <v>74</v>
      </c>
      <c r="Q4261" t="s">
        <v>3734</v>
      </c>
      <c r="R4261">
        <v>4.8419999999999996</v>
      </c>
      <c r="S4261">
        <v>3</v>
      </c>
      <c r="T4261">
        <v>0.7</v>
      </c>
      <c r="U4261">
        <v>-3.5508000000000002</v>
      </c>
      <c r="V4261" t="str">
        <f t="shared" si="66"/>
        <v>Mick Hernandez</v>
      </c>
      <c r="W4261">
        <f>Table2[Profit]/Table2[Sales]</f>
        <v>-0.73333333333333339</v>
      </c>
    </row>
    <row r="4262" spans="1:23" x14ac:dyDescent="0.25">
      <c r="A4262">
        <v>4261</v>
      </c>
      <c r="B4262" t="s">
        <v>9869</v>
      </c>
      <c r="C4262" s="1">
        <v>42691</v>
      </c>
      <c r="D4262" s="1">
        <v>42692</v>
      </c>
      <c r="E4262" t="s">
        <v>185</v>
      </c>
      <c r="F4262" t="s">
        <v>8161</v>
      </c>
      <c r="G4262" t="s">
        <v>8162</v>
      </c>
      <c r="H4262" t="s">
        <v>25</v>
      </c>
      <c r="I4262" t="s">
        <v>26</v>
      </c>
      <c r="J4262" t="s">
        <v>7223</v>
      </c>
      <c r="K4262" t="s">
        <v>103</v>
      </c>
      <c r="L4262">
        <v>75056</v>
      </c>
      <c r="M4262" t="s">
        <v>104</v>
      </c>
      <c r="N4262" t="s">
        <v>6132</v>
      </c>
      <c r="O4262" t="s">
        <v>70</v>
      </c>
      <c r="P4262" t="s">
        <v>71</v>
      </c>
      <c r="Q4262" t="s">
        <v>6133</v>
      </c>
      <c r="R4262">
        <v>67.176000000000002</v>
      </c>
      <c r="S4262">
        <v>3</v>
      </c>
      <c r="T4262">
        <v>0.2</v>
      </c>
      <c r="U4262">
        <v>6.7176</v>
      </c>
      <c r="V4262" t="str">
        <f t="shared" si="66"/>
        <v>Barry Gonzalez</v>
      </c>
      <c r="W4262">
        <f>Table2[Profit]/Table2[Sales]</f>
        <v>9.9999999999999992E-2</v>
      </c>
    </row>
    <row r="4263" spans="1:23" x14ac:dyDescent="0.25">
      <c r="A4263">
        <v>4262</v>
      </c>
      <c r="B4263" t="s">
        <v>9870</v>
      </c>
      <c r="C4263" s="1">
        <v>42684</v>
      </c>
      <c r="D4263" s="1">
        <v>42686</v>
      </c>
      <c r="E4263" t="s">
        <v>185</v>
      </c>
      <c r="F4263" t="s">
        <v>2272</v>
      </c>
      <c r="G4263" t="s">
        <v>2273</v>
      </c>
      <c r="H4263" t="s">
        <v>25</v>
      </c>
      <c r="I4263" t="s">
        <v>26</v>
      </c>
      <c r="J4263" t="s">
        <v>271</v>
      </c>
      <c r="K4263" t="s">
        <v>491</v>
      </c>
      <c r="L4263">
        <v>45373</v>
      </c>
      <c r="M4263" t="s">
        <v>145</v>
      </c>
      <c r="N4263" t="s">
        <v>5156</v>
      </c>
      <c r="O4263" t="s">
        <v>45</v>
      </c>
      <c r="P4263" t="s">
        <v>89</v>
      </c>
      <c r="Q4263" t="s">
        <v>5157</v>
      </c>
      <c r="R4263">
        <v>31.103999999999999</v>
      </c>
      <c r="S4263">
        <v>6</v>
      </c>
      <c r="T4263">
        <v>0.2</v>
      </c>
      <c r="U4263">
        <v>10.8864</v>
      </c>
      <c r="V4263" t="str">
        <f t="shared" si="66"/>
        <v>Seth Vernon</v>
      </c>
      <c r="W4263">
        <f>Table2[Profit]/Table2[Sales]</f>
        <v>0.35000000000000003</v>
      </c>
    </row>
    <row r="4264" spans="1:23" x14ac:dyDescent="0.25">
      <c r="A4264">
        <v>4263</v>
      </c>
      <c r="B4264" t="s">
        <v>9871</v>
      </c>
      <c r="C4264" s="1">
        <v>42710</v>
      </c>
      <c r="D4264" s="1">
        <v>42716</v>
      </c>
      <c r="E4264" t="s">
        <v>49</v>
      </c>
      <c r="F4264" t="s">
        <v>2601</v>
      </c>
      <c r="G4264" t="s">
        <v>2602</v>
      </c>
      <c r="H4264" t="s">
        <v>40</v>
      </c>
      <c r="I4264" t="s">
        <v>26</v>
      </c>
      <c r="J4264" t="s">
        <v>5971</v>
      </c>
      <c r="K4264" t="s">
        <v>264</v>
      </c>
      <c r="L4264">
        <v>11550</v>
      </c>
      <c r="M4264" t="s">
        <v>145</v>
      </c>
      <c r="N4264" t="s">
        <v>6831</v>
      </c>
      <c r="O4264" t="s">
        <v>45</v>
      </c>
      <c r="P4264" t="s">
        <v>74</v>
      </c>
      <c r="Q4264" t="s">
        <v>6832</v>
      </c>
      <c r="R4264">
        <v>968.74400000000003</v>
      </c>
      <c r="S4264">
        <v>7</v>
      </c>
      <c r="T4264">
        <v>0.2</v>
      </c>
      <c r="U4264">
        <v>314.84179999999998</v>
      </c>
      <c r="V4264" t="str">
        <f t="shared" si="66"/>
        <v>Dave Poirier</v>
      </c>
      <c r="W4264">
        <f>Table2[Profit]/Table2[Sales]</f>
        <v>0.32499999999999996</v>
      </c>
    </row>
    <row r="4265" spans="1:23" x14ac:dyDescent="0.25">
      <c r="A4265">
        <v>4264</v>
      </c>
      <c r="B4265" t="s">
        <v>9872</v>
      </c>
      <c r="C4265" s="1">
        <v>42463</v>
      </c>
      <c r="D4265" s="1">
        <v>42463</v>
      </c>
      <c r="E4265" t="s">
        <v>1278</v>
      </c>
      <c r="F4265" t="s">
        <v>2116</v>
      </c>
      <c r="G4265" t="s">
        <v>2117</v>
      </c>
      <c r="H4265" t="s">
        <v>101</v>
      </c>
      <c r="I4265" t="s">
        <v>26</v>
      </c>
      <c r="J4265" t="s">
        <v>808</v>
      </c>
      <c r="K4265" t="s">
        <v>103</v>
      </c>
      <c r="L4265">
        <v>75081</v>
      </c>
      <c r="M4265" t="s">
        <v>104</v>
      </c>
      <c r="N4265" t="s">
        <v>4371</v>
      </c>
      <c r="O4265" t="s">
        <v>45</v>
      </c>
      <c r="P4265" t="s">
        <v>89</v>
      </c>
      <c r="Q4265" t="s">
        <v>4372</v>
      </c>
      <c r="R4265">
        <v>10.272</v>
      </c>
      <c r="S4265">
        <v>3</v>
      </c>
      <c r="T4265">
        <v>0.2</v>
      </c>
      <c r="U4265">
        <v>3.21</v>
      </c>
      <c r="V4265" t="str">
        <f t="shared" si="66"/>
        <v>Steven Roelle</v>
      </c>
      <c r="W4265">
        <f>Table2[Profit]/Table2[Sales]</f>
        <v>0.3125</v>
      </c>
    </row>
    <row r="4266" spans="1:23" x14ac:dyDescent="0.25">
      <c r="A4266">
        <v>4265</v>
      </c>
      <c r="B4266" t="s">
        <v>9873</v>
      </c>
      <c r="C4266" s="1">
        <v>41971</v>
      </c>
      <c r="D4266" s="1">
        <v>41975</v>
      </c>
      <c r="E4266" t="s">
        <v>49</v>
      </c>
      <c r="F4266" t="s">
        <v>4464</v>
      </c>
      <c r="G4266" t="s">
        <v>4465</v>
      </c>
      <c r="H4266" t="s">
        <v>25</v>
      </c>
      <c r="I4266" t="s">
        <v>26</v>
      </c>
      <c r="J4266" t="s">
        <v>181</v>
      </c>
      <c r="K4266" t="s">
        <v>103</v>
      </c>
      <c r="L4266">
        <v>77041</v>
      </c>
      <c r="M4266" t="s">
        <v>104</v>
      </c>
      <c r="N4266" t="s">
        <v>4272</v>
      </c>
      <c r="O4266" t="s">
        <v>70</v>
      </c>
      <c r="P4266" t="s">
        <v>675</v>
      </c>
      <c r="Q4266" t="s">
        <v>4273</v>
      </c>
      <c r="R4266">
        <v>998.85</v>
      </c>
      <c r="S4266">
        <v>5</v>
      </c>
      <c r="T4266">
        <v>0.4</v>
      </c>
      <c r="U4266">
        <v>-199.77</v>
      </c>
      <c r="V4266" t="str">
        <f t="shared" si="66"/>
        <v>Brian Thompson</v>
      </c>
      <c r="W4266">
        <f>Table2[Profit]/Table2[Sales]</f>
        <v>-0.2</v>
      </c>
    </row>
    <row r="4267" spans="1:23" x14ac:dyDescent="0.25">
      <c r="A4267">
        <v>4266</v>
      </c>
      <c r="B4267" t="s">
        <v>9874</v>
      </c>
      <c r="C4267" s="1">
        <v>42297</v>
      </c>
      <c r="D4267" s="1">
        <v>42299</v>
      </c>
      <c r="E4267" t="s">
        <v>185</v>
      </c>
      <c r="F4267" t="s">
        <v>3903</v>
      </c>
      <c r="G4267" t="s">
        <v>3904</v>
      </c>
      <c r="H4267" t="s">
        <v>25</v>
      </c>
      <c r="I4267" t="s">
        <v>26</v>
      </c>
      <c r="J4267" t="s">
        <v>263</v>
      </c>
      <c r="K4267" t="s">
        <v>264</v>
      </c>
      <c r="L4267">
        <v>10035</v>
      </c>
      <c r="M4267" t="s">
        <v>145</v>
      </c>
      <c r="N4267" t="s">
        <v>182</v>
      </c>
      <c r="O4267" t="s">
        <v>45</v>
      </c>
      <c r="P4267" t="s">
        <v>89</v>
      </c>
      <c r="Q4267" t="s">
        <v>183</v>
      </c>
      <c r="R4267">
        <v>24.56</v>
      </c>
      <c r="S4267">
        <v>2</v>
      </c>
      <c r="T4267">
        <v>0</v>
      </c>
      <c r="U4267">
        <v>11.543200000000001</v>
      </c>
      <c r="V4267" t="str">
        <f t="shared" si="66"/>
        <v>Maxwell Schwartz</v>
      </c>
      <c r="W4267">
        <f>Table2[Profit]/Table2[Sales]</f>
        <v>0.47000000000000003</v>
      </c>
    </row>
    <row r="4268" spans="1:23" x14ac:dyDescent="0.25">
      <c r="A4268">
        <v>4267</v>
      </c>
      <c r="B4268" t="s">
        <v>9875</v>
      </c>
      <c r="C4268" s="1">
        <v>41901</v>
      </c>
      <c r="D4268" s="1">
        <v>41901</v>
      </c>
      <c r="E4268" t="s">
        <v>1278</v>
      </c>
      <c r="F4268" t="s">
        <v>714</v>
      </c>
      <c r="G4268" t="s">
        <v>715</v>
      </c>
      <c r="H4268" t="s">
        <v>101</v>
      </c>
      <c r="I4268" t="s">
        <v>26</v>
      </c>
      <c r="J4268" t="s">
        <v>126</v>
      </c>
      <c r="K4268" t="s">
        <v>42</v>
      </c>
      <c r="L4268">
        <v>94110</v>
      </c>
      <c r="M4268" t="s">
        <v>43</v>
      </c>
      <c r="N4268" t="s">
        <v>3719</v>
      </c>
      <c r="O4268" t="s">
        <v>45</v>
      </c>
      <c r="P4268" t="s">
        <v>266</v>
      </c>
      <c r="Q4268" t="s">
        <v>3720</v>
      </c>
      <c r="R4268">
        <v>5.67</v>
      </c>
      <c r="S4268">
        <v>3</v>
      </c>
      <c r="T4268">
        <v>0</v>
      </c>
      <c r="U4268">
        <v>0.1134</v>
      </c>
      <c r="V4268" t="str">
        <f t="shared" si="66"/>
        <v>Jim Kriz</v>
      </c>
      <c r="W4268">
        <f>Table2[Profit]/Table2[Sales]</f>
        <v>0.02</v>
      </c>
    </row>
    <row r="4269" spans="1:23" x14ac:dyDescent="0.25">
      <c r="A4269">
        <v>4268</v>
      </c>
      <c r="B4269" t="s">
        <v>9876</v>
      </c>
      <c r="C4269" s="1">
        <v>42974</v>
      </c>
      <c r="D4269" s="1">
        <v>42977</v>
      </c>
      <c r="E4269" t="s">
        <v>22</v>
      </c>
      <c r="F4269" t="s">
        <v>3790</v>
      </c>
      <c r="G4269" t="s">
        <v>3791</v>
      </c>
      <c r="H4269" t="s">
        <v>25</v>
      </c>
      <c r="I4269" t="s">
        <v>26</v>
      </c>
      <c r="J4269" t="s">
        <v>6694</v>
      </c>
      <c r="K4269" t="s">
        <v>53</v>
      </c>
      <c r="L4269">
        <v>34952</v>
      </c>
      <c r="M4269" t="s">
        <v>29</v>
      </c>
      <c r="N4269" t="s">
        <v>2171</v>
      </c>
      <c r="O4269" t="s">
        <v>45</v>
      </c>
      <c r="P4269" t="s">
        <v>77</v>
      </c>
      <c r="Q4269" t="s">
        <v>2172</v>
      </c>
      <c r="R4269">
        <v>14.336</v>
      </c>
      <c r="S4269">
        <v>4</v>
      </c>
      <c r="T4269">
        <v>0.2</v>
      </c>
      <c r="U4269">
        <v>0.89600000000000002</v>
      </c>
      <c r="V4269" t="str">
        <f t="shared" si="66"/>
        <v>Shui Tom</v>
      </c>
      <c r="W4269">
        <f>Table2[Profit]/Table2[Sales]</f>
        <v>6.25E-2</v>
      </c>
    </row>
    <row r="4270" spans="1:23" x14ac:dyDescent="0.25">
      <c r="A4270">
        <v>4269</v>
      </c>
      <c r="B4270" t="s">
        <v>9877</v>
      </c>
      <c r="C4270" s="1">
        <v>42919</v>
      </c>
      <c r="D4270" s="1">
        <v>42920</v>
      </c>
      <c r="E4270" t="s">
        <v>185</v>
      </c>
      <c r="F4270" t="s">
        <v>6379</v>
      </c>
      <c r="G4270" t="s">
        <v>6380</v>
      </c>
      <c r="H4270" t="s">
        <v>25</v>
      </c>
      <c r="I4270" t="s">
        <v>26</v>
      </c>
      <c r="J4270" t="s">
        <v>86</v>
      </c>
      <c r="K4270" t="s">
        <v>2658</v>
      </c>
      <c r="L4270">
        <v>3301</v>
      </c>
      <c r="M4270" t="s">
        <v>145</v>
      </c>
      <c r="N4270" t="s">
        <v>2865</v>
      </c>
      <c r="O4270" t="s">
        <v>31</v>
      </c>
      <c r="P4270" t="s">
        <v>64</v>
      </c>
      <c r="Q4270" t="s">
        <v>2866</v>
      </c>
      <c r="R4270">
        <v>102.3</v>
      </c>
      <c r="S4270">
        <v>1</v>
      </c>
      <c r="T4270">
        <v>0</v>
      </c>
      <c r="U4270">
        <v>26.597999999999999</v>
      </c>
      <c r="V4270" t="str">
        <f t="shared" si="66"/>
        <v>Tony Sayre</v>
      </c>
      <c r="W4270">
        <f>Table2[Profit]/Table2[Sales]</f>
        <v>0.26</v>
      </c>
    </row>
    <row r="4271" spans="1:23" x14ac:dyDescent="0.25">
      <c r="A4271">
        <v>4270</v>
      </c>
      <c r="B4271" t="s">
        <v>9878</v>
      </c>
      <c r="C4271" s="1">
        <v>43091</v>
      </c>
      <c r="D4271" s="1">
        <v>43095</v>
      </c>
      <c r="E4271" t="s">
        <v>49</v>
      </c>
      <c r="F4271" t="s">
        <v>4060</v>
      </c>
      <c r="G4271" t="s">
        <v>4061</v>
      </c>
      <c r="H4271" t="s">
        <v>25</v>
      </c>
      <c r="I4271" t="s">
        <v>26</v>
      </c>
      <c r="J4271" t="s">
        <v>382</v>
      </c>
      <c r="K4271" t="s">
        <v>226</v>
      </c>
      <c r="L4271">
        <v>55901</v>
      </c>
      <c r="M4271" t="s">
        <v>104</v>
      </c>
      <c r="N4271" t="s">
        <v>1315</v>
      </c>
      <c r="O4271" t="s">
        <v>31</v>
      </c>
      <c r="P4271" t="s">
        <v>55</v>
      </c>
      <c r="Q4271" t="s">
        <v>1316</v>
      </c>
      <c r="R4271">
        <v>607.52</v>
      </c>
      <c r="S4271">
        <v>2</v>
      </c>
      <c r="T4271">
        <v>0</v>
      </c>
      <c r="U4271">
        <v>97.203199999999995</v>
      </c>
      <c r="V4271" t="str">
        <f t="shared" si="66"/>
        <v>Charlotte Melton</v>
      </c>
      <c r="W4271">
        <f>Table2[Profit]/Table2[Sales]</f>
        <v>0.16</v>
      </c>
    </row>
    <row r="4272" spans="1:23" x14ac:dyDescent="0.25">
      <c r="A4272">
        <v>4271</v>
      </c>
      <c r="B4272" t="s">
        <v>9879</v>
      </c>
      <c r="C4272" s="1">
        <v>42731</v>
      </c>
      <c r="D4272" s="1">
        <v>42737</v>
      </c>
      <c r="E4272" t="s">
        <v>49</v>
      </c>
      <c r="F4272" t="s">
        <v>4368</v>
      </c>
      <c r="G4272" t="s">
        <v>4369</v>
      </c>
      <c r="H4272" t="s">
        <v>25</v>
      </c>
      <c r="I4272" t="s">
        <v>26</v>
      </c>
      <c r="J4272" t="s">
        <v>1459</v>
      </c>
      <c r="K4272" t="s">
        <v>28</v>
      </c>
      <c r="L4272">
        <v>40214</v>
      </c>
      <c r="M4272" t="s">
        <v>29</v>
      </c>
      <c r="N4272" t="s">
        <v>8820</v>
      </c>
      <c r="O4272" t="s">
        <v>45</v>
      </c>
      <c r="P4272" t="s">
        <v>46</v>
      </c>
      <c r="Q4272" t="s">
        <v>8821</v>
      </c>
      <c r="R4272">
        <v>2.61</v>
      </c>
      <c r="S4272">
        <v>1</v>
      </c>
      <c r="T4272">
        <v>0</v>
      </c>
      <c r="U4272">
        <v>1.2005999999999999</v>
      </c>
      <c r="V4272" t="str">
        <f t="shared" si="66"/>
        <v>Joni Wasserman</v>
      </c>
      <c r="W4272">
        <f>Table2[Profit]/Table2[Sales]</f>
        <v>0.45999999999999996</v>
      </c>
    </row>
    <row r="4273" spans="1:23" x14ac:dyDescent="0.25">
      <c r="A4273">
        <v>4272</v>
      </c>
      <c r="B4273" t="s">
        <v>9880</v>
      </c>
      <c r="C4273" s="1">
        <v>41779</v>
      </c>
      <c r="D4273" s="1">
        <v>41781</v>
      </c>
      <c r="E4273" t="s">
        <v>22</v>
      </c>
      <c r="F4273" t="s">
        <v>4821</v>
      </c>
      <c r="G4273" t="s">
        <v>4822</v>
      </c>
      <c r="H4273" t="s">
        <v>40</v>
      </c>
      <c r="I4273" t="s">
        <v>26</v>
      </c>
      <c r="J4273" t="s">
        <v>9881</v>
      </c>
      <c r="K4273" t="s">
        <v>103</v>
      </c>
      <c r="L4273">
        <v>78666</v>
      </c>
      <c r="M4273" t="s">
        <v>104</v>
      </c>
      <c r="N4273" t="s">
        <v>8600</v>
      </c>
      <c r="O4273" t="s">
        <v>31</v>
      </c>
      <c r="P4273" t="s">
        <v>64</v>
      </c>
      <c r="Q4273" t="s">
        <v>8601</v>
      </c>
      <c r="R4273">
        <v>10.332000000000001</v>
      </c>
      <c r="S4273">
        <v>3</v>
      </c>
      <c r="T4273">
        <v>0.6</v>
      </c>
      <c r="U4273">
        <v>-5.9409000000000001</v>
      </c>
      <c r="V4273" t="str">
        <f t="shared" si="66"/>
        <v>Matt Collister</v>
      </c>
      <c r="W4273">
        <f>Table2[Profit]/Table2[Sales]</f>
        <v>-0.57499999999999996</v>
      </c>
    </row>
    <row r="4274" spans="1:23" x14ac:dyDescent="0.25">
      <c r="A4274">
        <v>4273</v>
      </c>
      <c r="B4274" t="s">
        <v>9882</v>
      </c>
      <c r="C4274" s="1">
        <v>41674</v>
      </c>
      <c r="D4274" s="1">
        <v>41678</v>
      </c>
      <c r="E4274" t="s">
        <v>22</v>
      </c>
      <c r="F4274" t="s">
        <v>8517</v>
      </c>
      <c r="G4274" t="s">
        <v>8518</v>
      </c>
      <c r="H4274" t="s">
        <v>40</v>
      </c>
      <c r="I4274" t="s">
        <v>26</v>
      </c>
      <c r="J4274" t="s">
        <v>3274</v>
      </c>
      <c r="K4274" t="s">
        <v>42</v>
      </c>
      <c r="L4274">
        <v>92025</v>
      </c>
      <c r="M4274" t="s">
        <v>43</v>
      </c>
      <c r="N4274" t="s">
        <v>3188</v>
      </c>
      <c r="O4274" t="s">
        <v>45</v>
      </c>
      <c r="P4274" t="s">
        <v>74</v>
      </c>
      <c r="Q4274" t="s">
        <v>3189</v>
      </c>
      <c r="R4274">
        <v>17.248000000000001</v>
      </c>
      <c r="S4274">
        <v>2</v>
      </c>
      <c r="T4274">
        <v>0.2</v>
      </c>
      <c r="U4274">
        <v>6.0368000000000004</v>
      </c>
      <c r="V4274" t="str">
        <f t="shared" si="66"/>
        <v>Mark Haberlin</v>
      </c>
      <c r="W4274">
        <f>Table2[Profit]/Table2[Sales]</f>
        <v>0.35</v>
      </c>
    </row>
    <row r="4275" spans="1:23" x14ac:dyDescent="0.25">
      <c r="A4275">
        <v>4274</v>
      </c>
      <c r="B4275" t="s">
        <v>9883</v>
      </c>
      <c r="C4275" s="1">
        <v>43078</v>
      </c>
      <c r="D4275" s="1">
        <v>43084</v>
      </c>
      <c r="E4275" t="s">
        <v>49</v>
      </c>
      <c r="F4275" t="s">
        <v>7242</v>
      </c>
      <c r="G4275" t="s">
        <v>7243</v>
      </c>
      <c r="H4275" t="s">
        <v>25</v>
      </c>
      <c r="I4275" t="s">
        <v>26</v>
      </c>
      <c r="J4275" t="s">
        <v>143</v>
      </c>
      <c r="K4275" t="s">
        <v>144</v>
      </c>
      <c r="L4275">
        <v>19134</v>
      </c>
      <c r="M4275" t="s">
        <v>145</v>
      </c>
      <c r="N4275" t="s">
        <v>4229</v>
      </c>
      <c r="O4275" t="s">
        <v>45</v>
      </c>
      <c r="P4275" t="s">
        <v>74</v>
      </c>
      <c r="Q4275" t="s">
        <v>4230</v>
      </c>
      <c r="R4275">
        <v>11.087999999999999</v>
      </c>
      <c r="S4275">
        <v>7</v>
      </c>
      <c r="T4275">
        <v>0.7</v>
      </c>
      <c r="U4275">
        <v>-8.1311999999999998</v>
      </c>
      <c r="V4275" t="str">
        <f t="shared" si="66"/>
        <v>Roger Demir</v>
      </c>
      <c r="W4275">
        <f>Table2[Profit]/Table2[Sales]</f>
        <v>-0.73333333333333339</v>
      </c>
    </row>
    <row r="4276" spans="1:23" x14ac:dyDescent="0.25">
      <c r="A4276">
        <v>4275</v>
      </c>
      <c r="B4276" t="s">
        <v>9884</v>
      </c>
      <c r="C4276" s="1">
        <v>42927</v>
      </c>
      <c r="D4276" s="1">
        <v>42934</v>
      </c>
      <c r="E4276" t="s">
        <v>49</v>
      </c>
      <c r="F4276" t="s">
        <v>1781</v>
      </c>
      <c r="G4276" t="s">
        <v>1782</v>
      </c>
      <c r="H4276" t="s">
        <v>40</v>
      </c>
      <c r="I4276" t="s">
        <v>26</v>
      </c>
      <c r="J4276" t="s">
        <v>41</v>
      </c>
      <c r="K4276" t="s">
        <v>42</v>
      </c>
      <c r="L4276">
        <v>90049</v>
      </c>
      <c r="M4276" t="s">
        <v>43</v>
      </c>
      <c r="N4276" t="s">
        <v>900</v>
      </c>
      <c r="O4276" t="s">
        <v>70</v>
      </c>
      <c r="P4276" t="s">
        <v>158</v>
      </c>
      <c r="Q4276" t="s">
        <v>901</v>
      </c>
      <c r="R4276">
        <v>1287.45</v>
      </c>
      <c r="S4276">
        <v>5</v>
      </c>
      <c r="T4276">
        <v>0</v>
      </c>
      <c r="U4276">
        <v>244.6155</v>
      </c>
      <c r="V4276" t="str">
        <f t="shared" si="66"/>
        <v>Karen Bern</v>
      </c>
      <c r="W4276">
        <f>Table2[Profit]/Table2[Sales]</f>
        <v>0.19</v>
      </c>
    </row>
    <row r="4277" spans="1:23" x14ac:dyDescent="0.25">
      <c r="A4277">
        <v>4276</v>
      </c>
      <c r="B4277" t="s">
        <v>9885</v>
      </c>
      <c r="C4277" s="1">
        <v>42139</v>
      </c>
      <c r="D4277" s="1">
        <v>42146</v>
      </c>
      <c r="E4277" t="s">
        <v>49</v>
      </c>
      <c r="F4277" t="s">
        <v>6595</v>
      </c>
      <c r="G4277" t="s">
        <v>6596</v>
      </c>
      <c r="H4277" t="s">
        <v>40</v>
      </c>
      <c r="I4277" t="s">
        <v>26</v>
      </c>
      <c r="J4277" t="s">
        <v>143</v>
      </c>
      <c r="K4277" t="s">
        <v>144</v>
      </c>
      <c r="L4277">
        <v>19140</v>
      </c>
      <c r="M4277" t="s">
        <v>145</v>
      </c>
      <c r="N4277" t="s">
        <v>2184</v>
      </c>
      <c r="O4277" t="s">
        <v>45</v>
      </c>
      <c r="P4277" t="s">
        <v>58</v>
      </c>
      <c r="Q4277" t="s">
        <v>2185</v>
      </c>
      <c r="R4277">
        <v>51.968000000000004</v>
      </c>
      <c r="S4277">
        <v>2</v>
      </c>
      <c r="T4277">
        <v>0.2</v>
      </c>
      <c r="U4277">
        <v>-10.393599999999999</v>
      </c>
      <c r="V4277" t="str">
        <f t="shared" si="66"/>
        <v>Fred Chung</v>
      </c>
      <c r="W4277">
        <f>Table2[Profit]/Table2[Sales]</f>
        <v>-0.19999999999999998</v>
      </c>
    </row>
    <row r="4278" spans="1:23" x14ac:dyDescent="0.25">
      <c r="A4278">
        <v>4277</v>
      </c>
      <c r="B4278" t="s">
        <v>9886</v>
      </c>
      <c r="C4278" s="1">
        <v>42764</v>
      </c>
      <c r="D4278" s="1">
        <v>42767</v>
      </c>
      <c r="E4278" t="s">
        <v>185</v>
      </c>
      <c r="F4278" t="s">
        <v>3481</v>
      </c>
      <c r="G4278" t="s">
        <v>3482</v>
      </c>
      <c r="H4278" t="s">
        <v>25</v>
      </c>
      <c r="I4278" t="s">
        <v>26</v>
      </c>
      <c r="J4278" t="s">
        <v>143</v>
      </c>
      <c r="K4278" t="s">
        <v>144</v>
      </c>
      <c r="L4278">
        <v>19120</v>
      </c>
      <c r="M4278" t="s">
        <v>145</v>
      </c>
      <c r="N4278" t="s">
        <v>359</v>
      </c>
      <c r="O4278" t="s">
        <v>45</v>
      </c>
      <c r="P4278" t="s">
        <v>67</v>
      </c>
      <c r="Q4278" t="s">
        <v>360</v>
      </c>
      <c r="R4278">
        <v>4.7679999999999998</v>
      </c>
      <c r="S4278">
        <v>2</v>
      </c>
      <c r="T4278">
        <v>0.2</v>
      </c>
      <c r="U4278">
        <v>0.4768</v>
      </c>
      <c r="V4278" t="str">
        <f t="shared" si="66"/>
        <v>Bryan Davis</v>
      </c>
      <c r="W4278">
        <f>Table2[Profit]/Table2[Sales]</f>
        <v>0.1</v>
      </c>
    </row>
    <row r="4279" spans="1:23" x14ac:dyDescent="0.25">
      <c r="A4279">
        <v>4278</v>
      </c>
      <c r="B4279" t="s">
        <v>9887</v>
      </c>
      <c r="C4279" s="1">
        <v>43007</v>
      </c>
      <c r="D4279" s="1">
        <v>43009</v>
      </c>
      <c r="E4279" t="s">
        <v>185</v>
      </c>
      <c r="F4279" t="s">
        <v>785</v>
      </c>
      <c r="G4279" t="s">
        <v>786</v>
      </c>
      <c r="H4279" t="s">
        <v>40</v>
      </c>
      <c r="I4279" t="s">
        <v>26</v>
      </c>
      <c r="J4279" t="s">
        <v>5971</v>
      </c>
      <c r="K4279" t="s">
        <v>264</v>
      </c>
      <c r="L4279">
        <v>11550</v>
      </c>
      <c r="M4279" t="s">
        <v>145</v>
      </c>
      <c r="N4279" t="s">
        <v>6286</v>
      </c>
      <c r="O4279" t="s">
        <v>45</v>
      </c>
      <c r="P4279" t="s">
        <v>170</v>
      </c>
      <c r="Q4279" t="s">
        <v>6287</v>
      </c>
      <c r="R4279">
        <v>7.98</v>
      </c>
      <c r="S4279">
        <v>3</v>
      </c>
      <c r="T4279">
        <v>0</v>
      </c>
      <c r="U4279">
        <v>3.9102000000000001</v>
      </c>
      <c r="V4279" t="str">
        <f t="shared" si="66"/>
        <v>Fred Hopkins</v>
      </c>
      <c r="W4279">
        <f>Table2[Profit]/Table2[Sales]</f>
        <v>0.49</v>
      </c>
    </row>
    <row r="4280" spans="1:23" x14ac:dyDescent="0.25">
      <c r="A4280">
        <v>4279</v>
      </c>
      <c r="B4280" t="s">
        <v>9888</v>
      </c>
      <c r="C4280" s="1">
        <v>42848</v>
      </c>
      <c r="D4280" s="1">
        <v>42851</v>
      </c>
      <c r="E4280" t="s">
        <v>185</v>
      </c>
      <c r="F4280" t="s">
        <v>50</v>
      </c>
      <c r="G4280" t="s">
        <v>51</v>
      </c>
      <c r="H4280" t="s">
        <v>25</v>
      </c>
      <c r="I4280" t="s">
        <v>26</v>
      </c>
      <c r="J4280" t="s">
        <v>9889</v>
      </c>
      <c r="K4280" t="s">
        <v>450</v>
      </c>
      <c r="L4280">
        <v>80634</v>
      </c>
      <c r="M4280" t="s">
        <v>43</v>
      </c>
      <c r="N4280" t="s">
        <v>4045</v>
      </c>
      <c r="O4280" t="s">
        <v>45</v>
      </c>
      <c r="P4280" t="s">
        <v>170</v>
      </c>
      <c r="Q4280" t="s">
        <v>662</v>
      </c>
      <c r="R4280">
        <v>18.687999999999999</v>
      </c>
      <c r="S4280">
        <v>2</v>
      </c>
      <c r="T4280">
        <v>0.2</v>
      </c>
      <c r="U4280">
        <v>7.008</v>
      </c>
      <c r="V4280" t="str">
        <f t="shared" si="66"/>
        <v>Sean O'Donnell</v>
      </c>
      <c r="W4280">
        <f>Table2[Profit]/Table2[Sales]</f>
        <v>0.375</v>
      </c>
    </row>
    <row r="4281" spans="1:23" x14ac:dyDescent="0.25">
      <c r="A4281">
        <v>4280</v>
      </c>
      <c r="B4281" t="s">
        <v>9890</v>
      </c>
      <c r="C4281" s="1">
        <v>43048</v>
      </c>
      <c r="D4281" s="1">
        <v>43052</v>
      </c>
      <c r="E4281" t="s">
        <v>49</v>
      </c>
      <c r="F4281" t="s">
        <v>2681</v>
      </c>
      <c r="G4281" t="s">
        <v>2682</v>
      </c>
      <c r="H4281" t="s">
        <v>101</v>
      </c>
      <c r="I4281" t="s">
        <v>26</v>
      </c>
      <c r="J4281" t="s">
        <v>1507</v>
      </c>
      <c r="K4281" t="s">
        <v>53</v>
      </c>
      <c r="L4281">
        <v>32216</v>
      </c>
      <c r="M4281" t="s">
        <v>29</v>
      </c>
      <c r="N4281" t="s">
        <v>1638</v>
      </c>
      <c r="O4281" t="s">
        <v>70</v>
      </c>
      <c r="P4281" t="s">
        <v>158</v>
      </c>
      <c r="Q4281" t="s">
        <v>1639</v>
      </c>
      <c r="R4281">
        <v>191.976</v>
      </c>
      <c r="S4281">
        <v>3</v>
      </c>
      <c r="T4281">
        <v>0.2</v>
      </c>
      <c r="U4281">
        <v>38.395200000000003</v>
      </c>
      <c r="V4281" t="str">
        <f t="shared" si="66"/>
        <v>Peter McVee</v>
      </c>
      <c r="W4281">
        <f>Table2[Profit]/Table2[Sales]</f>
        <v>0.2</v>
      </c>
    </row>
    <row r="4282" spans="1:23" x14ac:dyDescent="0.25">
      <c r="A4282">
        <v>4281</v>
      </c>
      <c r="B4282" t="s">
        <v>9891</v>
      </c>
      <c r="C4282" s="1">
        <v>41764</v>
      </c>
      <c r="D4282" s="1">
        <v>41766</v>
      </c>
      <c r="E4282" t="s">
        <v>185</v>
      </c>
      <c r="F4282" t="s">
        <v>1998</v>
      </c>
      <c r="G4282" t="s">
        <v>1999</v>
      </c>
      <c r="H4282" t="s">
        <v>40</v>
      </c>
      <c r="I4282" t="s">
        <v>26</v>
      </c>
      <c r="J4282" t="s">
        <v>1119</v>
      </c>
      <c r="K4282" t="s">
        <v>312</v>
      </c>
      <c r="L4282">
        <v>22204</v>
      </c>
      <c r="M4282" t="s">
        <v>29</v>
      </c>
      <c r="N4282" t="s">
        <v>3799</v>
      </c>
      <c r="O4282" t="s">
        <v>45</v>
      </c>
      <c r="P4282" t="s">
        <v>74</v>
      </c>
      <c r="Q4282" t="s">
        <v>1202</v>
      </c>
      <c r="R4282">
        <v>11.88</v>
      </c>
      <c r="S4282">
        <v>2</v>
      </c>
      <c r="T4282">
        <v>0</v>
      </c>
      <c r="U4282">
        <v>5.3460000000000001</v>
      </c>
      <c r="V4282" t="str">
        <f t="shared" si="66"/>
        <v>Giulietta Dortch</v>
      </c>
      <c r="W4282">
        <f>Table2[Profit]/Table2[Sales]</f>
        <v>0.44999999999999996</v>
      </c>
    </row>
    <row r="4283" spans="1:23" x14ac:dyDescent="0.25">
      <c r="A4283">
        <v>4282</v>
      </c>
      <c r="B4283" t="s">
        <v>9892</v>
      </c>
      <c r="C4283" s="1">
        <v>42670</v>
      </c>
      <c r="D4283" s="1">
        <v>42674</v>
      </c>
      <c r="E4283" t="s">
        <v>49</v>
      </c>
      <c r="F4283" t="s">
        <v>468</v>
      </c>
      <c r="G4283" t="s">
        <v>469</v>
      </c>
      <c r="H4283" t="s">
        <v>101</v>
      </c>
      <c r="I4283" t="s">
        <v>26</v>
      </c>
      <c r="J4283" t="s">
        <v>126</v>
      </c>
      <c r="K4283" t="s">
        <v>42</v>
      </c>
      <c r="L4283">
        <v>94122</v>
      </c>
      <c r="M4283" t="s">
        <v>43</v>
      </c>
      <c r="N4283" t="s">
        <v>8672</v>
      </c>
      <c r="O4283" t="s">
        <v>45</v>
      </c>
      <c r="P4283" t="s">
        <v>74</v>
      </c>
      <c r="Q4283" t="s">
        <v>8673</v>
      </c>
      <c r="R4283">
        <v>67.135999999999996</v>
      </c>
      <c r="S4283">
        <v>4</v>
      </c>
      <c r="T4283">
        <v>0.2</v>
      </c>
      <c r="U4283">
        <v>25.175999999999998</v>
      </c>
      <c r="V4283" t="str">
        <f t="shared" si="66"/>
        <v>Pete Armstrong</v>
      </c>
      <c r="W4283">
        <f>Table2[Profit]/Table2[Sales]</f>
        <v>0.375</v>
      </c>
    </row>
    <row r="4284" spans="1:23" x14ac:dyDescent="0.25">
      <c r="A4284">
        <v>4283</v>
      </c>
      <c r="B4284" t="s">
        <v>9893</v>
      </c>
      <c r="C4284" s="1">
        <v>41969</v>
      </c>
      <c r="D4284" s="1">
        <v>41974</v>
      </c>
      <c r="E4284" t="s">
        <v>49</v>
      </c>
      <c r="F4284" t="s">
        <v>5468</v>
      </c>
      <c r="G4284" t="s">
        <v>5469</v>
      </c>
      <c r="H4284" t="s">
        <v>40</v>
      </c>
      <c r="I4284" t="s">
        <v>26</v>
      </c>
      <c r="J4284" t="s">
        <v>3419</v>
      </c>
      <c r="K4284" t="s">
        <v>42</v>
      </c>
      <c r="L4284">
        <v>93727</v>
      </c>
      <c r="M4284" t="s">
        <v>43</v>
      </c>
      <c r="N4284" t="s">
        <v>2894</v>
      </c>
      <c r="O4284" t="s">
        <v>45</v>
      </c>
      <c r="P4284" t="s">
        <v>74</v>
      </c>
      <c r="Q4284" t="s">
        <v>2895</v>
      </c>
      <c r="R4284">
        <v>4.32</v>
      </c>
      <c r="S4284">
        <v>3</v>
      </c>
      <c r="T4284">
        <v>0.2</v>
      </c>
      <c r="U4284">
        <v>1.512</v>
      </c>
      <c r="V4284" t="str">
        <f t="shared" si="66"/>
        <v>Luke Schmidt</v>
      </c>
      <c r="W4284">
        <f>Table2[Profit]/Table2[Sales]</f>
        <v>0.35</v>
      </c>
    </row>
    <row r="4285" spans="1:23" x14ac:dyDescent="0.25">
      <c r="A4285">
        <v>4284</v>
      </c>
      <c r="B4285" t="s">
        <v>9894</v>
      </c>
      <c r="C4285" s="1">
        <v>42004</v>
      </c>
      <c r="D4285" s="1">
        <v>42004</v>
      </c>
      <c r="E4285" t="s">
        <v>1278</v>
      </c>
      <c r="F4285" t="s">
        <v>2564</v>
      </c>
      <c r="G4285" t="s">
        <v>2565</v>
      </c>
      <c r="H4285" t="s">
        <v>101</v>
      </c>
      <c r="I4285" t="s">
        <v>26</v>
      </c>
      <c r="J4285" t="s">
        <v>3255</v>
      </c>
      <c r="K4285" t="s">
        <v>1381</v>
      </c>
      <c r="L4285">
        <v>89502</v>
      </c>
      <c r="M4285" t="s">
        <v>43</v>
      </c>
      <c r="N4285" t="s">
        <v>6199</v>
      </c>
      <c r="O4285" t="s">
        <v>70</v>
      </c>
      <c r="P4285" t="s">
        <v>71</v>
      </c>
      <c r="Q4285" t="s">
        <v>6200</v>
      </c>
      <c r="R4285">
        <v>475.94400000000002</v>
      </c>
      <c r="S4285">
        <v>7</v>
      </c>
      <c r="T4285">
        <v>0.2</v>
      </c>
      <c r="U4285">
        <v>59.493000000000002</v>
      </c>
      <c r="V4285" t="str">
        <f t="shared" si="66"/>
        <v>James Lanier</v>
      </c>
      <c r="W4285">
        <f>Table2[Profit]/Table2[Sales]</f>
        <v>0.125</v>
      </c>
    </row>
    <row r="4286" spans="1:23" x14ac:dyDescent="0.25">
      <c r="A4286">
        <v>4285</v>
      </c>
      <c r="B4286" t="s">
        <v>9895</v>
      </c>
      <c r="C4286" s="1">
        <v>42372</v>
      </c>
      <c r="D4286" s="1">
        <v>42377</v>
      </c>
      <c r="E4286" t="s">
        <v>49</v>
      </c>
      <c r="F4286" t="s">
        <v>997</v>
      </c>
      <c r="G4286" t="s">
        <v>998</v>
      </c>
      <c r="H4286" t="s">
        <v>40</v>
      </c>
      <c r="I4286" t="s">
        <v>26</v>
      </c>
      <c r="J4286" t="s">
        <v>671</v>
      </c>
      <c r="K4286" t="s">
        <v>103</v>
      </c>
      <c r="L4286">
        <v>78207</v>
      </c>
      <c r="M4286" t="s">
        <v>104</v>
      </c>
      <c r="N4286" t="s">
        <v>4717</v>
      </c>
      <c r="O4286" t="s">
        <v>70</v>
      </c>
      <c r="P4286" t="s">
        <v>158</v>
      </c>
      <c r="Q4286" t="s">
        <v>4718</v>
      </c>
      <c r="R4286">
        <v>30.08</v>
      </c>
      <c r="S4286">
        <v>2</v>
      </c>
      <c r="T4286">
        <v>0.2</v>
      </c>
      <c r="U4286">
        <v>-5.2640000000000002</v>
      </c>
      <c r="V4286" t="str">
        <f t="shared" si="66"/>
        <v>Christine Abelman</v>
      </c>
      <c r="W4286">
        <f>Table2[Profit]/Table2[Sales]</f>
        <v>-0.17500000000000002</v>
      </c>
    </row>
    <row r="4287" spans="1:23" x14ac:dyDescent="0.25">
      <c r="A4287">
        <v>4286</v>
      </c>
      <c r="B4287" t="s">
        <v>9896</v>
      </c>
      <c r="C4287" s="1">
        <v>42965</v>
      </c>
      <c r="D4287" s="1">
        <v>42969</v>
      </c>
      <c r="E4287" t="s">
        <v>49</v>
      </c>
      <c r="F4287" t="s">
        <v>3098</v>
      </c>
      <c r="G4287" t="s">
        <v>3099</v>
      </c>
      <c r="H4287" t="s">
        <v>25</v>
      </c>
      <c r="I4287" t="s">
        <v>26</v>
      </c>
      <c r="J4287" t="s">
        <v>3840</v>
      </c>
      <c r="K4287" t="s">
        <v>1233</v>
      </c>
      <c r="L4287">
        <v>2740</v>
      </c>
      <c r="M4287" t="s">
        <v>145</v>
      </c>
      <c r="N4287" t="s">
        <v>2173</v>
      </c>
      <c r="O4287" t="s">
        <v>70</v>
      </c>
      <c r="P4287" t="s">
        <v>158</v>
      </c>
      <c r="Q4287" t="s">
        <v>2174</v>
      </c>
      <c r="R4287">
        <v>23.18</v>
      </c>
      <c r="S4287">
        <v>2</v>
      </c>
      <c r="T4287">
        <v>0</v>
      </c>
      <c r="U4287">
        <v>7.6494</v>
      </c>
      <c r="V4287" t="str">
        <f t="shared" si="66"/>
        <v>Charles McCrossin</v>
      </c>
      <c r="W4287">
        <f>Table2[Profit]/Table2[Sales]</f>
        <v>0.33</v>
      </c>
    </row>
    <row r="4288" spans="1:23" x14ac:dyDescent="0.25">
      <c r="A4288">
        <v>4287</v>
      </c>
      <c r="B4288" t="s">
        <v>9897</v>
      </c>
      <c r="C4288" s="1">
        <v>41794</v>
      </c>
      <c r="D4288" s="1">
        <v>41799</v>
      </c>
      <c r="E4288" t="s">
        <v>49</v>
      </c>
      <c r="F4288" t="s">
        <v>5078</v>
      </c>
      <c r="G4288" t="s">
        <v>5079</v>
      </c>
      <c r="H4288" t="s">
        <v>25</v>
      </c>
      <c r="I4288" t="s">
        <v>26</v>
      </c>
      <c r="J4288" t="s">
        <v>263</v>
      </c>
      <c r="K4288" t="s">
        <v>264</v>
      </c>
      <c r="L4288">
        <v>10035</v>
      </c>
      <c r="M4288" t="s">
        <v>145</v>
      </c>
      <c r="N4288" t="s">
        <v>4489</v>
      </c>
      <c r="O4288" t="s">
        <v>31</v>
      </c>
      <c r="P4288" t="s">
        <v>64</v>
      </c>
      <c r="Q4288" t="s">
        <v>4490</v>
      </c>
      <c r="R4288">
        <v>56.96</v>
      </c>
      <c r="S4288">
        <v>2</v>
      </c>
      <c r="T4288">
        <v>0</v>
      </c>
      <c r="U4288">
        <v>21.075199999999999</v>
      </c>
      <c r="V4288" t="str">
        <f t="shared" si="66"/>
        <v>Bobby Trafton</v>
      </c>
      <c r="W4288">
        <f>Table2[Profit]/Table2[Sales]</f>
        <v>0.37</v>
      </c>
    </row>
    <row r="4289" spans="1:23" x14ac:dyDescent="0.25">
      <c r="A4289">
        <v>4288</v>
      </c>
      <c r="B4289" t="s">
        <v>9898</v>
      </c>
      <c r="C4289" s="1">
        <v>43052</v>
      </c>
      <c r="D4289" s="1">
        <v>43056</v>
      </c>
      <c r="E4289" t="s">
        <v>22</v>
      </c>
      <c r="F4289" t="s">
        <v>2775</v>
      </c>
      <c r="G4289" t="s">
        <v>2776</v>
      </c>
      <c r="H4289" t="s">
        <v>25</v>
      </c>
      <c r="I4289" t="s">
        <v>26</v>
      </c>
      <c r="J4289" t="s">
        <v>8609</v>
      </c>
      <c r="K4289" t="s">
        <v>42</v>
      </c>
      <c r="L4289">
        <v>93030</v>
      </c>
      <c r="M4289" t="s">
        <v>43</v>
      </c>
      <c r="N4289" t="s">
        <v>5425</v>
      </c>
      <c r="O4289" t="s">
        <v>70</v>
      </c>
      <c r="P4289" t="s">
        <v>158</v>
      </c>
      <c r="Q4289" t="s">
        <v>5426</v>
      </c>
      <c r="R4289">
        <v>82.95</v>
      </c>
      <c r="S4289">
        <v>5</v>
      </c>
      <c r="T4289">
        <v>0</v>
      </c>
      <c r="U4289">
        <v>29.032499999999999</v>
      </c>
      <c r="V4289" t="str">
        <f t="shared" si="66"/>
        <v>Sanjit Engle</v>
      </c>
      <c r="W4289">
        <f>Table2[Profit]/Table2[Sales]</f>
        <v>0.35</v>
      </c>
    </row>
    <row r="4290" spans="1:23" x14ac:dyDescent="0.25">
      <c r="A4290">
        <v>4289</v>
      </c>
      <c r="B4290" t="s">
        <v>9899</v>
      </c>
      <c r="C4290" s="1">
        <v>42397</v>
      </c>
      <c r="D4290" s="1">
        <v>42401</v>
      </c>
      <c r="E4290" t="s">
        <v>22</v>
      </c>
      <c r="F4290" t="s">
        <v>3559</v>
      </c>
      <c r="G4290" t="s">
        <v>3560</v>
      </c>
      <c r="H4290" t="s">
        <v>40</v>
      </c>
      <c r="I4290" t="s">
        <v>26</v>
      </c>
      <c r="J4290" t="s">
        <v>41</v>
      </c>
      <c r="K4290" t="s">
        <v>42</v>
      </c>
      <c r="L4290">
        <v>90036</v>
      </c>
      <c r="M4290" t="s">
        <v>43</v>
      </c>
      <c r="N4290" t="s">
        <v>1541</v>
      </c>
      <c r="O4290" t="s">
        <v>45</v>
      </c>
      <c r="P4290" t="s">
        <v>67</v>
      </c>
      <c r="Q4290" t="s">
        <v>1542</v>
      </c>
      <c r="R4290">
        <v>39.68</v>
      </c>
      <c r="S4290">
        <v>2</v>
      </c>
      <c r="T4290">
        <v>0</v>
      </c>
      <c r="U4290">
        <v>10.316800000000001</v>
      </c>
      <c r="V4290" t="str">
        <f t="shared" si="66"/>
        <v>Henry Goldwyn</v>
      </c>
      <c r="W4290">
        <f>Table2[Profit]/Table2[Sales]</f>
        <v>0.26</v>
      </c>
    </row>
    <row r="4291" spans="1:23" x14ac:dyDescent="0.25">
      <c r="A4291">
        <v>4290</v>
      </c>
      <c r="B4291" t="s">
        <v>9900</v>
      </c>
      <c r="C4291" s="1">
        <v>42683</v>
      </c>
      <c r="D4291" s="1">
        <v>42688</v>
      </c>
      <c r="E4291" t="s">
        <v>49</v>
      </c>
      <c r="F4291" t="s">
        <v>529</v>
      </c>
      <c r="G4291" t="s">
        <v>530</v>
      </c>
      <c r="H4291" t="s">
        <v>25</v>
      </c>
      <c r="I4291" t="s">
        <v>26</v>
      </c>
      <c r="J4291" t="s">
        <v>3145</v>
      </c>
      <c r="K4291" t="s">
        <v>42</v>
      </c>
      <c r="L4291">
        <v>94601</v>
      </c>
      <c r="M4291" t="s">
        <v>43</v>
      </c>
      <c r="N4291" t="s">
        <v>1066</v>
      </c>
      <c r="O4291" t="s">
        <v>70</v>
      </c>
      <c r="P4291" t="s">
        <v>158</v>
      </c>
      <c r="Q4291" t="s">
        <v>1067</v>
      </c>
      <c r="R4291">
        <v>479.97</v>
      </c>
      <c r="S4291">
        <v>3</v>
      </c>
      <c r="T4291">
        <v>0</v>
      </c>
      <c r="U4291">
        <v>177.5889</v>
      </c>
      <c r="V4291" t="str">
        <f t="shared" ref="V4291:V4354" si="67">TRIM(G4291)</f>
        <v>Philip Fox</v>
      </c>
      <c r="W4291">
        <f>Table2[Profit]/Table2[Sales]</f>
        <v>0.37</v>
      </c>
    </row>
    <row r="4292" spans="1:23" x14ac:dyDescent="0.25">
      <c r="A4292">
        <v>4291</v>
      </c>
      <c r="B4292" t="s">
        <v>9901</v>
      </c>
      <c r="C4292" s="1">
        <v>42623</v>
      </c>
      <c r="D4292" s="1">
        <v>42627</v>
      </c>
      <c r="E4292" t="s">
        <v>49</v>
      </c>
      <c r="F4292" t="s">
        <v>3481</v>
      </c>
      <c r="G4292" t="s">
        <v>3482</v>
      </c>
      <c r="H4292" t="s">
        <v>25</v>
      </c>
      <c r="I4292" t="s">
        <v>26</v>
      </c>
      <c r="J4292" t="s">
        <v>2503</v>
      </c>
      <c r="K4292" t="s">
        <v>95</v>
      </c>
      <c r="L4292">
        <v>98026</v>
      </c>
      <c r="M4292" t="s">
        <v>43</v>
      </c>
      <c r="N4292" t="s">
        <v>7208</v>
      </c>
      <c r="O4292" t="s">
        <v>45</v>
      </c>
      <c r="P4292" t="s">
        <v>46</v>
      </c>
      <c r="Q4292" t="s">
        <v>7209</v>
      </c>
      <c r="R4292">
        <v>7.38</v>
      </c>
      <c r="S4292">
        <v>2</v>
      </c>
      <c r="T4292">
        <v>0</v>
      </c>
      <c r="U4292">
        <v>3.4685999999999999</v>
      </c>
      <c r="V4292" t="str">
        <f t="shared" si="67"/>
        <v>Bryan Davis</v>
      </c>
      <c r="W4292">
        <f>Table2[Profit]/Table2[Sales]</f>
        <v>0.47</v>
      </c>
    </row>
    <row r="4293" spans="1:23" x14ac:dyDescent="0.25">
      <c r="A4293">
        <v>4292</v>
      </c>
      <c r="B4293" t="s">
        <v>9902</v>
      </c>
      <c r="C4293" s="1">
        <v>42797</v>
      </c>
      <c r="D4293" s="1">
        <v>42802</v>
      </c>
      <c r="E4293" t="s">
        <v>49</v>
      </c>
      <c r="F4293" t="s">
        <v>3131</v>
      </c>
      <c r="G4293" t="s">
        <v>3132</v>
      </c>
      <c r="H4293" t="s">
        <v>40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2765</v>
      </c>
      <c r="O4293" t="s">
        <v>31</v>
      </c>
      <c r="P4293" t="s">
        <v>55</v>
      </c>
      <c r="Q4293" t="s">
        <v>2766</v>
      </c>
      <c r="R4293">
        <v>399.67200000000003</v>
      </c>
      <c r="S4293">
        <v>7</v>
      </c>
      <c r="T4293">
        <v>0.2</v>
      </c>
      <c r="U4293">
        <v>-14.9877</v>
      </c>
      <c r="V4293" t="str">
        <f t="shared" si="67"/>
        <v>Bill Tyler</v>
      </c>
      <c r="W4293">
        <f>Table2[Profit]/Table2[Sales]</f>
        <v>-3.7499999999999999E-2</v>
      </c>
    </row>
    <row r="4294" spans="1:23" x14ac:dyDescent="0.25">
      <c r="A4294">
        <v>4293</v>
      </c>
      <c r="B4294" t="s">
        <v>9903</v>
      </c>
      <c r="C4294" s="1">
        <v>42986</v>
      </c>
      <c r="D4294" s="1">
        <v>42991</v>
      </c>
      <c r="E4294" t="s">
        <v>22</v>
      </c>
      <c r="F4294" t="s">
        <v>2577</v>
      </c>
      <c r="G4294" t="s">
        <v>2578</v>
      </c>
      <c r="H4294" t="s">
        <v>40</v>
      </c>
      <c r="I4294" t="s">
        <v>26</v>
      </c>
      <c r="J4294" t="s">
        <v>263</v>
      </c>
      <c r="K4294" t="s">
        <v>264</v>
      </c>
      <c r="L4294">
        <v>10024</v>
      </c>
      <c r="M4294" t="s">
        <v>145</v>
      </c>
      <c r="N4294" t="s">
        <v>6682</v>
      </c>
      <c r="O4294" t="s">
        <v>45</v>
      </c>
      <c r="P4294" t="s">
        <v>58</v>
      </c>
      <c r="Q4294" t="s">
        <v>6683</v>
      </c>
      <c r="R4294">
        <v>65.12</v>
      </c>
      <c r="S4294">
        <v>4</v>
      </c>
      <c r="T4294">
        <v>0</v>
      </c>
      <c r="U4294">
        <v>16.9312</v>
      </c>
      <c r="V4294" t="str">
        <f t="shared" si="67"/>
        <v>Eudokia Martin</v>
      </c>
      <c r="W4294">
        <f>Table2[Profit]/Table2[Sales]</f>
        <v>0.26</v>
      </c>
    </row>
    <row r="4295" spans="1:23" x14ac:dyDescent="0.25">
      <c r="A4295">
        <v>4294</v>
      </c>
      <c r="B4295" t="s">
        <v>9904</v>
      </c>
      <c r="C4295" s="1">
        <v>43045</v>
      </c>
      <c r="D4295" s="1">
        <v>43048</v>
      </c>
      <c r="E4295" t="s">
        <v>22</v>
      </c>
      <c r="F4295" t="s">
        <v>6420</v>
      </c>
      <c r="G4295" t="s">
        <v>6421</v>
      </c>
      <c r="H4295" t="s">
        <v>25</v>
      </c>
      <c r="I4295" t="s">
        <v>26</v>
      </c>
      <c r="J4295" t="s">
        <v>808</v>
      </c>
      <c r="K4295" t="s">
        <v>103</v>
      </c>
      <c r="L4295">
        <v>75217</v>
      </c>
      <c r="M4295" t="s">
        <v>104</v>
      </c>
      <c r="N4295" t="s">
        <v>2592</v>
      </c>
      <c r="O4295" t="s">
        <v>31</v>
      </c>
      <c r="P4295" t="s">
        <v>64</v>
      </c>
      <c r="Q4295" t="s">
        <v>2593</v>
      </c>
      <c r="R4295">
        <v>30.56</v>
      </c>
      <c r="S4295">
        <v>5</v>
      </c>
      <c r="T4295">
        <v>0.6</v>
      </c>
      <c r="U4295">
        <v>-19.864000000000001</v>
      </c>
      <c r="V4295" t="str">
        <f t="shared" si="67"/>
        <v>Liz Carlisle</v>
      </c>
      <c r="W4295">
        <f>Table2[Profit]/Table2[Sales]</f>
        <v>-0.65</v>
      </c>
    </row>
    <row r="4296" spans="1:23" x14ac:dyDescent="0.25">
      <c r="A4296">
        <v>4295</v>
      </c>
      <c r="B4296" t="s">
        <v>9905</v>
      </c>
      <c r="C4296" s="1">
        <v>42868</v>
      </c>
      <c r="D4296" s="1">
        <v>42873</v>
      </c>
      <c r="E4296" t="s">
        <v>49</v>
      </c>
      <c r="F4296" t="s">
        <v>3227</v>
      </c>
      <c r="G4296" t="s">
        <v>3228</v>
      </c>
      <c r="H4296" t="s">
        <v>40</v>
      </c>
      <c r="I4296" t="s">
        <v>26</v>
      </c>
      <c r="J4296" t="s">
        <v>606</v>
      </c>
      <c r="K4296" t="s">
        <v>328</v>
      </c>
      <c r="L4296">
        <v>37064</v>
      </c>
      <c r="M4296" t="s">
        <v>29</v>
      </c>
      <c r="N4296" t="s">
        <v>430</v>
      </c>
      <c r="O4296" t="s">
        <v>45</v>
      </c>
      <c r="P4296" t="s">
        <v>77</v>
      </c>
      <c r="Q4296" t="s">
        <v>431</v>
      </c>
      <c r="R4296">
        <v>20.768000000000001</v>
      </c>
      <c r="S4296">
        <v>2</v>
      </c>
      <c r="T4296">
        <v>0.2</v>
      </c>
      <c r="U4296">
        <v>2.3363999999999998</v>
      </c>
      <c r="V4296" t="str">
        <f t="shared" si="67"/>
        <v>Frank Hawley</v>
      </c>
      <c r="W4296">
        <f>Table2[Profit]/Table2[Sales]</f>
        <v>0.11249999999999999</v>
      </c>
    </row>
    <row r="4297" spans="1:23" x14ac:dyDescent="0.25">
      <c r="A4297">
        <v>4296</v>
      </c>
      <c r="B4297" t="s">
        <v>9906</v>
      </c>
      <c r="C4297" s="1">
        <v>42701</v>
      </c>
      <c r="D4297" s="1">
        <v>42705</v>
      </c>
      <c r="E4297" t="s">
        <v>49</v>
      </c>
      <c r="F4297" t="s">
        <v>5561</v>
      </c>
      <c r="G4297" t="s">
        <v>5562</v>
      </c>
      <c r="H4297" t="s">
        <v>25</v>
      </c>
      <c r="I4297" t="s">
        <v>26</v>
      </c>
      <c r="J4297" t="s">
        <v>537</v>
      </c>
      <c r="K4297" t="s">
        <v>303</v>
      </c>
      <c r="L4297">
        <v>85023</v>
      </c>
      <c r="M4297" t="s">
        <v>43</v>
      </c>
      <c r="N4297" t="s">
        <v>1031</v>
      </c>
      <c r="O4297" t="s">
        <v>45</v>
      </c>
      <c r="P4297" t="s">
        <v>58</v>
      </c>
      <c r="Q4297" t="s">
        <v>1032</v>
      </c>
      <c r="R4297">
        <v>39.808</v>
      </c>
      <c r="S4297">
        <v>4</v>
      </c>
      <c r="T4297">
        <v>0.2</v>
      </c>
      <c r="U4297">
        <v>3.9807999999999999</v>
      </c>
      <c r="V4297" t="str">
        <f t="shared" si="67"/>
        <v>Chris McAfee</v>
      </c>
      <c r="W4297">
        <f>Table2[Profit]/Table2[Sales]</f>
        <v>9.9999999999999992E-2</v>
      </c>
    </row>
    <row r="4298" spans="1:23" x14ac:dyDescent="0.25">
      <c r="A4298">
        <v>4297</v>
      </c>
      <c r="B4298" t="s">
        <v>9907</v>
      </c>
      <c r="C4298" s="1">
        <v>42321</v>
      </c>
      <c r="D4298" s="1">
        <v>42326</v>
      </c>
      <c r="E4298" t="s">
        <v>49</v>
      </c>
      <c r="F4298" t="s">
        <v>2050</v>
      </c>
      <c r="G4298" t="s">
        <v>2051</v>
      </c>
      <c r="H4298" t="s">
        <v>25</v>
      </c>
      <c r="I4298" t="s">
        <v>26</v>
      </c>
      <c r="J4298" t="s">
        <v>1406</v>
      </c>
      <c r="K4298" t="s">
        <v>53</v>
      </c>
      <c r="L4298">
        <v>33178</v>
      </c>
      <c r="M4298" t="s">
        <v>29</v>
      </c>
      <c r="N4298" t="s">
        <v>4213</v>
      </c>
      <c r="O4298" t="s">
        <v>45</v>
      </c>
      <c r="P4298" t="s">
        <v>74</v>
      </c>
      <c r="Q4298" t="s">
        <v>4214</v>
      </c>
      <c r="R4298">
        <v>121.104</v>
      </c>
      <c r="S4298">
        <v>6</v>
      </c>
      <c r="T4298">
        <v>0.7</v>
      </c>
      <c r="U4298">
        <v>-100.92</v>
      </c>
      <c r="V4298" t="str">
        <f t="shared" si="67"/>
        <v>Fred McMath</v>
      </c>
      <c r="W4298">
        <f>Table2[Profit]/Table2[Sales]</f>
        <v>-0.83333333333333337</v>
      </c>
    </row>
    <row r="4299" spans="1:23" x14ac:dyDescent="0.25">
      <c r="A4299">
        <v>4298</v>
      </c>
      <c r="B4299" t="s">
        <v>9908</v>
      </c>
      <c r="C4299" s="1">
        <v>42346</v>
      </c>
      <c r="D4299" s="1">
        <v>42350</v>
      </c>
      <c r="E4299" t="s">
        <v>49</v>
      </c>
      <c r="F4299" t="s">
        <v>3559</v>
      </c>
      <c r="G4299" t="s">
        <v>3560</v>
      </c>
      <c r="H4299" t="s">
        <v>40</v>
      </c>
      <c r="I4299" t="s">
        <v>26</v>
      </c>
      <c r="J4299" t="s">
        <v>1073</v>
      </c>
      <c r="K4299" t="s">
        <v>450</v>
      </c>
      <c r="L4299">
        <v>80906</v>
      </c>
      <c r="M4299" t="s">
        <v>43</v>
      </c>
      <c r="N4299" t="s">
        <v>4792</v>
      </c>
      <c r="O4299" t="s">
        <v>45</v>
      </c>
      <c r="P4299" t="s">
        <v>89</v>
      </c>
      <c r="Q4299" t="s">
        <v>4793</v>
      </c>
      <c r="R4299">
        <v>15.696</v>
      </c>
      <c r="S4299">
        <v>3</v>
      </c>
      <c r="T4299">
        <v>0.2</v>
      </c>
      <c r="U4299">
        <v>5.1012000000000004</v>
      </c>
      <c r="V4299" t="str">
        <f t="shared" si="67"/>
        <v>Henry Goldwyn</v>
      </c>
      <c r="W4299">
        <f>Table2[Profit]/Table2[Sales]</f>
        <v>0.32500000000000001</v>
      </c>
    </row>
    <row r="4300" spans="1:23" x14ac:dyDescent="0.25">
      <c r="A4300">
        <v>4299</v>
      </c>
      <c r="B4300" t="s">
        <v>9909</v>
      </c>
      <c r="C4300" s="1">
        <v>42254</v>
      </c>
      <c r="D4300" s="1">
        <v>42259</v>
      </c>
      <c r="E4300" t="s">
        <v>49</v>
      </c>
      <c r="F4300" t="s">
        <v>1139</v>
      </c>
      <c r="G4300" t="s">
        <v>1140</v>
      </c>
      <c r="H4300" t="s">
        <v>40</v>
      </c>
      <c r="I4300" t="s">
        <v>26</v>
      </c>
      <c r="J4300" t="s">
        <v>263</v>
      </c>
      <c r="K4300" t="s">
        <v>264</v>
      </c>
      <c r="L4300">
        <v>10011</v>
      </c>
      <c r="M4300" t="s">
        <v>145</v>
      </c>
      <c r="N4300" t="s">
        <v>4914</v>
      </c>
      <c r="O4300" t="s">
        <v>45</v>
      </c>
      <c r="P4300" t="s">
        <v>58</v>
      </c>
      <c r="Q4300" t="s">
        <v>4915</v>
      </c>
      <c r="R4300">
        <v>70.260000000000005</v>
      </c>
      <c r="S4300">
        <v>3</v>
      </c>
      <c r="T4300">
        <v>0</v>
      </c>
      <c r="U4300">
        <v>18.970199999999998</v>
      </c>
      <c r="V4300" t="str">
        <f t="shared" si="67"/>
        <v>Andy Gerbode</v>
      </c>
      <c r="W4300">
        <f>Table2[Profit]/Table2[Sales]</f>
        <v>0.26999999999999996</v>
      </c>
    </row>
    <row r="4301" spans="1:23" x14ac:dyDescent="0.25">
      <c r="A4301">
        <v>4300</v>
      </c>
      <c r="B4301" t="s">
        <v>9910</v>
      </c>
      <c r="C4301" s="1">
        <v>42579</v>
      </c>
      <c r="D4301" s="1">
        <v>42580</v>
      </c>
      <c r="E4301" t="s">
        <v>185</v>
      </c>
      <c r="F4301" t="s">
        <v>1866</v>
      </c>
      <c r="G4301" t="s">
        <v>1867</v>
      </c>
      <c r="H4301" t="s">
        <v>25</v>
      </c>
      <c r="I4301" t="s">
        <v>26</v>
      </c>
      <c r="J4301" t="s">
        <v>7899</v>
      </c>
      <c r="K4301" t="s">
        <v>144</v>
      </c>
      <c r="L4301">
        <v>18018</v>
      </c>
      <c r="M4301" t="s">
        <v>145</v>
      </c>
      <c r="N4301" t="s">
        <v>2431</v>
      </c>
      <c r="O4301" t="s">
        <v>31</v>
      </c>
      <c r="P4301" t="s">
        <v>32</v>
      </c>
      <c r="Q4301" t="s">
        <v>2432</v>
      </c>
      <c r="R4301">
        <v>177.45</v>
      </c>
      <c r="S4301">
        <v>5</v>
      </c>
      <c r="T4301">
        <v>0.5</v>
      </c>
      <c r="U4301">
        <v>-78.078000000000003</v>
      </c>
      <c r="V4301" t="str">
        <f t="shared" si="67"/>
        <v>Olvera Toch</v>
      </c>
      <c r="W4301">
        <f>Table2[Profit]/Table2[Sales]</f>
        <v>-0.44000000000000006</v>
      </c>
    </row>
    <row r="4302" spans="1:23" x14ac:dyDescent="0.25">
      <c r="A4302">
        <v>4301</v>
      </c>
      <c r="B4302" t="s">
        <v>9911</v>
      </c>
      <c r="C4302" s="1">
        <v>42972</v>
      </c>
      <c r="D4302" s="1">
        <v>42976</v>
      </c>
      <c r="E4302" t="s">
        <v>49</v>
      </c>
      <c r="F4302" t="s">
        <v>2272</v>
      </c>
      <c r="G4302" t="s">
        <v>2273</v>
      </c>
      <c r="H4302" t="s">
        <v>25</v>
      </c>
      <c r="I4302" t="s">
        <v>26</v>
      </c>
      <c r="J4302" t="s">
        <v>143</v>
      </c>
      <c r="K4302" t="s">
        <v>144</v>
      </c>
      <c r="L4302">
        <v>19140</v>
      </c>
      <c r="M4302" t="s">
        <v>145</v>
      </c>
      <c r="N4302" t="s">
        <v>30</v>
      </c>
      <c r="O4302" t="s">
        <v>31</v>
      </c>
      <c r="P4302" t="s">
        <v>32</v>
      </c>
      <c r="Q4302" t="s">
        <v>33</v>
      </c>
      <c r="R4302">
        <v>130.97999999999999</v>
      </c>
      <c r="S4302">
        <v>2</v>
      </c>
      <c r="T4302">
        <v>0.5</v>
      </c>
      <c r="U4302">
        <v>-89.066400000000002</v>
      </c>
      <c r="V4302" t="str">
        <f t="shared" si="67"/>
        <v>Seth Vernon</v>
      </c>
      <c r="W4302">
        <f>Table2[Profit]/Table2[Sales]</f>
        <v>-0.68</v>
      </c>
    </row>
    <row r="4303" spans="1:23" x14ac:dyDescent="0.25">
      <c r="A4303">
        <v>4302</v>
      </c>
      <c r="B4303" t="s">
        <v>9912</v>
      </c>
      <c r="C4303" s="1">
        <v>41759</v>
      </c>
      <c r="D4303" s="1">
        <v>41761</v>
      </c>
      <c r="E4303" t="s">
        <v>185</v>
      </c>
      <c r="F4303" t="s">
        <v>5118</v>
      </c>
      <c r="G4303" t="s">
        <v>5119</v>
      </c>
      <c r="H4303" t="s">
        <v>25</v>
      </c>
      <c r="I4303" t="s">
        <v>26</v>
      </c>
      <c r="J4303" t="s">
        <v>1459</v>
      </c>
      <c r="K4303" t="s">
        <v>28</v>
      </c>
      <c r="L4303">
        <v>40214</v>
      </c>
      <c r="M4303" t="s">
        <v>29</v>
      </c>
      <c r="N4303" t="s">
        <v>8151</v>
      </c>
      <c r="O4303" t="s">
        <v>45</v>
      </c>
      <c r="P4303" t="s">
        <v>67</v>
      </c>
      <c r="Q4303" t="s">
        <v>8152</v>
      </c>
      <c r="R4303">
        <v>174.95</v>
      </c>
      <c r="S4303">
        <v>5</v>
      </c>
      <c r="T4303">
        <v>0</v>
      </c>
      <c r="U4303">
        <v>45.487000000000002</v>
      </c>
      <c r="V4303" t="str">
        <f t="shared" si="67"/>
        <v>Justin MacKendrick</v>
      </c>
      <c r="W4303">
        <f>Table2[Profit]/Table2[Sales]</f>
        <v>0.26</v>
      </c>
    </row>
    <row r="4304" spans="1:23" x14ac:dyDescent="0.25">
      <c r="A4304">
        <v>4303</v>
      </c>
      <c r="B4304" t="s">
        <v>9913</v>
      </c>
      <c r="C4304" s="1">
        <v>42852</v>
      </c>
      <c r="D4304" s="1">
        <v>42857</v>
      </c>
      <c r="E4304" t="s">
        <v>49</v>
      </c>
      <c r="F4304" t="s">
        <v>316</v>
      </c>
      <c r="G4304" t="s">
        <v>317</v>
      </c>
      <c r="H4304" t="s">
        <v>25</v>
      </c>
      <c r="I4304" t="s">
        <v>26</v>
      </c>
      <c r="J4304" t="s">
        <v>94</v>
      </c>
      <c r="K4304" t="s">
        <v>95</v>
      </c>
      <c r="L4304">
        <v>98105</v>
      </c>
      <c r="M4304" t="s">
        <v>43</v>
      </c>
      <c r="N4304" t="s">
        <v>291</v>
      </c>
      <c r="O4304" t="s">
        <v>31</v>
      </c>
      <c r="P4304" t="s">
        <v>64</v>
      </c>
      <c r="Q4304" t="s">
        <v>292</v>
      </c>
      <c r="R4304">
        <v>139.58000000000001</v>
      </c>
      <c r="S4304">
        <v>7</v>
      </c>
      <c r="T4304">
        <v>0</v>
      </c>
      <c r="U4304">
        <v>39.0824</v>
      </c>
      <c r="V4304" t="str">
        <f t="shared" si="67"/>
        <v>Henry MacAllister</v>
      </c>
      <c r="W4304">
        <f>Table2[Profit]/Table2[Sales]</f>
        <v>0.27999999999999997</v>
      </c>
    </row>
    <row r="4305" spans="1:23" x14ac:dyDescent="0.25">
      <c r="A4305">
        <v>4304</v>
      </c>
      <c r="B4305" t="s">
        <v>9914</v>
      </c>
      <c r="C4305" s="1">
        <v>42939</v>
      </c>
      <c r="D4305" s="1">
        <v>42940</v>
      </c>
      <c r="E4305" t="s">
        <v>185</v>
      </c>
      <c r="F4305" t="s">
        <v>1511</v>
      </c>
      <c r="G4305" t="s">
        <v>1512</v>
      </c>
      <c r="H4305" t="s">
        <v>101</v>
      </c>
      <c r="I4305" t="s">
        <v>26</v>
      </c>
      <c r="J4305" t="s">
        <v>4422</v>
      </c>
      <c r="K4305" t="s">
        <v>113</v>
      </c>
      <c r="L4305">
        <v>53142</v>
      </c>
      <c r="M4305" t="s">
        <v>104</v>
      </c>
      <c r="N4305" t="s">
        <v>4327</v>
      </c>
      <c r="O4305" t="s">
        <v>70</v>
      </c>
      <c r="P4305" t="s">
        <v>158</v>
      </c>
      <c r="Q4305" t="s">
        <v>4328</v>
      </c>
      <c r="R4305">
        <v>399.95</v>
      </c>
      <c r="S4305">
        <v>5</v>
      </c>
      <c r="T4305">
        <v>0</v>
      </c>
      <c r="U4305">
        <v>143.982</v>
      </c>
      <c r="V4305" t="str">
        <f t="shared" si="67"/>
        <v>Philisse Overcash</v>
      </c>
      <c r="W4305">
        <f>Table2[Profit]/Table2[Sales]</f>
        <v>0.36</v>
      </c>
    </row>
    <row r="4306" spans="1:23" x14ac:dyDescent="0.25">
      <c r="A4306">
        <v>4305</v>
      </c>
      <c r="B4306" t="s">
        <v>9915</v>
      </c>
      <c r="C4306" s="1">
        <v>41986</v>
      </c>
      <c r="D4306" s="1">
        <v>41988</v>
      </c>
      <c r="E4306" t="s">
        <v>22</v>
      </c>
      <c r="F4306" t="s">
        <v>1434</v>
      </c>
      <c r="G4306" t="s">
        <v>1435</v>
      </c>
      <c r="H4306" t="s">
        <v>40</v>
      </c>
      <c r="I4306" t="s">
        <v>26</v>
      </c>
      <c r="J4306" t="s">
        <v>27</v>
      </c>
      <c r="K4306" t="s">
        <v>28</v>
      </c>
      <c r="L4306">
        <v>42420</v>
      </c>
      <c r="M4306" t="s">
        <v>29</v>
      </c>
      <c r="N4306" t="s">
        <v>3518</v>
      </c>
      <c r="O4306" t="s">
        <v>45</v>
      </c>
      <c r="P4306" t="s">
        <v>74</v>
      </c>
      <c r="Q4306" t="s">
        <v>3519</v>
      </c>
      <c r="R4306">
        <v>12.39</v>
      </c>
      <c r="S4306">
        <v>3</v>
      </c>
      <c r="T4306">
        <v>0</v>
      </c>
      <c r="U4306">
        <v>5.8232999999999997</v>
      </c>
      <c r="V4306" t="str">
        <f t="shared" si="67"/>
        <v>Kimberly Carter</v>
      </c>
      <c r="W4306">
        <f>Table2[Profit]/Table2[Sales]</f>
        <v>0.47</v>
      </c>
    </row>
    <row r="4307" spans="1:23" x14ac:dyDescent="0.25">
      <c r="A4307">
        <v>4306</v>
      </c>
      <c r="B4307" t="s">
        <v>9916</v>
      </c>
      <c r="C4307" s="1">
        <v>42747</v>
      </c>
      <c r="D4307" s="1">
        <v>42751</v>
      </c>
      <c r="E4307" t="s">
        <v>49</v>
      </c>
      <c r="F4307" t="s">
        <v>903</v>
      </c>
      <c r="G4307" t="s">
        <v>904</v>
      </c>
      <c r="H4307" t="s">
        <v>40</v>
      </c>
      <c r="I4307" t="s">
        <v>26</v>
      </c>
      <c r="J4307" t="s">
        <v>808</v>
      </c>
      <c r="K4307" t="s">
        <v>103</v>
      </c>
      <c r="L4307">
        <v>75217</v>
      </c>
      <c r="M4307" t="s">
        <v>104</v>
      </c>
      <c r="N4307" t="s">
        <v>2655</v>
      </c>
      <c r="O4307" t="s">
        <v>45</v>
      </c>
      <c r="P4307" t="s">
        <v>74</v>
      </c>
      <c r="Q4307" t="s">
        <v>2656</v>
      </c>
      <c r="R4307">
        <v>760.98</v>
      </c>
      <c r="S4307">
        <v>5</v>
      </c>
      <c r="T4307">
        <v>0.8</v>
      </c>
      <c r="U4307">
        <v>-1141.47</v>
      </c>
      <c r="V4307" t="str">
        <f t="shared" si="67"/>
        <v>David Bremer</v>
      </c>
      <c r="W4307">
        <f>Table2[Profit]/Table2[Sales]</f>
        <v>-1.5</v>
      </c>
    </row>
    <row r="4308" spans="1:23" x14ac:dyDescent="0.25">
      <c r="A4308">
        <v>4307</v>
      </c>
      <c r="B4308" t="s">
        <v>9917</v>
      </c>
      <c r="C4308" s="1">
        <v>43071</v>
      </c>
      <c r="D4308" s="1">
        <v>43071</v>
      </c>
      <c r="E4308" t="s">
        <v>1278</v>
      </c>
      <c r="F4308" t="s">
        <v>5207</v>
      </c>
      <c r="G4308" t="s">
        <v>5208</v>
      </c>
      <c r="H4308" t="s">
        <v>25</v>
      </c>
      <c r="I4308" t="s">
        <v>26</v>
      </c>
      <c r="J4308" t="s">
        <v>1374</v>
      </c>
      <c r="K4308" t="s">
        <v>303</v>
      </c>
      <c r="L4308">
        <v>85345</v>
      </c>
      <c r="M4308" t="s">
        <v>43</v>
      </c>
      <c r="N4308" t="s">
        <v>1698</v>
      </c>
      <c r="O4308" t="s">
        <v>45</v>
      </c>
      <c r="P4308" t="s">
        <v>74</v>
      </c>
      <c r="Q4308" t="s">
        <v>1699</v>
      </c>
      <c r="R4308">
        <v>67.86</v>
      </c>
      <c r="S4308">
        <v>6</v>
      </c>
      <c r="T4308">
        <v>0.7</v>
      </c>
      <c r="U4308">
        <v>-45.24</v>
      </c>
      <c r="V4308" t="str">
        <f t="shared" si="67"/>
        <v>Susan Vittorini</v>
      </c>
      <c r="W4308">
        <f>Table2[Profit]/Table2[Sales]</f>
        <v>-0.66666666666666674</v>
      </c>
    </row>
    <row r="4309" spans="1:23" x14ac:dyDescent="0.25">
      <c r="A4309">
        <v>4308</v>
      </c>
      <c r="B4309" t="s">
        <v>9918</v>
      </c>
      <c r="C4309" s="1">
        <v>42316</v>
      </c>
      <c r="D4309" s="1">
        <v>42323</v>
      </c>
      <c r="E4309" t="s">
        <v>49</v>
      </c>
      <c r="F4309" t="s">
        <v>3044</v>
      </c>
      <c r="G4309" t="s">
        <v>3045</v>
      </c>
      <c r="H4309" t="s">
        <v>40</v>
      </c>
      <c r="I4309" t="s">
        <v>26</v>
      </c>
      <c r="J4309" t="s">
        <v>1507</v>
      </c>
      <c r="K4309" t="s">
        <v>87</v>
      </c>
      <c r="L4309">
        <v>28540</v>
      </c>
      <c r="M4309" t="s">
        <v>29</v>
      </c>
      <c r="N4309" t="s">
        <v>1162</v>
      </c>
      <c r="O4309" t="s">
        <v>45</v>
      </c>
      <c r="P4309" t="s">
        <v>266</v>
      </c>
      <c r="Q4309" t="s">
        <v>1163</v>
      </c>
      <c r="R4309">
        <v>31.504000000000001</v>
      </c>
      <c r="S4309">
        <v>11</v>
      </c>
      <c r="T4309">
        <v>0.2</v>
      </c>
      <c r="U4309">
        <v>11.814</v>
      </c>
      <c r="V4309" t="str">
        <f t="shared" si="67"/>
        <v>Noel Staavos</v>
      </c>
      <c r="W4309">
        <f>Table2[Profit]/Table2[Sales]</f>
        <v>0.375</v>
      </c>
    </row>
    <row r="4310" spans="1:23" x14ac:dyDescent="0.25">
      <c r="A4310">
        <v>4309</v>
      </c>
      <c r="B4310" t="s">
        <v>9919</v>
      </c>
      <c r="C4310" s="1">
        <v>42699</v>
      </c>
      <c r="D4310" s="1">
        <v>42703</v>
      </c>
      <c r="E4310" t="s">
        <v>49</v>
      </c>
      <c r="F4310" t="s">
        <v>6508</v>
      </c>
      <c r="G4310" t="s">
        <v>6509</v>
      </c>
      <c r="H4310" t="s">
        <v>25</v>
      </c>
      <c r="I4310" t="s">
        <v>26</v>
      </c>
      <c r="J4310" t="s">
        <v>41</v>
      </c>
      <c r="K4310" t="s">
        <v>42</v>
      </c>
      <c r="L4310">
        <v>90032</v>
      </c>
      <c r="M4310" t="s">
        <v>43</v>
      </c>
      <c r="N4310" t="s">
        <v>709</v>
      </c>
      <c r="O4310" t="s">
        <v>31</v>
      </c>
      <c r="P4310" t="s">
        <v>35</v>
      </c>
      <c r="Q4310" t="s">
        <v>710</v>
      </c>
      <c r="R4310">
        <v>194.352</v>
      </c>
      <c r="S4310">
        <v>3</v>
      </c>
      <c r="T4310">
        <v>0.2</v>
      </c>
      <c r="U4310">
        <v>19.435199999999998</v>
      </c>
      <c r="V4310" t="str">
        <f t="shared" si="67"/>
        <v>Mark Hamilton</v>
      </c>
      <c r="W4310">
        <f>Table2[Profit]/Table2[Sales]</f>
        <v>9.9999999999999992E-2</v>
      </c>
    </row>
    <row r="4311" spans="1:23" x14ac:dyDescent="0.25">
      <c r="A4311">
        <v>4310</v>
      </c>
      <c r="B4311" t="s">
        <v>9920</v>
      </c>
      <c r="C4311" s="1">
        <v>42343</v>
      </c>
      <c r="D4311" s="1">
        <v>42346</v>
      </c>
      <c r="E4311" t="s">
        <v>185</v>
      </c>
      <c r="F4311" t="s">
        <v>5675</v>
      </c>
      <c r="G4311" t="s">
        <v>5676</v>
      </c>
      <c r="H4311" t="s">
        <v>40</v>
      </c>
      <c r="I4311" t="s">
        <v>26</v>
      </c>
      <c r="J4311" t="s">
        <v>5545</v>
      </c>
      <c r="K4311" t="s">
        <v>328</v>
      </c>
      <c r="L4311">
        <v>37211</v>
      </c>
      <c r="M4311" t="s">
        <v>29</v>
      </c>
      <c r="N4311" t="s">
        <v>885</v>
      </c>
      <c r="O4311" t="s">
        <v>31</v>
      </c>
      <c r="P4311" t="s">
        <v>35</v>
      </c>
      <c r="Q4311" t="s">
        <v>886</v>
      </c>
      <c r="R4311">
        <v>97.424000000000007</v>
      </c>
      <c r="S4311">
        <v>2</v>
      </c>
      <c r="T4311">
        <v>0.2</v>
      </c>
      <c r="U4311">
        <v>10.9602</v>
      </c>
      <c r="V4311" t="str">
        <f t="shared" si="67"/>
        <v>Rick Reed</v>
      </c>
      <c r="W4311">
        <f>Table2[Profit]/Table2[Sales]</f>
        <v>0.1125</v>
      </c>
    </row>
    <row r="4312" spans="1:23" x14ac:dyDescent="0.25">
      <c r="A4312">
        <v>4311</v>
      </c>
      <c r="B4312" t="s">
        <v>9921</v>
      </c>
      <c r="C4312" s="1">
        <v>42580</v>
      </c>
      <c r="D4312" s="1">
        <v>42585</v>
      </c>
      <c r="E4312" t="s">
        <v>49</v>
      </c>
      <c r="F4312" t="s">
        <v>5782</v>
      </c>
      <c r="G4312" t="s">
        <v>5783</v>
      </c>
      <c r="H4312" t="s">
        <v>25</v>
      </c>
      <c r="I4312" t="s">
        <v>26</v>
      </c>
      <c r="J4312" t="s">
        <v>460</v>
      </c>
      <c r="K4312" t="s">
        <v>87</v>
      </c>
      <c r="L4312">
        <v>28205</v>
      </c>
      <c r="M4312" t="s">
        <v>29</v>
      </c>
      <c r="N4312" t="s">
        <v>2757</v>
      </c>
      <c r="O4312" t="s">
        <v>45</v>
      </c>
      <c r="P4312" t="s">
        <v>58</v>
      </c>
      <c r="Q4312" t="s">
        <v>2758</v>
      </c>
      <c r="R4312">
        <v>704.76</v>
      </c>
      <c r="S4312">
        <v>5</v>
      </c>
      <c r="T4312">
        <v>0.2</v>
      </c>
      <c r="U4312">
        <v>26.4285</v>
      </c>
      <c r="V4312" t="str">
        <f t="shared" si="67"/>
        <v>Ritsa Hightower</v>
      </c>
      <c r="W4312">
        <f>Table2[Profit]/Table2[Sales]</f>
        <v>3.7499999999999999E-2</v>
      </c>
    </row>
    <row r="4313" spans="1:23" x14ac:dyDescent="0.25">
      <c r="A4313">
        <v>4312</v>
      </c>
      <c r="B4313" t="s">
        <v>9922</v>
      </c>
      <c r="C4313" s="1">
        <v>41895</v>
      </c>
      <c r="D4313" s="1">
        <v>41895</v>
      </c>
      <c r="E4313" t="s">
        <v>1278</v>
      </c>
      <c r="F4313" t="s">
        <v>2146</v>
      </c>
      <c r="G4313" t="s">
        <v>2147</v>
      </c>
      <c r="H4313" t="s">
        <v>25</v>
      </c>
      <c r="I4313" t="s">
        <v>26</v>
      </c>
      <c r="J4313" t="s">
        <v>94</v>
      </c>
      <c r="K4313" t="s">
        <v>95</v>
      </c>
      <c r="L4313">
        <v>98103</v>
      </c>
      <c r="M4313" t="s">
        <v>43</v>
      </c>
      <c r="N4313" t="s">
        <v>7643</v>
      </c>
      <c r="O4313" t="s">
        <v>45</v>
      </c>
      <c r="P4313" t="s">
        <v>266</v>
      </c>
      <c r="Q4313" t="s">
        <v>7644</v>
      </c>
      <c r="R4313">
        <v>5.7</v>
      </c>
      <c r="S4313">
        <v>5</v>
      </c>
      <c r="T4313">
        <v>0</v>
      </c>
      <c r="U4313">
        <v>2.6789999999999998</v>
      </c>
      <c r="V4313" t="str">
        <f t="shared" si="67"/>
        <v>Resi Pölking</v>
      </c>
      <c r="W4313">
        <f>Table2[Profit]/Table2[Sales]</f>
        <v>0.47</v>
      </c>
    </row>
    <row r="4314" spans="1:23" x14ac:dyDescent="0.25">
      <c r="A4314">
        <v>4313</v>
      </c>
      <c r="B4314" t="s">
        <v>9923</v>
      </c>
      <c r="C4314" s="1">
        <v>42542</v>
      </c>
      <c r="D4314" s="1">
        <v>42546</v>
      </c>
      <c r="E4314" t="s">
        <v>49</v>
      </c>
      <c r="F4314" t="s">
        <v>336</v>
      </c>
      <c r="G4314" t="s">
        <v>337</v>
      </c>
      <c r="H4314" t="s">
        <v>40</v>
      </c>
      <c r="I4314" t="s">
        <v>26</v>
      </c>
      <c r="J4314" t="s">
        <v>296</v>
      </c>
      <c r="K4314" t="s">
        <v>208</v>
      </c>
      <c r="L4314">
        <v>60623</v>
      </c>
      <c r="M4314" t="s">
        <v>104</v>
      </c>
      <c r="N4314" t="s">
        <v>3116</v>
      </c>
      <c r="O4314" t="s">
        <v>45</v>
      </c>
      <c r="P4314" t="s">
        <v>74</v>
      </c>
      <c r="Q4314" t="s">
        <v>3117</v>
      </c>
      <c r="R4314">
        <v>0.83599999999999997</v>
      </c>
      <c r="S4314">
        <v>1</v>
      </c>
      <c r="T4314">
        <v>0.8</v>
      </c>
      <c r="U4314">
        <v>-1.3375999999999999</v>
      </c>
      <c r="V4314" t="str">
        <f t="shared" si="67"/>
        <v>Ken Brennan</v>
      </c>
      <c r="W4314">
        <f>Table2[Profit]/Table2[Sales]</f>
        <v>-1.5999999999999999</v>
      </c>
    </row>
    <row r="4315" spans="1:23" x14ac:dyDescent="0.25">
      <c r="A4315">
        <v>4314</v>
      </c>
      <c r="B4315" t="s">
        <v>9924</v>
      </c>
      <c r="C4315" s="1">
        <v>42616</v>
      </c>
      <c r="D4315" s="1">
        <v>42621</v>
      </c>
      <c r="E4315" t="s">
        <v>49</v>
      </c>
      <c r="F4315" t="s">
        <v>5068</v>
      </c>
      <c r="G4315" t="s">
        <v>5069</v>
      </c>
      <c r="H4315" t="s">
        <v>40</v>
      </c>
      <c r="I4315" t="s">
        <v>26</v>
      </c>
      <c r="J4315" t="s">
        <v>999</v>
      </c>
      <c r="K4315" t="s">
        <v>491</v>
      </c>
      <c r="L4315">
        <v>45231</v>
      </c>
      <c r="M4315" t="s">
        <v>145</v>
      </c>
      <c r="N4315" t="s">
        <v>5705</v>
      </c>
      <c r="O4315" t="s">
        <v>45</v>
      </c>
      <c r="P4315" t="s">
        <v>89</v>
      </c>
      <c r="Q4315" t="s">
        <v>5706</v>
      </c>
      <c r="R4315">
        <v>30.96</v>
      </c>
      <c r="S4315">
        <v>6</v>
      </c>
      <c r="T4315">
        <v>0.2</v>
      </c>
      <c r="U4315">
        <v>11.223000000000001</v>
      </c>
      <c r="V4315" t="str">
        <f t="shared" si="67"/>
        <v>Matt Hagelstein</v>
      </c>
      <c r="W4315">
        <f>Table2[Profit]/Table2[Sales]</f>
        <v>0.36249999999999999</v>
      </c>
    </row>
    <row r="4316" spans="1:23" x14ac:dyDescent="0.25">
      <c r="A4316">
        <v>4315</v>
      </c>
      <c r="B4316" t="s">
        <v>9925</v>
      </c>
      <c r="C4316" s="1">
        <v>43064</v>
      </c>
      <c r="D4316" s="1">
        <v>43069</v>
      </c>
      <c r="E4316" t="s">
        <v>49</v>
      </c>
      <c r="F4316" t="s">
        <v>4290</v>
      </c>
      <c r="G4316" t="s">
        <v>4291</v>
      </c>
      <c r="H4316" t="s">
        <v>25</v>
      </c>
      <c r="I4316" t="s">
        <v>26</v>
      </c>
      <c r="J4316" t="s">
        <v>52</v>
      </c>
      <c r="K4316" t="s">
        <v>53</v>
      </c>
      <c r="L4316">
        <v>33311</v>
      </c>
      <c r="M4316" t="s">
        <v>29</v>
      </c>
      <c r="N4316" t="s">
        <v>4320</v>
      </c>
      <c r="O4316" t="s">
        <v>31</v>
      </c>
      <c r="P4316" t="s">
        <v>32</v>
      </c>
      <c r="Q4316" t="s">
        <v>4321</v>
      </c>
      <c r="R4316">
        <v>723.92</v>
      </c>
      <c r="S4316">
        <v>5</v>
      </c>
      <c r="T4316">
        <v>0.2</v>
      </c>
      <c r="U4316">
        <v>-81.441000000000003</v>
      </c>
      <c r="V4316" t="str">
        <f t="shared" si="67"/>
        <v>Henia Zydlo</v>
      </c>
      <c r="W4316">
        <f>Table2[Profit]/Table2[Sales]</f>
        <v>-0.11250000000000002</v>
      </c>
    </row>
    <row r="4317" spans="1:23" x14ac:dyDescent="0.25">
      <c r="A4317">
        <v>4316</v>
      </c>
      <c r="B4317" t="s">
        <v>9926</v>
      </c>
      <c r="C4317" s="1">
        <v>42136</v>
      </c>
      <c r="D4317" s="1">
        <v>42141</v>
      </c>
      <c r="E4317" t="s">
        <v>49</v>
      </c>
      <c r="F4317" t="s">
        <v>4175</v>
      </c>
      <c r="G4317" t="s">
        <v>4176</v>
      </c>
      <c r="H4317" t="s">
        <v>25</v>
      </c>
      <c r="I4317" t="s">
        <v>26</v>
      </c>
      <c r="J4317" t="s">
        <v>181</v>
      </c>
      <c r="K4317" t="s">
        <v>103</v>
      </c>
      <c r="L4317">
        <v>77041</v>
      </c>
      <c r="M4317" t="s">
        <v>104</v>
      </c>
      <c r="N4317" t="s">
        <v>7231</v>
      </c>
      <c r="O4317" t="s">
        <v>31</v>
      </c>
      <c r="P4317" t="s">
        <v>64</v>
      </c>
      <c r="Q4317" t="s">
        <v>7232</v>
      </c>
      <c r="R4317">
        <v>21.968</v>
      </c>
      <c r="S4317">
        <v>4</v>
      </c>
      <c r="T4317">
        <v>0.6</v>
      </c>
      <c r="U4317">
        <v>-15.9268</v>
      </c>
      <c r="V4317" t="str">
        <f t="shared" si="67"/>
        <v>James Galang</v>
      </c>
      <c r="W4317">
        <f>Table2[Profit]/Table2[Sales]</f>
        <v>-0.72499999999999998</v>
      </c>
    </row>
    <row r="4318" spans="1:23" x14ac:dyDescent="0.25">
      <c r="A4318">
        <v>4317</v>
      </c>
      <c r="B4318" t="s">
        <v>9927</v>
      </c>
      <c r="C4318" s="1">
        <v>42824</v>
      </c>
      <c r="D4318" s="1">
        <v>42826</v>
      </c>
      <c r="E4318" t="s">
        <v>22</v>
      </c>
      <c r="F4318" t="s">
        <v>2211</v>
      </c>
      <c r="G4318" t="s">
        <v>2212</v>
      </c>
      <c r="H4318" t="s">
        <v>25</v>
      </c>
      <c r="I4318" t="s">
        <v>26</v>
      </c>
      <c r="J4318" t="s">
        <v>1111</v>
      </c>
      <c r="K4318" t="s">
        <v>42</v>
      </c>
      <c r="L4318">
        <v>90712</v>
      </c>
      <c r="M4318" t="s">
        <v>43</v>
      </c>
      <c r="N4318" t="s">
        <v>4534</v>
      </c>
      <c r="O4318" t="s">
        <v>31</v>
      </c>
      <c r="P4318" t="s">
        <v>64</v>
      </c>
      <c r="Q4318" t="s">
        <v>4535</v>
      </c>
      <c r="R4318">
        <v>94.2</v>
      </c>
      <c r="S4318">
        <v>5</v>
      </c>
      <c r="T4318">
        <v>0</v>
      </c>
      <c r="U4318">
        <v>39.564</v>
      </c>
      <c r="V4318" t="str">
        <f t="shared" si="67"/>
        <v>Alan Barnes</v>
      </c>
      <c r="W4318">
        <f>Table2[Profit]/Table2[Sales]</f>
        <v>0.42</v>
      </c>
    </row>
    <row r="4319" spans="1:23" x14ac:dyDescent="0.25">
      <c r="A4319">
        <v>4318</v>
      </c>
      <c r="B4319" t="s">
        <v>9928</v>
      </c>
      <c r="C4319" s="1">
        <v>42691</v>
      </c>
      <c r="D4319" s="1">
        <v>42692</v>
      </c>
      <c r="E4319" t="s">
        <v>185</v>
      </c>
      <c r="F4319" t="s">
        <v>6502</v>
      </c>
      <c r="G4319" t="s">
        <v>6503</v>
      </c>
      <c r="H4319" t="s">
        <v>101</v>
      </c>
      <c r="I4319" t="s">
        <v>26</v>
      </c>
      <c r="J4319" t="s">
        <v>126</v>
      </c>
      <c r="K4319" t="s">
        <v>42</v>
      </c>
      <c r="L4319">
        <v>94122</v>
      </c>
      <c r="M4319" t="s">
        <v>43</v>
      </c>
      <c r="N4319" t="s">
        <v>2141</v>
      </c>
      <c r="O4319" t="s">
        <v>45</v>
      </c>
      <c r="P4319" t="s">
        <v>572</v>
      </c>
      <c r="Q4319" t="s">
        <v>2142</v>
      </c>
      <c r="R4319">
        <v>49.5</v>
      </c>
      <c r="S4319">
        <v>5</v>
      </c>
      <c r="T4319">
        <v>0</v>
      </c>
      <c r="U4319">
        <v>13.365</v>
      </c>
      <c r="V4319" t="str">
        <f t="shared" si="67"/>
        <v>Heather Jas</v>
      </c>
      <c r="W4319">
        <f>Table2[Profit]/Table2[Sales]</f>
        <v>0.27</v>
      </c>
    </row>
    <row r="4320" spans="1:23" x14ac:dyDescent="0.25">
      <c r="A4320">
        <v>4319</v>
      </c>
      <c r="B4320" t="s">
        <v>9929</v>
      </c>
      <c r="C4320" s="1">
        <v>42734</v>
      </c>
      <c r="D4320" s="1">
        <v>42737</v>
      </c>
      <c r="E4320" t="s">
        <v>185</v>
      </c>
      <c r="F4320" t="s">
        <v>9930</v>
      </c>
      <c r="G4320" t="s">
        <v>9931</v>
      </c>
      <c r="H4320" t="s">
        <v>40</v>
      </c>
      <c r="I4320" t="s">
        <v>26</v>
      </c>
      <c r="J4320" t="s">
        <v>143</v>
      </c>
      <c r="K4320" t="s">
        <v>144</v>
      </c>
      <c r="L4320">
        <v>19140</v>
      </c>
      <c r="M4320" t="s">
        <v>145</v>
      </c>
      <c r="N4320" t="s">
        <v>6651</v>
      </c>
      <c r="O4320" t="s">
        <v>45</v>
      </c>
      <c r="P4320" t="s">
        <v>67</v>
      </c>
      <c r="Q4320" t="s">
        <v>6652</v>
      </c>
      <c r="R4320">
        <v>16.52</v>
      </c>
      <c r="S4320">
        <v>5</v>
      </c>
      <c r="T4320">
        <v>0.2</v>
      </c>
      <c r="U4320">
        <v>1.6519999999999999</v>
      </c>
      <c r="V4320" t="str">
        <f t="shared" si="67"/>
        <v>Carl Jackson</v>
      </c>
      <c r="W4320">
        <f>Table2[Profit]/Table2[Sales]</f>
        <v>9.9999999999999992E-2</v>
      </c>
    </row>
    <row r="4321" spans="1:23" x14ac:dyDescent="0.25">
      <c r="A4321">
        <v>4320</v>
      </c>
      <c r="B4321" t="s">
        <v>9932</v>
      </c>
      <c r="C4321" s="1">
        <v>42726</v>
      </c>
      <c r="D4321" s="1">
        <v>42728</v>
      </c>
      <c r="E4321" t="s">
        <v>22</v>
      </c>
      <c r="F4321" t="s">
        <v>4353</v>
      </c>
      <c r="G4321" t="s">
        <v>4354</v>
      </c>
      <c r="H4321" t="s">
        <v>101</v>
      </c>
      <c r="I4321" t="s">
        <v>26</v>
      </c>
      <c r="J4321" t="s">
        <v>94</v>
      </c>
      <c r="K4321" t="s">
        <v>95</v>
      </c>
      <c r="L4321">
        <v>98115</v>
      </c>
      <c r="M4321" t="s">
        <v>43</v>
      </c>
      <c r="N4321" t="s">
        <v>666</v>
      </c>
      <c r="O4321" t="s">
        <v>45</v>
      </c>
      <c r="P4321" t="s">
        <v>74</v>
      </c>
      <c r="Q4321" t="s">
        <v>667</v>
      </c>
      <c r="R4321">
        <v>55.36</v>
      </c>
      <c r="S4321">
        <v>4</v>
      </c>
      <c r="T4321">
        <v>0.2</v>
      </c>
      <c r="U4321">
        <v>19.376000000000001</v>
      </c>
      <c r="V4321" t="str">
        <f t="shared" si="67"/>
        <v>Emily Ducich</v>
      </c>
      <c r="W4321">
        <f>Table2[Profit]/Table2[Sales]</f>
        <v>0.35000000000000003</v>
      </c>
    </row>
    <row r="4322" spans="1:23" x14ac:dyDescent="0.25">
      <c r="A4322">
        <v>4321</v>
      </c>
      <c r="B4322" t="s">
        <v>9933</v>
      </c>
      <c r="C4322" s="1">
        <v>42358</v>
      </c>
      <c r="D4322" s="1">
        <v>42363</v>
      </c>
      <c r="E4322" t="s">
        <v>22</v>
      </c>
      <c r="F4322" t="s">
        <v>3958</v>
      </c>
      <c r="G4322" t="s">
        <v>3959</v>
      </c>
      <c r="H4322" t="s">
        <v>25</v>
      </c>
      <c r="I4322" t="s">
        <v>26</v>
      </c>
      <c r="J4322" t="s">
        <v>41</v>
      </c>
      <c r="K4322" t="s">
        <v>42</v>
      </c>
      <c r="L4322">
        <v>90036</v>
      </c>
      <c r="M4322" t="s">
        <v>43</v>
      </c>
      <c r="N4322" t="s">
        <v>4360</v>
      </c>
      <c r="O4322" t="s">
        <v>45</v>
      </c>
      <c r="P4322" t="s">
        <v>89</v>
      </c>
      <c r="Q4322" t="s">
        <v>183</v>
      </c>
      <c r="R4322">
        <v>17.12</v>
      </c>
      <c r="S4322">
        <v>4</v>
      </c>
      <c r="T4322">
        <v>0</v>
      </c>
      <c r="U4322">
        <v>7.7039999999999997</v>
      </c>
      <c r="V4322" t="str">
        <f t="shared" si="67"/>
        <v>Arianne Irving</v>
      </c>
      <c r="W4322">
        <f>Table2[Profit]/Table2[Sales]</f>
        <v>0.44999999999999996</v>
      </c>
    </row>
    <row r="4323" spans="1:23" x14ac:dyDescent="0.25">
      <c r="A4323">
        <v>4322</v>
      </c>
      <c r="B4323" t="s">
        <v>9934</v>
      </c>
      <c r="C4323" s="1">
        <v>42000</v>
      </c>
      <c r="D4323" s="1">
        <v>42005</v>
      </c>
      <c r="E4323" t="s">
        <v>22</v>
      </c>
      <c r="F4323" t="s">
        <v>400</v>
      </c>
      <c r="G4323" t="s">
        <v>401</v>
      </c>
      <c r="H4323" t="s">
        <v>25</v>
      </c>
      <c r="I4323" t="s">
        <v>26</v>
      </c>
      <c r="J4323" t="s">
        <v>2148</v>
      </c>
      <c r="K4323" t="s">
        <v>491</v>
      </c>
      <c r="L4323">
        <v>44105</v>
      </c>
      <c r="M4323" t="s">
        <v>145</v>
      </c>
      <c r="N4323" t="s">
        <v>6857</v>
      </c>
      <c r="O4323" t="s">
        <v>31</v>
      </c>
      <c r="P4323" t="s">
        <v>64</v>
      </c>
      <c r="Q4323" t="s">
        <v>6858</v>
      </c>
      <c r="R4323">
        <v>182.352</v>
      </c>
      <c r="S4323">
        <v>3</v>
      </c>
      <c r="T4323">
        <v>0.2</v>
      </c>
      <c r="U4323">
        <v>-18.235199999999999</v>
      </c>
      <c r="V4323" t="str">
        <f t="shared" si="67"/>
        <v>Karl Braun</v>
      </c>
      <c r="W4323">
        <f>Table2[Profit]/Table2[Sales]</f>
        <v>-9.9999999999999992E-2</v>
      </c>
    </row>
    <row r="4324" spans="1:23" x14ac:dyDescent="0.25">
      <c r="A4324">
        <v>4323</v>
      </c>
      <c r="B4324" t="s">
        <v>9935</v>
      </c>
      <c r="C4324" s="1">
        <v>42782</v>
      </c>
      <c r="D4324" s="1">
        <v>42787</v>
      </c>
      <c r="E4324" t="s">
        <v>49</v>
      </c>
      <c r="F4324" t="s">
        <v>4766</v>
      </c>
      <c r="G4324" t="s">
        <v>4767</v>
      </c>
      <c r="H4324" t="s">
        <v>25</v>
      </c>
      <c r="I4324" t="s">
        <v>26</v>
      </c>
      <c r="J4324" t="s">
        <v>350</v>
      </c>
      <c r="K4324" t="s">
        <v>208</v>
      </c>
      <c r="L4324">
        <v>62521</v>
      </c>
      <c r="M4324" t="s">
        <v>104</v>
      </c>
      <c r="N4324" t="s">
        <v>1082</v>
      </c>
      <c r="O4324" t="s">
        <v>45</v>
      </c>
      <c r="P4324" t="s">
        <v>266</v>
      </c>
      <c r="Q4324" t="s">
        <v>1083</v>
      </c>
      <c r="R4324">
        <v>18.367999999999999</v>
      </c>
      <c r="S4324">
        <v>2</v>
      </c>
      <c r="T4324">
        <v>0.2</v>
      </c>
      <c r="U4324">
        <v>6.1992000000000003</v>
      </c>
      <c r="V4324" t="str">
        <f t="shared" si="67"/>
        <v>Joy Smith</v>
      </c>
      <c r="W4324">
        <f>Table2[Profit]/Table2[Sales]</f>
        <v>0.33750000000000002</v>
      </c>
    </row>
    <row r="4325" spans="1:23" x14ac:dyDescent="0.25">
      <c r="A4325">
        <v>4324</v>
      </c>
      <c r="B4325" t="s">
        <v>9936</v>
      </c>
      <c r="C4325" s="1">
        <v>43032</v>
      </c>
      <c r="D4325" s="1">
        <v>43034</v>
      </c>
      <c r="E4325" t="s">
        <v>185</v>
      </c>
      <c r="F4325" t="s">
        <v>1177</v>
      </c>
      <c r="G4325" t="s">
        <v>1178</v>
      </c>
      <c r="H4325" t="s">
        <v>25</v>
      </c>
      <c r="I4325" t="s">
        <v>26</v>
      </c>
      <c r="J4325" t="s">
        <v>9937</v>
      </c>
      <c r="K4325" t="s">
        <v>103</v>
      </c>
      <c r="L4325">
        <v>76063</v>
      </c>
      <c r="M4325" t="s">
        <v>104</v>
      </c>
      <c r="N4325" t="s">
        <v>4365</v>
      </c>
      <c r="O4325" t="s">
        <v>31</v>
      </c>
      <c r="P4325" t="s">
        <v>55</v>
      </c>
      <c r="Q4325" t="s">
        <v>4366</v>
      </c>
      <c r="R4325">
        <v>517.40499999999997</v>
      </c>
      <c r="S4325">
        <v>5</v>
      </c>
      <c r="T4325">
        <v>0.3</v>
      </c>
      <c r="U4325">
        <v>-81.3065</v>
      </c>
      <c r="V4325" t="str">
        <f t="shared" si="67"/>
        <v>Patrick O'Brill</v>
      </c>
      <c r="W4325">
        <f>Table2[Profit]/Table2[Sales]</f>
        <v>-0.15714285714285714</v>
      </c>
    </row>
    <row r="4326" spans="1:23" x14ac:dyDescent="0.25">
      <c r="A4326">
        <v>4325</v>
      </c>
      <c r="B4326" t="s">
        <v>9938</v>
      </c>
      <c r="C4326" s="1">
        <v>42615</v>
      </c>
      <c r="D4326" s="1">
        <v>42620</v>
      </c>
      <c r="E4326" t="s">
        <v>22</v>
      </c>
      <c r="F4326" t="s">
        <v>2281</v>
      </c>
      <c r="G4326" t="s">
        <v>2282</v>
      </c>
      <c r="H4326" t="s">
        <v>101</v>
      </c>
      <c r="I4326" t="s">
        <v>26</v>
      </c>
      <c r="J4326" t="s">
        <v>181</v>
      </c>
      <c r="K4326" t="s">
        <v>103</v>
      </c>
      <c r="L4326">
        <v>77070</v>
      </c>
      <c r="M4326" t="s">
        <v>104</v>
      </c>
      <c r="N4326" t="s">
        <v>2448</v>
      </c>
      <c r="O4326" t="s">
        <v>45</v>
      </c>
      <c r="P4326" t="s">
        <v>74</v>
      </c>
      <c r="Q4326" t="s">
        <v>2449</v>
      </c>
      <c r="R4326">
        <v>8.6080000000000005</v>
      </c>
      <c r="S4326">
        <v>8</v>
      </c>
      <c r="T4326">
        <v>0.8</v>
      </c>
      <c r="U4326">
        <v>-13.3424</v>
      </c>
      <c r="V4326" t="str">
        <f t="shared" si="67"/>
        <v>Ross DeVincentis</v>
      </c>
      <c r="W4326">
        <f>Table2[Profit]/Table2[Sales]</f>
        <v>-1.5499999999999998</v>
      </c>
    </row>
    <row r="4327" spans="1:23" x14ac:dyDescent="0.25">
      <c r="A4327">
        <v>4326</v>
      </c>
      <c r="B4327" t="s">
        <v>9939</v>
      </c>
      <c r="C4327" s="1">
        <v>42705</v>
      </c>
      <c r="D4327" s="1">
        <v>42707</v>
      </c>
      <c r="E4327" t="s">
        <v>22</v>
      </c>
      <c r="F4327" t="s">
        <v>575</v>
      </c>
      <c r="G4327" t="s">
        <v>576</v>
      </c>
      <c r="H4327" t="s">
        <v>40</v>
      </c>
      <c r="I4327" t="s">
        <v>26</v>
      </c>
      <c r="J4327" t="s">
        <v>1450</v>
      </c>
      <c r="K4327" t="s">
        <v>312</v>
      </c>
      <c r="L4327">
        <v>23223</v>
      </c>
      <c r="M4327" t="s">
        <v>29</v>
      </c>
      <c r="N4327" t="s">
        <v>931</v>
      </c>
      <c r="O4327" t="s">
        <v>45</v>
      </c>
      <c r="P4327" t="s">
        <v>77</v>
      </c>
      <c r="Q4327" t="s">
        <v>932</v>
      </c>
      <c r="R4327">
        <v>2104.5500000000002</v>
      </c>
      <c r="S4327">
        <v>7</v>
      </c>
      <c r="T4327">
        <v>0</v>
      </c>
      <c r="U4327">
        <v>694.50149999999996</v>
      </c>
      <c r="V4327" t="str">
        <f t="shared" si="67"/>
        <v>Jonathan Doherty</v>
      </c>
      <c r="W4327">
        <f>Table2[Profit]/Table2[Sales]</f>
        <v>0.32999999999999996</v>
      </c>
    </row>
    <row r="4328" spans="1:23" x14ac:dyDescent="0.25">
      <c r="A4328">
        <v>4327</v>
      </c>
      <c r="B4328" t="s">
        <v>9940</v>
      </c>
      <c r="C4328" s="1">
        <v>41948</v>
      </c>
      <c r="D4328" s="1">
        <v>41953</v>
      </c>
      <c r="E4328" t="s">
        <v>49</v>
      </c>
      <c r="F4328" t="s">
        <v>2116</v>
      </c>
      <c r="G4328" t="s">
        <v>2117</v>
      </c>
      <c r="H4328" t="s">
        <v>101</v>
      </c>
      <c r="I4328" t="s">
        <v>26</v>
      </c>
      <c r="J4328" t="s">
        <v>1119</v>
      </c>
      <c r="K4328" t="s">
        <v>312</v>
      </c>
      <c r="L4328">
        <v>22204</v>
      </c>
      <c r="M4328" t="s">
        <v>29</v>
      </c>
      <c r="N4328" t="s">
        <v>5501</v>
      </c>
      <c r="O4328" t="s">
        <v>70</v>
      </c>
      <c r="P4328" t="s">
        <v>158</v>
      </c>
      <c r="Q4328" t="s">
        <v>5502</v>
      </c>
      <c r="R4328">
        <v>47.79</v>
      </c>
      <c r="S4328">
        <v>3</v>
      </c>
      <c r="T4328">
        <v>0</v>
      </c>
      <c r="U4328">
        <v>16.2486</v>
      </c>
      <c r="V4328" t="str">
        <f t="shared" si="67"/>
        <v>Steven Roelle</v>
      </c>
      <c r="W4328">
        <f>Table2[Profit]/Table2[Sales]</f>
        <v>0.34</v>
      </c>
    </row>
    <row r="4329" spans="1:23" x14ac:dyDescent="0.25">
      <c r="A4329">
        <v>4328</v>
      </c>
      <c r="B4329" t="s">
        <v>9941</v>
      </c>
      <c r="C4329" s="1">
        <v>43064</v>
      </c>
      <c r="D4329" s="1">
        <v>43070</v>
      </c>
      <c r="E4329" t="s">
        <v>49</v>
      </c>
      <c r="F4329" t="s">
        <v>2905</v>
      </c>
      <c r="G4329" t="s">
        <v>2906</v>
      </c>
      <c r="H4329" t="s">
        <v>25</v>
      </c>
      <c r="I4329" t="s">
        <v>26</v>
      </c>
      <c r="J4329" t="s">
        <v>126</v>
      </c>
      <c r="K4329" t="s">
        <v>42</v>
      </c>
      <c r="L4329">
        <v>94122</v>
      </c>
      <c r="M4329" t="s">
        <v>43</v>
      </c>
      <c r="N4329" t="s">
        <v>2604</v>
      </c>
      <c r="O4329" t="s">
        <v>45</v>
      </c>
      <c r="P4329" t="s">
        <v>67</v>
      </c>
      <c r="Q4329" t="s">
        <v>2605</v>
      </c>
      <c r="R4329">
        <v>5.16</v>
      </c>
      <c r="S4329">
        <v>2</v>
      </c>
      <c r="T4329">
        <v>0</v>
      </c>
      <c r="U4329">
        <v>1.3415999999999999</v>
      </c>
      <c r="V4329" t="str">
        <f t="shared" si="67"/>
        <v>Tracy Zic</v>
      </c>
      <c r="W4329">
        <f>Table2[Profit]/Table2[Sales]</f>
        <v>0.25999999999999995</v>
      </c>
    </row>
    <row r="4330" spans="1:23" x14ac:dyDescent="0.25">
      <c r="A4330">
        <v>4329</v>
      </c>
      <c r="B4330" t="s">
        <v>9942</v>
      </c>
      <c r="C4330" s="1">
        <v>42720</v>
      </c>
      <c r="D4330" s="1">
        <v>42727</v>
      </c>
      <c r="E4330" t="s">
        <v>49</v>
      </c>
      <c r="F4330" t="s">
        <v>1577</v>
      </c>
      <c r="G4330" t="s">
        <v>1578</v>
      </c>
      <c r="H4330" t="s">
        <v>101</v>
      </c>
      <c r="I4330" t="s">
        <v>26</v>
      </c>
      <c r="J4330" t="s">
        <v>941</v>
      </c>
      <c r="K4330" t="s">
        <v>42</v>
      </c>
      <c r="L4330">
        <v>92024</v>
      </c>
      <c r="M4330" t="s">
        <v>43</v>
      </c>
      <c r="N4330" t="s">
        <v>1633</v>
      </c>
      <c r="O4330" t="s">
        <v>70</v>
      </c>
      <c r="P4330" t="s">
        <v>158</v>
      </c>
      <c r="Q4330" t="s">
        <v>1634</v>
      </c>
      <c r="R4330">
        <v>21.21</v>
      </c>
      <c r="S4330">
        <v>7</v>
      </c>
      <c r="T4330">
        <v>0</v>
      </c>
      <c r="U4330">
        <v>4.4541000000000004</v>
      </c>
      <c r="V4330" t="str">
        <f t="shared" si="67"/>
        <v>Tanja Norvell</v>
      </c>
      <c r="W4330">
        <f>Table2[Profit]/Table2[Sales]</f>
        <v>0.21000000000000002</v>
      </c>
    </row>
    <row r="4331" spans="1:23" x14ac:dyDescent="0.25">
      <c r="A4331">
        <v>4330</v>
      </c>
      <c r="B4331" t="s">
        <v>9943</v>
      </c>
      <c r="C4331" s="1">
        <v>43053</v>
      </c>
      <c r="D4331" s="1">
        <v>43057</v>
      </c>
      <c r="E4331" t="s">
        <v>22</v>
      </c>
      <c r="F4331" t="s">
        <v>3804</v>
      </c>
      <c r="G4331" t="s">
        <v>3805</v>
      </c>
      <c r="H4331" t="s">
        <v>40</v>
      </c>
      <c r="I4331" t="s">
        <v>26</v>
      </c>
      <c r="J4331" t="s">
        <v>4017</v>
      </c>
      <c r="K4331" t="s">
        <v>264</v>
      </c>
      <c r="L4331">
        <v>13601</v>
      </c>
      <c r="M4331" t="s">
        <v>145</v>
      </c>
      <c r="N4331" t="s">
        <v>4835</v>
      </c>
      <c r="O4331" t="s">
        <v>45</v>
      </c>
      <c r="P4331" t="s">
        <v>58</v>
      </c>
      <c r="Q4331" t="s">
        <v>4836</v>
      </c>
      <c r="R4331">
        <v>96.36</v>
      </c>
      <c r="S4331">
        <v>6</v>
      </c>
      <c r="T4331">
        <v>0</v>
      </c>
      <c r="U4331">
        <v>25.053599999999999</v>
      </c>
      <c r="V4331" t="str">
        <f t="shared" si="67"/>
        <v>Pauline Webber</v>
      </c>
      <c r="W4331">
        <f>Table2[Profit]/Table2[Sales]</f>
        <v>0.26</v>
      </c>
    </row>
    <row r="4332" spans="1:23" x14ac:dyDescent="0.25">
      <c r="A4332">
        <v>4331</v>
      </c>
      <c r="B4332" t="s">
        <v>9944</v>
      </c>
      <c r="C4332" s="1">
        <v>42547</v>
      </c>
      <c r="D4332" s="1">
        <v>42547</v>
      </c>
      <c r="E4332" t="s">
        <v>1278</v>
      </c>
      <c r="F4332" t="s">
        <v>2784</v>
      </c>
      <c r="G4332" t="s">
        <v>2785</v>
      </c>
      <c r="H4332" t="s">
        <v>40</v>
      </c>
      <c r="I4332" t="s">
        <v>26</v>
      </c>
      <c r="J4332" t="s">
        <v>41</v>
      </c>
      <c r="K4332" t="s">
        <v>42</v>
      </c>
      <c r="L4332">
        <v>90036</v>
      </c>
      <c r="M4332" t="s">
        <v>43</v>
      </c>
      <c r="N4332" t="s">
        <v>1581</v>
      </c>
      <c r="O4332" t="s">
        <v>45</v>
      </c>
      <c r="P4332" t="s">
        <v>572</v>
      </c>
      <c r="Q4332" t="s">
        <v>1582</v>
      </c>
      <c r="R4332">
        <v>231.72</v>
      </c>
      <c r="S4332">
        <v>2</v>
      </c>
      <c r="T4332">
        <v>0</v>
      </c>
      <c r="U4332">
        <v>11.586</v>
      </c>
      <c r="V4332" t="str">
        <f t="shared" si="67"/>
        <v>Adam Hart</v>
      </c>
      <c r="W4332">
        <f>Table2[Profit]/Table2[Sales]</f>
        <v>0.05</v>
      </c>
    </row>
    <row r="4333" spans="1:23" x14ac:dyDescent="0.25">
      <c r="A4333">
        <v>4332</v>
      </c>
      <c r="B4333" t="s">
        <v>9945</v>
      </c>
      <c r="C4333" s="1">
        <v>41999</v>
      </c>
      <c r="D4333" s="1">
        <v>42003</v>
      </c>
      <c r="E4333" t="s">
        <v>49</v>
      </c>
      <c r="F4333" t="s">
        <v>6021</v>
      </c>
      <c r="G4333" t="s">
        <v>6022</v>
      </c>
      <c r="H4333" t="s">
        <v>40</v>
      </c>
      <c r="I4333" t="s">
        <v>26</v>
      </c>
      <c r="J4333" t="s">
        <v>143</v>
      </c>
      <c r="K4333" t="s">
        <v>144</v>
      </c>
      <c r="L4333">
        <v>19140</v>
      </c>
      <c r="M4333" t="s">
        <v>145</v>
      </c>
      <c r="N4333" t="s">
        <v>4761</v>
      </c>
      <c r="O4333" t="s">
        <v>45</v>
      </c>
      <c r="P4333" t="s">
        <v>67</v>
      </c>
      <c r="Q4333" t="s">
        <v>4762</v>
      </c>
      <c r="R4333">
        <v>8.016</v>
      </c>
      <c r="S4333">
        <v>3</v>
      </c>
      <c r="T4333">
        <v>0.2</v>
      </c>
      <c r="U4333">
        <v>1.1022000000000001</v>
      </c>
      <c r="V4333" t="str">
        <f t="shared" si="67"/>
        <v>Andy Yotov</v>
      </c>
      <c r="W4333">
        <f>Table2[Profit]/Table2[Sales]</f>
        <v>0.13750000000000001</v>
      </c>
    </row>
    <row r="4334" spans="1:23" x14ac:dyDescent="0.25">
      <c r="A4334">
        <v>4333</v>
      </c>
      <c r="B4334" t="s">
        <v>9946</v>
      </c>
      <c r="C4334" s="1">
        <v>42596</v>
      </c>
      <c r="D4334" s="1">
        <v>42600</v>
      </c>
      <c r="E4334" t="s">
        <v>49</v>
      </c>
      <c r="F4334" t="s">
        <v>620</v>
      </c>
      <c r="G4334" t="s">
        <v>621</v>
      </c>
      <c r="H4334" t="s">
        <v>40</v>
      </c>
      <c r="I4334" t="s">
        <v>26</v>
      </c>
      <c r="J4334" t="s">
        <v>794</v>
      </c>
      <c r="K4334" t="s">
        <v>491</v>
      </c>
      <c r="L4334">
        <v>44312</v>
      </c>
      <c r="M4334" t="s">
        <v>145</v>
      </c>
      <c r="N4334" t="s">
        <v>3909</v>
      </c>
      <c r="O4334" t="s">
        <v>70</v>
      </c>
      <c r="P4334" t="s">
        <v>71</v>
      </c>
      <c r="Q4334" t="s">
        <v>3910</v>
      </c>
      <c r="R4334">
        <v>259.89600000000002</v>
      </c>
      <c r="S4334">
        <v>2</v>
      </c>
      <c r="T4334">
        <v>0.4</v>
      </c>
      <c r="U4334">
        <v>-56.3108</v>
      </c>
      <c r="V4334" t="str">
        <f t="shared" si="67"/>
        <v>Stephanie Phelps</v>
      </c>
      <c r="W4334">
        <f>Table2[Profit]/Table2[Sales]</f>
        <v>-0.21666666666666665</v>
      </c>
    </row>
    <row r="4335" spans="1:23" x14ac:dyDescent="0.25">
      <c r="A4335">
        <v>4334</v>
      </c>
      <c r="B4335" t="s">
        <v>9947</v>
      </c>
      <c r="C4335" s="1">
        <v>42667</v>
      </c>
      <c r="D4335" s="1">
        <v>42671</v>
      </c>
      <c r="E4335" t="s">
        <v>49</v>
      </c>
      <c r="F4335" t="s">
        <v>4353</v>
      </c>
      <c r="G4335" t="s">
        <v>4354</v>
      </c>
      <c r="H4335" t="s">
        <v>101</v>
      </c>
      <c r="I4335" t="s">
        <v>26</v>
      </c>
      <c r="J4335" t="s">
        <v>126</v>
      </c>
      <c r="K4335" t="s">
        <v>42</v>
      </c>
      <c r="L4335">
        <v>94110</v>
      </c>
      <c r="M4335" t="s">
        <v>43</v>
      </c>
      <c r="N4335" t="s">
        <v>1156</v>
      </c>
      <c r="O4335" t="s">
        <v>70</v>
      </c>
      <c r="P4335" t="s">
        <v>158</v>
      </c>
      <c r="Q4335" t="s">
        <v>1157</v>
      </c>
      <c r="R4335">
        <v>450</v>
      </c>
      <c r="S4335">
        <v>5</v>
      </c>
      <c r="T4335">
        <v>0</v>
      </c>
      <c r="U4335">
        <v>162</v>
      </c>
      <c r="V4335" t="str">
        <f t="shared" si="67"/>
        <v>Emily Ducich</v>
      </c>
      <c r="W4335">
        <f>Table2[Profit]/Table2[Sales]</f>
        <v>0.36</v>
      </c>
    </row>
    <row r="4336" spans="1:23" x14ac:dyDescent="0.25">
      <c r="A4336">
        <v>4335</v>
      </c>
      <c r="B4336" t="s">
        <v>9948</v>
      </c>
      <c r="C4336" s="1">
        <v>41874</v>
      </c>
      <c r="D4336" s="1">
        <v>41879</v>
      </c>
      <c r="E4336" t="s">
        <v>22</v>
      </c>
      <c r="F4336" t="s">
        <v>1109</v>
      </c>
      <c r="G4336" t="s">
        <v>1110</v>
      </c>
      <c r="H4336" t="s">
        <v>101</v>
      </c>
      <c r="I4336" t="s">
        <v>26</v>
      </c>
      <c r="J4336" t="s">
        <v>6317</v>
      </c>
      <c r="K4336" t="s">
        <v>235</v>
      </c>
      <c r="L4336">
        <v>49505</v>
      </c>
      <c r="M4336" t="s">
        <v>104</v>
      </c>
      <c r="N4336" t="s">
        <v>2097</v>
      </c>
      <c r="O4336" t="s">
        <v>45</v>
      </c>
      <c r="P4336" t="s">
        <v>89</v>
      </c>
      <c r="Q4336" t="s">
        <v>2098</v>
      </c>
      <c r="R4336">
        <v>19.440000000000001</v>
      </c>
      <c r="S4336">
        <v>3</v>
      </c>
      <c r="T4336">
        <v>0</v>
      </c>
      <c r="U4336">
        <v>9.5256000000000007</v>
      </c>
      <c r="V4336" t="str">
        <f t="shared" si="67"/>
        <v>Corey Roper</v>
      </c>
      <c r="W4336">
        <f>Table2[Profit]/Table2[Sales]</f>
        <v>0.49</v>
      </c>
    </row>
    <row r="4337" spans="1:23" x14ac:dyDescent="0.25">
      <c r="A4337">
        <v>4336</v>
      </c>
      <c r="B4337" t="s">
        <v>9949</v>
      </c>
      <c r="C4337" s="1">
        <v>42993</v>
      </c>
      <c r="D4337" s="1">
        <v>42995</v>
      </c>
      <c r="E4337" t="s">
        <v>22</v>
      </c>
      <c r="F4337" t="s">
        <v>370</v>
      </c>
      <c r="G4337" t="s">
        <v>371</v>
      </c>
      <c r="H4337" t="s">
        <v>101</v>
      </c>
      <c r="I4337" t="s">
        <v>26</v>
      </c>
      <c r="J4337" t="s">
        <v>126</v>
      </c>
      <c r="K4337" t="s">
        <v>42</v>
      </c>
      <c r="L4337">
        <v>94109</v>
      </c>
      <c r="M4337" t="s">
        <v>43</v>
      </c>
      <c r="N4337" t="s">
        <v>896</v>
      </c>
      <c r="O4337" t="s">
        <v>31</v>
      </c>
      <c r="P4337" t="s">
        <v>55</v>
      </c>
      <c r="Q4337" t="s">
        <v>897</v>
      </c>
      <c r="R4337">
        <v>300.904</v>
      </c>
      <c r="S4337">
        <v>1</v>
      </c>
      <c r="T4337">
        <v>0.2</v>
      </c>
      <c r="U4337">
        <v>11.283899999999999</v>
      </c>
      <c r="V4337" t="str">
        <f t="shared" si="67"/>
        <v>Christopher Schild</v>
      </c>
      <c r="W4337">
        <f>Table2[Profit]/Table2[Sales]</f>
        <v>3.7499999999999999E-2</v>
      </c>
    </row>
    <row r="4338" spans="1:23" x14ac:dyDescent="0.25">
      <c r="A4338">
        <v>4337</v>
      </c>
      <c r="B4338" t="s">
        <v>9950</v>
      </c>
      <c r="C4338" s="1">
        <v>42901</v>
      </c>
      <c r="D4338" s="1">
        <v>42906</v>
      </c>
      <c r="E4338" t="s">
        <v>49</v>
      </c>
      <c r="F4338" t="s">
        <v>1133</v>
      </c>
      <c r="G4338" t="s">
        <v>1134</v>
      </c>
      <c r="H4338" t="s">
        <v>40</v>
      </c>
      <c r="I4338" t="s">
        <v>26</v>
      </c>
      <c r="J4338" t="s">
        <v>5545</v>
      </c>
      <c r="K4338" t="s">
        <v>328</v>
      </c>
      <c r="L4338">
        <v>37211</v>
      </c>
      <c r="M4338" t="s">
        <v>29</v>
      </c>
      <c r="N4338" t="s">
        <v>5095</v>
      </c>
      <c r="O4338" t="s">
        <v>70</v>
      </c>
      <c r="P4338" t="s">
        <v>71</v>
      </c>
      <c r="Q4338" t="s">
        <v>5096</v>
      </c>
      <c r="R4338">
        <v>239.976</v>
      </c>
      <c r="S4338">
        <v>3</v>
      </c>
      <c r="T4338">
        <v>0.2</v>
      </c>
      <c r="U4338">
        <v>26.997299999999999</v>
      </c>
      <c r="V4338" t="str">
        <f t="shared" si="67"/>
        <v>Thomas Seio</v>
      </c>
      <c r="W4338">
        <f>Table2[Profit]/Table2[Sales]</f>
        <v>0.1125</v>
      </c>
    </row>
    <row r="4339" spans="1:23" x14ac:dyDescent="0.25">
      <c r="A4339">
        <v>4338</v>
      </c>
      <c r="B4339" t="s">
        <v>9953</v>
      </c>
      <c r="C4339" s="1">
        <v>42064</v>
      </c>
      <c r="D4339" s="1">
        <v>42068</v>
      </c>
      <c r="E4339" t="s">
        <v>49</v>
      </c>
      <c r="F4339" t="s">
        <v>2146</v>
      </c>
      <c r="G4339" t="s">
        <v>2147</v>
      </c>
      <c r="H4339" t="s">
        <v>25</v>
      </c>
      <c r="I4339" t="s">
        <v>26</v>
      </c>
      <c r="J4339" t="s">
        <v>143</v>
      </c>
      <c r="K4339" t="s">
        <v>144</v>
      </c>
      <c r="L4339">
        <v>19120</v>
      </c>
      <c r="M4339" t="s">
        <v>145</v>
      </c>
      <c r="N4339" t="s">
        <v>4334</v>
      </c>
      <c r="O4339" t="s">
        <v>45</v>
      </c>
      <c r="P4339" t="s">
        <v>77</v>
      </c>
      <c r="Q4339" t="s">
        <v>4335</v>
      </c>
      <c r="R4339">
        <v>3.552</v>
      </c>
      <c r="S4339">
        <v>2</v>
      </c>
      <c r="T4339">
        <v>0.2</v>
      </c>
      <c r="U4339">
        <v>0.44400000000000001</v>
      </c>
      <c r="V4339" t="str">
        <f t="shared" si="67"/>
        <v>Resi Pölking</v>
      </c>
      <c r="W4339">
        <f>Table2[Profit]/Table2[Sales]</f>
        <v>0.125</v>
      </c>
    </row>
    <row r="4340" spans="1:23" x14ac:dyDescent="0.25">
      <c r="A4340">
        <v>4339</v>
      </c>
      <c r="B4340" t="s">
        <v>9954</v>
      </c>
      <c r="C4340" s="1">
        <v>42574</v>
      </c>
      <c r="D4340" s="1">
        <v>42577</v>
      </c>
      <c r="E4340" t="s">
        <v>185</v>
      </c>
      <c r="F4340" t="s">
        <v>5007</v>
      </c>
      <c r="G4340" t="s">
        <v>5008</v>
      </c>
      <c r="H4340" t="s">
        <v>25</v>
      </c>
      <c r="I4340" t="s">
        <v>26</v>
      </c>
      <c r="J4340" t="s">
        <v>181</v>
      </c>
      <c r="K4340" t="s">
        <v>103</v>
      </c>
      <c r="L4340">
        <v>77041</v>
      </c>
      <c r="M4340" t="s">
        <v>104</v>
      </c>
      <c r="N4340" t="s">
        <v>8312</v>
      </c>
      <c r="O4340" t="s">
        <v>70</v>
      </c>
      <c r="P4340" t="s">
        <v>71</v>
      </c>
      <c r="Q4340" t="s">
        <v>8313</v>
      </c>
      <c r="R4340">
        <v>115.136</v>
      </c>
      <c r="S4340">
        <v>8</v>
      </c>
      <c r="T4340">
        <v>0.2</v>
      </c>
      <c r="U4340">
        <v>11.5136</v>
      </c>
      <c r="V4340" t="str">
        <f t="shared" si="67"/>
        <v>Ivan Liston</v>
      </c>
      <c r="W4340">
        <f>Table2[Profit]/Table2[Sales]</f>
        <v>0.1</v>
      </c>
    </row>
    <row r="4341" spans="1:23" x14ac:dyDescent="0.25">
      <c r="A4341">
        <v>4340</v>
      </c>
      <c r="B4341" t="s">
        <v>9955</v>
      </c>
      <c r="C4341" s="1">
        <v>41913</v>
      </c>
      <c r="D4341" s="1">
        <v>41917</v>
      </c>
      <c r="E4341" t="s">
        <v>49</v>
      </c>
      <c r="F4341" t="s">
        <v>7164</v>
      </c>
      <c r="G4341" t="s">
        <v>7165</v>
      </c>
      <c r="H4341" t="s">
        <v>101</v>
      </c>
      <c r="I4341" t="s">
        <v>26</v>
      </c>
      <c r="J4341" t="s">
        <v>3255</v>
      </c>
      <c r="K4341" t="s">
        <v>1381</v>
      </c>
      <c r="L4341">
        <v>89502</v>
      </c>
      <c r="M4341" t="s">
        <v>43</v>
      </c>
      <c r="N4341" t="s">
        <v>9660</v>
      </c>
      <c r="O4341" t="s">
        <v>45</v>
      </c>
      <c r="P4341" t="s">
        <v>266</v>
      </c>
      <c r="Q4341" t="s">
        <v>9661</v>
      </c>
      <c r="R4341">
        <v>4.71</v>
      </c>
      <c r="S4341">
        <v>1</v>
      </c>
      <c r="T4341">
        <v>0</v>
      </c>
      <c r="U4341">
        <v>0</v>
      </c>
      <c r="V4341" t="str">
        <f t="shared" si="67"/>
        <v>Neil Französisch</v>
      </c>
      <c r="W4341">
        <f>Table2[Profit]/Table2[Sales]</f>
        <v>0</v>
      </c>
    </row>
    <row r="4342" spans="1:23" x14ac:dyDescent="0.25">
      <c r="A4342">
        <v>4341</v>
      </c>
      <c r="B4342" t="s">
        <v>9956</v>
      </c>
      <c r="C4342" s="1">
        <v>41890</v>
      </c>
      <c r="D4342" s="1">
        <v>41895</v>
      </c>
      <c r="E4342" t="s">
        <v>49</v>
      </c>
      <c r="F4342" t="s">
        <v>3714</v>
      </c>
      <c r="G4342" t="s">
        <v>3715</v>
      </c>
      <c r="H4342" t="s">
        <v>101</v>
      </c>
      <c r="I4342" t="s">
        <v>26</v>
      </c>
      <c r="J4342" t="s">
        <v>263</v>
      </c>
      <c r="K4342" t="s">
        <v>264</v>
      </c>
      <c r="L4342">
        <v>10009</v>
      </c>
      <c r="M4342" t="s">
        <v>145</v>
      </c>
      <c r="N4342" t="s">
        <v>3811</v>
      </c>
      <c r="O4342" t="s">
        <v>31</v>
      </c>
      <c r="P4342" t="s">
        <v>35</v>
      </c>
      <c r="Q4342" t="s">
        <v>3812</v>
      </c>
      <c r="R4342">
        <v>172.76400000000001</v>
      </c>
      <c r="S4342">
        <v>2</v>
      </c>
      <c r="T4342">
        <v>0.1</v>
      </c>
      <c r="U4342">
        <v>13.437200000000001</v>
      </c>
      <c r="V4342" t="str">
        <f t="shared" si="67"/>
        <v>Paul Prost</v>
      </c>
      <c r="W4342">
        <f>Table2[Profit]/Table2[Sales]</f>
        <v>7.7777777777777779E-2</v>
      </c>
    </row>
    <row r="4343" spans="1:23" x14ac:dyDescent="0.25">
      <c r="A4343">
        <v>4342</v>
      </c>
      <c r="B4343" t="s">
        <v>9957</v>
      </c>
      <c r="C4343" s="1">
        <v>41959</v>
      </c>
      <c r="D4343" s="1">
        <v>41961</v>
      </c>
      <c r="E4343" t="s">
        <v>185</v>
      </c>
      <c r="F4343" t="s">
        <v>2079</v>
      </c>
      <c r="G4343" t="s">
        <v>2080</v>
      </c>
      <c r="H4343" t="s">
        <v>40</v>
      </c>
      <c r="I4343" t="s">
        <v>26</v>
      </c>
      <c r="J4343" t="s">
        <v>41</v>
      </c>
      <c r="K4343" t="s">
        <v>42</v>
      </c>
      <c r="L4343">
        <v>90008</v>
      </c>
      <c r="M4343" t="s">
        <v>43</v>
      </c>
      <c r="N4343" t="s">
        <v>2981</v>
      </c>
      <c r="O4343" t="s">
        <v>70</v>
      </c>
      <c r="P4343" t="s">
        <v>71</v>
      </c>
      <c r="Q4343" t="s">
        <v>2982</v>
      </c>
      <c r="R4343">
        <v>79.968000000000004</v>
      </c>
      <c r="S4343">
        <v>4</v>
      </c>
      <c r="T4343">
        <v>0.2</v>
      </c>
      <c r="U4343">
        <v>-17.992799999999999</v>
      </c>
      <c r="V4343" t="str">
        <f t="shared" si="67"/>
        <v>Justin Deggeller</v>
      </c>
      <c r="W4343">
        <f>Table2[Profit]/Table2[Sales]</f>
        <v>-0.22499999999999998</v>
      </c>
    </row>
    <row r="4344" spans="1:23" x14ac:dyDescent="0.25">
      <c r="A4344">
        <v>4343</v>
      </c>
      <c r="B4344" t="s">
        <v>9958</v>
      </c>
      <c r="C4344" s="1">
        <v>41701</v>
      </c>
      <c r="D4344" s="1">
        <v>41705</v>
      </c>
      <c r="E4344" t="s">
        <v>49</v>
      </c>
      <c r="F4344" t="s">
        <v>3411</v>
      </c>
      <c r="G4344" t="s">
        <v>3412</v>
      </c>
      <c r="H4344" t="s">
        <v>25</v>
      </c>
      <c r="I4344" t="s">
        <v>26</v>
      </c>
      <c r="J4344" t="s">
        <v>941</v>
      </c>
      <c r="K4344" t="s">
        <v>42</v>
      </c>
      <c r="L4344">
        <v>92037</v>
      </c>
      <c r="M4344" t="s">
        <v>43</v>
      </c>
      <c r="N4344" t="s">
        <v>3728</v>
      </c>
      <c r="O4344" t="s">
        <v>31</v>
      </c>
      <c r="P4344" t="s">
        <v>55</v>
      </c>
      <c r="Q4344" t="s">
        <v>3729</v>
      </c>
      <c r="R4344">
        <v>626.35199999999998</v>
      </c>
      <c r="S4344">
        <v>3</v>
      </c>
      <c r="T4344">
        <v>0.2</v>
      </c>
      <c r="U4344">
        <v>-23.488199999999999</v>
      </c>
      <c r="V4344" t="str">
        <f t="shared" si="67"/>
        <v>Eva Jacobs</v>
      </c>
      <c r="W4344">
        <f>Table2[Profit]/Table2[Sales]</f>
        <v>-3.7499999999999999E-2</v>
      </c>
    </row>
    <row r="4345" spans="1:23" x14ac:dyDescent="0.25">
      <c r="A4345">
        <v>4344</v>
      </c>
      <c r="B4345" t="s">
        <v>9959</v>
      </c>
      <c r="C4345" s="1">
        <v>42341</v>
      </c>
      <c r="D4345" s="1">
        <v>42345</v>
      </c>
      <c r="E4345" t="s">
        <v>49</v>
      </c>
      <c r="F4345" t="s">
        <v>5386</v>
      </c>
      <c r="G4345" t="s">
        <v>5387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4916</v>
      </c>
      <c r="O4345" t="s">
        <v>31</v>
      </c>
      <c r="P4345" t="s">
        <v>32</v>
      </c>
      <c r="Q4345" t="s">
        <v>5421</v>
      </c>
      <c r="R4345">
        <v>359.49900000000002</v>
      </c>
      <c r="S4345">
        <v>3</v>
      </c>
      <c r="T4345">
        <v>0.15</v>
      </c>
      <c r="U4345">
        <v>-29.605799999999999</v>
      </c>
      <c r="V4345" t="str">
        <f t="shared" si="67"/>
        <v>Pierre Wener</v>
      </c>
      <c r="W4345">
        <f>Table2[Profit]/Table2[Sales]</f>
        <v>-8.2352941176470573E-2</v>
      </c>
    </row>
    <row r="4346" spans="1:23" x14ac:dyDescent="0.25">
      <c r="A4346">
        <v>4345</v>
      </c>
      <c r="B4346" t="s">
        <v>9960</v>
      </c>
      <c r="C4346" s="1">
        <v>42927</v>
      </c>
      <c r="D4346" s="1">
        <v>42932</v>
      </c>
      <c r="E4346" t="s">
        <v>49</v>
      </c>
      <c r="F4346" t="s">
        <v>7445</v>
      </c>
      <c r="G4346" t="s">
        <v>7446</v>
      </c>
      <c r="H4346" t="s">
        <v>40</v>
      </c>
      <c r="I4346" t="s">
        <v>26</v>
      </c>
      <c r="J4346" t="s">
        <v>941</v>
      </c>
      <c r="K4346" t="s">
        <v>42</v>
      </c>
      <c r="L4346">
        <v>92105</v>
      </c>
      <c r="M4346" t="s">
        <v>43</v>
      </c>
      <c r="N4346" t="s">
        <v>2349</v>
      </c>
      <c r="O4346" t="s">
        <v>70</v>
      </c>
      <c r="P4346" t="s">
        <v>71</v>
      </c>
      <c r="Q4346" t="s">
        <v>2350</v>
      </c>
      <c r="R4346">
        <v>71.951999999999998</v>
      </c>
      <c r="S4346">
        <v>6</v>
      </c>
      <c r="T4346">
        <v>0.2</v>
      </c>
      <c r="U4346">
        <v>5.3963999999999999</v>
      </c>
      <c r="V4346" t="str">
        <f t="shared" si="67"/>
        <v>Tom Stivers</v>
      </c>
      <c r="W4346">
        <f>Table2[Profit]/Table2[Sales]</f>
        <v>7.4999999999999997E-2</v>
      </c>
    </row>
    <row r="4347" spans="1:23" x14ac:dyDescent="0.25">
      <c r="A4347">
        <v>4346</v>
      </c>
      <c r="B4347" t="s">
        <v>9961</v>
      </c>
      <c r="C4347" s="1">
        <v>43055</v>
      </c>
      <c r="D4347" s="1">
        <v>43059</v>
      </c>
      <c r="E4347" t="s">
        <v>22</v>
      </c>
      <c r="F4347" t="s">
        <v>2570</v>
      </c>
      <c r="G4347" t="s">
        <v>2571</v>
      </c>
      <c r="H4347" t="s">
        <v>40</v>
      </c>
      <c r="I4347" t="s">
        <v>26</v>
      </c>
      <c r="J4347" t="s">
        <v>9962</v>
      </c>
      <c r="K4347" t="s">
        <v>491</v>
      </c>
      <c r="L4347">
        <v>44035</v>
      </c>
      <c r="M4347" t="s">
        <v>145</v>
      </c>
      <c r="N4347" t="s">
        <v>2008</v>
      </c>
      <c r="O4347" t="s">
        <v>45</v>
      </c>
      <c r="P4347" t="s">
        <v>74</v>
      </c>
      <c r="Q4347" t="s">
        <v>2009</v>
      </c>
      <c r="R4347">
        <v>1.8240000000000001</v>
      </c>
      <c r="S4347">
        <v>1</v>
      </c>
      <c r="T4347">
        <v>0.7</v>
      </c>
      <c r="U4347">
        <v>-1.3984000000000001</v>
      </c>
      <c r="V4347" t="str">
        <f t="shared" si="67"/>
        <v>Brian Moss</v>
      </c>
      <c r="W4347">
        <f>Table2[Profit]/Table2[Sales]</f>
        <v>-0.76666666666666672</v>
      </c>
    </row>
    <row r="4348" spans="1:23" x14ac:dyDescent="0.25">
      <c r="A4348">
        <v>4347</v>
      </c>
      <c r="B4348" t="s">
        <v>9963</v>
      </c>
      <c r="C4348" s="1">
        <v>42533</v>
      </c>
      <c r="D4348" s="1">
        <v>42537</v>
      </c>
      <c r="E4348" t="s">
        <v>22</v>
      </c>
      <c r="F4348" t="s">
        <v>5046</v>
      </c>
      <c r="G4348" t="s">
        <v>5047</v>
      </c>
      <c r="H4348" t="s">
        <v>101</v>
      </c>
      <c r="I4348" t="s">
        <v>26</v>
      </c>
      <c r="J4348" t="s">
        <v>181</v>
      </c>
      <c r="K4348" t="s">
        <v>103</v>
      </c>
      <c r="L4348">
        <v>77070</v>
      </c>
      <c r="M4348" t="s">
        <v>104</v>
      </c>
      <c r="N4348" t="s">
        <v>5816</v>
      </c>
      <c r="O4348" t="s">
        <v>45</v>
      </c>
      <c r="P4348" t="s">
        <v>77</v>
      </c>
      <c r="Q4348" t="s">
        <v>5817</v>
      </c>
      <c r="R4348">
        <v>64.384</v>
      </c>
      <c r="S4348">
        <v>4</v>
      </c>
      <c r="T4348">
        <v>0.8</v>
      </c>
      <c r="U4348">
        <v>-160.96</v>
      </c>
      <c r="V4348" t="str">
        <f t="shared" si="67"/>
        <v>Arthur Wiediger</v>
      </c>
      <c r="W4348">
        <f>Table2[Profit]/Table2[Sales]</f>
        <v>-2.5</v>
      </c>
    </row>
    <row r="4349" spans="1:23" x14ac:dyDescent="0.25">
      <c r="A4349">
        <v>4348</v>
      </c>
      <c r="B4349" t="s">
        <v>9964</v>
      </c>
      <c r="C4349" s="1">
        <v>42733</v>
      </c>
      <c r="D4349" s="1">
        <v>42735</v>
      </c>
      <c r="E4349" t="s">
        <v>22</v>
      </c>
      <c r="F4349" t="s">
        <v>8025</v>
      </c>
      <c r="G4349" t="s">
        <v>8026</v>
      </c>
      <c r="H4349" t="s">
        <v>101</v>
      </c>
      <c r="I4349" t="s">
        <v>26</v>
      </c>
      <c r="J4349" t="s">
        <v>1406</v>
      </c>
      <c r="K4349" t="s">
        <v>53</v>
      </c>
      <c r="L4349">
        <v>33178</v>
      </c>
      <c r="M4349" t="s">
        <v>29</v>
      </c>
      <c r="N4349" t="s">
        <v>1839</v>
      </c>
      <c r="O4349" t="s">
        <v>45</v>
      </c>
      <c r="P4349" t="s">
        <v>89</v>
      </c>
      <c r="Q4349" t="s">
        <v>1840</v>
      </c>
      <c r="R4349">
        <v>37.408000000000001</v>
      </c>
      <c r="S4349">
        <v>7</v>
      </c>
      <c r="T4349">
        <v>0.2</v>
      </c>
      <c r="U4349">
        <v>13.0928</v>
      </c>
      <c r="V4349" t="str">
        <f t="shared" si="67"/>
        <v>Marc Harrigan</v>
      </c>
      <c r="W4349">
        <f>Table2[Profit]/Table2[Sales]</f>
        <v>0.35</v>
      </c>
    </row>
    <row r="4350" spans="1:23" x14ac:dyDescent="0.25">
      <c r="A4350">
        <v>4349</v>
      </c>
      <c r="B4350" t="s">
        <v>9965</v>
      </c>
      <c r="C4350" s="1">
        <v>42812</v>
      </c>
      <c r="D4350" s="1">
        <v>42817</v>
      </c>
      <c r="E4350" t="s">
        <v>49</v>
      </c>
      <c r="F4350" t="s">
        <v>2855</v>
      </c>
      <c r="G4350" t="s">
        <v>2856</v>
      </c>
      <c r="H4350" t="s">
        <v>25</v>
      </c>
      <c r="I4350" t="s">
        <v>26</v>
      </c>
      <c r="J4350" t="s">
        <v>94</v>
      </c>
      <c r="K4350" t="s">
        <v>95</v>
      </c>
      <c r="L4350">
        <v>98115</v>
      </c>
      <c r="M4350" t="s">
        <v>43</v>
      </c>
      <c r="N4350" t="s">
        <v>2626</v>
      </c>
      <c r="O4350" t="s">
        <v>45</v>
      </c>
      <c r="P4350" t="s">
        <v>67</v>
      </c>
      <c r="Q4350" t="s">
        <v>2627</v>
      </c>
      <c r="R4350">
        <v>46.2</v>
      </c>
      <c r="S4350">
        <v>4</v>
      </c>
      <c r="T4350">
        <v>0</v>
      </c>
      <c r="U4350">
        <v>21.251999999999999</v>
      </c>
      <c r="V4350" t="str">
        <f t="shared" si="67"/>
        <v>Scott Williamson</v>
      </c>
      <c r="W4350">
        <f>Table2[Profit]/Table2[Sales]</f>
        <v>0.45999999999999996</v>
      </c>
    </row>
    <row r="4351" spans="1:23" x14ac:dyDescent="0.25">
      <c r="A4351">
        <v>4350</v>
      </c>
      <c r="B4351" t="s">
        <v>9966</v>
      </c>
      <c r="C4351" s="1">
        <v>42365</v>
      </c>
      <c r="D4351" s="1">
        <v>42369</v>
      </c>
      <c r="E4351" t="s">
        <v>49</v>
      </c>
      <c r="F4351" t="s">
        <v>1147</v>
      </c>
      <c r="G4351" t="s">
        <v>1148</v>
      </c>
      <c r="H4351" t="s">
        <v>40</v>
      </c>
      <c r="I4351" t="s">
        <v>26</v>
      </c>
      <c r="J4351" t="s">
        <v>1173</v>
      </c>
      <c r="K4351" t="s">
        <v>328</v>
      </c>
      <c r="L4351">
        <v>37130</v>
      </c>
      <c r="M4351" t="s">
        <v>29</v>
      </c>
      <c r="N4351" t="s">
        <v>9719</v>
      </c>
      <c r="O4351" t="s">
        <v>70</v>
      </c>
      <c r="P4351" t="s">
        <v>158</v>
      </c>
      <c r="Q4351" t="s">
        <v>9720</v>
      </c>
      <c r="R4351">
        <v>4.7279999999999998</v>
      </c>
      <c r="S4351">
        <v>3</v>
      </c>
      <c r="T4351">
        <v>0.2</v>
      </c>
      <c r="U4351">
        <v>0.70920000000000005</v>
      </c>
      <c r="V4351" t="str">
        <f t="shared" si="67"/>
        <v>Sung Pak</v>
      </c>
      <c r="W4351">
        <f>Table2[Profit]/Table2[Sales]</f>
        <v>0.15000000000000002</v>
      </c>
    </row>
    <row r="4352" spans="1:23" x14ac:dyDescent="0.25">
      <c r="A4352">
        <v>4351</v>
      </c>
      <c r="B4352" t="s">
        <v>9967</v>
      </c>
      <c r="C4352" s="1">
        <v>42216</v>
      </c>
      <c r="D4352" s="1">
        <v>42222</v>
      </c>
      <c r="E4352" t="s">
        <v>49</v>
      </c>
      <c r="F4352" t="s">
        <v>2296</v>
      </c>
      <c r="G4352" t="s">
        <v>2297</v>
      </c>
      <c r="H4352" t="s">
        <v>40</v>
      </c>
      <c r="I4352" t="s">
        <v>26</v>
      </c>
      <c r="J4352" t="s">
        <v>4980</v>
      </c>
      <c r="K4352" t="s">
        <v>590</v>
      </c>
      <c r="L4352">
        <v>63116</v>
      </c>
      <c r="M4352" t="s">
        <v>104</v>
      </c>
      <c r="N4352" t="s">
        <v>1394</v>
      </c>
      <c r="O4352" t="s">
        <v>45</v>
      </c>
      <c r="P4352" t="s">
        <v>572</v>
      </c>
      <c r="Q4352" t="s">
        <v>1395</v>
      </c>
      <c r="R4352">
        <v>52.59</v>
      </c>
      <c r="S4352">
        <v>3</v>
      </c>
      <c r="T4352">
        <v>0</v>
      </c>
      <c r="U4352">
        <v>15.776999999999999</v>
      </c>
      <c r="V4352" t="str">
        <f t="shared" si="67"/>
        <v>Steve Chapman</v>
      </c>
      <c r="W4352">
        <f>Table2[Profit]/Table2[Sales]</f>
        <v>0.3</v>
      </c>
    </row>
    <row r="4353" spans="1:23" x14ac:dyDescent="0.25">
      <c r="A4353">
        <v>4352</v>
      </c>
      <c r="B4353" t="s">
        <v>9968</v>
      </c>
      <c r="C4353" s="1">
        <v>42913</v>
      </c>
      <c r="D4353" s="1">
        <v>42915</v>
      </c>
      <c r="E4353" t="s">
        <v>22</v>
      </c>
      <c r="F4353" t="s">
        <v>3804</v>
      </c>
      <c r="G4353" t="s">
        <v>3805</v>
      </c>
      <c r="H4353" t="s">
        <v>40</v>
      </c>
      <c r="I4353" t="s">
        <v>26</v>
      </c>
      <c r="J4353" t="s">
        <v>94</v>
      </c>
      <c r="K4353" t="s">
        <v>95</v>
      </c>
      <c r="L4353">
        <v>98105</v>
      </c>
      <c r="M4353" t="s">
        <v>43</v>
      </c>
      <c r="N4353" t="s">
        <v>6038</v>
      </c>
      <c r="O4353" t="s">
        <v>45</v>
      </c>
      <c r="P4353" t="s">
        <v>89</v>
      </c>
      <c r="Q4353" t="s">
        <v>6039</v>
      </c>
      <c r="R4353">
        <v>19.440000000000001</v>
      </c>
      <c r="S4353">
        <v>3</v>
      </c>
      <c r="T4353">
        <v>0</v>
      </c>
      <c r="U4353">
        <v>9.3312000000000008</v>
      </c>
      <c r="V4353" t="str">
        <f t="shared" si="67"/>
        <v>Pauline Webber</v>
      </c>
      <c r="W4353">
        <f>Table2[Profit]/Table2[Sales]</f>
        <v>0.48000000000000004</v>
      </c>
    </row>
    <row r="4354" spans="1:23" x14ac:dyDescent="0.25">
      <c r="A4354">
        <v>4353</v>
      </c>
      <c r="B4354" t="s">
        <v>9969</v>
      </c>
      <c r="C4354" s="1">
        <v>41677</v>
      </c>
      <c r="D4354" s="1">
        <v>41680</v>
      </c>
      <c r="E4354" t="s">
        <v>22</v>
      </c>
      <c r="F4354" t="s">
        <v>2388</v>
      </c>
      <c r="G4354" t="s">
        <v>2389</v>
      </c>
      <c r="H4354" t="s">
        <v>40</v>
      </c>
      <c r="I4354" t="s">
        <v>26</v>
      </c>
      <c r="J4354" t="s">
        <v>263</v>
      </c>
      <c r="K4354" t="s">
        <v>264</v>
      </c>
      <c r="L4354">
        <v>10024</v>
      </c>
      <c r="M4354" t="s">
        <v>145</v>
      </c>
      <c r="N4354" t="s">
        <v>2770</v>
      </c>
      <c r="O4354" t="s">
        <v>45</v>
      </c>
      <c r="P4354" t="s">
        <v>58</v>
      </c>
      <c r="Q4354" t="s">
        <v>2771</v>
      </c>
      <c r="R4354">
        <v>64.959999999999994</v>
      </c>
      <c r="S4354">
        <v>4</v>
      </c>
      <c r="T4354">
        <v>0</v>
      </c>
      <c r="U4354">
        <v>9.7439999999999998</v>
      </c>
      <c r="V4354" t="str">
        <f t="shared" si="67"/>
        <v>Chris Selesnick</v>
      </c>
      <c r="W4354">
        <f>Table2[Profit]/Table2[Sales]</f>
        <v>0.15000000000000002</v>
      </c>
    </row>
    <row r="4355" spans="1:23" x14ac:dyDescent="0.25">
      <c r="A4355">
        <v>4354</v>
      </c>
      <c r="B4355" t="s">
        <v>9970</v>
      </c>
      <c r="C4355" s="1">
        <v>42617</v>
      </c>
      <c r="D4355" s="1">
        <v>42622</v>
      </c>
      <c r="E4355" t="s">
        <v>49</v>
      </c>
      <c r="F4355" t="s">
        <v>4420</v>
      </c>
      <c r="G4355" t="s">
        <v>4421</v>
      </c>
      <c r="H4355" t="s">
        <v>40</v>
      </c>
      <c r="I4355" t="s">
        <v>26</v>
      </c>
      <c r="J4355" t="s">
        <v>7961</v>
      </c>
      <c r="K4355" t="s">
        <v>226</v>
      </c>
      <c r="L4355">
        <v>55125</v>
      </c>
      <c r="M4355" t="s">
        <v>104</v>
      </c>
      <c r="N4355" t="s">
        <v>1981</v>
      </c>
      <c r="O4355" t="s">
        <v>45</v>
      </c>
      <c r="P4355" t="s">
        <v>58</v>
      </c>
      <c r="Q4355" t="s">
        <v>1982</v>
      </c>
      <c r="R4355">
        <v>535.41</v>
      </c>
      <c r="S4355">
        <v>3</v>
      </c>
      <c r="T4355">
        <v>0</v>
      </c>
      <c r="U4355">
        <v>160.62299999999999</v>
      </c>
      <c r="V4355" t="str">
        <f t="shared" ref="V4355:V4418" si="68">TRIM(G4355)</f>
        <v>Roy Phan</v>
      </c>
      <c r="W4355">
        <f>Table2[Profit]/Table2[Sales]</f>
        <v>0.3</v>
      </c>
    </row>
    <row r="4356" spans="1:23" x14ac:dyDescent="0.25">
      <c r="A4356">
        <v>4355</v>
      </c>
      <c r="B4356" t="s">
        <v>9971</v>
      </c>
      <c r="C4356" s="1">
        <v>42831</v>
      </c>
      <c r="D4356" s="1">
        <v>42835</v>
      </c>
      <c r="E4356" t="s">
        <v>49</v>
      </c>
      <c r="F4356" t="s">
        <v>6962</v>
      </c>
      <c r="G4356" t="s">
        <v>6963</v>
      </c>
      <c r="H4356" t="s">
        <v>40</v>
      </c>
      <c r="I4356" t="s">
        <v>26</v>
      </c>
      <c r="J4356" t="s">
        <v>6103</v>
      </c>
      <c r="K4356" t="s">
        <v>328</v>
      </c>
      <c r="L4356">
        <v>37421</v>
      </c>
      <c r="M4356" t="s">
        <v>29</v>
      </c>
      <c r="N4356" t="s">
        <v>3111</v>
      </c>
      <c r="O4356" t="s">
        <v>45</v>
      </c>
      <c r="P4356" t="s">
        <v>74</v>
      </c>
      <c r="Q4356" t="s">
        <v>3112</v>
      </c>
      <c r="R4356">
        <v>8.1</v>
      </c>
      <c r="S4356">
        <v>5</v>
      </c>
      <c r="T4356">
        <v>0.7</v>
      </c>
      <c r="U4356">
        <v>-5.94</v>
      </c>
      <c r="V4356" t="str">
        <f t="shared" si="68"/>
        <v>Charles Sheldon</v>
      </c>
      <c r="W4356">
        <f>Table2[Profit]/Table2[Sales]</f>
        <v>-0.73333333333333339</v>
      </c>
    </row>
    <row r="4357" spans="1:23" x14ac:dyDescent="0.25">
      <c r="A4357">
        <v>4356</v>
      </c>
      <c r="B4357" t="s">
        <v>9972</v>
      </c>
      <c r="C4357" s="1">
        <v>43077</v>
      </c>
      <c r="D4357" s="1">
        <v>43080</v>
      </c>
      <c r="E4357" t="s">
        <v>185</v>
      </c>
      <c r="F4357" t="s">
        <v>664</v>
      </c>
      <c r="G4357" t="s">
        <v>665</v>
      </c>
      <c r="H4357" t="s">
        <v>25</v>
      </c>
      <c r="I4357" t="s">
        <v>26</v>
      </c>
      <c r="J4357" t="s">
        <v>143</v>
      </c>
      <c r="K4357" t="s">
        <v>144</v>
      </c>
      <c r="L4357">
        <v>19140</v>
      </c>
      <c r="M4357" t="s">
        <v>145</v>
      </c>
      <c r="N4357" t="s">
        <v>672</v>
      </c>
      <c r="O4357" t="s">
        <v>45</v>
      </c>
      <c r="P4357" t="s">
        <v>67</v>
      </c>
      <c r="Q4357" t="s">
        <v>673</v>
      </c>
      <c r="R4357">
        <v>13.247999999999999</v>
      </c>
      <c r="S4357">
        <v>4</v>
      </c>
      <c r="T4357">
        <v>0.2</v>
      </c>
      <c r="U4357">
        <v>3.6432000000000002</v>
      </c>
      <c r="V4357" t="str">
        <f t="shared" si="68"/>
        <v>Max Jones</v>
      </c>
      <c r="W4357">
        <f>Table2[Profit]/Table2[Sales]</f>
        <v>0.27500000000000002</v>
      </c>
    </row>
    <row r="4358" spans="1:23" x14ac:dyDescent="0.25">
      <c r="A4358">
        <v>4357</v>
      </c>
      <c r="B4358" t="s">
        <v>9973</v>
      </c>
      <c r="C4358" s="1">
        <v>42575</v>
      </c>
      <c r="D4358" s="1">
        <v>42576</v>
      </c>
      <c r="E4358" t="s">
        <v>185</v>
      </c>
      <c r="F4358" t="s">
        <v>4175</v>
      </c>
      <c r="G4358" t="s">
        <v>4176</v>
      </c>
      <c r="H4358" t="s">
        <v>25</v>
      </c>
      <c r="I4358" t="s">
        <v>26</v>
      </c>
      <c r="J4358" t="s">
        <v>4182</v>
      </c>
      <c r="K4358" t="s">
        <v>729</v>
      </c>
      <c r="L4358">
        <v>70506</v>
      </c>
      <c r="M4358" t="s">
        <v>29</v>
      </c>
      <c r="N4358" t="s">
        <v>4145</v>
      </c>
      <c r="O4358" t="s">
        <v>45</v>
      </c>
      <c r="P4358" t="s">
        <v>67</v>
      </c>
      <c r="Q4358" t="s">
        <v>4146</v>
      </c>
      <c r="R4358">
        <v>73.2</v>
      </c>
      <c r="S4358">
        <v>5</v>
      </c>
      <c r="T4358">
        <v>0</v>
      </c>
      <c r="U4358">
        <v>21.228000000000002</v>
      </c>
      <c r="V4358" t="str">
        <f t="shared" si="68"/>
        <v>James Galang</v>
      </c>
      <c r="W4358">
        <f>Table2[Profit]/Table2[Sales]</f>
        <v>0.29000000000000004</v>
      </c>
    </row>
    <row r="4359" spans="1:23" x14ac:dyDescent="0.25">
      <c r="A4359">
        <v>4358</v>
      </c>
      <c r="B4359" t="s">
        <v>9974</v>
      </c>
      <c r="C4359" s="1">
        <v>42317</v>
      </c>
      <c r="D4359" s="1">
        <v>42317</v>
      </c>
      <c r="E4359" t="s">
        <v>1278</v>
      </c>
      <c r="F4359" t="s">
        <v>2671</v>
      </c>
      <c r="G4359" t="s">
        <v>2672</v>
      </c>
      <c r="H4359" t="s">
        <v>101</v>
      </c>
      <c r="I4359" t="s">
        <v>26</v>
      </c>
      <c r="J4359" t="s">
        <v>1465</v>
      </c>
      <c r="K4359" t="s">
        <v>251</v>
      </c>
      <c r="L4359">
        <v>46226</v>
      </c>
      <c r="M4359" t="s">
        <v>104</v>
      </c>
      <c r="N4359" t="s">
        <v>741</v>
      </c>
      <c r="O4359" t="s">
        <v>45</v>
      </c>
      <c r="P4359" t="s">
        <v>74</v>
      </c>
      <c r="Q4359" t="s">
        <v>742</v>
      </c>
      <c r="R4359">
        <v>10.74</v>
      </c>
      <c r="S4359">
        <v>3</v>
      </c>
      <c r="T4359">
        <v>0</v>
      </c>
      <c r="U4359">
        <v>5.1551999999999998</v>
      </c>
      <c r="V4359" t="str">
        <f t="shared" si="68"/>
        <v>Anthony Garverick</v>
      </c>
      <c r="W4359">
        <f>Table2[Profit]/Table2[Sales]</f>
        <v>0.48</v>
      </c>
    </row>
    <row r="4360" spans="1:23" x14ac:dyDescent="0.25">
      <c r="A4360">
        <v>4359</v>
      </c>
      <c r="B4360" t="s">
        <v>9975</v>
      </c>
      <c r="C4360" s="1">
        <v>42279</v>
      </c>
      <c r="D4360" s="1">
        <v>42281</v>
      </c>
      <c r="E4360" t="s">
        <v>185</v>
      </c>
      <c r="F4360" t="s">
        <v>1974</v>
      </c>
      <c r="G4360" t="s">
        <v>1975</v>
      </c>
      <c r="H4360" t="s">
        <v>25</v>
      </c>
      <c r="I4360" t="s">
        <v>26</v>
      </c>
      <c r="J4360" t="s">
        <v>9183</v>
      </c>
      <c r="K4360" t="s">
        <v>413</v>
      </c>
      <c r="L4360">
        <v>97123</v>
      </c>
      <c r="M4360" t="s">
        <v>43</v>
      </c>
      <c r="N4360" t="s">
        <v>419</v>
      </c>
      <c r="O4360" t="s">
        <v>31</v>
      </c>
      <c r="P4360" t="s">
        <v>64</v>
      </c>
      <c r="Q4360" t="s">
        <v>420</v>
      </c>
      <c r="R4360">
        <v>11.032</v>
      </c>
      <c r="S4360">
        <v>1</v>
      </c>
      <c r="T4360">
        <v>0.2</v>
      </c>
      <c r="U4360">
        <v>3.0337999999999998</v>
      </c>
      <c r="V4360" t="str">
        <f t="shared" si="68"/>
        <v>Chloris Kastensmidt</v>
      </c>
      <c r="W4360">
        <f>Table2[Profit]/Table2[Sales]</f>
        <v>0.27499999999999997</v>
      </c>
    </row>
    <row r="4361" spans="1:23" x14ac:dyDescent="0.25">
      <c r="A4361">
        <v>4360</v>
      </c>
      <c r="B4361" t="s">
        <v>9976</v>
      </c>
      <c r="C4361" s="1">
        <v>42330</v>
      </c>
      <c r="D4361" s="1">
        <v>42333</v>
      </c>
      <c r="E4361" t="s">
        <v>22</v>
      </c>
      <c r="F4361" t="s">
        <v>9852</v>
      </c>
      <c r="G4361" t="s">
        <v>9853</v>
      </c>
      <c r="H4361" t="s">
        <v>101</v>
      </c>
      <c r="I4361" t="s">
        <v>26</v>
      </c>
      <c r="J4361" t="s">
        <v>8579</v>
      </c>
      <c r="K4361" t="s">
        <v>1233</v>
      </c>
      <c r="L4361">
        <v>2138</v>
      </c>
      <c r="M4361" t="s">
        <v>145</v>
      </c>
      <c r="N4361" t="s">
        <v>127</v>
      </c>
      <c r="O4361" t="s">
        <v>45</v>
      </c>
      <c r="P4361" t="s">
        <v>67</v>
      </c>
      <c r="Q4361" t="s">
        <v>128</v>
      </c>
      <c r="R4361">
        <v>17.12</v>
      </c>
      <c r="S4361">
        <v>4</v>
      </c>
      <c r="T4361">
        <v>0</v>
      </c>
      <c r="U4361">
        <v>4.9648000000000003</v>
      </c>
      <c r="V4361" t="str">
        <f t="shared" si="68"/>
        <v>Harold Dahlen</v>
      </c>
      <c r="W4361">
        <f>Table2[Profit]/Table2[Sales]</f>
        <v>0.28999999999999998</v>
      </c>
    </row>
    <row r="4362" spans="1:23" x14ac:dyDescent="0.25">
      <c r="A4362">
        <v>4361</v>
      </c>
      <c r="B4362" t="s">
        <v>9977</v>
      </c>
      <c r="C4362" s="1">
        <v>42768</v>
      </c>
      <c r="D4362" s="1">
        <v>42773</v>
      </c>
      <c r="E4362" t="s">
        <v>49</v>
      </c>
      <c r="F4362" t="s">
        <v>5604</v>
      </c>
      <c r="G4362" t="s">
        <v>5605</v>
      </c>
      <c r="H4362" t="s">
        <v>40</v>
      </c>
      <c r="I4362" t="s">
        <v>26</v>
      </c>
      <c r="J4362" t="s">
        <v>941</v>
      </c>
      <c r="K4362" t="s">
        <v>42</v>
      </c>
      <c r="L4362">
        <v>92105</v>
      </c>
      <c r="M4362" t="s">
        <v>43</v>
      </c>
      <c r="N4362" t="s">
        <v>3057</v>
      </c>
      <c r="O4362" t="s">
        <v>31</v>
      </c>
      <c r="P4362" t="s">
        <v>64</v>
      </c>
      <c r="Q4362" t="s">
        <v>3058</v>
      </c>
      <c r="R4362">
        <v>210.58</v>
      </c>
      <c r="S4362">
        <v>2</v>
      </c>
      <c r="T4362">
        <v>0</v>
      </c>
      <c r="U4362">
        <v>12.6348</v>
      </c>
      <c r="V4362" t="str">
        <f t="shared" si="68"/>
        <v>Bill Overfelt</v>
      </c>
      <c r="W4362">
        <f>Table2[Profit]/Table2[Sales]</f>
        <v>0.06</v>
      </c>
    </row>
    <row r="4363" spans="1:23" x14ac:dyDescent="0.25">
      <c r="A4363">
        <v>4362</v>
      </c>
      <c r="B4363" t="s">
        <v>9978</v>
      </c>
      <c r="C4363" s="1">
        <v>42171</v>
      </c>
      <c r="D4363" s="1">
        <v>42174</v>
      </c>
      <c r="E4363" t="s">
        <v>185</v>
      </c>
      <c r="F4363" t="s">
        <v>558</v>
      </c>
      <c r="G4363" t="s">
        <v>559</v>
      </c>
      <c r="H4363" t="s">
        <v>25</v>
      </c>
      <c r="I4363" t="s">
        <v>26</v>
      </c>
      <c r="J4363" t="s">
        <v>263</v>
      </c>
      <c r="K4363" t="s">
        <v>264</v>
      </c>
      <c r="L4363">
        <v>10009</v>
      </c>
      <c r="M4363" t="s">
        <v>145</v>
      </c>
      <c r="N4363" t="s">
        <v>1718</v>
      </c>
      <c r="O4363" t="s">
        <v>45</v>
      </c>
      <c r="P4363" t="s">
        <v>74</v>
      </c>
      <c r="Q4363" t="s">
        <v>1719</v>
      </c>
      <c r="R4363">
        <v>3050.3760000000002</v>
      </c>
      <c r="S4363">
        <v>3</v>
      </c>
      <c r="T4363">
        <v>0.2</v>
      </c>
      <c r="U4363">
        <v>1143.8910000000001</v>
      </c>
      <c r="V4363" t="str">
        <f t="shared" si="68"/>
        <v>Lena Creighton</v>
      </c>
      <c r="W4363">
        <f>Table2[Profit]/Table2[Sales]</f>
        <v>0.375</v>
      </c>
    </row>
    <row r="4364" spans="1:23" x14ac:dyDescent="0.25">
      <c r="A4364">
        <v>4363</v>
      </c>
      <c r="B4364" t="s">
        <v>9979</v>
      </c>
      <c r="C4364" s="1">
        <v>42495</v>
      </c>
      <c r="D4364" s="1">
        <v>42499</v>
      </c>
      <c r="E4364" t="s">
        <v>49</v>
      </c>
      <c r="F4364" t="s">
        <v>433</v>
      </c>
      <c r="G4364" t="s">
        <v>434</v>
      </c>
      <c r="H4364" t="s">
        <v>101</v>
      </c>
      <c r="I4364" t="s">
        <v>26</v>
      </c>
      <c r="J4364" t="s">
        <v>5531</v>
      </c>
      <c r="K4364" t="s">
        <v>53</v>
      </c>
      <c r="L4364">
        <v>32303</v>
      </c>
      <c r="M4364" t="s">
        <v>29</v>
      </c>
      <c r="N4364" t="s">
        <v>9980</v>
      </c>
      <c r="O4364" t="s">
        <v>45</v>
      </c>
      <c r="P4364" t="s">
        <v>89</v>
      </c>
      <c r="Q4364" t="s">
        <v>9981</v>
      </c>
      <c r="R4364">
        <v>93.248000000000005</v>
      </c>
      <c r="S4364">
        <v>4</v>
      </c>
      <c r="T4364">
        <v>0.2</v>
      </c>
      <c r="U4364">
        <v>31.4712</v>
      </c>
      <c r="V4364" t="str">
        <f t="shared" si="68"/>
        <v>Rick Bensley</v>
      </c>
      <c r="W4364">
        <f>Table2[Profit]/Table2[Sales]</f>
        <v>0.33749999999999997</v>
      </c>
    </row>
    <row r="4365" spans="1:23" x14ac:dyDescent="0.25">
      <c r="A4365">
        <v>4364</v>
      </c>
      <c r="B4365" t="s">
        <v>9982</v>
      </c>
      <c r="C4365" s="1">
        <v>42987</v>
      </c>
      <c r="D4365" s="1">
        <v>42988</v>
      </c>
      <c r="E4365" t="s">
        <v>185</v>
      </c>
      <c r="F4365" t="s">
        <v>4730</v>
      </c>
      <c r="G4365" t="s">
        <v>4731</v>
      </c>
      <c r="H4365" t="s">
        <v>25</v>
      </c>
      <c r="I4365" t="s">
        <v>26</v>
      </c>
      <c r="J4365" t="s">
        <v>2797</v>
      </c>
      <c r="K4365" t="s">
        <v>491</v>
      </c>
      <c r="L4365">
        <v>43615</v>
      </c>
      <c r="M4365" t="s">
        <v>145</v>
      </c>
      <c r="N4365" t="s">
        <v>4468</v>
      </c>
      <c r="O4365" t="s">
        <v>45</v>
      </c>
      <c r="P4365" t="s">
        <v>46</v>
      </c>
      <c r="Q4365" t="s">
        <v>4469</v>
      </c>
      <c r="R4365">
        <v>17.712</v>
      </c>
      <c r="S4365">
        <v>6</v>
      </c>
      <c r="T4365">
        <v>0.2</v>
      </c>
      <c r="U4365">
        <v>5.9778000000000002</v>
      </c>
      <c r="V4365" t="str">
        <f t="shared" si="68"/>
        <v>Joy Daniels</v>
      </c>
      <c r="W4365">
        <f>Table2[Profit]/Table2[Sales]</f>
        <v>0.33750000000000002</v>
      </c>
    </row>
    <row r="4366" spans="1:23" x14ac:dyDescent="0.25">
      <c r="A4366">
        <v>4365</v>
      </c>
      <c r="B4366" t="s">
        <v>9983</v>
      </c>
      <c r="C4366" s="1">
        <v>42573</v>
      </c>
      <c r="D4366" s="1">
        <v>42577</v>
      </c>
      <c r="E4366" t="s">
        <v>49</v>
      </c>
      <c r="F4366" t="s">
        <v>6709</v>
      </c>
      <c r="G4366" t="s">
        <v>6710</v>
      </c>
      <c r="H4366" t="s">
        <v>40</v>
      </c>
      <c r="I4366" t="s">
        <v>26</v>
      </c>
      <c r="J4366" t="s">
        <v>375</v>
      </c>
      <c r="K4366" t="s">
        <v>2699</v>
      </c>
      <c r="L4366">
        <v>21044</v>
      </c>
      <c r="M4366" t="s">
        <v>145</v>
      </c>
      <c r="N4366" t="s">
        <v>2107</v>
      </c>
      <c r="O4366" t="s">
        <v>45</v>
      </c>
      <c r="P4366" t="s">
        <v>77</v>
      </c>
      <c r="Q4366" t="s">
        <v>2108</v>
      </c>
      <c r="R4366">
        <v>37.68</v>
      </c>
      <c r="S4366">
        <v>2</v>
      </c>
      <c r="T4366">
        <v>0</v>
      </c>
      <c r="U4366">
        <v>10.5504</v>
      </c>
      <c r="V4366" t="str">
        <f t="shared" si="68"/>
        <v>Maureen Fritzler</v>
      </c>
      <c r="W4366">
        <f>Table2[Profit]/Table2[Sales]</f>
        <v>0.27999999999999997</v>
      </c>
    </row>
    <row r="4367" spans="1:23" x14ac:dyDescent="0.25">
      <c r="A4367">
        <v>4366</v>
      </c>
      <c r="B4367" t="s">
        <v>9984</v>
      </c>
      <c r="C4367" s="1">
        <v>42400</v>
      </c>
      <c r="D4367" s="1">
        <v>42406</v>
      </c>
      <c r="E4367" t="s">
        <v>49</v>
      </c>
      <c r="F4367" t="s">
        <v>3369</v>
      </c>
      <c r="G4367" t="s">
        <v>3370</v>
      </c>
      <c r="H4367" t="s">
        <v>101</v>
      </c>
      <c r="I4367" t="s">
        <v>26</v>
      </c>
      <c r="J4367" t="s">
        <v>1712</v>
      </c>
      <c r="K4367" t="s">
        <v>1260</v>
      </c>
      <c r="L4367">
        <v>30318</v>
      </c>
      <c r="M4367" t="s">
        <v>29</v>
      </c>
      <c r="N4367" t="s">
        <v>1718</v>
      </c>
      <c r="O4367" t="s">
        <v>45</v>
      </c>
      <c r="P4367" t="s">
        <v>74</v>
      </c>
      <c r="Q4367" t="s">
        <v>1719</v>
      </c>
      <c r="R4367">
        <v>1270.99</v>
      </c>
      <c r="S4367">
        <v>1</v>
      </c>
      <c r="T4367">
        <v>0</v>
      </c>
      <c r="U4367">
        <v>635.495</v>
      </c>
      <c r="V4367" t="str">
        <f t="shared" si="68"/>
        <v>Ben Ferrer</v>
      </c>
      <c r="W4367">
        <f>Table2[Profit]/Table2[Sales]</f>
        <v>0.5</v>
      </c>
    </row>
    <row r="4368" spans="1:23" x14ac:dyDescent="0.25">
      <c r="A4368">
        <v>4367</v>
      </c>
      <c r="B4368" t="s">
        <v>9985</v>
      </c>
      <c r="C4368" s="1">
        <v>42733</v>
      </c>
      <c r="D4368" s="1">
        <v>42737</v>
      </c>
      <c r="E4368" t="s">
        <v>49</v>
      </c>
      <c r="F4368" t="s">
        <v>3109</v>
      </c>
      <c r="G4368" t="s">
        <v>3110</v>
      </c>
      <c r="H4368" t="s">
        <v>25</v>
      </c>
      <c r="I4368" t="s">
        <v>26</v>
      </c>
      <c r="J4368" t="s">
        <v>5281</v>
      </c>
      <c r="K4368" t="s">
        <v>42</v>
      </c>
      <c r="L4368">
        <v>95823</v>
      </c>
      <c r="M4368" t="s">
        <v>43</v>
      </c>
      <c r="N4368" t="s">
        <v>2968</v>
      </c>
      <c r="O4368" t="s">
        <v>45</v>
      </c>
      <c r="P4368" t="s">
        <v>58</v>
      </c>
      <c r="Q4368" t="s">
        <v>2969</v>
      </c>
      <c r="R4368">
        <v>14.03</v>
      </c>
      <c r="S4368">
        <v>1</v>
      </c>
      <c r="T4368">
        <v>0</v>
      </c>
      <c r="U4368">
        <v>4.0686999999999998</v>
      </c>
      <c r="V4368" t="str">
        <f t="shared" si="68"/>
        <v>Frank Olsen</v>
      </c>
      <c r="W4368">
        <f>Table2[Profit]/Table2[Sales]</f>
        <v>0.28999999999999998</v>
      </c>
    </row>
    <row r="4369" spans="1:23" x14ac:dyDescent="0.25">
      <c r="A4369">
        <v>4368</v>
      </c>
      <c r="B4369" t="s">
        <v>9986</v>
      </c>
      <c r="C4369" s="1">
        <v>42329</v>
      </c>
      <c r="D4369" s="1">
        <v>42335</v>
      </c>
      <c r="E4369" t="s">
        <v>49</v>
      </c>
      <c r="F4369" t="s">
        <v>1516</v>
      </c>
      <c r="G4369" t="s">
        <v>1517</v>
      </c>
      <c r="H4369" t="s">
        <v>40</v>
      </c>
      <c r="I4369" t="s">
        <v>26</v>
      </c>
      <c r="J4369" t="s">
        <v>102</v>
      </c>
      <c r="K4369" t="s">
        <v>103</v>
      </c>
      <c r="L4369">
        <v>76106</v>
      </c>
      <c r="M4369" t="s">
        <v>104</v>
      </c>
      <c r="N4369" t="s">
        <v>4761</v>
      </c>
      <c r="O4369" t="s">
        <v>45</v>
      </c>
      <c r="P4369" t="s">
        <v>67</v>
      </c>
      <c r="Q4369" t="s">
        <v>4762</v>
      </c>
      <c r="R4369">
        <v>5.3440000000000003</v>
      </c>
      <c r="S4369">
        <v>2</v>
      </c>
      <c r="T4369">
        <v>0.2</v>
      </c>
      <c r="U4369">
        <v>0.73480000000000001</v>
      </c>
      <c r="V4369" t="str">
        <f t="shared" si="68"/>
        <v>Brenda Bowman</v>
      </c>
      <c r="W4369">
        <f>Table2[Profit]/Table2[Sales]</f>
        <v>0.13749999999999998</v>
      </c>
    </row>
    <row r="4370" spans="1:23" x14ac:dyDescent="0.25">
      <c r="A4370">
        <v>4369</v>
      </c>
      <c r="B4370" t="s">
        <v>9987</v>
      </c>
      <c r="C4370" s="1">
        <v>42282</v>
      </c>
      <c r="D4370" s="1">
        <v>42286</v>
      </c>
      <c r="E4370" t="s">
        <v>49</v>
      </c>
      <c r="F4370" t="s">
        <v>5007</v>
      </c>
      <c r="G4370" t="s">
        <v>5008</v>
      </c>
      <c r="H4370" t="s">
        <v>25</v>
      </c>
      <c r="I4370" t="s">
        <v>26</v>
      </c>
      <c r="J4370" t="s">
        <v>490</v>
      </c>
      <c r="K4370" t="s">
        <v>491</v>
      </c>
      <c r="L4370">
        <v>43229</v>
      </c>
      <c r="M4370" t="s">
        <v>145</v>
      </c>
      <c r="N4370" t="s">
        <v>1156</v>
      </c>
      <c r="O4370" t="s">
        <v>70</v>
      </c>
      <c r="P4370" t="s">
        <v>158</v>
      </c>
      <c r="Q4370" t="s">
        <v>1157</v>
      </c>
      <c r="R4370">
        <v>288</v>
      </c>
      <c r="S4370">
        <v>4</v>
      </c>
      <c r="T4370">
        <v>0.2</v>
      </c>
      <c r="U4370">
        <v>57.6</v>
      </c>
      <c r="V4370" t="str">
        <f t="shared" si="68"/>
        <v>Ivan Liston</v>
      </c>
      <c r="W4370">
        <f>Table2[Profit]/Table2[Sales]</f>
        <v>0.2</v>
      </c>
    </row>
    <row r="4371" spans="1:23" x14ac:dyDescent="0.25">
      <c r="A4371">
        <v>4370</v>
      </c>
      <c r="B4371" t="s">
        <v>9988</v>
      </c>
      <c r="C4371" s="1">
        <v>42625</v>
      </c>
      <c r="D4371" s="1">
        <v>42626</v>
      </c>
      <c r="E4371" t="s">
        <v>1278</v>
      </c>
      <c r="F4371" t="s">
        <v>1511</v>
      </c>
      <c r="G4371" t="s">
        <v>1512</v>
      </c>
      <c r="H4371" t="s">
        <v>101</v>
      </c>
      <c r="I4371" t="s">
        <v>26</v>
      </c>
      <c r="J4371" t="s">
        <v>1459</v>
      </c>
      <c r="K4371" t="s">
        <v>450</v>
      </c>
      <c r="L4371">
        <v>80027</v>
      </c>
      <c r="M4371" t="s">
        <v>43</v>
      </c>
      <c r="N4371" t="s">
        <v>8130</v>
      </c>
      <c r="O4371" t="s">
        <v>70</v>
      </c>
      <c r="P4371" t="s">
        <v>71</v>
      </c>
      <c r="Q4371" t="s">
        <v>8131</v>
      </c>
      <c r="R4371">
        <v>146.952</v>
      </c>
      <c r="S4371">
        <v>3</v>
      </c>
      <c r="T4371">
        <v>0.2</v>
      </c>
      <c r="U4371">
        <v>9.1844999999999999</v>
      </c>
      <c r="V4371" t="str">
        <f t="shared" si="68"/>
        <v>Philisse Overcash</v>
      </c>
      <c r="W4371">
        <f>Table2[Profit]/Table2[Sales]</f>
        <v>6.25E-2</v>
      </c>
    </row>
    <row r="4372" spans="1:23" x14ac:dyDescent="0.25">
      <c r="A4372">
        <v>4371</v>
      </c>
      <c r="B4372" t="s">
        <v>9989</v>
      </c>
      <c r="C4372" s="1">
        <v>42992</v>
      </c>
      <c r="D4372" s="1">
        <v>42995</v>
      </c>
      <c r="E4372" t="s">
        <v>185</v>
      </c>
      <c r="F4372" t="s">
        <v>5063</v>
      </c>
      <c r="G4372" t="s">
        <v>5064</v>
      </c>
      <c r="H4372" t="s">
        <v>40</v>
      </c>
      <c r="I4372" t="s">
        <v>26</v>
      </c>
      <c r="J4372" t="s">
        <v>4494</v>
      </c>
      <c r="K4372" t="s">
        <v>87</v>
      </c>
      <c r="L4372">
        <v>27604</v>
      </c>
      <c r="M4372" t="s">
        <v>29</v>
      </c>
      <c r="N4372" t="s">
        <v>4768</v>
      </c>
      <c r="O4372" t="s">
        <v>45</v>
      </c>
      <c r="P4372" t="s">
        <v>77</v>
      </c>
      <c r="Q4372" t="s">
        <v>4769</v>
      </c>
      <c r="R4372">
        <v>942.78399999999999</v>
      </c>
      <c r="S4372">
        <v>4</v>
      </c>
      <c r="T4372">
        <v>0.2</v>
      </c>
      <c r="U4372">
        <v>94.278400000000005</v>
      </c>
      <c r="V4372" t="str">
        <f t="shared" si="68"/>
        <v>Dorothy Badders</v>
      </c>
      <c r="W4372">
        <f>Table2[Profit]/Table2[Sales]</f>
        <v>0.1</v>
      </c>
    </row>
    <row r="4373" spans="1:23" x14ac:dyDescent="0.25">
      <c r="A4373">
        <v>4372</v>
      </c>
      <c r="B4373" t="s">
        <v>9990</v>
      </c>
      <c r="C4373" s="1">
        <v>42058</v>
      </c>
      <c r="D4373" s="1">
        <v>42063</v>
      </c>
      <c r="E4373" t="s">
        <v>49</v>
      </c>
      <c r="F4373" t="s">
        <v>9577</v>
      </c>
      <c r="G4373" t="s">
        <v>9578</v>
      </c>
      <c r="H4373" t="s">
        <v>101</v>
      </c>
      <c r="I4373" t="s">
        <v>26</v>
      </c>
      <c r="J4373" t="s">
        <v>263</v>
      </c>
      <c r="K4373" t="s">
        <v>264</v>
      </c>
      <c r="L4373">
        <v>10024</v>
      </c>
      <c r="M4373" t="s">
        <v>145</v>
      </c>
      <c r="N4373" t="s">
        <v>2171</v>
      </c>
      <c r="O4373" t="s">
        <v>45</v>
      </c>
      <c r="P4373" t="s">
        <v>77</v>
      </c>
      <c r="Q4373" t="s">
        <v>2172</v>
      </c>
      <c r="R4373">
        <v>26.88</v>
      </c>
      <c r="S4373">
        <v>6</v>
      </c>
      <c r="T4373">
        <v>0</v>
      </c>
      <c r="U4373">
        <v>6.72</v>
      </c>
      <c r="V4373" t="str">
        <f t="shared" si="68"/>
        <v>Lindsay Castell</v>
      </c>
      <c r="W4373">
        <f>Table2[Profit]/Table2[Sales]</f>
        <v>0.25</v>
      </c>
    </row>
    <row r="4374" spans="1:23" x14ac:dyDescent="0.25">
      <c r="A4374">
        <v>4373</v>
      </c>
      <c r="B4374" t="s">
        <v>9991</v>
      </c>
      <c r="C4374" s="1">
        <v>42709</v>
      </c>
      <c r="D4374" s="1">
        <v>42713</v>
      </c>
      <c r="E4374" t="s">
        <v>22</v>
      </c>
      <c r="F4374" t="s">
        <v>3996</v>
      </c>
      <c r="G4374" t="s">
        <v>3997</v>
      </c>
      <c r="H4374" t="s">
        <v>101</v>
      </c>
      <c r="I4374" t="s">
        <v>26</v>
      </c>
      <c r="J4374" t="s">
        <v>296</v>
      </c>
      <c r="K4374" t="s">
        <v>208</v>
      </c>
      <c r="L4374">
        <v>60623</v>
      </c>
      <c r="M4374" t="s">
        <v>104</v>
      </c>
      <c r="N4374" t="s">
        <v>632</v>
      </c>
      <c r="O4374" t="s">
        <v>45</v>
      </c>
      <c r="P4374" t="s">
        <v>67</v>
      </c>
      <c r="Q4374" t="s">
        <v>633</v>
      </c>
      <c r="R4374">
        <v>3.536</v>
      </c>
      <c r="S4374">
        <v>2</v>
      </c>
      <c r="T4374">
        <v>0.2</v>
      </c>
      <c r="U4374">
        <v>0.30940000000000001</v>
      </c>
      <c r="V4374" t="str">
        <f t="shared" si="68"/>
        <v>Mike Pelletier</v>
      </c>
      <c r="W4374">
        <f>Table2[Profit]/Table2[Sales]</f>
        <v>8.7500000000000008E-2</v>
      </c>
    </row>
    <row r="4375" spans="1:23" x14ac:dyDescent="0.25">
      <c r="A4375">
        <v>4374</v>
      </c>
      <c r="B4375" t="s">
        <v>9992</v>
      </c>
      <c r="C4375" s="1">
        <v>42553</v>
      </c>
      <c r="D4375" s="1">
        <v>42554</v>
      </c>
      <c r="E4375" t="s">
        <v>185</v>
      </c>
      <c r="F4375" t="s">
        <v>888</v>
      </c>
      <c r="G4375" t="s">
        <v>889</v>
      </c>
      <c r="H4375" t="s">
        <v>40</v>
      </c>
      <c r="I4375" t="s">
        <v>26</v>
      </c>
      <c r="J4375" t="s">
        <v>1657</v>
      </c>
      <c r="K4375" t="s">
        <v>103</v>
      </c>
      <c r="L4375">
        <v>77340</v>
      </c>
      <c r="M4375" t="s">
        <v>104</v>
      </c>
      <c r="N4375" t="s">
        <v>2549</v>
      </c>
      <c r="O4375" t="s">
        <v>31</v>
      </c>
      <c r="P4375" t="s">
        <v>35</v>
      </c>
      <c r="Q4375" t="s">
        <v>2550</v>
      </c>
      <c r="R4375">
        <v>528.42999999999995</v>
      </c>
      <c r="S4375">
        <v>5</v>
      </c>
      <c r="T4375">
        <v>0.3</v>
      </c>
      <c r="U4375">
        <v>0</v>
      </c>
      <c r="V4375" t="str">
        <f t="shared" si="68"/>
        <v>Erin Ashbrook</v>
      </c>
      <c r="W4375">
        <f>Table2[Profit]/Table2[Sales]</f>
        <v>0</v>
      </c>
    </row>
    <row r="4376" spans="1:23" x14ac:dyDescent="0.25">
      <c r="A4376">
        <v>4375</v>
      </c>
      <c r="B4376" t="s">
        <v>9993</v>
      </c>
      <c r="C4376" s="1">
        <v>43082</v>
      </c>
      <c r="D4376" s="1">
        <v>43087</v>
      </c>
      <c r="E4376" t="s">
        <v>49</v>
      </c>
      <c r="F4376" t="s">
        <v>1372</v>
      </c>
      <c r="G4376" t="s">
        <v>1373</v>
      </c>
      <c r="H4376" t="s">
        <v>40</v>
      </c>
      <c r="I4376" t="s">
        <v>26</v>
      </c>
      <c r="J4376" t="s">
        <v>263</v>
      </c>
      <c r="K4376" t="s">
        <v>264</v>
      </c>
      <c r="L4376">
        <v>10024</v>
      </c>
      <c r="M4376" t="s">
        <v>145</v>
      </c>
      <c r="N4376" t="s">
        <v>2200</v>
      </c>
      <c r="O4376" t="s">
        <v>31</v>
      </c>
      <c r="P4376" t="s">
        <v>32</v>
      </c>
      <c r="Q4376" t="s">
        <v>2201</v>
      </c>
      <c r="R4376">
        <v>287.976</v>
      </c>
      <c r="S4376">
        <v>3</v>
      </c>
      <c r="T4376">
        <v>0.2</v>
      </c>
      <c r="U4376">
        <v>7.1993999999999998</v>
      </c>
      <c r="V4376" t="str">
        <f t="shared" si="68"/>
        <v>Bart Pistole</v>
      </c>
      <c r="W4376">
        <f>Table2[Profit]/Table2[Sales]</f>
        <v>2.4999999999999998E-2</v>
      </c>
    </row>
    <row r="4377" spans="1:23" x14ac:dyDescent="0.25">
      <c r="A4377">
        <v>4376</v>
      </c>
      <c r="B4377" t="s">
        <v>9994</v>
      </c>
      <c r="C4377" s="1">
        <v>42083</v>
      </c>
      <c r="D4377" s="1">
        <v>42085</v>
      </c>
      <c r="E4377" t="s">
        <v>22</v>
      </c>
      <c r="F4377" t="s">
        <v>2429</v>
      </c>
      <c r="G4377" t="s">
        <v>2430</v>
      </c>
      <c r="H4377" t="s">
        <v>25</v>
      </c>
      <c r="I4377" t="s">
        <v>26</v>
      </c>
      <c r="J4377" t="s">
        <v>1948</v>
      </c>
      <c r="K4377" t="s">
        <v>413</v>
      </c>
      <c r="L4377">
        <v>97301</v>
      </c>
      <c r="M4377" t="s">
        <v>43</v>
      </c>
      <c r="N4377" t="s">
        <v>2939</v>
      </c>
      <c r="O4377" t="s">
        <v>45</v>
      </c>
      <c r="P4377" t="s">
        <v>58</v>
      </c>
      <c r="Q4377" t="s">
        <v>2940</v>
      </c>
      <c r="R4377">
        <v>29.303999999999998</v>
      </c>
      <c r="S4377">
        <v>3</v>
      </c>
      <c r="T4377">
        <v>0.2</v>
      </c>
      <c r="U4377">
        <v>2.5640999999999998</v>
      </c>
      <c r="V4377" t="str">
        <f t="shared" si="68"/>
        <v>Bryan Mills</v>
      </c>
      <c r="W4377">
        <f>Table2[Profit]/Table2[Sales]</f>
        <v>8.7499999999999994E-2</v>
      </c>
    </row>
    <row r="4378" spans="1:23" x14ac:dyDescent="0.25">
      <c r="A4378">
        <v>4377</v>
      </c>
      <c r="B4378" t="s">
        <v>9995</v>
      </c>
      <c r="C4378" s="1">
        <v>42064</v>
      </c>
      <c r="D4378" s="1">
        <v>42067</v>
      </c>
      <c r="E4378" t="s">
        <v>185</v>
      </c>
      <c r="F4378" t="s">
        <v>9292</v>
      </c>
      <c r="G4378" t="s">
        <v>9293</v>
      </c>
      <c r="H4378" t="s">
        <v>40</v>
      </c>
      <c r="I4378" t="s">
        <v>26</v>
      </c>
      <c r="J4378" t="s">
        <v>181</v>
      </c>
      <c r="K4378" t="s">
        <v>103</v>
      </c>
      <c r="L4378">
        <v>77070</v>
      </c>
      <c r="M4378" t="s">
        <v>104</v>
      </c>
      <c r="N4378" t="s">
        <v>4992</v>
      </c>
      <c r="O4378" t="s">
        <v>45</v>
      </c>
      <c r="P4378" t="s">
        <v>67</v>
      </c>
      <c r="Q4378" t="s">
        <v>4993</v>
      </c>
      <c r="R4378">
        <v>55.328000000000003</v>
      </c>
      <c r="S4378">
        <v>2</v>
      </c>
      <c r="T4378">
        <v>0.2</v>
      </c>
      <c r="U4378">
        <v>6.2244000000000002</v>
      </c>
      <c r="V4378" t="str">
        <f t="shared" si="68"/>
        <v>Craig Molinari</v>
      </c>
      <c r="W4378">
        <f>Table2[Profit]/Table2[Sales]</f>
        <v>0.1125</v>
      </c>
    </row>
    <row r="4379" spans="1:23" x14ac:dyDescent="0.25">
      <c r="A4379">
        <v>4378</v>
      </c>
      <c r="B4379" t="s">
        <v>9996</v>
      </c>
      <c r="C4379" s="1">
        <v>42628</v>
      </c>
      <c r="D4379" s="1">
        <v>42633</v>
      </c>
      <c r="E4379" t="s">
        <v>49</v>
      </c>
      <c r="F4379" t="s">
        <v>2079</v>
      </c>
      <c r="G4379" t="s">
        <v>2080</v>
      </c>
      <c r="H4379" t="s">
        <v>40</v>
      </c>
      <c r="I4379" t="s">
        <v>26</v>
      </c>
      <c r="J4379" t="s">
        <v>9997</v>
      </c>
      <c r="K4379" t="s">
        <v>6119</v>
      </c>
      <c r="L4379">
        <v>83301</v>
      </c>
      <c r="M4379" t="s">
        <v>43</v>
      </c>
      <c r="N4379" t="s">
        <v>4732</v>
      </c>
      <c r="O4379" t="s">
        <v>45</v>
      </c>
      <c r="P4379" t="s">
        <v>74</v>
      </c>
      <c r="Q4379" t="s">
        <v>4733</v>
      </c>
      <c r="R4379">
        <v>20.416</v>
      </c>
      <c r="S4379">
        <v>4</v>
      </c>
      <c r="T4379">
        <v>0.2</v>
      </c>
      <c r="U4379">
        <v>6.6352000000000002</v>
      </c>
      <c r="V4379" t="str">
        <f t="shared" si="68"/>
        <v>Justin Deggeller</v>
      </c>
      <c r="W4379">
        <f>Table2[Profit]/Table2[Sales]</f>
        <v>0.32500000000000001</v>
      </c>
    </row>
    <row r="4380" spans="1:23" x14ac:dyDescent="0.25">
      <c r="A4380">
        <v>4379</v>
      </c>
      <c r="B4380" t="s">
        <v>9998</v>
      </c>
      <c r="C4380" s="1">
        <v>42811</v>
      </c>
      <c r="D4380" s="1">
        <v>42817</v>
      </c>
      <c r="E4380" t="s">
        <v>49</v>
      </c>
      <c r="F4380" t="s">
        <v>2912</v>
      </c>
      <c r="G4380" t="s">
        <v>2913</v>
      </c>
      <c r="H4380" t="s">
        <v>101</v>
      </c>
      <c r="I4380" t="s">
        <v>26</v>
      </c>
      <c r="J4380" t="s">
        <v>5032</v>
      </c>
      <c r="K4380" t="s">
        <v>328</v>
      </c>
      <c r="L4380">
        <v>37918</v>
      </c>
      <c r="M4380" t="s">
        <v>29</v>
      </c>
      <c r="N4380" t="s">
        <v>4657</v>
      </c>
      <c r="O4380" t="s">
        <v>45</v>
      </c>
      <c r="P4380" t="s">
        <v>46</v>
      </c>
      <c r="Q4380" t="s">
        <v>4658</v>
      </c>
      <c r="R4380">
        <v>4.6079999999999997</v>
      </c>
      <c r="S4380">
        <v>2</v>
      </c>
      <c r="T4380">
        <v>0.2</v>
      </c>
      <c r="U4380">
        <v>1.6704000000000001</v>
      </c>
      <c r="V4380" t="str">
        <f t="shared" si="68"/>
        <v>Ann Steele</v>
      </c>
      <c r="W4380">
        <f>Table2[Profit]/Table2[Sales]</f>
        <v>0.36250000000000004</v>
      </c>
    </row>
    <row r="4381" spans="1:23" x14ac:dyDescent="0.25">
      <c r="A4381">
        <v>4380</v>
      </c>
      <c r="B4381" t="s">
        <v>9999</v>
      </c>
      <c r="C4381" s="1">
        <v>42883</v>
      </c>
      <c r="D4381" s="1">
        <v>42888</v>
      </c>
      <c r="E4381" t="s">
        <v>49</v>
      </c>
      <c r="F4381" t="s">
        <v>6329</v>
      </c>
      <c r="G4381" t="s">
        <v>6330</v>
      </c>
      <c r="H4381" t="s">
        <v>40</v>
      </c>
      <c r="I4381" t="s">
        <v>26</v>
      </c>
      <c r="J4381" t="s">
        <v>537</v>
      </c>
      <c r="K4381" t="s">
        <v>303</v>
      </c>
      <c r="L4381">
        <v>85023</v>
      </c>
      <c r="M4381" t="s">
        <v>43</v>
      </c>
      <c r="N4381" t="s">
        <v>7512</v>
      </c>
      <c r="O4381" t="s">
        <v>70</v>
      </c>
      <c r="P4381" t="s">
        <v>71</v>
      </c>
      <c r="Q4381" t="s">
        <v>7513</v>
      </c>
      <c r="R4381">
        <v>195.96</v>
      </c>
      <c r="S4381">
        <v>5</v>
      </c>
      <c r="T4381">
        <v>0.2</v>
      </c>
      <c r="U4381">
        <v>19.596</v>
      </c>
      <c r="V4381" t="str">
        <f t="shared" si="68"/>
        <v>Candace McMahon</v>
      </c>
      <c r="W4381">
        <f>Table2[Profit]/Table2[Sales]</f>
        <v>9.9999999999999992E-2</v>
      </c>
    </row>
    <row r="4382" spans="1:23" x14ac:dyDescent="0.25">
      <c r="A4382">
        <v>4381</v>
      </c>
      <c r="B4382" t="s">
        <v>10000</v>
      </c>
      <c r="C4382" s="1">
        <v>42901</v>
      </c>
      <c r="D4382" s="1">
        <v>42905</v>
      </c>
      <c r="E4382" t="s">
        <v>49</v>
      </c>
      <c r="F4382" t="s">
        <v>4698</v>
      </c>
      <c r="G4382" t="s">
        <v>4699</v>
      </c>
      <c r="H4382" t="s">
        <v>25</v>
      </c>
      <c r="I4382" t="s">
        <v>26</v>
      </c>
      <c r="J4382" t="s">
        <v>728</v>
      </c>
      <c r="K4382" t="s">
        <v>87</v>
      </c>
      <c r="L4382">
        <v>28110</v>
      </c>
      <c r="M4382" t="s">
        <v>29</v>
      </c>
      <c r="N4382" t="s">
        <v>3863</v>
      </c>
      <c r="O4382" t="s">
        <v>31</v>
      </c>
      <c r="P4382" t="s">
        <v>35</v>
      </c>
      <c r="Q4382" t="s">
        <v>3864</v>
      </c>
      <c r="R4382">
        <v>698.35199999999998</v>
      </c>
      <c r="S4382">
        <v>3</v>
      </c>
      <c r="T4382">
        <v>0.2</v>
      </c>
      <c r="U4382">
        <v>52.376399999999997</v>
      </c>
      <c r="V4382" t="str">
        <f t="shared" si="68"/>
        <v>Joe Elijah</v>
      </c>
      <c r="W4382">
        <f>Table2[Profit]/Table2[Sales]</f>
        <v>7.4999999999999997E-2</v>
      </c>
    </row>
    <row r="4383" spans="1:23" x14ac:dyDescent="0.25">
      <c r="A4383">
        <v>4382</v>
      </c>
      <c r="B4383" t="s">
        <v>10001</v>
      </c>
      <c r="C4383" s="1">
        <v>42253</v>
      </c>
      <c r="D4383" s="1">
        <v>42259</v>
      </c>
      <c r="E4383" t="s">
        <v>49</v>
      </c>
      <c r="F4383" t="s">
        <v>1139</v>
      </c>
      <c r="G4383" t="s">
        <v>1140</v>
      </c>
      <c r="H4383" t="s">
        <v>40</v>
      </c>
      <c r="I4383" t="s">
        <v>26</v>
      </c>
      <c r="J4383" t="s">
        <v>1450</v>
      </c>
      <c r="K4383" t="s">
        <v>312</v>
      </c>
      <c r="L4383">
        <v>23223</v>
      </c>
      <c r="M4383" t="s">
        <v>29</v>
      </c>
      <c r="N4383" t="s">
        <v>6088</v>
      </c>
      <c r="O4383" t="s">
        <v>45</v>
      </c>
      <c r="P4383" t="s">
        <v>74</v>
      </c>
      <c r="Q4383" t="s">
        <v>6089</v>
      </c>
      <c r="R4383">
        <v>46.62</v>
      </c>
      <c r="S4383">
        <v>9</v>
      </c>
      <c r="T4383">
        <v>0</v>
      </c>
      <c r="U4383">
        <v>21.4452</v>
      </c>
      <c r="V4383" t="str">
        <f t="shared" si="68"/>
        <v>Andy Gerbode</v>
      </c>
      <c r="W4383">
        <f>Table2[Profit]/Table2[Sales]</f>
        <v>0.46</v>
      </c>
    </row>
    <row r="4384" spans="1:23" x14ac:dyDescent="0.25">
      <c r="A4384">
        <v>4383</v>
      </c>
      <c r="B4384" t="s">
        <v>10002</v>
      </c>
      <c r="C4384" s="1">
        <v>42812</v>
      </c>
      <c r="D4384" s="1">
        <v>42818</v>
      </c>
      <c r="E4384" t="s">
        <v>49</v>
      </c>
      <c r="F4384" t="s">
        <v>5499</v>
      </c>
      <c r="G4384" t="s">
        <v>5500</v>
      </c>
      <c r="H4384" t="s">
        <v>25</v>
      </c>
      <c r="I4384" t="s">
        <v>26</v>
      </c>
      <c r="J4384" t="s">
        <v>181</v>
      </c>
      <c r="K4384" t="s">
        <v>103</v>
      </c>
      <c r="L4384">
        <v>77041</v>
      </c>
      <c r="M4384" t="s">
        <v>104</v>
      </c>
      <c r="N4384" t="s">
        <v>2551</v>
      </c>
      <c r="O4384" t="s">
        <v>70</v>
      </c>
      <c r="P4384" t="s">
        <v>71</v>
      </c>
      <c r="Q4384" t="s">
        <v>2552</v>
      </c>
      <c r="R4384">
        <v>537.54399999999998</v>
      </c>
      <c r="S4384">
        <v>7</v>
      </c>
      <c r="T4384">
        <v>0.2</v>
      </c>
      <c r="U4384">
        <v>47.0351</v>
      </c>
      <c r="V4384" t="str">
        <f t="shared" si="68"/>
        <v>Thomas Thornton</v>
      </c>
      <c r="W4384">
        <f>Table2[Profit]/Table2[Sales]</f>
        <v>8.7500000000000008E-2</v>
      </c>
    </row>
    <row r="4385" spans="1:23" x14ac:dyDescent="0.25">
      <c r="A4385">
        <v>4384</v>
      </c>
      <c r="B4385" t="s">
        <v>10003</v>
      </c>
      <c r="C4385" s="1">
        <v>41992</v>
      </c>
      <c r="D4385" s="1">
        <v>41994</v>
      </c>
      <c r="E4385" t="s">
        <v>185</v>
      </c>
      <c r="F4385" t="s">
        <v>1372</v>
      </c>
      <c r="G4385" t="s">
        <v>1373</v>
      </c>
      <c r="H4385" t="s">
        <v>40</v>
      </c>
      <c r="I4385" t="s">
        <v>26</v>
      </c>
      <c r="J4385" t="s">
        <v>41</v>
      </c>
      <c r="K4385" t="s">
        <v>42</v>
      </c>
      <c r="L4385">
        <v>90008</v>
      </c>
      <c r="M4385" t="s">
        <v>43</v>
      </c>
      <c r="N4385" t="s">
        <v>2195</v>
      </c>
      <c r="O4385" t="s">
        <v>45</v>
      </c>
      <c r="P4385" t="s">
        <v>46</v>
      </c>
      <c r="Q4385" t="s">
        <v>2196</v>
      </c>
      <c r="R4385">
        <v>14.62</v>
      </c>
      <c r="S4385">
        <v>2</v>
      </c>
      <c r="T4385">
        <v>0</v>
      </c>
      <c r="U4385">
        <v>6.8714000000000004</v>
      </c>
      <c r="V4385" t="str">
        <f t="shared" si="68"/>
        <v>Bart Pistole</v>
      </c>
      <c r="W4385">
        <f>Table2[Profit]/Table2[Sales]</f>
        <v>0.47000000000000003</v>
      </c>
    </row>
    <row r="4386" spans="1:23" x14ac:dyDescent="0.25">
      <c r="A4386">
        <v>4385</v>
      </c>
      <c r="B4386" t="s">
        <v>10004</v>
      </c>
      <c r="C4386" s="1">
        <v>42558</v>
      </c>
      <c r="D4386" s="1">
        <v>42564</v>
      </c>
      <c r="E4386" t="s">
        <v>49</v>
      </c>
      <c r="F4386" t="s">
        <v>664</v>
      </c>
      <c r="G4386" t="s">
        <v>665</v>
      </c>
      <c r="H4386" t="s">
        <v>25</v>
      </c>
      <c r="I4386" t="s">
        <v>26</v>
      </c>
      <c r="J4386" t="s">
        <v>151</v>
      </c>
      <c r="K4386" t="s">
        <v>120</v>
      </c>
      <c r="L4386">
        <v>84057</v>
      </c>
      <c r="M4386" t="s">
        <v>43</v>
      </c>
      <c r="N4386" t="s">
        <v>1872</v>
      </c>
      <c r="O4386" t="s">
        <v>45</v>
      </c>
      <c r="P4386" t="s">
        <v>89</v>
      </c>
      <c r="Q4386" t="s">
        <v>1873</v>
      </c>
      <c r="R4386">
        <v>12.96</v>
      </c>
      <c r="S4386">
        <v>2</v>
      </c>
      <c r="T4386">
        <v>0</v>
      </c>
      <c r="U4386">
        <v>6.2207999999999997</v>
      </c>
      <c r="V4386" t="str">
        <f t="shared" si="68"/>
        <v>Max Jones</v>
      </c>
      <c r="W4386">
        <f>Table2[Profit]/Table2[Sales]</f>
        <v>0.47999999999999993</v>
      </c>
    </row>
    <row r="4387" spans="1:23" x14ac:dyDescent="0.25">
      <c r="A4387">
        <v>4386</v>
      </c>
      <c r="B4387" t="s">
        <v>10005</v>
      </c>
      <c r="C4387" s="1">
        <v>42466</v>
      </c>
      <c r="D4387" s="1">
        <v>42470</v>
      </c>
      <c r="E4387" t="s">
        <v>49</v>
      </c>
      <c r="F4387" t="s">
        <v>778</v>
      </c>
      <c r="G4387" t="s">
        <v>779</v>
      </c>
      <c r="H4387" t="s">
        <v>101</v>
      </c>
      <c r="I4387" t="s">
        <v>26</v>
      </c>
      <c r="J4387" t="s">
        <v>2189</v>
      </c>
      <c r="K4387" t="s">
        <v>5098</v>
      </c>
      <c r="L4387">
        <v>5408</v>
      </c>
      <c r="M4387" t="s">
        <v>145</v>
      </c>
      <c r="N4387" t="s">
        <v>5512</v>
      </c>
      <c r="O4387" t="s">
        <v>70</v>
      </c>
      <c r="P4387" t="s">
        <v>71</v>
      </c>
      <c r="Q4387" t="s">
        <v>5513</v>
      </c>
      <c r="R4387">
        <v>1294.75</v>
      </c>
      <c r="S4387">
        <v>5</v>
      </c>
      <c r="T4387">
        <v>0</v>
      </c>
      <c r="U4387">
        <v>336.63499999999999</v>
      </c>
      <c r="V4387" t="str">
        <f t="shared" si="68"/>
        <v>Valerie Mitchum</v>
      </c>
      <c r="W4387">
        <f>Table2[Profit]/Table2[Sales]</f>
        <v>0.26</v>
      </c>
    </row>
    <row r="4388" spans="1:23" x14ac:dyDescent="0.25">
      <c r="A4388">
        <v>4387</v>
      </c>
      <c r="B4388" t="s">
        <v>10006</v>
      </c>
      <c r="C4388" s="1">
        <v>41767</v>
      </c>
      <c r="D4388" s="1">
        <v>41769</v>
      </c>
      <c r="E4388" t="s">
        <v>185</v>
      </c>
      <c r="F4388" t="s">
        <v>3381</v>
      </c>
      <c r="G4388" t="s">
        <v>3382</v>
      </c>
      <c r="H4388" t="s">
        <v>25</v>
      </c>
      <c r="I4388" t="s">
        <v>26</v>
      </c>
      <c r="J4388" t="s">
        <v>143</v>
      </c>
      <c r="K4388" t="s">
        <v>144</v>
      </c>
      <c r="L4388">
        <v>19134</v>
      </c>
      <c r="M4388" t="s">
        <v>145</v>
      </c>
      <c r="N4388" t="s">
        <v>1203</v>
      </c>
      <c r="O4388" t="s">
        <v>70</v>
      </c>
      <c r="P4388" t="s">
        <v>1204</v>
      </c>
      <c r="Q4388" t="s">
        <v>1205</v>
      </c>
      <c r="R4388">
        <v>1799.97</v>
      </c>
      <c r="S4388">
        <v>5</v>
      </c>
      <c r="T4388">
        <v>0.4</v>
      </c>
      <c r="U4388">
        <v>239.99600000000001</v>
      </c>
      <c r="V4388" t="str">
        <f t="shared" si="68"/>
        <v>Kean Thornton</v>
      </c>
      <c r="W4388">
        <f>Table2[Profit]/Table2[Sales]</f>
        <v>0.13333333333333333</v>
      </c>
    </row>
    <row r="4389" spans="1:23" x14ac:dyDescent="0.25">
      <c r="A4389">
        <v>4388</v>
      </c>
      <c r="B4389" t="s">
        <v>10007</v>
      </c>
      <c r="C4389" s="1">
        <v>43062</v>
      </c>
      <c r="D4389" s="1">
        <v>43066</v>
      </c>
      <c r="E4389" t="s">
        <v>49</v>
      </c>
      <c r="F4389" t="s">
        <v>2388</v>
      </c>
      <c r="G4389" t="s">
        <v>2389</v>
      </c>
      <c r="H4389" t="s">
        <v>40</v>
      </c>
      <c r="I4389" t="s">
        <v>26</v>
      </c>
      <c r="J4389" t="s">
        <v>296</v>
      </c>
      <c r="K4389" t="s">
        <v>208</v>
      </c>
      <c r="L4389">
        <v>60623</v>
      </c>
      <c r="M4389" t="s">
        <v>104</v>
      </c>
      <c r="N4389" t="s">
        <v>5120</v>
      </c>
      <c r="O4389" t="s">
        <v>45</v>
      </c>
      <c r="P4389" t="s">
        <v>89</v>
      </c>
      <c r="Q4389" t="s">
        <v>5121</v>
      </c>
      <c r="R4389">
        <v>10.688000000000001</v>
      </c>
      <c r="S4389">
        <v>2</v>
      </c>
      <c r="T4389">
        <v>0.2</v>
      </c>
      <c r="U4389">
        <v>3.7408000000000001</v>
      </c>
      <c r="V4389" t="str">
        <f t="shared" si="68"/>
        <v>Chris Selesnick</v>
      </c>
      <c r="W4389">
        <f>Table2[Profit]/Table2[Sales]</f>
        <v>0.35</v>
      </c>
    </row>
    <row r="4390" spans="1:23" x14ac:dyDescent="0.25">
      <c r="A4390">
        <v>4389</v>
      </c>
      <c r="B4390" t="s">
        <v>10008</v>
      </c>
      <c r="C4390" s="1">
        <v>42684</v>
      </c>
      <c r="D4390" s="1">
        <v>42686</v>
      </c>
      <c r="E4390" t="s">
        <v>185</v>
      </c>
      <c r="F4390" t="s">
        <v>7705</v>
      </c>
      <c r="G4390" t="s">
        <v>7706</v>
      </c>
      <c r="H4390" t="s">
        <v>25</v>
      </c>
      <c r="I4390" t="s">
        <v>26</v>
      </c>
      <c r="J4390" t="s">
        <v>4745</v>
      </c>
      <c r="K4390" t="s">
        <v>641</v>
      </c>
      <c r="L4390">
        <v>73120</v>
      </c>
      <c r="M4390" t="s">
        <v>104</v>
      </c>
      <c r="N4390" t="s">
        <v>7789</v>
      </c>
      <c r="O4390" t="s">
        <v>70</v>
      </c>
      <c r="P4390" t="s">
        <v>71</v>
      </c>
      <c r="Q4390" t="s">
        <v>7790</v>
      </c>
      <c r="R4390">
        <v>221.98</v>
      </c>
      <c r="S4390">
        <v>2</v>
      </c>
      <c r="T4390">
        <v>0</v>
      </c>
      <c r="U4390">
        <v>62.154400000000003</v>
      </c>
      <c r="V4390" t="str">
        <f t="shared" si="68"/>
        <v>Aaron Bergman</v>
      </c>
      <c r="W4390">
        <f>Table2[Profit]/Table2[Sales]</f>
        <v>0.28000000000000003</v>
      </c>
    </row>
    <row r="4391" spans="1:23" x14ac:dyDescent="0.25">
      <c r="A4391">
        <v>4390</v>
      </c>
      <c r="B4391" t="s">
        <v>10009</v>
      </c>
      <c r="C4391" s="1">
        <v>42004</v>
      </c>
      <c r="D4391" s="1">
        <v>42005</v>
      </c>
      <c r="E4391" t="s">
        <v>185</v>
      </c>
      <c r="F4391" t="s">
        <v>6269</v>
      </c>
      <c r="G4391" t="s">
        <v>6270</v>
      </c>
      <c r="H4391" t="s">
        <v>40</v>
      </c>
      <c r="I4391" t="s">
        <v>26</v>
      </c>
      <c r="J4391" t="s">
        <v>263</v>
      </c>
      <c r="K4391" t="s">
        <v>264</v>
      </c>
      <c r="L4391">
        <v>10035</v>
      </c>
      <c r="M4391" t="s">
        <v>145</v>
      </c>
      <c r="N4391" t="s">
        <v>2173</v>
      </c>
      <c r="O4391" t="s">
        <v>70</v>
      </c>
      <c r="P4391" t="s">
        <v>158</v>
      </c>
      <c r="Q4391" t="s">
        <v>2174</v>
      </c>
      <c r="R4391">
        <v>34.770000000000003</v>
      </c>
      <c r="S4391">
        <v>3</v>
      </c>
      <c r="T4391">
        <v>0</v>
      </c>
      <c r="U4391">
        <v>11.4741</v>
      </c>
      <c r="V4391" t="str">
        <f t="shared" si="68"/>
        <v>Aaron Hawkins</v>
      </c>
      <c r="W4391">
        <f>Table2[Profit]/Table2[Sales]</f>
        <v>0.32999999999999996</v>
      </c>
    </row>
    <row r="4392" spans="1:23" x14ac:dyDescent="0.25">
      <c r="A4392">
        <v>4391</v>
      </c>
      <c r="B4392" t="s">
        <v>10010</v>
      </c>
      <c r="C4392" s="1">
        <v>42966</v>
      </c>
      <c r="D4392" s="1">
        <v>42970</v>
      </c>
      <c r="E4392" t="s">
        <v>49</v>
      </c>
      <c r="F4392" t="s">
        <v>1339</v>
      </c>
      <c r="G4392" t="s">
        <v>1340</v>
      </c>
      <c r="H4392" t="s">
        <v>25</v>
      </c>
      <c r="I4392" t="s">
        <v>26</v>
      </c>
      <c r="J4392" t="s">
        <v>5016</v>
      </c>
      <c r="K4392" t="s">
        <v>120</v>
      </c>
      <c r="L4392">
        <v>84106</v>
      </c>
      <c r="M4392" t="s">
        <v>43</v>
      </c>
      <c r="N4392" t="s">
        <v>4548</v>
      </c>
      <c r="O4392" t="s">
        <v>45</v>
      </c>
      <c r="P4392" t="s">
        <v>74</v>
      </c>
      <c r="Q4392" t="s">
        <v>4549</v>
      </c>
      <c r="R4392">
        <v>102.72</v>
      </c>
      <c r="S4392">
        <v>3</v>
      </c>
      <c r="T4392">
        <v>0.2</v>
      </c>
      <c r="U4392">
        <v>37.235999999999997</v>
      </c>
      <c r="V4392" t="str">
        <f t="shared" si="68"/>
        <v>Denny Ordway</v>
      </c>
      <c r="W4392">
        <f>Table2[Profit]/Table2[Sales]</f>
        <v>0.36249999999999999</v>
      </c>
    </row>
    <row r="4393" spans="1:23" x14ac:dyDescent="0.25">
      <c r="A4393">
        <v>4392</v>
      </c>
      <c r="B4393" t="s">
        <v>10011</v>
      </c>
      <c r="C4393" s="1">
        <v>42625</v>
      </c>
      <c r="D4393" s="1">
        <v>42629</v>
      </c>
      <c r="E4393" t="s">
        <v>49</v>
      </c>
      <c r="F4393" t="s">
        <v>4821</v>
      </c>
      <c r="G4393" t="s">
        <v>4822</v>
      </c>
      <c r="H4393" t="s">
        <v>40</v>
      </c>
      <c r="I4393" t="s">
        <v>26</v>
      </c>
      <c r="J4393" t="s">
        <v>8301</v>
      </c>
      <c r="K4393" t="s">
        <v>264</v>
      </c>
      <c r="L4393">
        <v>13501</v>
      </c>
      <c r="M4393" t="s">
        <v>145</v>
      </c>
      <c r="N4393" t="s">
        <v>7603</v>
      </c>
      <c r="O4393" t="s">
        <v>31</v>
      </c>
      <c r="P4393" t="s">
        <v>64</v>
      </c>
      <c r="Q4393" t="s">
        <v>7604</v>
      </c>
      <c r="R4393">
        <v>40.479999999999997</v>
      </c>
      <c r="S4393">
        <v>2</v>
      </c>
      <c r="T4393">
        <v>0</v>
      </c>
      <c r="U4393">
        <v>14.572800000000001</v>
      </c>
      <c r="V4393" t="str">
        <f t="shared" si="68"/>
        <v>Matt Collister</v>
      </c>
      <c r="W4393">
        <f>Table2[Profit]/Table2[Sales]</f>
        <v>0.36000000000000004</v>
      </c>
    </row>
    <row r="4394" spans="1:23" x14ac:dyDescent="0.25">
      <c r="A4394">
        <v>4393</v>
      </c>
      <c r="B4394" t="s">
        <v>10012</v>
      </c>
      <c r="C4394" s="1">
        <v>43034</v>
      </c>
      <c r="D4394" s="1">
        <v>43039</v>
      </c>
      <c r="E4394" t="s">
        <v>49</v>
      </c>
      <c r="F4394" t="s">
        <v>3620</v>
      </c>
      <c r="G4394" t="s">
        <v>3621</v>
      </c>
      <c r="H4394" t="s">
        <v>25</v>
      </c>
      <c r="I4394" t="s">
        <v>26</v>
      </c>
      <c r="J4394" t="s">
        <v>143</v>
      </c>
      <c r="K4394" t="s">
        <v>144</v>
      </c>
      <c r="L4394">
        <v>19134</v>
      </c>
      <c r="M4394" t="s">
        <v>145</v>
      </c>
      <c r="N4394" t="s">
        <v>3092</v>
      </c>
      <c r="O4394" t="s">
        <v>45</v>
      </c>
      <c r="P4394" t="s">
        <v>74</v>
      </c>
      <c r="Q4394" t="s">
        <v>3093</v>
      </c>
      <c r="R4394">
        <v>33.281999999999996</v>
      </c>
      <c r="S4394">
        <v>3</v>
      </c>
      <c r="T4394">
        <v>0.7</v>
      </c>
      <c r="U4394">
        <v>-27.734999999999999</v>
      </c>
      <c r="V4394" t="str">
        <f t="shared" si="68"/>
        <v>Jamie Frazer</v>
      </c>
      <c r="W4394">
        <f>Table2[Profit]/Table2[Sales]</f>
        <v>-0.83333333333333337</v>
      </c>
    </row>
    <row r="4395" spans="1:23" x14ac:dyDescent="0.25">
      <c r="A4395">
        <v>4394</v>
      </c>
      <c r="B4395" t="s">
        <v>10013</v>
      </c>
      <c r="C4395" s="1">
        <v>42885</v>
      </c>
      <c r="D4395" s="1">
        <v>42890</v>
      </c>
      <c r="E4395" t="s">
        <v>49</v>
      </c>
      <c r="F4395" t="s">
        <v>3449</v>
      </c>
      <c r="G4395" t="s">
        <v>3450</v>
      </c>
      <c r="H4395" t="s">
        <v>40</v>
      </c>
      <c r="I4395" t="s">
        <v>26</v>
      </c>
      <c r="J4395" t="s">
        <v>41</v>
      </c>
      <c r="K4395" t="s">
        <v>42</v>
      </c>
      <c r="L4395">
        <v>90004</v>
      </c>
      <c r="M4395" t="s">
        <v>43</v>
      </c>
      <c r="N4395" t="s">
        <v>3629</v>
      </c>
      <c r="O4395" t="s">
        <v>45</v>
      </c>
      <c r="P4395" t="s">
        <v>89</v>
      </c>
      <c r="Q4395" t="s">
        <v>3630</v>
      </c>
      <c r="R4395">
        <v>37.520000000000003</v>
      </c>
      <c r="S4395">
        <v>4</v>
      </c>
      <c r="T4395">
        <v>0</v>
      </c>
      <c r="U4395">
        <v>18.009599999999999</v>
      </c>
      <c r="V4395" t="str">
        <f t="shared" si="68"/>
        <v>Suzanne McNair</v>
      </c>
      <c r="W4395">
        <f>Table2[Profit]/Table2[Sales]</f>
        <v>0.47999999999999993</v>
      </c>
    </row>
    <row r="4396" spans="1:23" x14ac:dyDescent="0.25">
      <c r="A4396">
        <v>4395</v>
      </c>
      <c r="B4396" t="s">
        <v>10014</v>
      </c>
      <c r="C4396" s="1">
        <v>42437</v>
      </c>
      <c r="D4396" s="1">
        <v>42442</v>
      </c>
      <c r="E4396" t="s">
        <v>49</v>
      </c>
      <c r="F4396" t="s">
        <v>620</v>
      </c>
      <c r="G4396" t="s">
        <v>621</v>
      </c>
      <c r="H4396" t="s">
        <v>40</v>
      </c>
      <c r="I4396" t="s">
        <v>26</v>
      </c>
      <c r="J4396" t="s">
        <v>321</v>
      </c>
      <c r="K4396" t="s">
        <v>235</v>
      </c>
      <c r="L4396">
        <v>49201</v>
      </c>
      <c r="M4396" t="s">
        <v>104</v>
      </c>
      <c r="N4396" t="s">
        <v>4481</v>
      </c>
      <c r="O4396" t="s">
        <v>45</v>
      </c>
      <c r="P4396" t="s">
        <v>77</v>
      </c>
      <c r="Q4396" t="s">
        <v>4482</v>
      </c>
      <c r="R4396">
        <v>207.14400000000001</v>
      </c>
      <c r="S4396">
        <v>3</v>
      </c>
      <c r="T4396">
        <v>0.1</v>
      </c>
      <c r="U4396">
        <v>48.333599999999997</v>
      </c>
      <c r="V4396" t="str">
        <f t="shared" si="68"/>
        <v>Stephanie Phelps</v>
      </c>
      <c r="W4396">
        <f>Table2[Profit]/Table2[Sales]</f>
        <v>0.23333333333333331</v>
      </c>
    </row>
    <row r="4397" spans="1:23" x14ac:dyDescent="0.25">
      <c r="A4397">
        <v>4396</v>
      </c>
      <c r="B4397" t="s">
        <v>10015</v>
      </c>
      <c r="C4397" s="1">
        <v>42211</v>
      </c>
      <c r="D4397" s="1">
        <v>42216</v>
      </c>
      <c r="E4397" t="s">
        <v>49</v>
      </c>
      <c r="F4397" t="s">
        <v>2595</v>
      </c>
      <c r="G4397" t="s">
        <v>2596</v>
      </c>
      <c r="H4397" t="s">
        <v>40</v>
      </c>
      <c r="I4397" t="s">
        <v>26</v>
      </c>
      <c r="J4397" t="s">
        <v>3860</v>
      </c>
      <c r="K4397" t="s">
        <v>303</v>
      </c>
      <c r="L4397">
        <v>85301</v>
      </c>
      <c r="M4397" t="s">
        <v>43</v>
      </c>
      <c r="N4397" t="s">
        <v>2450</v>
      </c>
      <c r="O4397" t="s">
        <v>31</v>
      </c>
      <c r="P4397" t="s">
        <v>35</v>
      </c>
      <c r="Q4397" t="s">
        <v>2451</v>
      </c>
      <c r="R4397">
        <v>266.35199999999998</v>
      </c>
      <c r="S4397">
        <v>3</v>
      </c>
      <c r="T4397">
        <v>0.2</v>
      </c>
      <c r="U4397">
        <v>13.317600000000001</v>
      </c>
      <c r="V4397" t="str">
        <f t="shared" si="68"/>
        <v>Cyma Kinney</v>
      </c>
      <c r="W4397">
        <f>Table2[Profit]/Table2[Sales]</f>
        <v>5.000000000000001E-2</v>
      </c>
    </row>
    <row r="4398" spans="1:23" x14ac:dyDescent="0.25">
      <c r="A4398">
        <v>4397</v>
      </c>
      <c r="B4398" t="s">
        <v>10016</v>
      </c>
      <c r="C4398" s="1">
        <v>42331</v>
      </c>
      <c r="D4398" s="1">
        <v>42333</v>
      </c>
      <c r="E4398" t="s">
        <v>22</v>
      </c>
      <c r="F4398" t="s">
        <v>5386</v>
      </c>
      <c r="G4398" t="s">
        <v>5387</v>
      </c>
      <c r="H4398" t="s">
        <v>25</v>
      </c>
      <c r="I4398" t="s">
        <v>26</v>
      </c>
      <c r="J4398" t="s">
        <v>514</v>
      </c>
      <c r="K4398" t="s">
        <v>242</v>
      </c>
      <c r="L4398">
        <v>19805</v>
      </c>
      <c r="M4398" t="s">
        <v>145</v>
      </c>
      <c r="N4398" t="s">
        <v>1367</v>
      </c>
      <c r="O4398" t="s">
        <v>70</v>
      </c>
      <c r="P4398" t="s">
        <v>71</v>
      </c>
      <c r="Q4398" t="s">
        <v>1368</v>
      </c>
      <c r="R4398">
        <v>307.98</v>
      </c>
      <c r="S4398">
        <v>2</v>
      </c>
      <c r="T4398">
        <v>0</v>
      </c>
      <c r="U4398">
        <v>89.3142</v>
      </c>
      <c r="V4398" t="str">
        <f t="shared" si="68"/>
        <v>Pierre Wener</v>
      </c>
      <c r="W4398">
        <f>Table2[Profit]/Table2[Sales]</f>
        <v>0.28999999999999998</v>
      </c>
    </row>
    <row r="4399" spans="1:23" x14ac:dyDescent="0.25">
      <c r="A4399">
        <v>4398</v>
      </c>
      <c r="B4399" t="s">
        <v>10019</v>
      </c>
      <c r="C4399" s="1">
        <v>42336</v>
      </c>
      <c r="D4399" s="1">
        <v>42340</v>
      </c>
      <c r="E4399" t="s">
        <v>49</v>
      </c>
      <c r="F4399" t="s">
        <v>3582</v>
      </c>
      <c r="G4399" t="s">
        <v>3583</v>
      </c>
      <c r="H4399" t="s">
        <v>25</v>
      </c>
      <c r="I4399" t="s">
        <v>26</v>
      </c>
      <c r="J4399" t="s">
        <v>1225</v>
      </c>
      <c r="K4399" t="s">
        <v>103</v>
      </c>
      <c r="L4399">
        <v>78745</v>
      </c>
      <c r="M4399" t="s">
        <v>104</v>
      </c>
      <c r="N4399" t="s">
        <v>2528</v>
      </c>
      <c r="O4399" t="s">
        <v>45</v>
      </c>
      <c r="P4399" t="s">
        <v>89</v>
      </c>
      <c r="Q4399" t="s">
        <v>2529</v>
      </c>
      <c r="R4399">
        <v>335.52</v>
      </c>
      <c r="S4399">
        <v>4</v>
      </c>
      <c r="T4399">
        <v>0.2</v>
      </c>
      <c r="U4399">
        <v>117.432</v>
      </c>
      <c r="V4399" t="str">
        <f t="shared" si="68"/>
        <v>Evan Bailliet</v>
      </c>
      <c r="W4399">
        <f>Table2[Profit]/Table2[Sales]</f>
        <v>0.35000000000000003</v>
      </c>
    </row>
    <row r="4400" spans="1:23" x14ac:dyDescent="0.25">
      <c r="A4400">
        <v>4399</v>
      </c>
      <c r="B4400" t="s">
        <v>10020</v>
      </c>
      <c r="C4400" s="1">
        <v>43042</v>
      </c>
      <c r="D4400" s="1">
        <v>43046</v>
      </c>
      <c r="E4400" t="s">
        <v>49</v>
      </c>
      <c r="F4400" t="s">
        <v>501</v>
      </c>
      <c r="G4400" t="s">
        <v>502</v>
      </c>
      <c r="H4400" t="s">
        <v>25</v>
      </c>
      <c r="I4400" t="s">
        <v>26</v>
      </c>
      <c r="J4400" t="s">
        <v>5921</v>
      </c>
      <c r="K4400" t="s">
        <v>53</v>
      </c>
      <c r="L4400">
        <v>32839</v>
      </c>
      <c r="M4400" t="s">
        <v>29</v>
      </c>
      <c r="N4400" t="s">
        <v>1739</v>
      </c>
      <c r="O4400" t="s">
        <v>70</v>
      </c>
      <c r="P4400" t="s">
        <v>1204</v>
      </c>
      <c r="Q4400" t="s">
        <v>1740</v>
      </c>
      <c r="R4400">
        <v>959.98400000000004</v>
      </c>
      <c r="S4400">
        <v>2</v>
      </c>
      <c r="T4400">
        <v>0.2</v>
      </c>
      <c r="U4400">
        <v>311.9948</v>
      </c>
      <c r="V4400" t="str">
        <f t="shared" si="68"/>
        <v>Dave Kipp</v>
      </c>
      <c r="W4400">
        <f>Table2[Profit]/Table2[Sales]</f>
        <v>0.32500000000000001</v>
      </c>
    </row>
    <row r="4401" spans="1:23" x14ac:dyDescent="0.25">
      <c r="A4401">
        <v>4400</v>
      </c>
      <c r="B4401" t="s">
        <v>10021</v>
      </c>
      <c r="C4401" s="1">
        <v>42815</v>
      </c>
      <c r="D4401" s="1">
        <v>42817</v>
      </c>
      <c r="E4401" t="s">
        <v>22</v>
      </c>
      <c r="F4401" t="s">
        <v>269</v>
      </c>
      <c r="G4401" t="s">
        <v>270</v>
      </c>
      <c r="H4401" t="s">
        <v>25</v>
      </c>
      <c r="I4401" t="s">
        <v>26</v>
      </c>
      <c r="J4401" t="s">
        <v>4671</v>
      </c>
      <c r="K4401" t="s">
        <v>144</v>
      </c>
      <c r="L4401">
        <v>19601</v>
      </c>
      <c r="M4401" t="s">
        <v>145</v>
      </c>
      <c r="N4401" t="s">
        <v>1667</v>
      </c>
      <c r="O4401" t="s">
        <v>45</v>
      </c>
      <c r="P4401" t="s">
        <v>170</v>
      </c>
      <c r="Q4401" t="s">
        <v>1668</v>
      </c>
      <c r="R4401">
        <v>8.8559999999999999</v>
      </c>
      <c r="S4401">
        <v>3</v>
      </c>
      <c r="T4401">
        <v>0.2</v>
      </c>
      <c r="U4401">
        <v>2.8782000000000001</v>
      </c>
      <c r="V4401" t="str">
        <f t="shared" si="68"/>
        <v>Ted Butterfield</v>
      </c>
      <c r="W4401">
        <f>Table2[Profit]/Table2[Sales]</f>
        <v>0.32500000000000001</v>
      </c>
    </row>
    <row r="4402" spans="1:23" x14ac:dyDescent="0.25">
      <c r="A4402">
        <v>4401</v>
      </c>
      <c r="B4402" t="s">
        <v>10022</v>
      </c>
      <c r="C4402" s="1">
        <v>42357</v>
      </c>
      <c r="D4402" s="1">
        <v>42360</v>
      </c>
      <c r="E4402" t="s">
        <v>185</v>
      </c>
      <c r="F4402" t="s">
        <v>1297</v>
      </c>
      <c r="G4402" t="s">
        <v>1298</v>
      </c>
      <c r="H4402" t="s">
        <v>25</v>
      </c>
      <c r="I4402" t="s">
        <v>26</v>
      </c>
      <c r="J4402" t="s">
        <v>143</v>
      </c>
      <c r="K4402" t="s">
        <v>144</v>
      </c>
      <c r="L4402">
        <v>19134</v>
      </c>
      <c r="M4402" t="s">
        <v>145</v>
      </c>
      <c r="N4402" t="s">
        <v>4657</v>
      </c>
      <c r="O4402" t="s">
        <v>45</v>
      </c>
      <c r="P4402" t="s">
        <v>46</v>
      </c>
      <c r="Q4402" t="s">
        <v>4658</v>
      </c>
      <c r="R4402">
        <v>6.9119999999999999</v>
      </c>
      <c r="S4402">
        <v>3</v>
      </c>
      <c r="T4402">
        <v>0.2</v>
      </c>
      <c r="U4402">
        <v>2.5055999999999998</v>
      </c>
      <c r="V4402" t="str">
        <f t="shared" si="68"/>
        <v>Arthur Gainer</v>
      </c>
      <c r="W4402">
        <f>Table2[Profit]/Table2[Sales]</f>
        <v>0.36249999999999999</v>
      </c>
    </row>
    <row r="4403" spans="1:23" x14ac:dyDescent="0.25">
      <c r="A4403">
        <v>4402</v>
      </c>
      <c r="B4403" t="s">
        <v>10023</v>
      </c>
      <c r="C4403" s="1">
        <v>41731</v>
      </c>
      <c r="D4403" s="1">
        <v>41735</v>
      </c>
      <c r="E4403" t="s">
        <v>22</v>
      </c>
      <c r="F4403" t="s">
        <v>6541</v>
      </c>
      <c r="G4403" t="s">
        <v>6542</v>
      </c>
      <c r="H4403" t="s">
        <v>25</v>
      </c>
      <c r="I4403" t="s">
        <v>26</v>
      </c>
      <c r="J4403" t="s">
        <v>181</v>
      </c>
      <c r="K4403" t="s">
        <v>103</v>
      </c>
      <c r="L4403">
        <v>77095</v>
      </c>
      <c r="M4403" t="s">
        <v>104</v>
      </c>
      <c r="N4403" t="s">
        <v>1839</v>
      </c>
      <c r="O4403" t="s">
        <v>45</v>
      </c>
      <c r="P4403" t="s">
        <v>89</v>
      </c>
      <c r="Q4403" t="s">
        <v>1840</v>
      </c>
      <c r="R4403">
        <v>26.72</v>
      </c>
      <c r="S4403">
        <v>5</v>
      </c>
      <c r="T4403">
        <v>0.2</v>
      </c>
      <c r="U4403">
        <v>9.3520000000000003</v>
      </c>
      <c r="V4403" t="str">
        <f t="shared" si="68"/>
        <v>Sam Craven</v>
      </c>
      <c r="W4403">
        <f>Table2[Profit]/Table2[Sales]</f>
        <v>0.35000000000000003</v>
      </c>
    </row>
    <row r="4404" spans="1:23" x14ac:dyDescent="0.25">
      <c r="A4404">
        <v>4403</v>
      </c>
      <c r="B4404" t="s">
        <v>10024</v>
      </c>
      <c r="C4404" s="1">
        <v>42160</v>
      </c>
      <c r="D4404" s="1">
        <v>42164</v>
      </c>
      <c r="E4404" t="s">
        <v>49</v>
      </c>
      <c r="F4404" t="s">
        <v>1516</v>
      </c>
      <c r="G4404" t="s">
        <v>1517</v>
      </c>
      <c r="H4404" t="s">
        <v>40</v>
      </c>
      <c r="I4404" t="s">
        <v>26</v>
      </c>
      <c r="J4404" t="s">
        <v>9072</v>
      </c>
      <c r="K4404" t="s">
        <v>590</v>
      </c>
      <c r="L4404">
        <v>63301</v>
      </c>
      <c r="M4404" t="s">
        <v>104</v>
      </c>
      <c r="N4404" t="s">
        <v>4541</v>
      </c>
      <c r="O4404" t="s">
        <v>45</v>
      </c>
      <c r="P4404" t="s">
        <v>89</v>
      </c>
      <c r="Q4404" t="s">
        <v>4542</v>
      </c>
      <c r="R4404">
        <v>10.56</v>
      </c>
      <c r="S4404">
        <v>2</v>
      </c>
      <c r="T4404">
        <v>0</v>
      </c>
      <c r="U4404">
        <v>4.7519999999999998</v>
      </c>
      <c r="V4404" t="str">
        <f t="shared" si="68"/>
        <v>Brenda Bowman</v>
      </c>
      <c r="W4404">
        <f>Table2[Profit]/Table2[Sales]</f>
        <v>0.44999999999999996</v>
      </c>
    </row>
    <row r="4405" spans="1:23" x14ac:dyDescent="0.25">
      <c r="A4405">
        <v>4404</v>
      </c>
      <c r="B4405" t="s">
        <v>10025</v>
      </c>
      <c r="C4405" s="1">
        <v>41918</v>
      </c>
      <c r="D4405" s="1">
        <v>41921</v>
      </c>
      <c r="E4405" t="s">
        <v>185</v>
      </c>
      <c r="F4405" t="s">
        <v>8769</v>
      </c>
      <c r="G4405" t="s">
        <v>8770</v>
      </c>
      <c r="H4405" t="s">
        <v>40</v>
      </c>
      <c r="I4405" t="s">
        <v>26</v>
      </c>
      <c r="J4405" t="s">
        <v>4288</v>
      </c>
      <c r="K4405" t="s">
        <v>251</v>
      </c>
      <c r="L4405">
        <v>46203</v>
      </c>
      <c r="M4405" t="s">
        <v>104</v>
      </c>
      <c r="N4405" t="s">
        <v>7326</v>
      </c>
      <c r="O4405" t="s">
        <v>45</v>
      </c>
      <c r="P4405" t="s">
        <v>58</v>
      </c>
      <c r="Q4405" t="s">
        <v>7327</v>
      </c>
      <c r="R4405">
        <v>386.34</v>
      </c>
      <c r="S4405">
        <v>2</v>
      </c>
      <c r="T4405">
        <v>0</v>
      </c>
      <c r="U4405">
        <v>54.087600000000002</v>
      </c>
      <c r="V4405" t="str">
        <f t="shared" si="68"/>
        <v>Victoria Pisteka</v>
      </c>
      <c r="W4405">
        <f>Table2[Profit]/Table2[Sales]</f>
        <v>0.14000000000000001</v>
      </c>
    </row>
    <row r="4406" spans="1:23" x14ac:dyDescent="0.25">
      <c r="A4406">
        <v>4405</v>
      </c>
      <c r="B4406" t="s">
        <v>10026</v>
      </c>
      <c r="C4406" s="1">
        <v>42603</v>
      </c>
      <c r="D4406" s="1">
        <v>42606</v>
      </c>
      <c r="E4406" t="s">
        <v>22</v>
      </c>
      <c r="F4406" t="s">
        <v>2815</v>
      </c>
      <c r="G4406" t="s">
        <v>2816</v>
      </c>
      <c r="H4406" t="s">
        <v>40</v>
      </c>
      <c r="I4406" t="s">
        <v>26</v>
      </c>
      <c r="J4406" t="s">
        <v>94</v>
      </c>
      <c r="K4406" t="s">
        <v>95</v>
      </c>
      <c r="L4406">
        <v>98115</v>
      </c>
      <c r="M4406" t="s">
        <v>43</v>
      </c>
      <c r="N4406" t="s">
        <v>3116</v>
      </c>
      <c r="O4406" t="s">
        <v>45</v>
      </c>
      <c r="P4406" t="s">
        <v>74</v>
      </c>
      <c r="Q4406" t="s">
        <v>3117</v>
      </c>
      <c r="R4406">
        <v>33.44</v>
      </c>
      <c r="S4406">
        <v>10</v>
      </c>
      <c r="T4406">
        <v>0.2</v>
      </c>
      <c r="U4406">
        <v>11.704000000000001</v>
      </c>
      <c r="V4406" t="str">
        <f t="shared" si="68"/>
        <v>Rachel Payne</v>
      </c>
      <c r="W4406">
        <f>Table2[Profit]/Table2[Sales]</f>
        <v>0.35000000000000003</v>
      </c>
    </row>
    <row r="4407" spans="1:23" x14ac:dyDescent="0.25">
      <c r="A4407">
        <v>4406</v>
      </c>
      <c r="B4407" t="s">
        <v>10027</v>
      </c>
      <c r="C4407" s="1">
        <v>42323</v>
      </c>
      <c r="D4407" s="1">
        <v>42327</v>
      </c>
      <c r="E4407" t="s">
        <v>49</v>
      </c>
      <c r="F4407" t="s">
        <v>6835</v>
      </c>
      <c r="G4407" t="s">
        <v>6836</v>
      </c>
      <c r="H4407" t="s">
        <v>101</v>
      </c>
      <c r="I4407" t="s">
        <v>26</v>
      </c>
      <c r="J4407" t="s">
        <v>3259</v>
      </c>
      <c r="K4407" t="s">
        <v>312</v>
      </c>
      <c r="L4407">
        <v>22801</v>
      </c>
      <c r="M4407" t="s">
        <v>29</v>
      </c>
      <c r="N4407" t="s">
        <v>2152</v>
      </c>
      <c r="O4407" t="s">
        <v>31</v>
      </c>
      <c r="P4407" t="s">
        <v>64</v>
      </c>
      <c r="Q4407" t="s">
        <v>2153</v>
      </c>
      <c r="R4407">
        <v>39.96</v>
      </c>
      <c r="S4407">
        <v>2</v>
      </c>
      <c r="T4407">
        <v>0</v>
      </c>
      <c r="U4407">
        <v>14.3856</v>
      </c>
      <c r="V4407" t="str">
        <f t="shared" si="68"/>
        <v>Duane Huffman</v>
      </c>
      <c r="W4407">
        <f>Table2[Profit]/Table2[Sales]</f>
        <v>0.36</v>
      </c>
    </row>
    <row r="4408" spans="1:23" x14ac:dyDescent="0.25">
      <c r="A4408">
        <v>4407</v>
      </c>
      <c r="B4408" t="s">
        <v>10028</v>
      </c>
      <c r="C4408" s="1">
        <v>42177</v>
      </c>
      <c r="D4408" s="1">
        <v>42182</v>
      </c>
      <c r="E4408" t="s">
        <v>49</v>
      </c>
      <c r="F4408" t="s">
        <v>4262</v>
      </c>
      <c r="G4408" t="s">
        <v>4263</v>
      </c>
      <c r="H4408" t="s">
        <v>25</v>
      </c>
      <c r="I4408" t="s">
        <v>26</v>
      </c>
      <c r="J4408" t="s">
        <v>382</v>
      </c>
      <c r="K4408" t="s">
        <v>264</v>
      </c>
      <c r="L4408">
        <v>14609</v>
      </c>
      <c r="M4408" t="s">
        <v>145</v>
      </c>
      <c r="N4408" t="s">
        <v>2655</v>
      </c>
      <c r="O4408" t="s">
        <v>45</v>
      </c>
      <c r="P4408" t="s">
        <v>74</v>
      </c>
      <c r="Q4408" t="s">
        <v>2656</v>
      </c>
      <c r="R4408">
        <v>1217.568</v>
      </c>
      <c r="S4408">
        <v>2</v>
      </c>
      <c r="T4408">
        <v>0.2</v>
      </c>
      <c r="U4408">
        <v>456.58800000000002</v>
      </c>
      <c r="V4408" t="str">
        <f t="shared" si="68"/>
        <v>Shaun Weien</v>
      </c>
      <c r="W4408">
        <f>Table2[Profit]/Table2[Sales]</f>
        <v>0.375</v>
      </c>
    </row>
    <row r="4409" spans="1:23" x14ac:dyDescent="0.25">
      <c r="A4409">
        <v>4408</v>
      </c>
      <c r="B4409" t="s">
        <v>10029</v>
      </c>
      <c r="C4409" s="1">
        <v>43002</v>
      </c>
      <c r="D4409" s="1">
        <v>43006</v>
      </c>
      <c r="E4409" t="s">
        <v>49</v>
      </c>
      <c r="F4409" t="s">
        <v>4995</v>
      </c>
      <c r="G4409" t="s">
        <v>4996</v>
      </c>
      <c r="H4409" t="s">
        <v>101</v>
      </c>
      <c r="I4409" t="s">
        <v>26</v>
      </c>
      <c r="J4409" t="s">
        <v>7314</v>
      </c>
      <c r="K4409" t="s">
        <v>1260</v>
      </c>
      <c r="L4409">
        <v>30328</v>
      </c>
      <c r="M4409" t="s">
        <v>29</v>
      </c>
      <c r="N4409" t="s">
        <v>3930</v>
      </c>
      <c r="O4409" t="s">
        <v>45</v>
      </c>
      <c r="P4409" t="s">
        <v>58</v>
      </c>
      <c r="Q4409" t="s">
        <v>6433</v>
      </c>
      <c r="R4409">
        <v>15.51</v>
      </c>
      <c r="S4409">
        <v>1</v>
      </c>
      <c r="T4409">
        <v>0</v>
      </c>
      <c r="U4409">
        <v>3.8774999999999999</v>
      </c>
      <c r="V4409" t="str">
        <f t="shared" si="68"/>
        <v>Karen Ferguson</v>
      </c>
      <c r="W4409">
        <f>Table2[Profit]/Table2[Sales]</f>
        <v>0.25</v>
      </c>
    </row>
    <row r="4410" spans="1:23" x14ac:dyDescent="0.25">
      <c r="A4410">
        <v>4409</v>
      </c>
      <c r="B4410" t="s">
        <v>10030</v>
      </c>
      <c r="C4410" s="1">
        <v>41735</v>
      </c>
      <c r="D4410" s="1">
        <v>41739</v>
      </c>
      <c r="E4410" t="s">
        <v>22</v>
      </c>
      <c r="F4410" t="s">
        <v>3227</v>
      </c>
      <c r="G4410" t="s">
        <v>3228</v>
      </c>
      <c r="H4410" t="s">
        <v>40</v>
      </c>
      <c r="I4410" t="s">
        <v>26</v>
      </c>
      <c r="J4410" t="s">
        <v>41</v>
      </c>
      <c r="K4410" t="s">
        <v>42</v>
      </c>
      <c r="L4410">
        <v>90004</v>
      </c>
      <c r="M4410" t="s">
        <v>43</v>
      </c>
      <c r="N4410" t="s">
        <v>6649</v>
      </c>
      <c r="O4410" t="s">
        <v>45</v>
      </c>
      <c r="P4410" t="s">
        <v>67</v>
      </c>
      <c r="Q4410" t="s">
        <v>6650</v>
      </c>
      <c r="R4410">
        <v>70.95</v>
      </c>
      <c r="S4410">
        <v>3</v>
      </c>
      <c r="T4410">
        <v>0</v>
      </c>
      <c r="U4410">
        <v>18.446999999999999</v>
      </c>
      <c r="V4410" t="str">
        <f t="shared" si="68"/>
        <v>Frank Hawley</v>
      </c>
      <c r="W4410">
        <f>Table2[Profit]/Table2[Sales]</f>
        <v>0.25999999999999995</v>
      </c>
    </row>
    <row r="4411" spans="1:23" x14ac:dyDescent="0.25">
      <c r="A4411">
        <v>4410</v>
      </c>
      <c r="B4411" t="s">
        <v>10031</v>
      </c>
      <c r="C4411" s="1">
        <v>42409</v>
      </c>
      <c r="D4411" s="1">
        <v>42413</v>
      </c>
      <c r="E4411" t="s">
        <v>49</v>
      </c>
      <c r="F4411" t="s">
        <v>2729</v>
      </c>
      <c r="G4411" t="s">
        <v>2730</v>
      </c>
      <c r="H4411" t="s">
        <v>40</v>
      </c>
      <c r="I4411" t="s">
        <v>26</v>
      </c>
      <c r="J4411" t="s">
        <v>126</v>
      </c>
      <c r="K4411" t="s">
        <v>42</v>
      </c>
      <c r="L4411">
        <v>94110</v>
      </c>
      <c r="M4411" t="s">
        <v>43</v>
      </c>
      <c r="N4411" t="s">
        <v>1010</v>
      </c>
      <c r="O4411" t="s">
        <v>70</v>
      </c>
      <c r="P4411" t="s">
        <v>158</v>
      </c>
      <c r="Q4411" t="s">
        <v>1011</v>
      </c>
      <c r="R4411">
        <v>89.97</v>
      </c>
      <c r="S4411">
        <v>3</v>
      </c>
      <c r="T4411">
        <v>0</v>
      </c>
      <c r="U4411">
        <v>39.586799999999997</v>
      </c>
      <c r="V4411" t="str">
        <f t="shared" si="68"/>
        <v>Justin Ritter</v>
      </c>
      <c r="W4411">
        <f>Table2[Profit]/Table2[Sales]</f>
        <v>0.43999999999999995</v>
      </c>
    </row>
    <row r="4412" spans="1:23" x14ac:dyDescent="0.25">
      <c r="A4412">
        <v>4411</v>
      </c>
      <c r="B4412" t="s">
        <v>10032</v>
      </c>
      <c r="C4412" s="1">
        <v>41961</v>
      </c>
      <c r="D4412" s="1">
        <v>41963</v>
      </c>
      <c r="E4412" t="s">
        <v>22</v>
      </c>
      <c r="F4412" t="s">
        <v>364</v>
      </c>
      <c r="G4412" t="s">
        <v>365</v>
      </c>
      <c r="H4412" t="s">
        <v>40</v>
      </c>
      <c r="I4412" t="s">
        <v>26</v>
      </c>
      <c r="J4412" t="s">
        <v>402</v>
      </c>
      <c r="K4412" t="s">
        <v>226</v>
      </c>
      <c r="L4412">
        <v>55407</v>
      </c>
      <c r="M4412" t="s">
        <v>104</v>
      </c>
      <c r="N4412" t="s">
        <v>7430</v>
      </c>
      <c r="O4412" t="s">
        <v>45</v>
      </c>
      <c r="P4412" t="s">
        <v>58</v>
      </c>
      <c r="Q4412" t="s">
        <v>7431</v>
      </c>
      <c r="R4412">
        <v>67.150000000000006</v>
      </c>
      <c r="S4412">
        <v>5</v>
      </c>
      <c r="T4412">
        <v>0</v>
      </c>
      <c r="U4412">
        <v>16.787500000000001</v>
      </c>
      <c r="V4412" t="str">
        <f t="shared" si="68"/>
        <v>Julie Creighton</v>
      </c>
      <c r="W4412">
        <f>Table2[Profit]/Table2[Sales]</f>
        <v>0.25</v>
      </c>
    </row>
    <row r="4413" spans="1:23" x14ac:dyDescent="0.25">
      <c r="A4413">
        <v>4412</v>
      </c>
      <c r="B4413" t="s">
        <v>10033</v>
      </c>
      <c r="C4413" s="1">
        <v>43087</v>
      </c>
      <c r="D4413" s="1">
        <v>43092</v>
      </c>
      <c r="E4413" t="s">
        <v>49</v>
      </c>
      <c r="F4413" t="s">
        <v>3652</v>
      </c>
      <c r="G4413" t="s">
        <v>3653</v>
      </c>
      <c r="H4413" t="s">
        <v>25</v>
      </c>
      <c r="I4413" t="s">
        <v>26</v>
      </c>
      <c r="J4413" t="s">
        <v>490</v>
      </c>
      <c r="K4413" t="s">
        <v>491</v>
      </c>
      <c r="L4413">
        <v>43229</v>
      </c>
      <c r="M4413" t="s">
        <v>145</v>
      </c>
      <c r="N4413" t="s">
        <v>4841</v>
      </c>
      <c r="O4413" t="s">
        <v>45</v>
      </c>
      <c r="P4413" t="s">
        <v>74</v>
      </c>
      <c r="Q4413" t="s">
        <v>4842</v>
      </c>
      <c r="R4413">
        <v>7.2359999999999998</v>
      </c>
      <c r="S4413">
        <v>3</v>
      </c>
      <c r="T4413">
        <v>0.7</v>
      </c>
      <c r="U4413">
        <v>-6.03</v>
      </c>
      <c r="V4413" t="str">
        <f t="shared" si="68"/>
        <v>Beth Paige</v>
      </c>
      <c r="W4413">
        <f>Table2[Profit]/Table2[Sales]</f>
        <v>-0.83333333333333337</v>
      </c>
    </row>
    <row r="4414" spans="1:23" x14ac:dyDescent="0.25">
      <c r="A4414">
        <v>4413</v>
      </c>
      <c r="B4414" t="s">
        <v>10034</v>
      </c>
      <c r="C4414" s="1">
        <v>42187</v>
      </c>
      <c r="D4414" s="1">
        <v>42189</v>
      </c>
      <c r="E4414" t="s">
        <v>185</v>
      </c>
      <c r="F4414" t="s">
        <v>1159</v>
      </c>
      <c r="G4414" t="s">
        <v>1160</v>
      </c>
      <c r="H4414" t="s">
        <v>40</v>
      </c>
      <c r="I4414" t="s">
        <v>26</v>
      </c>
      <c r="J4414" t="s">
        <v>4494</v>
      </c>
      <c r="K4414" t="s">
        <v>87</v>
      </c>
      <c r="L4414">
        <v>27604</v>
      </c>
      <c r="M4414" t="s">
        <v>29</v>
      </c>
      <c r="N4414" t="s">
        <v>3493</v>
      </c>
      <c r="O4414" t="s">
        <v>70</v>
      </c>
      <c r="P4414" t="s">
        <v>71</v>
      </c>
      <c r="Q4414" t="s">
        <v>3494</v>
      </c>
      <c r="R4414">
        <v>74.239999999999995</v>
      </c>
      <c r="S4414">
        <v>1</v>
      </c>
      <c r="T4414">
        <v>0.2</v>
      </c>
      <c r="U4414">
        <v>8.3520000000000003</v>
      </c>
      <c r="V4414" t="str">
        <f t="shared" si="68"/>
        <v>Frank Atkinson</v>
      </c>
      <c r="W4414">
        <f>Table2[Profit]/Table2[Sales]</f>
        <v>0.11250000000000002</v>
      </c>
    </row>
    <row r="4415" spans="1:23" x14ac:dyDescent="0.25">
      <c r="A4415">
        <v>4414</v>
      </c>
      <c r="B4415" t="s">
        <v>10035</v>
      </c>
      <c r="C4415" s="1">
        <v>41920</v>
      </c>
      <c r="D4415" s="1">
        <v>41925</v>
      </c>
      <c r="E4415" t="s">
        <v>22</v>
      </c>
      <c r="F4415" t="s">
        <v>357</v>
      </c>
      <c r="G4415" t="s">
        <v>358</v>
      </c>
      <c r="H4415" t="s">
        <v>25</v>
      </c>
      <c r="I4415" t="s">
        <v>26</v>
      </c>
      <c r="J4415" t="s">
        <v>263</v>
      </c>
      <c r="K4415" t="s">
        <v>264</v>
      </c>
      <c r="L4415">
        <v>10011</v>
      </c>
      <c r="M4415" t="s">
        <v>145</v>
      </c>
      <c r="N4415" t="s">
        <v>3934</v>
      </c>
      <c r="O4415" t="s">
        <v>45</v>
      </c>
      <c r="P4415" t="s">
        <v>89</v>
      </c>
      <c r="Q4415" t="s">
        <v>3935</v>
      </c>
      <c r="R4415">
        <v>123.92</v>
      </c>
      <c r="S4415">
        <v>4</v>
      </c>
      <c r="T4415">
        <v>0</v>
      </c>
      <c r="U4415">
        <v>55.764000000000003</v>
      </c>
      <c r="V4415" t="str">
        <f t="shared" si="68"/>
        <v>Duane Noonan</v>
      </c>
      <c r="W4415">
        <f>Table2[Profit]/Table2[Sales]</f>
        <v>0.45</v>
      </c>
    </row>
    <row r="4416" spans="1:23" x14ac:dyDescent="0.25">
      <c r="A4416">
        <v>4415</v>
      </c>
      <c r="B4416" t="s">
        <v>10036</v>
      </c>
      <c r="C4416" s="1">
        <v>42269</v>
      </c>
      <c r="D4416" s="1">
        <v>42272</v>
      </c>
      <c r="E4416" t="s">
        <v>185</v>
      </c>
      <c r="F4416" t="s">
        <v>3109</v>
      </c>
      <c r="G4416" t="s">
        <v>3110</v>
      </c>
      <c r="H4416" t="s">
        <v>25</v>
      </c>
      <c r="I4416" t="s">
        <v>26</v>
      </c>
      <c r="J4416" t="s">
        <v>143</v>
      </c>
      <c r="K4416" t="s">
        <v>144</v>
      </c>
      <c r="L4416">
        <v>19143</v>
      </c>
      <c r="M4416" t="s">
        <v>145</v>
      </c>
      <c r="N4416" t="s">
        <v>4725</v>
      </c>
      <c r="O4416" t="s">
        <v>45</v>
      </c>
      <c r="P4416" t="s">
        <v>572</v>
      </c>
      <c r="Q4416" t="s">
        <v>4726</v>
      </c>
      <c r="R4416">
        <v>55.6</v>
      </c>
      <c r="S4416">
        <v>5</v>
      </c>
      <c r="T4416">
        <v>0.2</v>
      </c>
      <c r="U4416">
        <v>6.2549999999999999</v>
      </c>
      <c r="V4416" t="str">
        <f t="shared" si="68"/>
        <v>Frank Olsen</v>
      </c>
      <c r="W4416">
        <f>Table2[Profit]/Table2[Sales]</f>
        <v>0.11249999999999999</v>
      </c>
    </row>
    <row r="4417" spans="1:23" x14ac:dyDescent="0.25">
      <c r="A4417">
        <v>4416</v>
      </c>
      <c r="B4417" t="s">
        <v>10037</v>
      </c>
      <c r="C4417" s="1">
        <v>43093</v>
      </c>
      <c r="D4417" s="1">
        <v>43099</v>
      </c>
      <c r="E4417" t="s">
        <v>49</v>
      </c>
      <c r="F4417" t="s">
        <v>2601</v>
      </c>
      <c r="G4417" t="s">
        <v>2602</v>
      </c>
      <c r="H4417" t="s">
        <v>40</v>
      </c>
      <c r="I4417" t="s">
        <v>26</v>
      </c>
      <c r="J4417" t="s">
        <v>6118</v>
      </c>
      <c r="K4417" t="s">
        <v>6119</v>
      </c>
      <c r="L4417">
        <v>83642</v>
      </c>
      <c r="M4417" t="s">
        <v>43</v>
      </c>
      <c r="N4417" t="s">
        <v>890</v>
      </c>
      <c r="O4417" t="s">
        <v>45</v>
      </c>
      <c r="P4417" t="s">
        <v>74</v>
      </c>
      <c r="Q4417" t="s">
        <v>891</v>
      </c>
      <c r="R4417">
        <v>21.312000000000001</v>
      </c>
      <c r="S4417">
        <v>3</v>
      </c>
      <c r="T4417">
        <v>0.2</v>
      </c>
      <c r="U4417">
        <v>7.992</v>
      </c>
      <c r="V4417" t="str">
        <f t="shared" si="68"/>
        <v>Dave Poirier</v>
      </c>
      <c r="W4417">
        <f>Table2[Profit]/Table2[Sales]</f>
        <v>0.375</v>
      </c>
    </row>
    <row r="4418" spans="1:23" x14ac:dyDescent="0.25">
      <c r="A4418">
        <v>4417</v>
      </c>
      <c r="B4418" t="s">
        <v>10038</v>
      </c>
      <c r="C4418" s="1">
        <v>43021</v>
      </c>
      <c r="D4418" s="1">
        <v>43028</v>
      </c>
      <c r="E4418" t="s">
        <v>49</v>
      </c>
      <c r="F4418" t="s">
        <v>3923</v>
      </c>
      <c r="G4418" t="s">
        <v>3924</v>
      </c>
      <c r="H4418" t="s">
        <v>40</v>
      </c>
      <c r="I4418" t="s">
        <v>26</v>
      </c>
      <c r="J4418" t="s">
        <v>5281</v>
      </c>
      <c r="K4418" t="s">
        <v>42</v>
      </c>
      <c r="L4418">
        <v>95823</v>
      </c>
      <c r="M4418" t="s">
        <v>43</v>
      </c>
      <c r="N4418" t="s">
        <v>1344</v>
      </c>
      <c r="O4418" t="s">
        <v>70</v>
      </c>
      <c r="P4418" t="s">
        <v>158</v>
      </c>
      <c r="Q4418" t="s">
        <v>1345</v>
      </c>
      <c r="R4418">
        <v>209.94</v>
      </c>
      <c r="S4418">
        <v>6</v>
      </c>
      <c r="T4418">
        <v>0</v>
      </c>
      <c r="U4418">
        <v>39.888599999999997</v>
      </c>
      <c r="V4418" t="str">
        <f t="shared" si="68"/>
        <v>Jane Waco</v>
      </c>
      <c r="W4418">
        <f>Table2[Profit]/Table2[Sales]</f>
        <v>0.18999999999999997</v>
      </c>
    </row>
    <row r="4419" spans="1:23" x14ac:dyDescent="0.25">
      <c r="A4419">
        <v>4418</v>
      </c>
      <c r="B4419" t="s">
        <v>10039</v>
      </c>
      <c r="C4419" s="1">
        <v>42967</v>
      </c>
      <c r="D4419" s="1">
        <v>42973</v>
      </c>
      <c r="E4419" t="s">
        <v>49</v>
      </c>
      <c r="F4419" t="s">
        <v>4090</v>
      </c>
      <c r="G4419" t="s">
        <v>4091</v>
      </c>
      <c r="H4419" t="s">
        <v>101</v>
      </c>
      <c r="I4419" t="s">
        <v>26</v>
      </c>
      <c r="J4419" t="s">
        <v>460</v>
      </c>
      <c r="K4419" t="s">
        <v>87</v>
      </c>
      <c r="L4419">
        <v>28205</v>
      </c>
      <c r="M4419" t="s">
        <v>29</v>
      </c>
      <c r="N4419" t="s">
        <v>6339</v>
      </c>
      <c r="O4419" t="s">
        <v>70</v>
      </c>
      <c r="P4419" t="s">
        <v>71</v>
      </c>
      <c r="Q4419" t="s">
        <v>6340</v>
      </c>
      <c r="R4419">
        <v>35.96</v>
      </c>
      <c r="S4419">
        <v>1</v>
      </c>
      <c r="T4419">
        <v>0.2</v>
      </c>
      <c r="U4419">
        <v>3.5960000000000001</v>
      </c>
      <c r="V4419" t="str">
        <f t="shared" ref="V4419:V4482" si="69">TRIM(G4419)</f>
        <v>Tonja Turnell</v>
      </c>
      <c r="W4419">
        <f>Table2[Profit]/Table2[Sales]</f>
        <v>0.1</v>
      </c>
    </row>
    <row r="4420" spans="1:23" x14ac:dyDescent="0.25">
      <c r="A4420">
        <v>4419</v>
      </c>
      <c r="B4420" t="s">
        <v>10040</v>
      </c>
      <c r="C4420" s="1">
        <v>42258</v>
      </c>
      <c r="D4420" s="1">
        <v>42265</v>
      </c>
      <c r="E4420" t="s">
        <v>49</v>
      </c>
      <c r="F4420" t="s">
        <v>3103</v>
      </c>
      <c r="G4420" t="s">
        <v>3104</v>
      </c>
      <c r="H4420" t="s">
        <v>101</v>
      </c>
      <c r="I4420" t="s">
        <v>26</v>
      </c>
      <c r="J4420" t="s">
        <v>4724</v>
      </c>
      <c r="K4420" t="s">
        <v>781</v>
      </c>
      <c r="L4420">
        <v>7501</v>
      </c>
      <c r="M4420" t="s">
        <v>145</v>
      </c>
      <c r="N4420" t="s">
        <v>7276</v>
      </c>
      <c r="O4420" t="s">
        <v>45</v>
      </c>
      <c r="P4420" t="s">
        <v>46</v>
      </c>
      <c r="Q4420" t="s">
        <v>7277</v>
      </c>
      <c r="R4420">
        <v>31.05</v>
      </c>
      <c r="S4420">
        <v>3</v>
      </c>
      <c r="T4420">
        <v>0</v>
      </c>
      <c r="U4420">
        <v>14.904</v>
      </c>
      <c r="V4420" t="str">
        <f t="shared" si="69"/>
        <v>Skye Norling</v>
      </c>
      <c r="W4420">
        <f>Table2[Profit]/Table2[Sales]</f>
        <v>0.48</v>
      </c>
    </row>
    <row r="4421" spans="1:23" x14ac:dyDescent="0.25">
      <c r="A4421">
        <v>4420</v>
      </c>
      <c r="B4421" t="s">
        <v>10041</v>
      </c>
      <c r="C4421" s="1">
        <v>42358</v>
      </c>
      <c r="D4421" s="1">
        <v>42364</v>
      </c>
      <c r="E4421" t="s">
        <v>49</v>
      </c>
      <c r="F4421" t="s">
        <v>5454</v>
      </c>
      <c r="G4421" t="s">
        <v>5455</v>
      </c>
      <c r="H4421" t="s">
        <v>25</v>
      </c>
      <c r="I4421" t="s">
        <v>26</v>
      </c>
      <c r="J4421" t="s">
        <v>1119</v>
      </c>
      <c r="K4421" t="s">
        <v>312</v>
      </c>
      <c r="L4421">
        <v>22204</v>
      </c>
      <c r="M4421" t="s">
        <v>29</v>
      </c>
      <c r="N4421" t="s">
        <v>4721</v>
      </c>
      <c r="O4421" t="s">
        <v>45</v>
      </c>
      <c r="P4421" t="s">
        <v>77</v>
      </c>
      <c r="Q4421" t="s">
        <v>4722</v>
      </c>
      <c r="R4421">
        <v>36.270000000000003</v>
      </c>
      <c r="S4421">
        <v>3</v>
      </c>
      <c r="T4421">
        <v>0</v>
      </c>
      <c r="U4421">
        <v>10.881</v>
      </c>
      <c r="V4421" t="str">
        <f t="shared" si="69"/>
        <v>John Murray</v>
      </c>
      <c r="W4421">
        <f>Table2[Profit]/Table2[Sales]</f>
        <v>0.3</v>
      </c>
    </row>
    <row r="4422" spans="1:23" x14ac:dyDescent="0.25">
      <c r="A4422">
        <v>4421</v>
      </c>
      <c r="B4422" t="s">
        <v>10042</v>
      </c>
      <c r="C4422" s="1">
        <v>41902</v>
      </c>
      <c r="D4422" s="1">
        <v>41905</v>
      </c>
      <c r="E4422" t="s">
        <v>185</v>
      </c>
      <c r="F4422" t="s">
        <v>8147</v>
      </c>
      <c r="G4422" t="s">
        <v>8148</v>
      </c>
      <c r="H4422" t="s">
        <v>25</v>
      </c>
      <c r="I4422" t="s">
        <v>26</v>
      </c>
      <c r="J4422" t="s">
        <v>296</v>
      </c>
      <c r="K4422" t="s">
        <v>208</v>
      </c>
      <c r="L4422">
        <v>60653</v>
      </c>
      <c r="M4422" t="s">
        <v>104</v>
      </c>
      <c r="N4422" t="s">
        <v>6894</v>
      </c>
      <c r="O4422" t="s">
        <v>31</v>
      </c>
      <c r="P4422" t="s">
        <v>32</v>
      </c>
      <c r="Q4422" t="s">
        <v>6895</v>
      </c>
      <c r="R4422">
        <v>493.43</v>
      </c>
      <c r="S4422">
        <v>5</v>
      </c>
      <c r="T4422">
        <v>0.3</v>
      </c>
      <c r="U4422">
        <v>-70.489999999999995</v>
      </c>
      <c r="V4422" t="str">
        <f t="shared" si="69"/>
        <v>Sarah Brown</v>
      </c>
      <c r="W4422">
        <f>Table2[Profit]/Table2[Sales]</f>
        <v>-0.14285714285714285</v>
      </c>
    </row>
    <row r="4423" spans="1:23" x14ac:dyDescent="0.25">
      <c r="A4423">
        <v>4422</v>
      </c>
      <c r="B4423" t="s">
        <v>10043</v>
      </c>
      <c r="C4423" s="1">
        <v>42678</v>
      </c>
      <c r="D4423" s="1">
        <v>42682</v>
      </c>
      <c r="E4423" t="s">
        <v>49</v>
      </c>
      <c r="F4423" t="s">
        <v>6298</v>
      </c>
      <c r="G4423" t="s">
        <v>6299</v>
      </c>
      <c r="H4423" t="s">
        <v>25</v>
      </c>
      <c r="I4423" t="s">
        <v>26</v>
      </c>
      <c r="J4423" t="s">
        <v>941</v>
      </c>
      <c r="K4423" t="s">
        <v>42</v>
      </c>
      <c r="L4423">
        <v>92037</v>
      </c>
      <c r="M4423" t="s">
        <v>43</v>
      </c>
      <c r="N4423" t="s">
        <v>8452</v>
      </c>
      <c r="O4423" t="s">
        <v>70</v>
      </c>
      <c r="P4423" t="s">
        <v>675</v>
      </c>
      <c r="Q4423" t="s">
        <v>8453</v>
      </c>
      <c r="R4423">
        <v>686.4</v>
      </c>
      <c r="S4423">
        <v>2</v>
      </c>
      <c r="T4423">
        <v>0.2</v>
      </c>
      <c r="U4423">
        <v>77.22</v>
      </c>
      <c r="V4423" t="str">
        <f t="shared" si="69"/>
        <v>Cindy Chapman</v>
      </c>
      <c r="W4423">
        <f>Table2[Profit]/Table2[Sales]</f>
        <v>0.1125</v>
      </c>
    </row>
    <row r="4424" spans="1:23" x14ac:dyDescent="0.25">
      <c r="A4424">
        <v>4423</v>
      </c>
      <c r="B4424" t="s">
        <v>10044</v>
      </c>
      <c r="C4424" s="1">
        <v>43070</v>
      </c>
      <c r="D4424" s="1">
        <v>43075</v>
      </c>
      <c r="E4424" t="s">
        <v>49</v>
      </c>
      <c r="F4424" t="s">
        <v>578</v>
      </c>
      <c r="G4424" t="s">
        <v>579</v>
      </c>
      <c r="H4424" t="s">
        <v>40</v>
      </c>
      <c r="I4424" t="s">
        <v>26</v>
      </c>
      <c r="J4424" t="s">
        <v>94</v>
      </c>
      <c r="K4424" t="s">
        <v>95</v>
      </c>
      <c r="L4424">
        <v>98105</v>
      </c>
      <c r="M4424" t="s">
        <v>43</v>
      </c>
      <c r="N4424" t="s">
        <v>5696</v>
      </c>
      <c r="O4424" t="s">
        <v>45</v>
      </c>
      <c r="P4424" t="s">
        <v>74</v>
      </c>
      <c r="Q4424" t="s">
        <v>5697</v>
      </c>
      <c r="R4424">
        <v>15.92</v>
      </c>
      <c r="S4424">
        <v>5</v>
      </c>
      <c r="T4424">
        <v>0.2</v>
      </c>
      <c r="U4424">
        <v>5.3730000000000002</v>
      </c>
      <c r="V4424" t="str">
        <f t="shared" si="69"/>
        <v>Sally Hughsby</v>
      </c>
      <c r="W4424">
        <f>Table2[Profit]/Table2[Sales]</f>
        <v>0.33750000000000002</v>
      </c>
    </row>
    <row r="4425" spans="1:23" x14ac:dyDescent="0.25">
      <c r="A4425">
        <v>4424</v>
      </c>
      <c r="B4425" t="s">
        <v>10045</v>
      </c>
      <c r="C4425" s="1">
        <v>41922</v>
      </c>
      <c r="D4425" s="1">
        <v>41922</v>
      </c>
      <c r="E4425" t="s">
        <v>1278</v>
      </c>
      <c r="F4425" t="s">
        <v>4978</v>
      </c>
      <c r="G4425" t="s">
        <v>4979</v>
      </c>
      <c r="H4425" t="s">
        <v>25</v>
      </c>
      <c r="I4425" t="s">
        <v>26</v>
      </c>
      <c r="J4425" t="s">
        <v>490</v>
      </c>
      <c r="K4425" t="s">
        <v>491</v>
      </c>
      <c r="L4425">
        <v>43229</v>
      </c>
      <c r="M4425" t="s">
        <v>145</v>
      </c>
      <c r="N4425" t="s">
        <v>10046</v>
      </c>
      <c r="O4425" t="s">
        <v>70</v>
      </c>
      <c r="P4425" t="s">
        <v>675</v>
      </c>
      <c r="Q4425" t="s">
        <v>10047</v>
      </c>
      <c r="R4425">
        <v>101.994</v>
      </c>
      <c r="S4425">
        <v>2</v>
      </c>
      <c r="T4425">
        <v>0.7</v>
      </c>
      <c r="U4425">
        <v>-71.395799999999994</v>
      </c>
      <c r="V4425" t="str">
        <f t="shared" si="69"/>
        <v>Richard Bierner</v>
      </c>
      <c r="W4425">
        <f>Table2[Profit]/Table2[Sales]</f>
        <v>-0.7</v>
      </c>
    </row>
    <row r="4426" spans="1:23" x14ac:dyDescent="0.25">
      <c r="A4426">
        <v>4425</v>
      </c>
      <c r="B4426" t="s">
        <v>10048</v>
      </c>
      <c r="C4426" s="1">
        <v>43053</v>
      </c>
      <c r="D4426" s="1">
        <v>43055</v>
      </c>
      <c r="E4426" t="s">
        <v>22</v>
      </c>
      <c r="F4426" t="s">
        <v>5682</v>
      </c>
      <c r="G4426" t="s">
        <v>5683</v>
      </c>
      <c r="H4426" t="s">
        <v>25</v>
      </c>
      <c r="I4426" t="s">
        <v>26</v>
      </c>
      <c r="J4426" t="s">
        <v>181</v>
      </c>
      <c r="K4426" t="s">
        <v>103</v>
      </c>
      <c r="L4426">
        <v>77095</v>
      </c>
      <c r="M4426" t="s">
        <v>104</v>
      </c>
      <c r="N4426" t="s">
        <v>2750</v>
      </c>
      <c r="O4426" t="s">
        <v>45</v>
      </c>
      <c r="P4426" t="s">
        <v>74</v>
      </c>
      <c r="Q4426" t="s">
        <v>2751</v>
      </c>
      <c r="R4426">
        <v>21.99</v>
      </c>
      <c r="S4426">
        <v>5</v>
      </c>
      <c r="T4426">
        <v>0.8</v>
      </c>
      <c r="U4426">
        <v>-32.984999999999999</v>
      </c>
      <c r="V4426" t="str">
        <f t="shared" si="69"/>
        <v>Toby Carlisle</v>
      </c>
      <c r="W4426">
        <f>Table2[Profit]/Table2[Sales]</f>
        <v>-1.5</v>
      </c>
    </row>
    <row r="4427" spans="1:23" x14ac:dyDescent="0.25">
      <c r="A4427">
        <v>4426</v>
      </c>
      <c r="B4427" t="s">
        <v>10049</v>
      </c>
      <c r="C4427" s="1">
        <v>42595</v>
      </c>
      <c r="D4427" s="1">
        <v>42601</v>
      </c>
      <c r="E4427" t="s">
        <v>49</v>
      </c>
      <c r="F4427" t="s">
        <v>4808</v>
      </c>
      <c r="G4427" t="s">
        <v>4809</v>
      </c>
      <c r="H4427" t="s">
        <v>25</v>
      </c>
      <c r="I4427" t="s">
        <v>26</v>
      </c>
      <c r="J4427" t="s">
        <v>3844</v>
      </c>
      <c r="K4427" t="s">
        <v>103</v>
      </c>
      <c r="L4427">
        <v>75061</v>
      </c>
      <c r="M4427" t="s">
        <v>104</v>
      </c>
      <c r="N4427" t="s">
        <v>1581</v>
      </c>
      <c r="O4427" t="s">
        <v>45</v>
      </c>
      <c r="P4427" t="s">
        <v>572</v>
      </c>
      <c r="Q4427" t="s">
        <v>1582</v>
      </c>
      <c r="R4427">
        <v>185.376</v>
      </c>
      <c r="S4427">
        <v>2</v>
      </c>
      <c r="T4427">
        <v>0.2</v>
      </c>
      <c r="U4427">
        <v>-34.758000000000003</v>
      </c>
      <c r="V4427" t="str">
        <f t="shared" si="69"/>
        <v>Carol Triggs</v>
      </c>
      <c r="W4427">
        <f>Table2[Profit]/Table2[Sales]</f>
        <v>-0.1875</v>
      </c>
    </row>
    <row r="4428" spans="1:23" x14ac:dyDescent="0.25">
      <c r="A4428">
        <v>4427</v>
      </c>
      <c r="B4428" t="s">
        <v>10050</v>
      </c>
      <c r="C4428" s="1">
        <v>42995</v>
      </c>
      <c r="D4428" s="1">
        <v>43001</v>
      </c>
      <c r="E4428" t="s">
        <v>49</v>
      </c>
      <c r="F4428" t="s">
        <v>442</v>
      </c>
      <c r="G4428" t="s">
        <v>443</v>
      </c>
      <c r="H4428" t="s">
        <v>25</v>
      </c>
      <c r="I4428" t="s">
        <v>26</v>
      </c>
      <c r="J4428" t="s">
        <v>993</v>
      </c>
      <c r="K4428" t="s">
        <v>781</v>
      </c>
      <c r="L4428">
        <v>7960</v>
      </c>
      <c r="M4428" t="s">
        <v>145</v>
      </c>
      <c r="N4428" t="s">
        <v>10051</v>
      </c>
      <c r="O4428" t="s">
        <v>70</v>
      </c>
      <c r="P4428" t="s">
        <v>675</v>
      </c>
      <c r="Q4428" t="s">
        <v>10052</v>
      </c>
      <c r="R4428">
        <v>480</v>
      </c>
      <c r="S4428">
        <v>4</v>
      </c>
      <c r="T4428">
        <v>0</v>
      </c>
      <c r="U4428">
        <v>225.6</v>
      </c>
      <c r="V4428" t="str">
        <f t="shared" si="69"/>
        <v>Gary Zandusky</v>
      </c>
      <c r="W4428">
        <f>Table2[Profit]/Table2[Sales]</f>
        <v>0.47</v>
      </c>
    </row>
    <row r="4429" spans="1:23" x14ac:dyDescent="0.25">
      <c r="A4429">
        <v>4428</v>
      </c>
      <c r="B4429" t="s">
        <v>10053</v>
      </c>
      <c r="C4429" s="1">
        <v>42086</v>
      </c>
      <c r="D4429" s="1">
        <v>42088</v>
      </c>
      <c r="E4429" t="s">
        <v>185</v>
      </c>
      <c r="F4429" t="s">
        <v>749</v>
      </c>
      <c r="G4429" t="s">
        <v>750</v>
      </c>
      <c r="H4429" t="s">
        <v>40</v>
      </c>
      <c r="I4429" t="s">
        <v>26</v>
      </c>
      <c r="J4429" t="s">
        <v>41</v>
      </c>
      <c r="K4429" t="s">
        <v>42</v>
      </c>
      <c r="L4429">
        <v>90008</v>
      </c>
      <c r="M4429" t="s">
        <v>43</v>
      </c>
      <c r="N4429" t="s">
        <v>690</v>
      </c>
      <c r="O4429" t="s">
        <v>45</v>
      </c>
      <c r="P4429" t="s">
        <v>89</v>
      </c>
      <c r="Q4429" t="s">
        <v>5260</v>
      </c>
      <c r="R4429">
        <v>192.72</v>
      </c>
      <c r="S4429">
        <v>11</v>
      </c>
      <c r="T4429">
        <v>0</v>
      </c>
      <c r="U4429">
        <v>92.505600000000001</v>
      </c>
      <c r="V4429" t="str">
        <f t="shared" si="69"/>
        <v>Alice McCarthy</v>
      </c>
      <c r="W4429">
        <f>Table2[Profit]/Table2[Sales]</f>
        <v>0.48</v>
      </c>
    </row>
    <row r="4430" spans="1:23" x14ac:dyDescent="0.25">
      <c r="A4430">
        <v>4429</v>
      </c>
      <c r="B4430" t="s">
        <v>10054</v>
      </c>
      <c r="C4430" s="1">
        <v>42551</v>
      </c>
      <c r="D4430" s="1">
        <v>42554</v>
      </c>
      <c r="E4430" t="s">
        <v>22</v>
      </c>
      <c r="F4430" t="s">
        <v>4900</v>
      </c>
      <c r="G4430" t="s">
        <v>4901</v>
      </c>
      <c r="H4430" t="s">
        <v>101</v>
      </c>
      <c r="I4430" t="s">
        <v>26</v>
      </c>
      <c r="J4430" t="s">
        <v>449</v>
      </c>
      <c r="K4430" t="s">
        <v>208</v>
      </c>
      <c r="L4430">
        <v>60505</v>
      </c>
      <c r="M4430" t="s">
        <v>104</v>
      </c>
      <c r="N4430" t="s">
        <v>4070</v>
      </c>
      <c r="O4430" t="s">
        <v>70</v>
      </c>
      <c r="P4430" t="s">
        <v>158</v>
      </c>
      <c r="Q4430" t="s">
        <v>4071</v>
      </c>
      <c r="R4430">
        <v>50.12</v>
      </c>
      <c r="S4430">
        <v>7</v>
      </c>
      <c r="T4430">
        <v>0.2</v>
      </c>
      <c r="U4430">
        <v>-0.62649999999999995</v>
      </c>
      <c r="V4430" t="str">
        <f t="shared" si="69"/>
        <v>Adrian Hane</v>
      </c>
      <c r="W4430">
        <f>Table2[Profit]/Table2[Sales]</f>
        <v>-1.2499999999999999E-2</v>
      </c>
    </row>
    <row r="4431" spans="1:23" x14ac:dyDescent="0.25">
      <c r="A4431">
        <v>4430</v>
      </c>
      <c r="B4431" t="s">
        <v>10055</v>
      </c>
      <c r="C4431" s="1">
        <v>43028</v>
      </c>
      <c r="D4431" s="1">
        <v>43033</v>
      </c>
      <c r="E4431" t="s">
        <v>49</v>
      </c>
      <c r="F4431" t="s">
        <v>4107</v>
      </c>
      <c r="G4431" t="s">
        <v>4108</v>
      </c>
      <c r="H4431" t="s">
        <v>40</v>
      </c>
      <c r="I4431" t="s">
        <v>26</v>
      </c>
      <c r="J4431" t="s">
        <v>366</v>
      </c>
      <c r="K4431" t="s">
        <v>87</v>
      </c>
      <c r="L4431">
        <v>27707</v>
      </c>
      <c r="M4431" t="s">
        <v>29</v>
      </c>
      <c r="N4431" t="s">
        <v>6635</v>
      </c>
      <c r="O4431" t="s">
        <v>70</v>
      </c>
      <c r="P4431" t="s">
        <v>71</v>
      </c>
      <c r="Q4431" t="s">
        <v>6636</v>
      </c>
      <c r="R4431">
        <v>15.984</v>
      </c>
      <c r="S4431">
        <v>2</v>
      </c>
      <c r="T4431">
        <v>0.2</v>
      </c>
      <c r="U4431">
        <v>1.3986000000000001</v>
      </c>
      <c r="V4431" t="str">
        <f t="shared" si="69"/>
        <v>Muhammed Yedwab</v>
      </c>
      <c r="W4431">
        <f>Table2[Profit]/Table2[Sales]</f>
        <v>8.7500000000000008E-2</v>
      </c>
    </row>
    <row r="4432" spans="1:23" x14ac:dyDescent="0.25">
      <c r="A4432">
        <v>4431</v>
      </c>
      <c r="B4432" t="s">
        <v>10056</v>
      </c>
      <c r="C4432" s="1">
        <v>41876</v>
      </c>
      <c r="D4432" s="1">
        <v>41881</v>
      </c>
      <c r="E4432" t="s">
        <v>49</v>
      </c>
      <c r="F4432" t="s">
        <v>300</v>
      </c>
      <c r="G4432" t="s">
        <v>301</v>
      </c>
      <c r="H4432" t="s">
        <v>40</v>
      </c>
      <c r="I4432" t="s">
        <v>26</v>
      </c>
      <c r="J4432" t="s">
        <v>490</v>
      </c>
      <c r="K4432" t="s">
        <v>491</v>
      </c>
      <c r="L4432">
        <v>43229</v>
      </c>
      <c r="M4432" t="s">
        <v>145</v>
      </c>
      <c r="N4432" t="s">
        <v>1196</v>
      </c>
      <c r="O4432" t="s">
        <v>45</v>
      </c>
      <c r="P4432" t="s">
        <v>74</v>
      </c>
      <c r="Q4432" t="s">
        <v>1197</v>
      </c>
      <c r="R4432">
        <v>6.5279999999999996</v>
      </c>
      <c r="S4432">
        <v>4</v>
      </c>
      <c r="T4432">
        <v>0.7</v>
      </c>
      <c r="U4432">
        <v>-4.5696000000000003</v>
      </c>
      <c r="V4432" t="str">
        <f t="shared" si="69"/>
        <v>Brendan Sweed</v>
      </c>
      <c r="W4432">
        <f>Table2[Profit]/Table2[Sales]</f>
        <v>-0.70000000000000007</v>
      </c>
    </row>
    <row r="4433" spans="1:23" x14ac:dyDescent="0.25">
      <c r="A4433">
        <v>4432</v>
      </c>
      <c r="B4433" t="s">
        <v>10057</v>
      </c>
      <c r="C4433" s="1">
        <v>41847</v>
      </c>
      <c r="D4433" s="1">
        <v>41850</v>
      </c>
      <c r="E4433" t="s">
        <v>22</v>
      </c>
      <c r="F4433" t="s">
        <v>1017</v>
      </c>
      <c r="G4433" t="s">
        <v>1018</v>
      </c>
      <c r="H4433" t="s">
        <v>40</v>
      </c>
      <c r="I4433" t="s">
        <v>26</v>
      </c>
      <c r="J4433" t="s">
        <v>41</v>
      </c>
      <c r="K4433" t="s">
        <v>42</v>
      </c>
      <c r="L4433">
        <v>90036</v>
      </c>
      <c r="M4433" t="s">
        <v>43</v>
      </c>
      <c r="N4433" t="s">
        <v>3617</v>
      </c>
      <c r="O4433" t="s">
        <v>45</v>
      </c>
      <c r="P4433" t="s">
        <v>58</v>
      </c>
      <c r="Q4433" t="s">
        <v>3618</v>
      </c>
      <c r="R4433">
        <v>276.27999999999997</v>
      </c>
      <c r="S4433">
        <v>2</v>
      </c>
      <c r="T4433">
        <v>0</v>
      </c>
      <c r="U4433">
        <v>0</v>
      </c>
      <c r="V4433" t="str">
        <f t="shared" si="69"/>
        <v>Barry Blumstein</v>
      </c>
      <c r="W4433">
        <f>Table2[Profit]/Table2[Sales]</f>
        <v>0</v>
      </c>
    </row>
    <row r="4434" spans="1:23" x14ac:dyDescent="0.25">
      <c r="A4434">
        <v>4433</v>
      </c>
      <c r="B4434" t="s">
        <v>10058</v>
      </c>
      <c r="C4434" s="1">
        <v>43070</v>
      </c>
      <c r="D4434" s="1">
        <v>43076</v>
      </c>
      <c r="E4434" t="s">
        <v>49</v>
      </c>
      <c r="F4434" t="s">
        <v>4387</v>
      </c>
      <c r="G4434" t="s">
        <v>4388</v>
      </c>
      <c r="H4434" t="s">
        <v>101</v>
      </c>
      <c r="I4434" t="s">
        <v>26</v>
      </c>
      <c r="J4434" t="s">
        <v>4922</v>
      </c>
      <c r="K4434" t="s">
        <v>42</v>
      </c>
      <c r="L4434">
        <v>95207</v>
      </c>
      <c r="M4434" t="s">
        <v>43</v>
      </c>
      <c r="N4434" t="s">
        <v>2231</v>
      </c>
      <c r="O4434" t="s">
        <v>31</v>
      </c>
      <c r="P4434" t="s">
        <v>64</v>
      </c>
      <c r="Q4434" t="s">
        <v>2232</v>
      </c>
      <c r="R4434">
        <v>629.64</v>
      </c>
      <c r="S4434">
        <v>9</v>
      </c>
      <c r="T4434">
        <v>0</v>
      </c>
      <c r="U4434">
        <v>107.03879999999999</v>
      </c>
      <c r="V4434" t="str">
        <f t="shared" si="69"/>
        <v>Max Ludwig</v>
      </c>
      <c r="W4434">
        <f>Table2[Profit]/Table2[Sales]</f>
        <v>0.16999999999999998</v>
      </c>
    </row>
    <row r="4435" spans="1:23" x14ac:dyDescent="0.25">
      <c r="A4435">
        <v>4434</v>
      </c>
      <c r="B4435" t="s">
        <v>10059</v>
      </c>
      <c r="C4435" s="1">
        <v>42660</v>
      </c>
      <c r="D4435" s="1">
        <v>42664</v>
      </c>
      <c r="E4435" t="s">
        <v>22</v>
      </c>
      <c r="F4435" t="s">
        <v>8030</v>
      </c>
      <c r="G4435" t="s">
        <v>8031</v>
      </c>
      <c r="H4435" t="s">
        <v>101</v>
      </c>
      <c r="I4435" t="s">
        <v>26</v>
      </c>
      <c r="J4435" t="s">
        <v>375</v>
      </c>
      <c r="K4435" t="s">
        <v>590</v>
      </c>
      <c r="L4435">
        <v>65203</v>
      </c>
      <c r="M4435" t="s">
        <v>104</v>
      </c>
      <c r="N4435" t="s">
        <v>5340</v>
      </c>
      <c r="O4435" t="s">
        <v>70</v>
      </c>
      <c r="P4435" t="s">
        <v>71</v>
      </c>
      <c r="Q4435" t="s">
        <v>5341</v>
      </c>
      <c r="R4435">
        <v>449.97</v>
      </c>
      <c r="S4435">
        <v>3</v>
      </c>
      <c r="T4435">
        <v>0</v>
      </c>
      <c r="U4435">
        <v>220.4853</v>
      </c>
      <c r="V4435" t="str">
        <f t="shared" si="69"/>
        <v>Frank Carlisle</v>
      </c>
      <c r="W4435">
        <f>Table2[Profit]/Table2[Sales]</f>
        <v>0.48999999999999994</v>
      </c>
    </row>
    <row r="4436" spans="1:23" x14ac:dyDescent="0.25">
      <c r="A4436">
        <v>4435</v>
      </c>
      <c r="B4436" t="s">
        <v>10060</v>
      </c>
      <c r="C4436" s="1">
        <v>42629</v>
      </c>
      <c r="D4436" s="1">
        <v>42631</v>
      </c>
      <c r="E4436" t="s">
        <v>185</v>
      </c>
      <c r="F4436" t="s">
        <v>1109</v>
      </c>
      <c r="G4436" t="s">
        <v>1110</v>
      </c>
      <c r="H4436" t="s">
        <v>101</v>
      </c>
      <c r="I4436" t="s">
        <v>26</v>
      </c>
      <c r="J4436" t="s">
        <v>490</v>
      </c>
      <c r="K4436" t="s">
        <v>1260</v>
      </c>
      <c r="L4436">
        <v>31907</v>
      </c>
      <c r="M4436" t="s">
        <v>29</v>
      </c>
      <c r="N4436" t="s">
        <v>297</v>
      </c>
      <c r="O4436" t="s">
        <v>31</v>
      </c>
      <c r="P4436" t="s">
        <v>35</v>
      </c>
      <c r="Q4436" t="s">
        <v>298</v>
      </c>
      <c r="R4436">
        <v>121.78</v>
      </c>
      <c r="S4436">
        <v>2</v>
      </c>
      <c r="T4436">
        <v>0</v>
      </c>
      <c r="U4436">
        <v>30.445</v>
      </c>
      <c r="V4436" t="str">
        <f t="shared" si="69"/>
        <v>Corey Roper</v>
      </c>
      <c r="W4436">
        <f>Table2[Profit]/Table2[Sales]</f>
        <v>0.25</v>
      </c>
    </row>
    <row r="4437" spans="1:23" x14ac:dyDescent="0.25">
      <c r="A4437">
        <v>4436</v>
      </c>
      <c r="B4437" t="s">
        <v>10061</v>
      </c>
      <c r="C4437" s="1">
        <v>42339</v>
      </c>
      <c r="D4437" s="1">
        <v>42344</v>
      </c>
      <c r="E4437" t="s">
        <v>49</v>
      </c>
      <c r="F4437" t="s">
        <v>9577</v>
      </c>
      <c r="G4437" t="s">
        <v>9578</v>
      </c>
      <c r="H4437" t="s">
        <v>101</v>
      </c>
      <c r="I4437" t="s">
        <v>26</v>
      </c>
      <c r="J4437" t="s">
        <v>941</v>
      </c>
      <c r="K4437" t="s">
        <v>42</v>
      </c>
      <c r="L4437">
        <v>92037</v>
      </c>
      <c r="M4437" t="s">
        <v>43</v>
      </c>
      <c r="N4437" t="s">
        <v>3337</v>
      </c>
      <c r="O4437" t="s">
        <v>31</v>
      </c>
      <c r="P4437" t="s">
        <v>35</v>
      </c>
      <c r="Q4437" t="s">
        <v>3338</v>
      </c>
      <c r="R4437">
        <v>2676.672</v>
      </c>
      <c r="S4437">
        <v>9</v>
      </c>
      <c r="T4437">
        <v>0.2</v>
      </c>
      <c r="U4437">
        <v>267.66719999999998</v>
      </c>
      <c r="V4437" t="str">
        <f t="shared" si="69"/>
        <v>Lindsay Castell</v>
      </c>
      <c r="W4437">
        <f>Table2[Profit]/Table2[Sales]</f>
        <v>9.9999999999999992E-2</v>
      </c>
    </row>
    <row r="4438" spans="1:23" x14ac:dyDescent="0.25">
      <c r="A4438">
        <v>4437</v>
      </c>
      <c r="B4438" t="s">
        <v>10062</v>
      </c>
      <c r="C4438" s="1">
        <v>41856</v>
      </c>
      <c r="D4438" s="1">
        <v>41863</v>
      </c>
      <c r="E4438" t="s">
        <v>49</v>
      </c>
      <c r="F4438" t="s">
        <v>442</v>
      </c>
      <c r="G4438" t="s">
        <v>443</v>
      </c>
      <c r="H4438" t="s">
        <v>25</v>
      </c>
      <c r="I4438" t="s">
        <v>26</v>
      </c>
      <c r="J4438" t="s">
        <v>8772</v>
      </c>
      <c r="K4438" t="s">
        <v>103</v>
      </c>
      <c r="L4438">
        <v>77590</v>
      </c>
      <c r="M4438" t="s">
        <v>104</v>
      </c>
      <c r="N4438" t="s">
        <v>4339</v>
      </c>
      <c r="O4438" t="s">
        <v>31</v>
      </c>
      <c r="P4438" t="s">
        <v>55</v>
      </c>
      <c r="Q4438" t="s">
        <v>4340</v>
      </c>
      <c r="R4438">
        <v>489.23</v>
      </c>
      <c r="S4438">
        <v>2</v>
      </c>
      <c r="T4438">
        <v>0.3</v>
      </c>
      <c r="U4438">
        <v>41.933999999999997</v>
      </c>
      <c r="V4438" t="str">
        <f t="shared" si="69"/>
        <v>Gary Zandusky</v>
      </c>
      <c r="W4438">
        <f>Table2[Profit]/Table2[Sales]</f>
        <v>8.5714285714285701E-2</v>
      </c>
    </row>
    <row r="4439" spans="1:23" x14ac:dyDescent="0.25">
      <c r="A4439">
        <v>4438</v>
      </c>
      <c r="B4439" t="s">
        <v>10063</v>
      </c>
      <c r="C4439" s="1">
        <v>42597</v>
      </c>
      <c r="D4439" s="1">
        <v>42604</v>
      </c>
      <c r="E4439" t="s">
        <v>49</v>
      </c>
      <c r="F4439" t="s">
        <v>1844</v>
      </c>
      <c r="G4439" t="s">
        <v>1845</v>
      </c>
      <c r="H4439" t="s">
        <v>25</v>
      </c>
      <c r="I4439" t="s">
        <v>26</v>
      </c>
      <c r="J4439" t="s">
        <v>41</v>
      </c>
      <c r="K4439" t="s">
        <v>42</v>
      </c>
      <c r="L4439">
        <v>90004</v>
      </c>
      <c r="M4439" t="s">
        <v>43</v>
      </c>
      <c r="N4439" t="s">
        <v>2206</v>
      </c>
      <c r="O4439" t="s">
        <v>31</v>
      </c>
      <c r="P4439" t="s">
        <v>64</v>
      </c>
      <c r="Q4439" t="s">
        <v>2207</v>
      </c>
      <c r="R4439">
        <v>312.02999999999997</v>
      </c>
      <c r="S4439">
        <v>3</v>
      </c>
      <c r="T4439">
        <v>0</v>
      </c>
      <c r="U4439">
        <v>43.684199999999997</v>
      </c>
      <c r="V4439" t="str">
        <f t="shared" si="69"/>
        <v>Bill Donatelli</v>
      </c>
      <c r="W4439">
        <f>Table2[Profit]/Table2[Sales]</f>
        <v>0.14000000000000001</v>
      </c>
    </row>
    <row r="4440" spans="1:23" x14ac:dyDescent="0.25">
      <c r="A4440">
        <v>4439</v>
      </c>
      <c r="B4440" t="s">
        <v>10064</v>
      </c>
      <c r="C4440" s="1">
        <v>42223</v>
      </c>
      <c r="D4440" s="1">
        <v>42225</v>
      </c>
      <c r="E4440" t="s">
        <v>22</v>
      </c>
      <c r="F4440" t="s">
        <v>2577</v>
      </c>
      <c r="G4440" t="s">
        <v>2578</v>
      </c>
      <c r="H4440" t="s">
        <v>40</v>
      </c>
      <c r="I4440" t="s">
        <v>26</v>
      </c>
      <c r="J4440" t="s">
        <v>311</v>
      </c>
      <c r="K4440" t="s">
        <v>312</v>
      </c>
      <c r="L4440">
        <v>22153</v>
      </c>
      <c r="M4440" t="s">
        <v>29</v>
      </c>
      <c r="N4440" t="s">
        <v>5691</v>
      </c>
      <c r="O4440" t="s">
        <v>70</v>
      </c>
      <c r="P4440" t="s">
        <v>71</v>
      </c>
      <c r="Q4440" t="s">
        <v>5692</v>
      </c>
      <c r="R4440">
        <v>494.97</v>
      </c>
      <c r="S4440">
        <v>3</v>
      </c>
      <c r="T4440">
        <v>0</v>
      </c>
      <c r="U4440">
        <v>148.49100000000001</v>
      </c>
      <c r="V4440" t="str">
        <f t="shared" si="69"/>
        <v>Eudokia Martin</v>
      </c>
      <c r="W4440">
        <f>Table2[Profit]/Table2[Sales]</f>
        <v>0.3</v>
      </c>
    </row>
    <row r="4441" spans="1:23" x14ac:dyDescent="0.25">
      <c r="A4441">
        <v>4440</v>
      </c>
      <c r="B4441" t="s">
        <v>10065</v>
      </c>
      <c r="C4441" s="1">
        <v>42521</v>
      </c>
      <c r="D4441" s="1">
        <v>42525</v>
      </c>
      <c r="E4441" t="s">
        <v>49</v>
      </c>
      <c r="F4441" t="s">
        <v>3652</v>
      </c>
      <c r="G4441" t="s">
        <v>3653</v>
      </c>
      <c r="H4441" t="s">
        <v>25</v>
      </c>
      <c r="I4441" t="s">
        <v>26</v>
      </c>
      <c r="J4441" t="s">
        <v>350</v>
      </c>
      <c r="K4441" t="s">
        <v>208</v>
      </c>
      <c r="L4441">
        <v>62521</v>
      </c>
      <c r="M4441" t="s">
        <v>104</v>
      </c>
      <c r="N4441" t="s">
        <v>9557</v>
      </c>
      <c r="O4441" t="s">
        <v>31</v>
      </c>
      <c r="P4441" t="s">
        <v>64</v>
      </c>
      <c r="Q4441" t="s">
        <v>9558</v>
      </c>
      <c r="R4441">
        <v>32.064</v>
      </c>
      <c r="S4441">
        <v>3</v>
      </c>
      <c r="T4441">
        <v>0.6</v>
      </c>
      <c r="U4441">
        <v>-12.8256</v>
      </c>
      <c r="V4441" t="str">
        <f t="shared" si="69"/>
        <v>Beth Paige</v>
      </c>
      <c r="W4441">
        <f>Table2[Profit]/Table2[Sales]</f>
        <v>-0.39999999999999997</v>
      </c>
    </row>
    <row r="4442" spans="1:23" x14ac:dyDescent="0.25">
      <c r="A4442">
        <v>4441</v>
      </c>
      <c r="B4442" t="s">
        <v>10066</v>
      </c>
      <c r="C4442" s="1">
        <v>42552</v>
      </c>
      <c r="D4442" s="1">
        <v>42552</v>
      </c>
      <c r="E4442" t="s">
        <v>1278</v>
      </c>
      <c r="F4442" t="s">
        <v>6558</v>
      </c>
      <c r="G4442" t="s">
        <v>6559</v>
      </c>
      <c r="H4442" t="s">
        <v>101</v>
      </c>
      <c r="I4442" t="s">
        <v>26</v>
      </c>
      <c r="J4442" t="s">
        <v>263</v>
      </c>
      <c r="K4442" t="s">
        <v>264</v>
      </c>
      <c r="L4442">
        <v>10009</v>
      </c>
      <c r="M4442" t="s">
        <v>145</v>
      </c>
      <c r="N4442" t="s">
        <v>3555</v>
      </c>
      <c r="O4442" t="s">
        <v>45</v>
      </c>
      <c r="P4442" t="s">
        <v>46</v>
      </c>
      <c r="Q4442" t="s">
        <v>3556</v>
      </c>
      <c r="R4442">
        <v>30.53</v>
      </c>
      <c r="S4442">
        <v>1</v>
      </c>
      <c r="T4442">
        <v>0</v>
      </c>
      <c r="U4442">
        <v>14.043799999999999</v>
      </c>
      <c r="V4442" t="str">
        <f t="shared" si="69"/>
        <v>Stephanie Ulpright</v>
      </c>
      <c r="W4442">
        <f>Table2[Profit]/Table2[Sales]</f>
        <v>0.45999999999999996</v>
      </c>
    </row>
    <row r="4443" spans="1:23" x14ac:dyDescent="0.25">
      <c r="A4443">
        <v>4442</v>
      </c>
      <c r="B4443" t="s">
        <v>10067</v>
      </c>
      <c r="C4443" s="1">
        <v>42722</v>
      </c>
      <c r="D4443" s="1">
        <v>42724</v>
      </c>
      <c r="E4443" t="s">
        <v>185</v>
      </c>
      <c r="F4443" t="s">
        <v>6021</v>
      </c>
      <c r="G4443" t="s">
        <v>6022</v>
      </c>
      <c r="H4443" t="s">
        <v>40</v>
      </c>
      <c r="I4443" t="s">
        <v>26</v>
      </c>
      <c r="J4443" t="s">
        <v>126</v>
      </c>
      <c r="K4443" t="s">
        <v>42</v>
      </c>
      <c r="L4443">
        <v>94110</v>
      </c>
      <c r="M4443" t="s">
        <v>43</v>
      </c>
      <c r="N4443" t="s">
        <v>759</v>
      </c>
      <c r="O4443" t="s">
        <v>70</v>
      </c>
      <c r="P4443" t="s">
        <v>71</v>
      </c>
      <c r="Q4443" t="s">
        <v>760</v>
      </c>
      <c r="R4443">
        <v>66.975999999999999</v>
      </c>
      <c r="S4443">
        <v>7</v>
      </c>
      <c r="T4443">
        <v>0.2</v>
      </c>
      <c r="U4443">
        <v>6.6976000000000004</v>
      </c>
      <c r="V4443" t="str">
        <f t="shared" si="69"/>
        <v>Andy Yotov</v>
      </c>
      <c r="W4443">
        <f>Table2[Profit]/Table2[Sales]</f>
        <v>0.1</v>
      </c>
    </row>
    <row r="4444" spans="1:23" x14ac:dyDescent="0.25">
      <c r="A4444">
        <v>4443</v>
      </c>
      <c r="B4444" t="s">
        <v>10068</v>
      </c>
      <c r="C4444" s="1">
        <v>42030</v>
      </c>
      <c r="D4444" s="1">
        <v>42036</v>
      </c>
      <c r="E4444" t="s">
        <v>49</v>
      </c>
      <c r="F4444" t="s">
        <v>5213</v>
      </c>
      <c r="G4444" t="s">
        <v>5214</v>
      </c>
      <c r="H4444" t="s">
        <v>40</v>
      </c>
      <c r="I4444" t="s">
        <v>26</v>
      </c>
      <c r="J4444" t="s">
        <v>7768</v>
      </c>
      <c r="K4444" t="s">
        <v>42</v>
      </c>
      <c r="L4444">
        <v>92553</v>
      </c>
      <c r="M4444" t="s">
        <v>43</v>
      </c>
      <c r="N4444" t="s">
        <v>5075</v>
      </c>
      <c r="O4444" t="s">
        <v>45</v>
      </c>
      <c r="P4444" t="s">
        <v>89</v>
      </c>
      <c r="Q4444" t="s">
        <v>5076</v>
      </c>
      <c r="R4444">
        <v>182.72</v>
      </c>
      <c r="S4444">
        <v>8</v>
      </c>
      <c r="T4444">
        <v>0</v>
      </c>
      <c r="U4444">
        <v>84.051199999999994</v>
      </c>
      <c r="V4444" t="str">
        <f t="shared" si="69"/>
        <v>Elizabeth Moffitt</v>
      </c>
      <c r="W4444">
        <f>Table2[Profit]/Table2[Sales]</f>
        <v>0.45999999999999996</v>
      </c>
    </row>
    <row r="4445" spans="1:23" x14ac:dyDescent="0.25">
      <c r="A4445">
        <v>4444</v>
      </c>
      <c r="B4445" t="s">
        <v>10069</v>
      </c>
      <c r="C4445" s="1">
        <v>43036</v>
      </c>
      <c r="D4445" s="1">
        <v>43040</v>
      </c>
      <c r="E4445" t="s">
        <v>49</v>
      </c>
      <c r="F4445" t="s">
        <v>1650</v>
      </c>
      <c r="G4445" t="s">
        <v>1651</v>
      </c>
      <c r="H4445" t="s">
        <v>25</v>
      </c>
      <c r="I4445" t="s">
        <v>26</v>
      </c>
      <c r="J4445" t="s">
        <v>4010</v>
      </c>
      <c r="K4445" t="s">
        <v>1233</v>
      </c>
      <c r="L4445">
        <v>2149</v>
      </c>
      <c r="M4445" t="s">
        <v>145</v>
      </c>
      <c r="N4445" t="s">
        <v>642</v>
      </c>
      <c r="O4445" t="s">
        <v>45</v>
      </c>
      <c r="P4445" t="s">
        <v>46</v>
      </c>
      <c r="Q4445" t="s">
        <v>643</v>
      </c>
      <c r="R4445">
        <v>21.93</v>
      </c>
      <c r="S4445">
        <v>3</v>
      </c>
      <c r="T4445">
        <v>0</v>
      </c>
      <c r="U4445">
        <v>10.3071</v>
      </c>
      <c r="V4445" t="str">
        <f t="shared" si="69"/>
        <v>Sue Ann Reed</v>
      </c>
      <c r="W4445">
        <f>Table2[Profit]/Table2[Sales]</f>
        <v>0.47000000000000003</v>
      </c>
    </row>
    <row r="4446" spans="1:23" x14ac:dyDescent="0.25">
      <c r="A4446">
        <v>4445</v>
      </c>
      <c r="B4446" t="s">
        <v>10070</v>
      </c>
      <c r="C4446" s="1">
        <v>43043</v>
      </c>
      <c r="D4446" s="1">
        <v>43047</v>
      </c>
      <c r="E4446" t="s">
        <v>49</v>
      </c>
      <c r="F4446" t="s">
        <v>2022</v>
      </c>
      <c r="G4446" t="s">
        <v>2023</v>
      </c>
      <c r="H4446" t="s">
        <v>25</v>
      </c>
      <c r="I4446" t="s">
        <v>26</v>
      </c>
      <c r="J4446" t="s">
        <v>6103</v>
      </c>
      <c r="K4446" t="s">
        <v>328</v>
      </c>
      <c r="L4446">
        <v>37421</v>
      </c>
      <c r="M4446" t="s">
        <v>29</v>
      </c>
      <c r="N4446" t="s">
        <v>1660</v>
      </c>
      <c r="O4446" t="s">
        <v>70</v>
      </c>
      <c r="P4446" t="s">
        <v>158</v>
      </c>
      <c r="Q4446" t="s">
        <v>1661</v>
      </c>
      <c r="R4446">
        <v>95.975999999999999</v>
      </c>
      <c r="S4446">
        <v>3</v>
      </c>
      <c r="T4446">
        <v>0.2</v>
      </c>
      <c r="U4446">
        <v>15.5961</v>
      </c>
      <c r="V4446" t="str">
        <f t="shared" si="69"/>
        <v>Christina Anderson</v>
      </c>
      <c r="W4446">
        <f>Table2[Profit]/Table2[Sales]</f>
        <v>0.16250000000000001</v>
      </c>
    </row>
    <row r="4447" spans="1:23" x14ac:dyDescent="0.25">
      <c r="A4447">
        <v>4446</v>
      </c>
      <c r="B4447" t="s">
        <v>10071</v>
      </c>
      <c r="C4447" s="1">
        <v>42499</v>
      </c>
      <c r="D4447" s="1">
        <v>42503</v>
      </c>
      <c r="E4447" t="s">
        <v>49</v>
      </c>
      <c r="F4447" t="s">
        <v>474</v>
      </c>
      <c r="G4447" t="s">
        <v>475</v>
      </c>
      <c r="H4447" t="s">
        <v>40</v>
      </c>
      <c r="I4447" t="s">
        <v>26</v>
      </c>
      <c r="J4447" t="s">
        <v>1225</v>
      </c>
      <c r="K4447" t="s">
        <v>103</v>
      </c>
      <c r="L4447">
        <v>78745</v>
      </c>
      <c r="M4447" t="s">
        <v>104</v>
      </c>
      <c r="N4447" t="s">
        <v>1981</v>
      </c>
      <c r="O4447" t="s">
        <v>45</v>
      </c>
      <c r="P4447" t="s">
        <v>58</v>
      </c>
      <c r="Q4447" t="s">
        <v>1982</v>
      </c>
      <c r="R4447">
        <v>856.65599999999995</v>
      </c>
      <c r="S4447">
        <v>6</v>
      </c>
      <c r="T4447">
        <v>0.2</v>
      </c>
      <c r="U4447">
        <v>107.08199999999999</v>
      </c>
      <c r="V4447" t="str">
        <f t="shared" si="69"/>
        <v>Cynthia Voltz</v>
      </c>
      <c r="W4447">
        <f>Table2[Profit]/Table2[Sales]</f>
        <v>0.125</v>
      </c>
    </row>
    <row r="4448" spans="1:23" x14ac:dyDescent="0.25">
      <c r="A4448">
        <v>4447</v>
      </c>
      <c r="B4448" t="s">
        <v>10072</v>
      </c>
      <c r="C4448" s="1">
        <v>41731</v>
      </c>
      <c r="D4448" s="1">
        <v>41737</v>
      </c>
      <c r="E4448" t="s">
        <v>49</v>
      </c>
      <c r="F4448" t="s">
        <v>6483</v>
      </c>
      <c r="G4448" t="s">
        <v>6484</v>
      </c>
      <c r="H4448" t="s">
        <v>40</v>
      </c>
      <c r="I4448" t="s">
        <v>26</v>
      </c>
      <c r="J4448" t="s">
        <v>2930</v>
      </c>
      <c r="K4448" t="s">
        <v>312</v>
      </c>
      <c r="L4448">
        <v>23464</v>
      </c>
      <c r="M4448" t="s">
        <v>29</v>
      </c>
      <c r="N4448" t="s">
        <v>8037</v>
      </c>
      <c r="O4448" t="s">
        <v>31</v>
      </c>
      <c r="P4448" t="s">
        <v>64</v>
      </c>
      <c r="Q4448" t="s">
        <v>8038</v>
      </c>
      <c r="R4448">
        <v>177.68</v>
      </c>
      <c r="S4448">
        <v>2</v>
      </c>
      <c r="T4448">
        <v>0</v>
      </c>
      <c r="U4448">
        <v>46.196800000000003</v>
      </c>
      <c r="V4448" t="str">
        <f t="shared" si="69"/>
        <v>Anna Häberlin</v>
      </c>
      <c r="W4448">
        <f>Table2[Profit]/Table2[Sales]</f>
        <v>0.26</v>
      </c>
    </row>
    <row r="4449" spans="1:23" x14ac:dyDescent="0.25">
      <c r="A4449">
        <v>4448</v>
      </c>
      <c r="B4449" t="s">
        <v>10073</v>
      </c>
      <c r="C4449" s="1">
        <v>41757</v>
      </c>
      <c r="D4449" s="1">
        <v>41762</v>
      </c>
      <c r="E4449" t="s">
        <v>49</v>
      </c>
      <c r="F4449" t="s">
        <v>871</v>
      </c>
      <c r="G4449" t="s">
        <v>872</v>
      </c>
      <c r="H4449" t="s">
        <v>40</v>
      </c>
      <c r="I4449" t="s">
        <v>26</v>
      </c>
      <c r="J4449" t="s">
        <v>5456</v>
      </c>
      <c r="K4449" t="s">
        <v>264</v>
      </c>
      <c r="L4449">
        <v>14701</v>
      </c>
      <c r="M4449" t="s">
        <v>145</v>
      </c>
      <c r="N4449" t="s">
        <v>4327</v>
      </c>
      <c r="O4449" t="s">
        <v>70</v>
      </c>
      <c r="P4449" t="s">
        <v>158</v>
      </c>
      <c r="Q4449" t="s">
        <v>4328</v>
      </c>
      <c r="R4449">
        <v>159.97999999999999</v>
      </c>
      <c r="S4449">
        <v>2</v>
      </c>
      <c r="T4449">
        <v>0</v>
      </c>
      <c r="U4449">
        <v>57.592799999999997</v>
      </c>
      <c r="V4449" t="str">
        <f t="shared" si="69"/>
        <v>David Smith</v>
      </c>
      <c r="W4449">
        <f>Table2[Profit]/Table2[Sales]</f>
        <v>0.36</v>
      </c>
    </row>
    <row r="4450" spans="1:23" x14ac:dyDescent="0.25">
      <c r="A4450">
        <v>4449</v>
      </c>
      <c r="B4450" t="s">
        <v>10074</v>
      </c>
      <c r="C4450" s="1">
        <v>42647</v>
      </c>
      <c r="D4450" s="1">
        <v>42651</v>
      </c>
      <c r="E4450" t="s">
        <v>49</v>
      </c>
      <c r="F4450" t="s">
        <v>6483</v>
      </c>
      <c r="G4450" t="s">
        <v>6484</v>
      </c>
      <c r="H4450" t="s">
        <v>40</v>
      </c>
      <c r="I4450" t="s">
        <v>26</v>
      </c>
      <c r="J4450" t="s">
        <v>10075</v>
      </c>
      <c r="K4450" t="s">
        <v>53</v>
      </c>
      <c r="L4450">
        <v>33134</v>
      </c>
      <c r="M4450" t="s">
        <v>29</v>
      </c>
      <c r="N4450" t="s">
        <v>6303</v>
      </c>
      <c r="O4450" t="s">
        <v>70</v>
      </c>
      <c r="P4450" t="s">
        <v>71</v>
      </c>
      <c r="Q4450" t="s">
        <v>6304</v>
      </c>
      <c r="R4450">
        <v>52.68</v>
      </c>
      <c r="S4450">
        <v>3</v>
      </c>
      <c r="T4450">
        <v>0.2</v>
      </c>
      <c r="U4450">
        <v>19.754999999999999</v>
      </c>
      <c r="V4450" t="str">
        <f t="shared" si="69"/>
        <v>Anna Häberlin</v>
      </c>
      <c r="W4450">
        <f>Table2[Profit]/Table2[Sales]</f>
        <v>0.375</v>
      </c>
    </row>
    <row r="4451" spans="1:23" x14ac:dyDescent="0.25">
      <c r="A4451">
        <v>4450</v>
      </c>
      <c r="B4451" t="s">
        <v>10076</v>
      </c>
      <c r="C4451" s="1">
        <v>42897</v>
      </c>
      <c r="D4451" s="1">
        <v>42903</v>
      </c>
      <c r="E4451" t="s">
        <v>49</v>
      </c>
      <c r="F4451" t="s">
        <v>1946</v>
      </c>
      <c r="G4451" t="s">
        <v>1947</v>
      </c>
      <c r="H4451" t="s">
        <v>25</v>
      </c>
      <c r="I4451" t="s">
        <v>26</v>
      </c>
      <c r="J4451" t="s">
        <v>6524</v>
      </c>
      <c r="K4451" t="s">
        <v>87</v>
      </c>
      <c r="L4451">
        <v>28601</v>
      </c>
      <c r="M4451" t="s">
        <v>29</v>
      </c>
      <c r="N4451" t="s">
        <v>174</v>
      </c>
      <c r="O4451" t="s">
        <v>45</v>
      </c>
      <c r="P4451" t="s">
        <v>74</v>
      </c>
      <c r="Q4451" t="s">
        <v>175</v>
      </c>
      <c r="R4451">
        <v>4.5720000000000001</v>
      </c>
      <c r="S4451">
        <v>4</v>
      </c>
      <c r="T4451">
        <v>0.7</v>
      </c>
      <c r="U4451">
        <v>-3.81</v>
      </c>
      <c r="V4451" t="str">
        <f t="shared" si="69"/>
        <v>Zuschuss Carroll</v>
      </c>
      <c r="W4451">
        <f>Table2[Profit]/Table2[Sales]</f>
        <v>-0.83333333333333337</v>
      </c>
    </row>
    <row r="4452" spans="1:23" x14ac:dyDescent="0.25">
      <c r="A4452">
        <v>4451</v>
      </c>
      <c r="B4452" t="s">
        <v>10077</v>
      </c>
      <c r="C4452" s="1">
        <v>42399</v>
      </c>
      <c r="D4452" s="1">
        <v>42403</v>
      </c>
      <c r="E4452" t="s">
        <v>49</v>
      </c>
      <c r="F4452" t="s">
        <v>5751</v>
      </c>
      <c r="G4452" t="s">
        <v>5752</v>
      </c>
      <c r="H4452" t="s">
        <v>25</v>
      </c>
      <c r="I4452" t="s">
        <v>26</v>
      </c>
      <c r="J4452" t="s">
        <v>3049</v>
      </c>
      <c r="K4452" t="s">
        <v>208</v>
      </c>
      <c r="L4452">
        <v>61107</v>
      </c>
      <c r="M4452" t="s">
        <v>104</v>
      </c>
      <c r="N4452" t="s">
        <v>10078</v>
      </c>
      <c r="O4452" t="s">
        <v>70</v>
      </c>
      <c r="P4452" t="s">
        <v>71</v>
      </c>
      <c r="Q4452" t="s">
        <v>10079</v>
      </c>
      <c r="R4452">
        <v>1439.9680000000001</v>
      </c>
      <c r="S4452">
        <v>4</v>
      </c>
      <c r="T4452">
        <v>0.2</v>
      </c>
      <c r="U4452">
        <v>143.99680000000001</v>
      </c>
      <c r="V4452" t="str">
        <f t="shared" si="69"/>
        <v>David Flashing</v>
      </c>
      <c r="W4452">
        <f>Table2[Profit]/Table2[Sales]</f>
        <v>0.1</v>
      </c>
    </row>
    <row r="4453" spans="1:23" x14ac:dyDescent="0.25">
      <c r="A4453">
        <v>4452</v>
      </c>
      <c r="B4453" t="s">
        <v>10080</v>
      </c>
      <c r="C4453" s="1">
        <v>42274</v>
      </c>
      <c r="D4453" s="1">
        <v>42276</v>
      </c>
      <c r="E4453" t="s">
        <v>22</v>
      </c>
      <c r="F4453" t="s">
        <v>1385</v>
      </c>
      <c r="G4453" t="s">
        <v>1386</v>
      </c>
      <c r="H4453" t="s">
        <v>40</v>
      </c>
      <c r="I4453" t="s">
        <v>26</v>
      </c>
      <c r="J4453" t="s">
        <v>94</v>
      </c>
      <c r="K4453" t="s">
        <v>95</v>
      </c>
      <c r="L4453">
        <v>98103</v>
      </c>
      <c r="M4453" t="s">
        <v>43</v>
      </c>
      <c r="N4453" t="s">
        <v>4573</v>
      </c>
      <c r="O4453" t="s">
        <v>45</v>
      </c>
      <c r="P4453" t="s">
        <v>67</v>
      </c>
      <c r="Q4453" t="s">
        <v>4574</v>
      </c>
      <c r="R4453">
        <v>99.2</v>
      </c>
      <c r="S4453">
        <v>5</v>
      </c>
      <c r="T4453">
        <v>0</v>
      </c>
      <c r="U4453">
        <v>25.792000000000002</v>
      </c>
      <c r="V4453" t="str">
        <f t="shared" si="69"/>
        <v>Saphhira Shifley</v>
      </c>
      <c r="W4453">
        <f>Table2[Profit]/Table2[Sales]</f>
        <v>0.26</v>
      </c>
    </row>
    <row r="4454" spans="1:23" x14ac:dyDescent="0.25">
      <c r="A4454">
        <v>4453</v>
      </c>
      <c r="B4454" t="s">
        <v>10081</v>
      </c>
      <c r="C4454" s="1">
        <v>42107</v>
      </c>
      <c r="D4454" s="1">
        <v>42111</v>
      </c>
      <c r="E4454" t="s">
        <v>49</v>
      </c>
      <c r="F4454" t="s">
        <v>1892</v>
      </c>
      <c r="G4454" t="s">
        <v>1893</v>
      </c>
      <c r="H4454" t="s">
        <v>25</v>
      </c>
      <c r="I4454" t="s">
        <v>26</v>
      </c>
      <c r="J4454" t="s">
        <v>1657</v>
      </c>
      <c r="K4454" t="s">
        <v>103</v>
      </c>
      <c r="L4454">
        <v>77340</v>
      </c>
      <c r="M4454" t="s">
        <v>104</v>
      </c>
      <c r="N4454" t="s">
        <v>2154</v>
      </c>
      <c r="O4454" t="s">
        <v>31</v>
      </c>
      <c r="P4454" t="s">
        <v>55</v>
      </c>
      <c r="Q4454" t="s">
        <v>2155</v>
      </c>
      <c r="R4454">
        <v>609.98</v>
      </c>
      <c r="S4454">
        <v>4</v>
      </c>
      <c r="T4454">
        <v>0.3</v>
      </c>
      <c r="U4454">
        <v>-113.282</v>
      </c>
      <c r="V4454" t="str">
        <f t="shared" si="69"/>
        <v>Frank Preis</v>
      </c>
      <c r="W4454">
        <f>Table2[Profit]/Table2[Sales]</f>
        <v>-0.18571428571428569</v>
      </c>
    </row>
    <row r="4455" spans="1:23" x14ac:dyDescent="0.25">
      <c r="A4455">
        <v>4454</v>
      </c>
      <c r="B4455" t="s">
        <v>10082</v>
      </c>
      <c r="C4455" s="1">
        <v>43087</v>
      </c>
      <c r="D4455" s="1">
        <v>43093</v>
      </c>
      <c r="E4455" t="s">
        <v>49</v>
      </c>
      <c r="F4455" t="s">
        <v>9634</v>
      </c>
      <c r="G4455" t="s">
        <v>9635</v>
      </c>
      <c r="H4455" t="s">
        <v>40</v>
      </c>
      <c r="I4455" t="s">
        <v>26</v>
      </c>
      <c r="J4455" t="s">
        <v>2517</v>
      </c>
      <c r="K4455" t="s">
        <v>113</v>
      </c>
      <c r="L4455">
        <v>53209</v>
      </c>
      <c r="M4455" t="s">
        <v>104</v>
      </c>
      <c r="N4455" t="s">
        <v>8881</v>
      </c>
      <c r="O4455" t="s">
        <v>31</v>
      </c>
      <c r="P4455" t="s">
        <v>64</v>
      </c>
      <c r="Q4455" t="s">
        <v>8882</v>
      </c>
      <c r="R4455">
        <v>99.95</v>
      </c>
      <c r="S4455">
        <v>5</v>
      </c>
      <c r="T4455">
        <v>0</v>
      </c>
      <c r="U4455">
        <v>22.988499999999998</v>
      </c>
      <c r="V4455" t="str">
        <f t="shared" si="69"/>
        <v>Harold Engle</v>
      </c>
      <c r="W4455">
        <f>Table2[Profit]/Table2[Sales]</f>
        <v>0.22999999999999998</v>
      </c>
    </row>
    <row r="4456" spans="1:23" x14ac:dyDescent="0.25">
      <c r="A4456">
        <v>4455</v>
      </c>
      <c r="B4456" t="s">
        <v>10083</v>
      </c>
      <c r="C4456" s="1">
        <v>42443</v>
      </c>
      <c r="D4456" s="1">
        <v>42448</v>
      </c>
      <c r="E4456" t="s">
        <v>49</v>
      </c>
      <c r="F4456" t="s">
        <v>2135</v>
      </c>
      <c r="G4456" t="s">
        <v>2136</v>
      </c>
      <c r="H4456" t="s">
        <v>40</v>
      </c>
      <c r="I4456" t="s">
        <v>26</v>
      </c>
      <c r="J4456" t="s">
        <v>1820</v>
      </c>
      <c r="K4456" t="s">
        <v>113</v>
      </c>
      <c r="L4456">
        <v>54302</v>
      </c>
      <c r="M4456" t="s">
        <v>104</v>
      </c>
      <c r="N4456" t="s">
        <v>3436</v>
      </c>
      <c r="O4456" t="s">
        <v>31</v>
      </c>
      <c r="P4456" t="s">
        <v>64</v>
      </c>
      <c r="Q4456" t="s">
        <v>3437</v>
      </c>
      <c r="R4456">
        <v>16.739999999999998</v>
      </c>
      <c r="S4456">
        <v>2</v>
      </c>
      <c r="T4456">
        <v>0</v>
      </c>
      <c r="U4456">
        <v>4.3524000000000003</v>
      </c>
      <c r="V4456" t="str">
        <f t="shared" si="69"/>
        <v>Sibella Parks</v>
      </c>
      <c r="W4456">
        <f>Table2[Profit]/Table2[Sales]</f>
        <v>0.26000000000000006</v>
      </c>
    </row>
    <row r="4457" spans="1:23" x14ac:dyDescent="0.25">
      <c r="A4457">
        <v>4456</v>
      </c>
      <c r="B4457" t="s">
        <v>10084</v>
      </c>
      <c r="C4457" s="1">
        <v>42974</v>
      </c>
      <c r="D4457" s="1">
        <v>42974</v>
      </c>
      <c r="E4457" t="s">
        <v>1278</v>
      </c>
      <c r="F4457" t="s">
        <v>1123</v>
      </c>
      <c r="G4457" t="s">
        <v>1124</v>
      </c>
      <c r="H4457" t="s">
        <v>40</v>
      </c>
      <c r="I4457" t="s">
        <v>26</v>
      </c>
      <c r="J4457" t="s">
        <v>143</v>
      </c>
      <c r="K4457" t="s">
        <v>144</v>
      </c>
      <c r="L4457">
        <v>19120</v>
      </c>
      <c r="M4457" t="s">
        <v>145</v>
      </c>
      <c r="N4457" t="s">
        <v>4541</v>
      </c>
      <c r="O4457" t="s">
        <v>45</v>
      </c>
      <c r="P4457" t="s">
        <v>89</v>
      </c>
      <c r="Q4457" t="s">
        <v>4542</v>
      </c>
      <c r="R4457">
        <v>12.672000000000001</v>
      </c>
      <c r="S4457">
        <v>3</v>
      </c>
      <c r="T4457">
        <v>0.2</v>
      </c>
      <c r="U4457">
        <v>3.96</v>
      </c>
      <c r="V4457" t="str">
        <f t="shared" si="69"/>
        <v>Ben Peterman</v>
      </c>
      <c r="W4457">
        <f>Table2[Profit]/Table2[Sales]</f>
        <v>0.3125</v>
      </c>
    </row>
    <row r="4458" spans="1:23" x14ac:dyDescent="0.25">
      <c r="A4458">
        <v>4457</v>
      </c>
      <c r="B4458" t="s">
        <v>10085</v>
      </c>
      <c r="C4458" s="1">
        <v>42355</v>
      </c>
      <c r="D4458" s="1">
        <v>42357</v>
      </c>
      <c r="E4458" t="s">
        <v>22</v>
      </c>
      <c r="F4458" t="s">
        <v>380</v>
      </c>
      <c r="G4458" t="s">
        <v>381</v>
      </c>
      <c r="H4458" t="s">
        <v>25</v>
      </c>
      <c r="I4458" t="s">
        <v>26</v>
      </c>
      <c r="J4458" t="s">
        <v>41</v>
      </c>
      <c r="K4458" t="s">
        <v>42</v>
      </c>
      <c r="L4458">
        <v>90008</v>
      </c>
      <c r="M4458" t="s">
        <v>43</v>
      </c>
      <c r="N4458" t="s">
        <v>3402</v>
      </c>
      <c r="O4458" t="s">
        <v>45</v>
      </c>
      <c r="P4458" t="s">
        <v>67</v>
      </c>
      <c r="Q4458" t="s">
        <v>3403</v>
      </c>
      <c r="R4458">
        <v>204.85</v>
      </c>
      <c r="S4458">
        <v>5</v>
      </c>
      <c r="T4458">
        <v>0</v>
      </c>
      <c r="U4458">
        <v>53.261000000000003</v>
      </c>
      <c r="V4458" t="str">
        <f t="shared" si="69"/>
        <v>Paul Gonzalez</v>
      </c>
      <c r="W4458">
        <f>Table2[Profit]/Table2[Sales]</f>
        <v>0.26</v>
      </c>
    </row>
    <row r="4459" spans="1:23" x14ac:dyDescent="0.25">
      <c r="A4459">
        <v>4458</v>
      </c>
      <c r="B4459" t="s">
        <v>10086</v>
      </c>
      <c r="C4459" s="1">
        <v>41873</v>
      </c>
      <c r="D4459" s="1">
        <v>41875</v>
      </c>
      <c r="E4459" t="s">
        <v>22</v>
      </c>
      <c r="F4459" t="s">
        <v>1603</v>
      </c>
      <c r="G4459" t="s">
        <v>1604</v>
      </c>
      <c r="H4459" t="s">
        <v>25</v>
      </c>
      <c r="I4459" t="s">
        <v>26</v>
      </c>
      <c r="J4459" t="s">
        <v>6600</v>
      </c>
      <c r="K4459" t="s">
        <v>53</v>
      </c>
      <c r="L4459">
        <v>33161</v>
      </c>
      <c r="M4459" t="s">
        <v>29</v>
      </c>
      <c r="N4459" t="s">
        <v>10087</v>
      </c>
      <c r="O4459" t="s">
        <v>45</v>
      </c>
      <c r="P4459" t="s">
        <v>572</v>
      </c>
      <c r="Q4459" t="s">
        <v>10088</v>
      </c>
      <c r="R4459">
        <v>7.6319999999999997</v>
      </c>
      <c r="S4459">
        <v>3</v>
      </c>
      <c r="T4459">
        <v>0.2</v>
      </c>
      <c r="U4459">
        <v>-1.8126</v>
      </c>
      <c r="V4459" t="str">
        <f t="shared" si="69"/>
        <v>Jeremy Pistek</v>
      </c>
      <c r="W4459">
        <f>Table2[Profit]/Table2[Sales]</f>
        <v>-0.23750000000000002</v>
      </c>
    </row>
    <row r="4460" spans="1:23" x14ac:dyDescent="0.25">
      <c r="A4460">
        <v>4459</v>
      </c>
      <c r="B4460" t="s">
        <v>10089</v>
      </c>
      <c r="C4460" s="1">
        <v>42677</v>
      </c>
      <c r="D4460" s="1">
        <v>42679</v>
      </c>
      <c r="E4460" t="s">
        <v>185</v>
      </c>
      <c r="F4460" t="s">
        <v>4190</v>
      </c>
      <c r="G4460" t="s">
        <v>4191</v>
      </c>
      <c r="H4460" t="s">
        <v>25</v>
      </c>
      <c r="I4460" t="s">
        <v>26</v>
      </c>
      <c r="J4460" t="s">
        <v>412</v>
      </c>
      <c r="K4460" t="s">
        <v>413</v>
      </c>
      <c r="L4460">
        <v>97206</v>
      </c>
      <c r="M4460" t="s">
        <v>43</v>
      </c>
      <c r="N4460" t="s">
        <v>3503</v>
      </c>
      <c r="O4460" t="s">
        <v>45</v>
      </c>
      <c r="P4460" t="s">
        <v>74</v>
      </c>
      <c r="Q4460" t="s">
        <v>3504</v>
      </c>
      <c r="R4460">
        <v>4.1580000000000004</v>
      </c>
      <c r="S4460">
        <v>7</v>
      </c>
      <c r="T4460">
        <v>0.7</v>
      </c>
      <c r="U4460">
        <v>-3.4649999999999999</v>
      </c>
      <c r="V4460" t="str">
        <f t="shared" si="69"/>
        <v>Natalie Webber</v>
      </c>
      <c r="W4460">
        <f>Table2[Profit]/Table2[Sales]</f>
        <v>-0.83333333333333326</v>
      </c>
    </row>
    <row r="4461" spans="1:23" x14ac:dyDescent="0.25">
      <c r="A4461">
        <v>4460</v>
      </c>
      <c r="B4461" t="s">
        <v>10090</v>
      </c>
      <c r="C4461" s="1">
        <v>43018</v>
      </c>
      <c r="D4461" s="1">
        <v>43024</v>
      </c>
      <c r="E4461" t="s">
        <v>49</v>
      </c>
      <c r="F4461" t="s">
        <v>4920</v>
      </c>
      <c r="G4461" t="s">
        <v>4921</v>
      </c>
      <c r="H4461" t="s">
        <v>25</v>
      </c>
      <c r="I4461" t="s">
        <v>26</v>
      </c>
      <c r="J4461" t="s">
        <v>449</v>
      </c>
      <c r="K4461" t="s">
        <v>208</v>
      </c>
      <c r="L4461">
        <v>60505</v>
      </c>
      <c r="M4461" t="s">
        <v>104</v>
      </c>
      <c r="N4461" t="s">
        <v>8175</v>
      </c>
      <c r="O4461" t="s">
        <v>31</v>
      </c>
      <c r="P4461" t="s">
        <v>35</v>
      </c>
      <c r="Q4461" t="s">
        <v>8176</v>
      </c>
      <c r="R4461">
        <v>239.358</v>
      </c>
      <c r="S4461">
        <v>3</v>
      </c>
      <c r="T4461">
        <v>0.3</v>
      </c>
      <c r="U4461">
        <v>-47.871600000000001</v>
      </c>
      <c r="V4461" t="str">
        <f t="shared" si="69"/>
        <v>Scot Wooten</v>
      </c>
      <c r="W4461">
        <f>Table2[Profit]/Table2[Sales]</f>
        <v>-0.2</v>
      </c>
    </row>
    <row r="4462" spans="1:23" x14ac:dyDescent="0.25">
      <c r="A4462">
        <v>4461</v>
      </c>
      <c r="B4462" t="s">
        <v>10091</v>
      </c>
      <c r="C4462" s="1">
        <v>41980</v>
      </c>
      <c r="D4462" s="1">
        <v>41981</v>
      </c>
      <c r="E4462" t="s">
        <v>185</v>
      </c>
      <c r="F4462" t="s">
        <v>3106</v>
      </c>
      <c r="G4462" t="s">
        <v>3107</v>
      </c>
      <c r="H4462" t="s">
        <v>101</v>
      </c>
      <c r="I4462" t="s">
        <v>26</v>
      </c>
      <c r="J4462" t="s">
        <v>126</v>
      </c>
      <c r="K4462" t="s">
        <v>42</v>
      </c>
      <c r="L4462">
        <v>94109</v>
      </c>
      <c r="M4462" t="s">
        <v>43</v>
      </c>
      <c r="N4462" t="s">
        <v>5655</v>
      </c>
      <c r="O4462" t="s">
        <v>45</v>
      </c>
      <c r="P4462" t="s">
        <v>89</v>
      </c>
      <c r="Q4462" t="s">
        <v>5656</v>
      </c>
      <c r="R4462">
        <v>164.88</v>
      </c>
      <c r="S4462">
        <v>3</v>
      </c>
      <c r="T4462">
        <v>0</v>
      </c>
      <c r="U4462">
        <v>80.791200000000003</v>
      </c>
      <c r="V4462" t="str">
        <f t="shared" si="69"/>
        <v>Erica Hernandez</v>
      </c>
      <c r="W4462">
        <f>Table2[Profit]/Table2[Sales]</f>
        <v>0.49000000000000005</v>
      </c>
    </row>
    <row r="4463" spans="1:23" x14ac:dyDescent="0.25">
      <c r="A4463">
        <v>4462</v>
      </c>
      <c r="B4463" t="s">
        <v>10092</v>
      </c>
      <c r="C4463" s="1">
        <v>41958</v>
      </c>
      <c r="D4463" s="1">
        <v>41960</v>
      </c>
      <c r="E4463" t="s">
        <v>22</v>
      </c>
      <c r="F4463" t="s">
        <v>5267</v>
      </c>
      <c r="G4463" t="s">
        <v>5268</v>
      </c>
      <c r="H4463" t="s">
        <v>40</v>
      </c>
      <c r="I4463" t="s">
        <v>26</v>
      </c>
      <c r="J4463" t="s">
        <v>126</v>
      </c>
      <c r="K4463" t="s">
        <v>42</v>
      </c>
      <c r="L4463">
        <v>94110</v>
      </c>
      <c r="M4463" t="s">
        <v>43</v>
      </c>
      <c r="N4463" t="s">
        <v>1921</v>
      </c>
      <c r="O4463" t="s">
        <v>45</v>
      </c>
      <c r="P4463" t="s">
        <v>572</v>
      </c>
      <c r="Q4463" t="s">
        <v>1922</v>
      </c>
      <c r="R4463">
        <v>10.95</v>
      </c>
      <c r="S4463">
        <v>3</v>
      </c>
      <c r="T4463">
        <v>0</v>
      </c>
      <c r="U4463">
        <v>3.2850000000000001</v>
      </c>
      <c r="V4463" t="str">
        <f t="shared" si="69"/>
        <v>Scott Cohen</v>
      </c>
      <c r="W4463">
        <f>Table2[Profit]/Table2[Sales]</f>
        <v>0.30000000000000004</v>
      </c>
    </row>
    <row r="4464" spans="1:23" x14ac:dyDescent="0.25">
      <c r="A4464">
        <v>4463</v>
      </c>
      <c r="B4464" t="s">
        <v>10093</v>
      </c>
      <c r="C4464" s="1">
        <v>43093</v>
      </c>
      <c r="D4464" s="1">
        <v>43097</v>
      </c>
      <c r="E4464" t="s">
        <v>49</v>
      </c>
      <c r="F4464" t="s">
        <v>6628</v>
      </c>
      <c r="G4464" t="s">
        <v>6629</v>
      </c>
      <c r="H4464" t="s">
        <v>40</v>
      </c>
      <c r="I4464" t="s">
        <v>26</v>
      </c>
      <c r="J4464" t="s">
        <v>3840</v>
      </c>
      <c r="K4464" t="s">
        <v>1233</v>
      </c>
      <c r="L4464">
        <v>2740</v>
      </c>
      <c r="M4464" t="s">
        <v>145</v>
      </c>
      <c r="N4464" t="s">
        <v>4685</v>
      </c>
      <c r="O4464" t="s">
        <v>45</v>
      </c>
      <c r="P4464" t="s">
        <v>89</v>
      </c>
      <c r="Q4464" t="s">
        <v>4686</v>
      </c>
      <c r="R4464">
        <v>19.440000000000001</v>
      </c>
      <c r="S4464">
        <v>3</v>
      </c>
      <c r="T4464">
        <v>0</v>
      </c>
      <c r="U4464">
        <v>9.3312000000000008</v>
      </c>
      <c r="V4464" t="str">
        <f t="shared" si="69"/>
        <v>Nick Crebassa</v>
      </c>
      <c r="W4464">
        <f>Table2[Profit]/Table2[Sales]</f>
        <v>0.48000000000000004</v>
      </c>
    </row>
    <row r="4465" spans="1:23" x14ac:dyDescent="0.25">
      <c r="A4465">
        <v>4464</v>
      </c>
      <c r="B4465" t="s">
        <v>10094</v>
      </c>
      <c r="C4465" s="1">
        <v>41997</v>
      </c>
      <c r="D4465" s="1">
        <v>41999</v>
      </c>
      <c r="E4465" t="s">
        <v>185</v>
      </c>
      <c r="F4465" t="s">
        <v>4610</v>
      </c>
      <c r="G4465" t="s">
        <v>4611</v>
      </c>
      <c r="H4465" t="s">
        <v>25</v>
      </c>
      <c r="I4465" t="s">
        <v>26</v>
      </c>
      <c r="J4465" t="s">
        <v>941</v>
      </c>
      <c r="K4465" t="s">
        <v>42</v>
      </c>
      <c r="L4465">
        <v>92037</v>
      </c>
      <c r="M4465" t="s">
        <v>43</v>
      </c>
      <c r="N4465" t="s">
        <v>8928</v>
      </c>
      <c r="O4465" t="s">
        <v>45</v>
      </c>
      <c r="P4465" t="s">
        <v>77</v>
      </c>
      <c r="Q4465" t="s">
        <v>8929</v>
      </c>
      <c r="R4465">
        <v>13.97</v>
      </c>
      <c r="S4465">
        <v>1</v>
      </c>
      <c r="T4465">
        <v>0</v>
      </c>
      <c r="U4465">
        <v>3.6322000000000001</v>
      </c>
      <c r="V4465" t="str">
        <f t="shared" si="69"/>
        <v>Adam Shillingsburg</v>
      </c>
      <c r="W4465">
        <f>Table2[Profit]/Table2[Sales]</f>
        <v>0.26</v>
      </c>
    </row>
    <row r="4466" spans="1:23" x14ac:dyDescent="0.25">
      <c r="A4466">
        <v>4465</v>
      </c>
      <c r="B4466" t="s">
        <v>10095</v>
      </c>
      <c r="C4466" s="1">
        <v>43091</v>
      </c>
      <c r="D4466" s="1">
        <v>43097</v>
      </c>
      <c r="E4466" t="s">
        <v>49</v>
      </c>
      <c r="F4466" t="s">
        <v>6258</v>
      </c>
      <c r="G4466" t="s">
        <v>6259</v>
      </c>
      <c r="H4466" t="s">
        <v>25</v>
      </c>
      <c r="I4466" t="s">
        <v>26</v>
      </c>
      <c r="J4466" t="s">
        <v>321</v>
      </c>
      <c r="K4466" t="s">
        <v>328</v>
      </c>
      <c r="L4466">
        <v>38301</v>
      </c>
      <c r="M4466" t="s">
        <v>29</v>
      </c>
      <c r="N4466" t="s">
        <v>1043</v>
      </c>
      <c r="O4466" t="s">
        <v>31</v>
      </c>
      <c r="P4466" t="s">
        <v>55</v>
      </c>
      <c r="Q4466" t="s">
        <v>1044</v>
      </c>
      <c r="R4466">
        <v>934.95600000000002</v>
      </c>
      <c r="S4466">
        <v>6</v>
      </c>
      <c r="T4466">
        <v>0.4</v>
      </c>
      <c r="U4466">
        <v>-249.32159999999999</v>
      </c>
      <c r="V4466" t="str">
        <f t="shared" si="69"/>
        <v>Jack Lebron</v>
      </c>
      <c r="W4466">
        <f>Table2[Profit]/Table2[Sales]</f>
        <v>-0.26666666666666666</v>
      </c>
    </row>
    <row r="4467" spans="1:23" x14ac:dyDescent="0.25">
      <c r="A4467">
        <v>4466</v>
      </c>
      <c r="B4467" t="s">
        <v>10096</v>
      </c>
      <c r="C4467" s="1">
        <v>41859</v>
      </c>
      <c r="D4467" s="1">
        <v>41861</v>
      </c>
      <c r="E4467" t="s">
        <v>22</v>
      </c>
      <c r="F4467" t="s">
        <v>2962</v>
      </c>
      <c r="G4467" t="s">
        <v>2963</v>
      </c>
      <c r="H4467" t="s">
        <v>25</v>
      </c>
      <c r="I4467" t="s">
        <v>26</v>
      </c>
      <c r="J4467" t="s">
        <v>1507</v>
      </c>
      <c r="K4467" t="s">
        <v>53</v>
      </c>
      <c r="L4467">
        <v>32216</v>
      </c>
      <c r="M4467" t="s">
        <v>29</v>
      </c>
      <c r="N4467" t="s">
        <v>4691</v>
      </c>
      <c r="O4467" t="s">
        <v>31</v>
      </c>
      <c r="P4467" t="s">
        <v>32</v>
      </c>
      <c r="Q4467" t="s">
        <v>4692</v>
      </c>
      <c r="R4467">
        <v>155.45599999999999</v>
      </c>
      <c r="S4467">
        <v>4</v>
      </c>
      <c r="T4467">
        <v>0.2</v>
      </c>
      <c r="U4467">
        <v>-7.7728000000000002</v>
      </c>
      <c r="V4467" t="str">
        <f t="shared" si="69"/>
        <v>Vivek Gonzalez</v>
      </c>
      <c r="W4467">
        <f>Table2[Profit]/Table2[Sales]</f>
        <v>-0.05</v>
      </c>
    </row>
    <row r="4468" spans="1:23" x14ac:dyDescent="0.25">
      <c r="A4468">
        <v>4467</v>
      </c>
      <c r="B4468" t="s">
        <v>10097</v>
      </c>
      <c r="C4468" s="1">
        <v>41902</v>
      </c>
      <c r="D4468" s="1">
        <v>41906</v>
      </c>
      <c r="E4468" t="s">
        <v>49</v>
      </c>
      <c r="F4468" t="s">
        <v>3559</v>
      </c>
      <c r="G4468" t="s">
        <v>3560</v>
      </c>
      <c r="H4468" t="s">
        <v>40</v>
      </c>
      <c r="I4468" t="s">
        <v>26</v>
      </c>
      <c r="J4468" t="s">
        <v>941</v>
      </c>
      <c r="K4468" t="s">
        <v>42</v>
      </c>
      <c r="L4468">
        <v>92024</v>
      </c>
      <c r="M4468" t="s">
        <v>43</v>
      </c>
      <c r="N4468" t="s">
        <v>6435</v>
      </c>
      <c r="O4468" t="s">
        <v>45</v>
      </c>
      <c r="P4468" t="s">
        <v>89</v>
      </c>
      <c r="Q4468" t="s">
        <v>6436</v>
      </c>
      <c r="R4468">
        <v>8.56</v>
      </c>
      <c r="S4468">
        <v>2</v>
      </c>
      <c r="T4468">
        <v>0</v>
      </c>
      <c r="U4468">
        <v>3.8519999999999999</v>
      </c>
      <c r="V4468" t="str">
        <f t="shared" si="69"/>
        <v>Henry Goldwyn</v>
      </c>
      <c r="W4468">
        <f>Table2[Profit]/Table2[Sales]</f>
        <v>0.44999999999999996</v>
      </c>
    </row>
    <row r="4469" spans="1:23" x14ac:dyDescent="0.25">
      <c r="A4469">
        <v>4468</v>
      </c>
      <c r="B4469" t="s">
        <v>10098</v>
      </c>
      <c r="C4469" s="1">
        <v>43094</v>
      </c>
      <c r="D4469" s="1">
        <v>43097</v>
      </c>
      <c r="E4469" t="s">
        <v>185</v>
      </c>
      <c r="F4469" t="s">
        <v>3028</v>
      </c>
      <c r="G4469" t="s">
        <v>3029</v>
      </c>
      <c r="H4469" t="s">
        <v>25</v>
      </c>
      <c r="I4469" t="s">
        <v>26</v>
      </c>
      <c r="J4469" t="s">
        <v>2298</v>
      </c>
      <c r="K4469" t="s">
        <v>53</v>
      </c>
      <c r="L4469">
        <v>33012</v>
      </c>
      <c r="M4469" t="s">
        <v>29</v>
      </c>
      <c r="N4469" t="s">
        <v>6000</v>
      </c>
      <c r="O4469" t="s">
        <v>31</v>
      </c>
      <c r="P4469" t="s">
        <v>64</v>
      </c>
      <c r="Q4469" t="s">
        <v>6001</v>
      </c>
      <c r="R4469">
        <v>21</v>
      </c>
      <c r="S4469">
        <v>3</v>
      </c>
      <c r="T4469">
        <v>0.2</v>
      </c>
      <c r="U4469">
        <v>5.7750000000000004</v>
      </c>
      <c r="V4469" t="str">
        <f t="shared" si="69"/>
        <v>Jennifer Halladay</v>
      </c>
      <c r="W4469">
        <f>Table2[Profit]/Table2[Sales]</f>
        <v>0.27500000000000002</v>
      </c>
    </row>
    <row r="4470" spans="1:23" x14ac:dyDescent="0.25">
      <c r="A4470">
        <v>4469</v>
      </c>
      <c r="B4470" t="s">
        <v>10099</v>
      </c>
      <c r="C4470" s="1">
        <v>43064</v>
      </c>
      <c r="D4470" s="1">
        <v>43069</v>
      </c>
      <c r="E4470" t="s">
        <v>49</v>
      </c>
      <c r="F4470" t="s">
        <v>1675</v>
      </c>
      <c r="G4470" t="s">
        <v>1676</v>
      </c>
      <c r="H4470" t="s">
        <v>25</v>
      </c>
      <c r="I4470" t="s">
        <v>26</v>
      </c>
      <c r="J4470" t="s">
        <v>181</v>
      </c>
      <c r="K4470" t="s">
        <v>103</v>
      </c>
      <c r="L4470">
        <v>77070</v>
      </c>
      <c r="M4470" t="s">
        <v>104</v>
      </c>
      <c r="N4470" t="s">
        <v>3545</v>
      </c>
      <c r="O4470" t="s">
        <v>70</v>
      </c>
      <c r="P4470" t="s">
        <v>71</v>
      </c>
      <c r="Q4470" t="s">
        <v>3546</v>
      </c>
      <c r="R4470">
        <v>299.95999999999998</v>
      </c>
      <c r="S4470">
        <v>5</v>
      </c>
      <c r="T4470">
        <v>0.2</v>
      </c>
      <c r="U4470">
        <v>37.494999999999997</v>
      </c>
      <c r="V4470" t="str">
        <f t="shared" si="69"/>
        <v>Rose O'Brian</v>
      </c>
      <c r="W4470">
        <f>Table2[Profit]/Table2[Sales]</f>
        <v>0.125</v>
      </c>
    </row>
    <row r="4471" spans="1:23" x14ac:dyDescent="0.25">
      <c r="A4471">
        <v>4470</v>
      </c>
      <c r="B4471" t="s">
        <v>10100</v>
      </c>
      <c r="C4471" s="1">
        <v>42679</v>
      </c>
      <c r="D4471" s="1">
        <v>42681</v>
      </c>
      <c r="E4471" t="s">
        <v>185</v>
      </c>
      <c r="F4471" t="s">
        <v>7608</v>
      </c>
      <c r="G4471" t="s">
        <v>7609</v>
      </c>
      <c r="H4471" t="s">
        <v>25</v>
      </c>
      <c r="I4471" t="s">
        <v>26</v>
      </c>
      <c r="J4471" t="s">
        <v>2930</v>
      </c>
      <c r="K4471" t="s">
        <v>312</v>
      </c>
      <c r="L4471">
        <v>23464</v>
      </c>
      <c r="M4471" t="s">
        <v>29</v>
      </c>
      <c r="N4471" t="s">
        <v>5527</v>
      </c>
      <c r="O4471" t="s">
        <v>31</v>
      </c>
      <c r="P4471" t="s">
        <v>64</v>
      </c>
      <c r="Q4471" t="s">
        <v>5528</v>
      </c>
      <c r="R4471">
        <v>273.95999999999998</v>
      </c>
      <c r="S4471">
        <v>2</v>
      </c>
      <c r="T4471">
        <v>0</v>
      </c>
      <c r="U4471">
        <v>71.229600000000005</v>
      </c>
      <c r="V4471" t="str">
        <f t="shared" si="69"/>
        <v>Liz Willingham</v>
      </c>
      <c r="W4471">
        <f>Table2[Profit]/Table2[Sales]</f>
        <v>0.26000000000000006</v>
      </c>
    </row>
    <row r="4472" spans="1:23" x14ac:dyDescent="0.25">
      <c r="A4472">
        <v>4471</v>
      </c>
      <c r="B4472" t="s">
        <v>10101</v>
      </c>
      <c r="C4472" s="1">
        <v>43045</v>
      </c>
      <c r="D4472" s="1">
        <v>43051</v>
      </c>
      <c r="E4472" t="s">
        <v>49</v>
      </c>
      <c r="F4472" t="s">
        <v>5915</v>
      </c>
      <c r="G4472" t="s">
        <v>5916</v>
      </c>
      <c r="H4472" t="s">
        <v>25</v>
      </c>
      <c r="I4472" t="s">
        <v>26</v>
      </c>
      <c r="J4472" t="s">
        <v>181</v>
      </c>
      <c r="K4472" t="s">
        <v>103</v>
      </c>
      <c r="L4472">
        <v>77070</v>
      </c>
      <c r="M4472" t="s">
        <v>104</v>
      </c>
      <c r="N4472" t="s">
        <v>2873</v>
      </c>
      <c r="O4472" t="s">
        <v>45</v>
      </c>
      <c r="P4472" t="s">
        <v>74</v>
      </c>
      <c r="Q4472" t="s">
        <v>2874</v>
      </c>
      <c r="R4472">
        <v>1.248</v>
      </c>
      <c r="S4472">
        <v>2</v>
      </c>
      <c r="T4472">
        <v>0.8</v>
      </c>
      <c r="U4472">
        <v>-1.9343999999999999</v>
      </c>
      <c r="V4472" t="str">
        <f t="shared" si="69"/>
        <v>Christopher Conant</v>
      </c>
      <c r="W4472">
        <f>Table2[Profit]/Table2[Sales]</f>
        <v>-1.5499999999999998</v>
      </c>
    </row>
    <row r="4473" spans="1:23" x14ac:dyDescent="0.25">
      <c r="A4473">
        <v>4472</v>
      </c>
      <c r="B4473" t="s">
        <v>10102</v>
      </c>
      <c r="C4473" s="1">
        <v>42677</v>
      </c>
      <c r="D4473" s="1">
        <v>42681</v>
      </c>
      <c r="E4473" t="s">
        <v>49</v>
      </c>
      <c r="F4473" t="s">
        <v>5797</v>
      </c>
      <c r="G4473" t="s">
        <v>5798</v>
      </c>
      <c r="H4473" t="s">
        <v>101</v>
      </c>
      <c r="I4473" t="s">
        <v>26</v>
      </c>
      <c r="J4473" t="s">
        <v>143</v>
      </c>
      <c r="K4473" t="s">
        <v>144</v>
      </c>
      <c r="L4473">
        <v>19120</v>
      </c>
      <c r="M4473" t="s">
        <v>145</v>
      </c>
      <c r="N4473" t="s">
        <v>1156</v>
      </c>
      <c r="O4473" t="s">
        <v>70</v>
      </c>
      <c r="P4473" t="s">
        <v>158</v>
      </c>
      <c r="Q4473" t="s">
        <v>1157</v>
      </c>
      <c r="R4473">
        <v>72</v>
      </c>
      <c r="S4473">
        <v>1</v>
      </c>
      <c r="T4473">
        <v>0.2</v>
      </c>
      <c r="U4473">
        <v>14.4</v>
      </c>
      <c r="V4473" t="str">
        <f t="shared" si="69"/>
        <v>Julie Prescott</v>
      </c>
      <c r="W4473">
        <f>Table2[Profit]/Table2[Sales]</f>
        <v>0.2</v>
      </c>
    </row>
    <row r="4474" spans="1:23" x14ac:dyDescent="0.25">
      <c r="A4474">
        <v>4473</v>
      </c>
      <c r="B4474" t="s">
        <v>10103</v>
      </c>
      <c r="C4474" s="1">
        <v>42003</v>
      </c>
      <c r="D4474" s="1">
        <v>42005</v>
      </c>
      <c r="E4474" t="s">
        <v>185</v>
      </c>
      <c r="F4474" t="s">
        <v>7050</v>
      </c>
      <c r="G4474" t="s">
        <v>7051</v>
      </c>
      <c r="H4474" t="s">
        <v>25</v>
      </c>
      <c r="I4474" t="s">
        <v>26</v>
      </c>
      <c r="J4474" t="s">
        <v>327</v>
      </c>
      <c r="K4474" t="s">
        <v>328</v>
      </c>
      <c r="L4474">
        <v>38109</v>
      </c>
      <c r="M4474" t="s">
        <v>29</v>
      </c>
      <c r="N4474" t="s">
        <v>4567</v>
      </c>
      <c r="O4474" t="s">
        <v>45</v>
      </c>
      <c r="P4474" t="s">
        <v>58</v>
      </c>
      <c r="Q4474" t="s">
        <v>4568</v>
      </c>
      <c r="R4474">
        <v>39.128</v>
      </c>
      <c r="S4474">
        <v>1</v>
      </c>
      <c r="T4474">
        <v>0.2</v>
      </c>
      <c r="U4474">
        <v>-8.8038000000000007</v>
      </c>
      <c r="V4474" t="str">
        <f t="shared" si="69"/>
        <v>Dorothy Dickinson</v>
      </c>
      <c r="W4474">
        <f>Table2[Profit]/Table2[Sales]</f>
        <v>-0.22500000000000001</v>
      </c>
    </row>
    <row r="4475" spans="1:23" x14ac:dyDescent="0.25">
      <c r="A4475">
        <v>4474</v>
      </c>
      <c r="B4475" t="s">
        <v>10104</v>
      </c>
      <c r="C4475" s="1">
        <v>43071</v>
      </c>
      <c r="D4475" s="1">
        <v>43076</v>
      </c>
      <c r="E4475" t="s">
        <v>49</v>
      </c>
      <c r="F4475" t="s">
        <v>217</v>
      </c>
      <c r="G4475" t="s">
        <v>218</v>
      </c>
      <c r="H4475" t="s">
        <v>40</v>
      </c>
      <c r="I4475" t="s">
        <v>26</v>
      </c>
      <c r="J4475" t="s">
        <v>1111</v>
      </c>
      <c r="K4475" t="s">
        <v>491</v>
      </c>
      <c r="L4475">
        <v>44107</v>
      </c>
      <c r="M4475" t="s">
        <v>145</v>
      </c>
      <c r="N4475" t="s">
        <v>1713</v>
      </c>
      <c r="O4475" t="s">
        <v>45</v>
      </c>
      <c r="P4475" t="s">
        <v>67</v>
      </c>
      <c r="Q4475" t="s">
        <v>1714</v>
      </c>
      <c r="R4475">
        <v>19.728000000000002</v>
      </c>
      <c r="S4475">
        <v>9</v>
      </c>
      <c r="T4475">
        <v>0.2</v>
      </c>
      <c r="U4475">
        <v>1.7262</v>
      </c>
      <c r="V4475" t="str">
        <f t="shared" si="69"/>
        <v>Erin Smith</v>
      </c>
      <c r="W4475">
        <f>Table2[Profit]/Table2[Sales]</f>
        <v>8.7499999999999994E-2</v>
      </c>
    </row>
    <row r="4476" spans="1:23" x14ac:dyDescent="0.25">
      <c r="A4476">
        <v>4475</v>
      </c>
      <c r="B4476" t="s">
        <v>10105</v>
      </c>
      <c r="C4476" s="1">
        <v>42818</v>
      </c>
      <c r="D4476" s="1">
        <v>42822</v>
      </c>
      <c r="E4476" t="s">
        <v>49</v>
      </c>
      <c r="F4476" t="s">
        <v>5140</v>
      </c>
      <c r="G4476" t="s">
        <v>5141</v>
      </c>
      <c r="H4476" t="s">
        <v>25</v>
      </c>
      <c r="I4476" t="s">
        <v>26</v>
      </c>
      <c r="J4476" t="s">
        <v>263</v>
      </c>
      <c r="K4476" t="s">
        <v>264</v>
      </c>
      <c r="L4476">
        <v>10011</v>
      </c>
      <c r="M4476" t="s">
        <v>145</v>
      </c>
      <c r="N4476" t="s">
        <v>2549</v>
      </c>
      <c r="O4476" t="s">
        <v>31</v>
      </c>
      <c r="P4476" t="s">
        <v>35</v>
      </c>
      <c r="Q4476" t="s">
        <v>2550</v>
      </c>
      <c r="R4476">
        <v>271.76400000000001</v>
      </c>
      <c r="S4476">
        <v>2</v>
      </c>
      <c r="T4476">
        <v>0.1</v>
      </c>
      <c r="U4476">
        <v>60.392000000000003</v>
      </c>
      <c r="V4476" t="str">
        <f t="shared" si="69"/>
        <v>Mark Van Huff</v>
      </c>
      <c r="W4476">
        <f>Table2[Profit]/Table2[Sales]</f>
        <v>0.22222222222222224</v>
      </c>
    </row>
    <row r="4477" spans="1:23" x14ac:dyDescent="0.25">
      <c r="A4477">
        <v>4476</v>
      </c>
      <c r="B4477" t="s">
        <v>10106</v>
      </c>
      <c r="C4477" s="1">
        <v>41962</v>
      </c>
      <c r="D4477" s="1">
        <v>41964</v>
      </c>
      <c r="E4477" t="s">
        <v>185</v>
      </c>
      <c r="F4477" t="s">
        <v>657</v>
      </c>
      <c r="G4477" t="s">
        <v>658</v>
      </c>
      <c r="H4477" t="s">
        <v>25</v>
      </c>
      <c r="I4477" t="s">
        <v>26</v>
      </c>
      <c r="J4477" t="s">
        <v>143</v>
      </c>
      <c r="K4477" t="s">
        <v>144</v>
      </c>
      <c r="L4477">
        <v>19120</v>
      </c>
      <c r="M4477" t="s">
        <v>145</v>
      </c>
      <c r="N4477" t="s">
        <v>4248</v>
      </c>
      <c r="O4477" t="s">
        <v>70</v>
      </c>
      <c r="P4477" t="s">
        <v>158</v>
      </c>
      <c r="Q4477" t="s">
        <v>4249</v>
      </c>
      <c r="R4477">
        <v>47.496000000000002</v>
      </c>
      <c r="S4477">
        <v>1</v>
      </c>
      <c r="T4477">
        <v>0.2</v>
      </c>
      <c r="U4477">
        <v>-1.1874</v>
      </c>
      <c r="V4477" t="str">
        <f t="shared" si="69"/>
        <v>Ruben Dartt</v>
      </c>
      <c r="W4477">
        <f>Table2[Profit]/Table2[Sales]</f>
        <v>-2.4999999999999998E-2</v>
      </c>
    </row>
    <row r="4478" spans="1:23" x14ac:dyDescent="0.25">
      <c r="A4478">
        <v>4477</v>
      </c>
      <c r="B4478" t="s">
        <v>10107</v>
      </c>
      <c r="C4478" s="1">
        <v>42850</v>
      </c>
      <c r="D4478" s="1">
        <v>42852</v>
      </c>
      <c r="E4478" t="s">
        <v>22</v>
      </c>
      <c r="F4478" t="s">
        <v>1791</v>
      </c>
      <c r="G4478" t="s">
        <v>1792</v>
      </c>
      <c r="H4478" t="s">
        <v>25</v>
      </c>
      <c r="I4478" t="s">
        <v>26</v>
      </c>
      <c r="J4478" t="s">
        <v>41</v>
      </c>
      <c r="K4478" t="s">
        <v>42</v>
      </c>
      <c r="L4478">
        <v>90008</v>
      </c>
      <c r="M4478" t="s">
        <v>43</v>
      </c>
      <c r="N4478" t="s">
        <v>1068</v>
      </c>
      <c r="O4478" t="s">
        <v>31</v>
      </c>
      <c r="P4478" t="s">
        <v>32</v>
      </c>
      <c r="Q4478" t="s">
        <v>1069</v>
      </c>
      <c r="R4478">
        <v>344.98099999999999</v>
      </c>
      <c r="S4478">
        <v>7</v>
      </c>
      <c r="T4478">
        <v>0.15</v>
      </c>
      <c r="U4478">
        <v>28.4102</v>
      </c>
      <c r="V4478" t="str">
        <f t="shared" si="69"/>
        <v>Rob Lucas</v>
      </c>
      <c r="W4478">
        <f>Table2[Profit]/Table2[Sales]</f>
        <v>8.2352941176470587E-2</v>
      </c>
    </row>
    <row r="4479" spans="1:23" x14ac:dyDescent="0.25">
      <c r="A4479">
        <v>4478</v>
      </c>
      <c r="B4479" t="s">
        <v>10108</v>
      </c>
      <c r="C4479" s="1">
        <v>43062</v>
      </c>
      <c r="D4479" s="1">
        <v>43065</v>
      </c>
      <c r="E4479" t="s">
        <v>185</v>
      </c>
      <c r="F4479" t="s">
        <v>6194</v>
      </c>
      <c r="G4479" t="s">
        <v>6195</v>
      </c>
      <c r="H4479" t="s">
        <v>40</v>
      </c>
      <c r="I4479" t="s">
        <v>26</v>
      </c>
      <c r="J4479" t="s">
        <v>808</v>
      </c>
      <c r="K4479" t="s">
        <v>103</v>
      </c>
      <c r="L4479">
        <v>75220</v>
      </c>
      <c r="M4479" t="s">
        <v>104</v>
      </c>
      <c r="N4479" t="s">
        <v>4839</v>
      </c>
      <c r="O4479" t="s">
        <v>45</v>
      </c>
      <c r="P4479" t="s">
        <v>89</v>
      </c>
      <c r="Q4479" t="s">
        <v>5122</v>
      </c>
      <c r="R4479">
        <v>36.287999999999997</v>
      </c>
      <c r="S4479">
        <v>7</v>
      </c>
      <c r="T4479">
        <v>0.2</v>
      </c>
      <c r="U4479">
        <v>12.700799999999999</v>
      </c>
      <c r="V4479" t="str">
        <f t="shared" si="69"/>
        <v>Jennifer Patt</v>
      </c>
      <c r="W4479">
        <f>Table2[Profit]/Table2[Sales]</f>
        <v>0.35000000000000003</v>
      </c>
    </row>
    <row r="4480" spans="1:23" x14ac:dyDescent="0.25">
      <c r="A4480">
        <v>4479</v>
      </c>
      <c r="B4480" t="s">
        <v>10109</v>
      </c>
      <c r="C4480" s="1">
        <v>41946</v>
      </c>
      <c r="D4480" s="1">
        <v>41948</v>
      </c>
      <c r="E4480" t="s">
        <v>22</v>
      </c>
      <c r="F4480" t="s">
        <v>5899</v>
      </c>
      <c r="G4480" t="s">
        <v>5900</v>
      </c>
      <c r="H4480" t="s">
        <v>40</v>
      </c>
      <c r="I4480" t="s">
        <v>26</v>
      </c>
      <c r="J4480" t="s">
        <v>5936</v>
      </c>
      <c r="K4480" t="s">
        <v>781</v>
      </c>
      <c r="L4480">
        <v>7050</v>
      </c>
      <c r="M4480" t="s">
        <v>145</v>
      </c>
      <c r="N4480" t="s">
        <v>2359</v>
      </c>
      <c r="O4480" t="s">
        <v>45</v>
      </c>
      <c r="P4480" t="s">
        <v>74</v>
      </c>
      <c r="Q4480" t="s">
        <v>2360</v>
      </c>
      <c r="R4480">
        <v>5.76</v>
      </c>
      <c r="S4480">
        <v>2</v>
      </c>
      <c r="T4480">
        <v>0</v>
      </c>
      <c r="U4480">
        <v>2.8224</v>
      </c>
      <c r="V4480" t="str">
        <f t="shared" si="69"/>
        <v>Denise Monton</v>
      </c>
      <c r="W4480">
        <f>Table2[Profit]/Table2[Sales]</f>
        <v>0.49000000000000005</v>
      </c>
    </row>
    <row r="4481" spans="1:23" x14ac:dyDescent="0.25">
      <c r="A4481">
        <v>4480</v>
      </c>
      <c r="B4481" t="s">
        <v>10110</v>
      </c>
      <c r="C4481" s="1">
        <v>42296</v>
      </c>
      <c r="D4481" s="1">
        <v>42301</v>
      </c>
      <c r="E4481" t="s">
        <v>22</v>
      </c>
      <c r="F4481" t="s">
        <v>7572</v>
      </c>
      <c r="G4481" t="s">
        <v>7573</v>
      </c>
      <c r="H4481" t="s">
        <v>25</v>
      </c>
      <c r="I4481" t="s">
        <v>26</v>
      </c>
      <c r="J4481" t="s">
        <v>808</v>
      </c>
      <c r="K4481" t="s">
        <v>103</v>
      </c>
      <c r="L4481">
        <v>75220</v>
      </c>
      <c r="M4481" t="s">
        <v>104</v>
      </c>
      <c r="N4481" t="s">
        <v>1837</v>
      </c>
      <c r="O4481" t="s">
        <v>45</v>
      </c>
      <c r="P4481" t="s">
        <v>74</v>
      </c>
      <c r="Q4481" t="s">
        <v>1838</v>
      </c>
      <c r="R4481">
        <v>1.72</v>
      </c>
      <c r="S4481">
        <v>1</v>
      </c>
      <c r="T4481">
        <v>0.8</v>
      </c>
      <c r="U4481">
        <v>-2.8380000000000001</v>
      </c>
      <c r="V4481" t="str">
        <f t="shared" si="69"/>
        <v>Cari Schnelling</v>
      </c>
      <c r="W4481">
        <f>Table2[Profit]/Table2[Sales]</f>
        <v>-1.6500000000000001</v>
      </c>
    </row>
    <row r="4482" spans="1:23" x14ac:dyDescent="0.25">
      <c r="A4482">
        <v>4481</v>
      </c>
      <c r="B4482" t="s">
        <v>10111</v>
      </c>
      <c r="C4482" s="1">
        <v>41676</v>
      </c>
      <c r="D4482" s="1">
        <v>41680</v>
      </c>
      <c r="E4482" t="s">
        <v>22</v>
      </c>
      <c r="F4482" t="s">
        <v>945</v>
      </c>
      <c r="G4482" t="s">
        <v>946</v>
      </c>
      <c r="H4482" t="s">
        <v>25</v>
      </c>
      <c r="I4482" t="s">
        <v>26</v>
      </c>
      <c r="J4482" t="s">
        <v>10112</v>
      </c>
      <c r="K4482" t="s">
        <v>208</v>
      </c>
      <c r="L4482">
        <v>60441</v>
      </c>
      <c r="M4482" t="s">
        <v>104</v>
      </c>
      <c r="N4482" t="s">
        <v>5689</v>
      </c>
      <c r="O4482" t="s">
        <v>45</v>
      </c>
      <c r="P4482" t="s">
        <v>74</v>
      </c>
      <c r="Q4482" t="s">
        <v>5690</v>
      </c>
      <c r="R4482">
        <v>8.952</v>
      </c>
      <c r="S4482">
        <v>2</v>
      </c>
      <c r="T4482">
        <v>0.8</v>
      </c>
      <c r="U4482">
        <v>-14.770799999999999</v>
      </c>
      <c r="V4482" t="str">
        <f t="shared" si="69"/>
        <v>Delfina Latchford</v>
      </c>
      <c r="W4482">
        <f>Table2[Profit]/Table2[Sales]</f>
        <v>-1.65</v>
      </c>
    </row>
    <row r="4483" spans="1:23" x14ac:dyDescent="0.25">
      <c r="A4483">
        <v>4482</v>
      </c>
      <c r="B4483" t="s">
        <v>10113</v>
      </c>
      <c r="C4483" s="1">
        <v>42435</v>
      </c>
      <c r="D4483" s="1">
        <v>42441</v>
      </c>
      <c r="E4483" t="s">
        <v>49</v>
      </c>
      <c r="F4483" t="s">
        <v>447</v>
      </c>
      <c r="G4483" t="s">
        <v>448</v>
      </c>
      <c r="H4483" t="s">
        <v>25</v>
      </c>
      <c r="I4483" t="s">
        <v>26</v>
      </c>
      <c r="J4483" t="s">
        <v>296</v>
      </c>
      <c r="K4483" t="s">
        <v>208</v>
      </c>
      <c r="L4483">
        <v>60623</v>
      </c>
      <c r="M4483" t="s">
        <v>104</v>
      </c>
      <c r="N4483" t="s">
        <v>4005</v>
      </c>
      <c r="O4483" t="s">
        <v>45</v>
      </c>
      <c r="P4483" t="s">
        <v>77</v>
      </c>
      <c r="Q4483" t="s">
        <v>4006</v>
      </c>
      <c r="R4483">
        <v>2.3340000000000001</v>
      </c>
      <c r="S4483">
        <v>3</v>
      </c>
      <c r="T4483">
        <v>0.8</v>
      </c>
      <c r="U4483">
        <v>-6.3018000000000001</v>
      </c>
      <c r="V4483" t="str">
        <f t="shared" ref="V4483:V4546" si="70">TRIM(G4483)</f>
        <v>Lena Cacioppo</v>
      </c>
      <c r="W4483">
        <f>Table2[Profit]/Table2[Sales]</f>
        <v>-2.6999999999999997</v>
      </c>
    </row>
    <row r="4484" spans="1:23" x14ac:dyDescent="0.25">
      <c r="A4484">
        <v>4483</v>
      </c>
      <c r="B4484" t="s">
        <v>10114</v>
      </c>
      <c r="C4484" s="1">
        <v>42341</v>
      </c>
      <c r="D4484" s="1">
        <v>42345</v>
      </c>
      <c r="E4484" t="s">
        <v>49</v>
      </c>
      <c r="F4484" t="s">
        <v>1364</v>
      </c>
      <c r="G4484" t="s">
        <v>1365</v>
      </c>
      <c r="H4484" t="s">
        <v>25</v>
      </c>
      <c r="I4484" t="s">
        <v>26</v>
      </c>
      <c r="J4484" t="s">
        <v>1507</v>
      </c>
      <c r="K4484" t="s">
        <v>87</v>
      </c>
      <c r="L4484">
        <v>28540</v>
      </c>
      <c r="M4484" t="s">
        <v>29</v>
      </c>
      <c r="N4484" t="s">
        <v>2293</v>
      </c>
      <c r="O4484" t="s">
        <v>31</v>
      </c>
      <c r="P4484" t="s">
        <v>64</v>
      </c>
      <c r="Q4484" t="s">
        <v>2294</v>
      </c>
      <c r="R4484">
        <v>77.951999999999998</v>
      </c>
      <c r="S4484">
        <v>3</v>
      </c>
      <c r="T4484">
        <v>0.2</v>
      </c>
      <c r="U4484">
        <v>12.667199999999999</v>
      </c>
      <c r="V4484" t="str">
        <f t="shared" si="70"/>
        <v>Jack Garza</v>
      </c>
      <c r="W4484">
        <f>Table2[Profit]/Table2[Sales]</f>
        <v>0.16250000000000001</v>
      </c>
    </row>
    <row r="4485" spans="1:23" x14ac:dyDescent="0.25">
      <c r="A4485">
        <v>4484</v>
      </c>
      <c r="B4485" t="s">
        <v>10115</v>
      </c>
      <c r="C4485" s="1">
        <v>42362</v>
      </c>
      <c r="D4485" s="1">
        <v>42368</v>
      </c>
      <c r="E4485" t="s">
        <v>49</v>
      </c>
      <c r="F4485" t="s">
        <v>3673</v>
      </c>
      <c r="G4485" t="s">
        <v>3674</v>
      </c>
      <c r="H4485" t="s">
        <v>40</v>
      </c>
      <c r="I4485" t="s">
        <v>26</v>
      </c>
      <c r="J4485" t="s">
        <v>311</v>
      </c>
      <c r="K4485" t="s">
        <v>590</v>
      </c>
      <c r="L4485">
        <v>65807</v>
      </c>
      <c r="M4485" t="s">
        <v>104</v>
      </c>
      <c r="N4485" t="s">
        <v>6699</v>
      </c>
      <c r="O4485" t="s">
        <v>31</v>
      </c>
      <c r="P4485" t="s">
        <v>64</v>
      </c>
      <c r="Q4485" t="s">
        <v>6700</v>
      </c>
      <c r="R4485">
        <v>9.68</v>
      </c>
      <c r="S4485">
        <v>2</v>
      </c>
      <c r="T4485">
        <v>0</v>
      </c>
      <c r="U4485">
        <v>3.7751999999999999</v>
      </c>
      <c r="V4485" t="str">
        <f t="shared" si="70"/>
        <v>Harry Marie</v>
      </c>
      <c r="W4485">
        <f>Table2[Profit]/Table2[Sales]</f>
        <v>0.39</v>
      </c>
    </row>
    <row r="4486" spans="1:23" x14ac:dyDescent="0.25">
      <c r="A4486">
        <v>4485</v>
      </c>
      <c r="B4486" t="s">
        <v>10116</v>
      </c>
      <c r="C4486" s="1">
        <v>43009</v>
      </c>
      <c r="D4486" s="1">
        <v>43014</v>
      </c>
      <c r="E4486" t="s">
        <v>49</v>
      </c>
      <c r="F4486" t="s">
        <v>1577</v>
      </c>
      <c r="G4486" t="s">
        <v>1578</v>
      </c>
      <c r="H4486" t="s">
        <v>101</v>
      </c>
      <c r="I4486" t="s">
        <v>26</v>
      </c>
      <c r="J4486" t="s">
        <v>126</v>
      </c>
      <c r="K4486" t="s">
        <v>42</v>
      </c>
      <c r="L4486">
        <v>94110</v>
      </c>
      <c r="M4486" t="s">
        <v>43</v>
      </c>
      <c r="N4486" t="s">
        <v>1336</v>
      </c>
      <c r="O4486" t="s">
        <v>70</v>
      </c>
      <c r="P4486" t="s">
        <v>158</v>
      </c>
      <c r="Q4486" t="s">
        <v>1337</v>
      </c>
      <c r="R4486">
        <v>104.75</v>
      </c>
      <c r="S4486">
        <v>5</v>
      </c>
      <c r="T4486">
        <v>0</v>
      </c>
      <c r="U4486">
        <v>21.997499999999999</v>
      </c>
      <c r="V4486" t="str">
        <f t="shared" si="70"/>
        <v>Tanja Norvell</v>
      </c>
      <c r="W4486">
        <f>Table2[Profit]/Table2[Sales]</f>
        <v>0.21</v>
      </c>
    </row>
    <row r="4487" spans="1:23" x14ac:dyDescent="0.25">
      <c r="A4487">
        <v>4486</v>
      </c>
      <c r="B4487" t="s">
        <v>10117</v>
      </c>
      <c r="C4487" s="1">
        <v>43024</v>
      </c>
      <c r="D4487" s="1">
        <v>43029</v>
      </c>
      <c r="E4487" t="s">
        <v>49</v>
      </c>
      <c r="F4487" t="s">
        <v>8769</v>
      </c>
      <c r="G4487" t="s">
        <v>8770</v>
      </c>
      <c r="H4487" t="s">
        <v>40</v>
      </c>
      <c r="I4487" t="s">
        <v>26</v>
      </c>
      <c r="J4487" t="s">
        <v>375</v>
      </c>
      <c r="K4487" t="s">
        <v>328</v>
      </c>
      <c r="L4487">
        <v>38401</v>
      </c>
      <c r="M4487" t="s">
        <v>29</v>
      </c>
      <c r="N4487" t="s">
        <v>461</v>
      </c>
      <c r="O4487" t="s">
        <v>70</v>
      </c>
      <c r="P4487" t="s">
        <v>158</v>
      </c>
      <c r="Q4487" t="s">
        <v>462</v>
      </c>
      <c r="R4487">
        <v>18.527999999999999</v>
      </c>
      <c r="S4487">
        <v>2</v>
      </c>
      <c r="T4487">
        <v>0.2</v>
      </c>
      <c r="U4487">
        <v>4.4004000000000003</v>
      </c>
      <c r="V4487" t="str">
        <f t="shared" si="70"/>
        <v>Victoria Pisteka</v>
      </c>
      <c r="W4487">
        <f>Table2[Profit]/Table2[Sales]</f>
        <v>0.23750000000000004</v>
      </c>
    </row>
    <row r="4488" spans="1:23" x14ac:dyDescent="0.25">
      <c r="A4488">
        <v>4487</v>
      </c>
      <c r="B4488" t="s">
        <v>10118</v>
      </c>
      <c r="C4488" s="1">
        <v>41866</v>
      </c>
      <c r="D4488" s="1">
        <v>41868</v>
      </c>
      <c r="E4488" t="s">
        <v>185</v>
      </c>
      <c r="F4488" t="s">
        <v>3201</v>
      </c>
      <c r="G4488" t="s">
        <v>3202</v>
      </c>
      <c r="H4488" t="s">
        <v>25</v>
      </c>
      <c r="I4488" t="s">
        <v>26</v>
      </c>
      <c r="J4488" t="s">
        <v>7070</v>
      </c>
      <c r="K4488" t="s">
        <v>53</v>
      </c>
      <c r="L4488">
        <v>33021</v>
      </c>
      <c r="M4488" t="s">
        <v>29</v>
      </c>
      <c r="N4488" t="s">
        <v>9951</v>
      </c>
      <c r="O4488" t="s">
        <v>45</v>
      </c>
      <c r="P4488" t="s">
        <v>89</v>
      </c>
      <c r="Q4488" t="s">
        <v>9952</v>
      </c>
      <c r="R4488">
        <v>91.36</v>
      </c>
      <c r="S4488">
        <v>5</v>
      </c>
      <c r="T4488">
        <v>0.2</v>
      </c>
      <c r="U4488">
        <v>29.692</v>
      </c>
      <c r="V4488" t="str">
        <f t="shared" si="70"/>
        <v>Christine Sundaresam</v>
      </c>
      <c r="W4488">
        <f>Table2[Profit]/Table2[Sales]</f>
        <v>0.32500000000000001</v>
      </c>
    </row>
    <row r="4489" spans="1:23" x14ac:dyDescent="0.25">
      <c r="A4489">
        <v>4488</v>
      </c>
      <c r="B4489" t="s">
        <v>10119</v>
      </c>
      <c r="C4489" s="1">
        <v>43050</v>
      </c>
      <c r="D4489" s="1">
        <v>43052</v>
      </c>
      <c r="E4489" t="s">
        <v>185</v>
      </c>
      <c r="F4489" t="s">
        <v>2536</v>
      </c>
      <c r="G4489" t="s">
        <v>2537</v>
      </c>
      <c r="H4489" t="s">
        <v>25</v>
      </c>
      <c r="I4489" t="s">
        <v>26</v>
      </c>
      <c r="J4489" t="s">
        <v>808</v>
      </c>
      <c r="K4489" t="s">
        <v>103</v>
      </c>
      <c r="L4489">
        <v>75081</v>
      </c>
      <c r="M4489" t="s">
        <v>104</v>
      </c>
      <c r="N4489" t="s">
        <v>2779</v>
      </c>
      <c r="O4489" t="s">
        <v>70</v>
      </c>
      <c r="P4489" t="s">
        <v>71</v>
      </c>
      <c r="Q4489" t="s">
        <v>2780</v>
      </c>
      <c r="R4489">
        <v>35.183999999999997</v>
      </c>
      <c r="S4489">
        <v>2</v>
      </c>
      <c r="T4489">
        <v>0.2</v>
      </c>
      <c r="U4489">
        <v>12.314399999999999</v>
      </c>
      <c r="V4489" t="str">
        <f t="shared" si="70"/>
        <v>Patrick Gardner</v>
      </c>
      <c r="W4489">
        <f>Table2[Profit]/Table2[Sales]</f>
        <v>0.35</v>
      </c>
    </row>
    <row r="4490" spans="1:23" x14ac:dyDescent="0.25">
      <c r="A4490">
        <v>4489</v>
      </c>
      <c r="B4490" t="s">
        <v>10120</v>
      </c>
      <c r="C4490" s="1">
        <v>42814</v>
      </c>
      <c r="D4490" s="1">
        <v>42814</v>
      </c>
      <c r="E4490" t="s">
        <v>1278</v>
      </c>
      <c r="F4490" t="s">
        <v>5946</v>
      </c>
      <c r="G4490" t="s">
        <v>5947</v>
      </c>
      <c r="H4490" t="s">
        <v>25</v>
      </c>
      <c r="I4490" t="s">
        <v>26</v>
      </c>
      <c r="J4490" t="s">
        <v>181</v>
      </c>
      <c r="K4490" t="s">
        <v>103</v>
      </c>
      <c r="L4490">
        <v>77041</v>
      </c>
      <c r="M4490" t="s">
        <v>104</v>
      </c>
      <c r="N4490" t="s">
        <v>1046</v>
      </c>
      <c r="O4490" t="s">
        <v>45</v>
      </c>
      <c r="P4490" t="s">
        <v>89</v>
      </c>
      <c r="Q4490" t="s">
        <v>183</v>
      </c>
      <c r="R4490">
        <v>56.704000000000001</v>
      </c>
      <c r="S4490">
        <v>2</v>
      </c>
      <c r="T4490">
        <v>0.2</v>
      </c>
      <c r="U4490">
        <v>19.137599999999999</v>
      </c>
      <c r="V4490" t="str">
        <f t="shared" si="70"/>
        <v>Harry Greene</v>
      </c>
      <c r="W4490">
        <f>Table2[Profit]/Table2[Sales]</f>
        <v>0.33749999999999997</v>
      </c>
    </row>
    <row r="4491" spans="1:23" x14ac:dyDescent="0.25">
      <c r="A4491">
        <v>4490</v>
      </c>
      <c r="B4491" t="s">
        <v>10121</v>
      </c>
      <c r="C4491" s="1">
        <v>42868</v>
      </c>
      <c r="D4491" s="1">
        <v>42872</v>
      </c>
      <c r="E4491" t="s">
        <v>49</v>
      </c>
      <c r="F4491" t="s">
        <v>3434</v>
      </c>
      <c r="G4491" t="s">
        <v>3435</v>
      </c>
      <c r="H4491" t="s">
        <v>101</v>
      </c>
      <c r="I4491" t="s">
        <v>26</v>
      </c>
      <c r="J4491" t="s">
        <v>143</v>
      </c>
      <c r="K4491" t="s">
        <v>144</v>
      </c>
      <c r="L4491">
        <v>19140</v>
      </c>
      <c r="M4491" t="s">
        <v>145</v>
      </c>
      <c r="N4491" t="s">
        <v>2065</v>
      </c>
      <c r="O4491" t="s">
        <v>31</v>
      </c>
      <c r="P4491" t="s">
        <v>35</v>
      </c>
      <c r="Q4491" t="s">
        <v>2066</v>
      </c>
      <c r="R4491">
        <v>458.43</v>
      </c>
      <c r="S4491">
        <v>5</v>
      </c>
      <c r="T4491">
        <v>0.3</v>
      </c>
      <c r="U4491">
        <v>-124.431</v>
      </c>
      <c r="V4491" t="str">
        <f t="shared" si="70"/>
        <v>Mick Hernandez</v>
      </c>
      <c r="W4491">
        <f>Table2[Profit]/Table2[Sales]</f>
        <v>-0.27142857142857141</v>
      </c>
    </row>
    <row r="4492" spans="1:23" x14ac:dyDescent="0.25">
      <c r="A4492">
        <v>4491</v>
      </c>
      <c r="B4492" t="s">
        <v>10122</v>
      </c>
      <c r="C4492" s="1">
        <v>41812</v>
      </c>
      <c r="D4492" s="1">
        <v>41812</v>
      </c>
      <c r="E4492" t="s">
        <v>1278</v>
      </c>
      <c r="F4492" t="s">
        <v>4196</v>
      </c>
      <c r="G4492" t="s">
        <v>4197</v>
      </c>
      <c r="H4492" t="s">
        <v>25</v>
      </c>
      <c r="I4492" t="s">
        <v>26</v>
      </c>
      <c r="J4492" t="s">
        <v>537</v>
      </c>
      <c r="K4492" t="s">
        <v>303</v>
      </c>
      <c r="L4492">
        <v>85023</v>
      </c>
      <c r="M4492" t="s">
        <v>43</v>
      </c>
      <c r="N4492" t="s">
        <v>5275</v>
      </c>
      <c r="O4492" t="s">
        <v>45</v>
      </c>
      <c r="P4492" t="s">
        <v>74</v>
      </c>
      <c r="Q4492" t="s">
        <v>5276</v>
      </c>
      <c r="R4492">
        <v>8.2260000000000009</v>
      </c>
      <c r="S4492">
        <v>3</v>
      </c>
      <c r="T4492">
        <v>0.7</v>
      </c>
      <c r="U4492">
        <v>-6.0324</v>
      </c>
      <c r="V4492" t="str">
        <f t="shared" si="70"/>
        <v>Toby Braunhardt</v>
      </c>
      <c r="W4492">
        <f>Table2[Profit]/Table2[Sales]</f>
        <v>-0.73333333333333328</v>
      </c>
    </row>
    <row r="4493" spans="1:23" x14ac:dyDescent="0.25">
      <c r="A4493">
        <v>4492</v>
      </c>
      <c r="B4493" t="s">
        <v>10123</v>
      </c>
      <c r="C4493" s="1">
        <v>41975</v>
      </c>
      <c r="D4493" s="1">
        <v>41982</v>
      </c>
      <c r="E4493" t="s">
        <v>49</v>
      </c>
      <c r="F4493" t="s">
        <v>5213</v>
      </c>
      <c r="G4493" t="s">
        <v>5214</v>
      </c>
      <c r="H4493" t="s">
        <v>40</v>
      </c>
      <c r="I4493" t="s">
        <v>26</v>
      </c>
      <c r="J4493" t="s">
        <v>7314</v>
      </c>
      <c r="K4493" t="s">
        <v>1260</v>
      </c>
      <c r="L4493">
        <v>30328</v>
      </c>
      <c r="M4493" t="s">
        <v>29</v>
      </c>
      <c r="N4493" t="s">
        <v>7058</v>
      </c>
      <c r="O4493" t="s">
        <v>70</v>
      </c>
      <c r="P4493" t="s">
        <v>158</v>
      </c>
      <c r="Q4493" t="s">
        <v>7059</v>
      </c>
      <c r="R4493">
        <v>5.95</v>
      </c>
      <c r="S4493">
        <v>1</v>
      </c>
      <c r="T4493">
        <v>0</v>
      </c>
      <c r="U4493">
        <v>0.83299999999999996</v>
      </c>
      <c r="V4493" t="str">
        <f t="shared" si="70"/>
        <v>Elizabeth Moffitt</v>
      </c>
      <c r="W4493">
        <f>Table2[Profit]/Table2[Sales]</f>
        <v>0.13999999999999999</v>
      </c>
    </row>
    <row r="4494" spans="1:23" x14ac:dyDescent="0.25">
      <c r="A4494">
        <v>4493</v>
      </c>
      <c r="B4494" t="s">
        <v>10124</v>
      </c>
      <c r="C4494" s="1">
        <v>42099</v>
      </c>
      <c r="D4494" s="1">
        <v>42100</v>
      </c>
      <c r="E4494" t="s">
        <v>1278</v>
      </c>
      <c r="F4494" t="s">
        <v>1908</v>
      </c>
      <c r="G4494" t="s">
        <v>1909</v>
      </c>
      <c r="H4494" t="s">
        <v>25</v>
      </c>
      <c r="I4494" t="s">
        <v>26</v>
      </c>
      <c r="J4494" t="s">
        <v>4578</v>
      </c>
      <c r="K4494" t="s">
        <v>95</v>
      </c>
      <c r="L4494">
        <v>99207</v>
      </c>
      <c r="M4494" t="s">
        <v>43</v>
      </c>
      <c r="N4494" t="s">
        <v>437</v>
      </c>
      <c r="O4494" t="s">
        <v>70</v>
      </c>
      <c r="P4494" t="s">
        <v>158</v>
      </c>
      <c r="Q4494" t="s">
        <v>438</v>
      </c>
      <c r="R4494">
        <v>239.94</v>
      </c>
      <c r="S4494">
        <v>6</v>
      </c>
      <c r="T4494">
        <v>0</v>
      </c>
      <c r="U4494">
        <v>26.3934</v>
      </c>
      <c r="V4494" t="str">
        <f t="shared" si="70"/>
        <v>Jennifer Ferguson</v>
      </c>
      <c r="W4494">
        <f>Table2[Profit]/Table2[Sales]</f>
        <v>0.11</v>
      </c>
    </row>
    <row r="4495" spans="1:23" x14ac:dyDescent="0.25">
      <c r="A4495">
        <v>4494</v>
      </c>
      <c r="B4495" t="s">
        <v>10125</v>
      </c>
      <c r="C4495" s="1">
        <v>43057</v>
      </c>
      <c r="D4495" s="1">
        <v>43057</v>
      </c>
      <c r="E4495" t="s">
        <v>1278</v>
      </c>
      <c r="F4495" t="s">
        <v>1993</v>
      </c>
      <c r="G4495" t="s">
        <v>1994</v>
      </c>
      <c r="H4495" t="s">
        <v>40</v>
      </c>
      <c r="I4495" t="s">
        <v>26</v>
      </c>
      <c r="J4495" t="s">
        <v>2517</v>
      </c>
      <c r="K4495" t="s">
        <v>113</v>
      </c>
      <c r="L4495">
        <v>53209</v>
      </c>
      <c r="M4495" t="s">
        <v>104</v>
      </c>
      <c r="N4495" t="s">
        <v>1611</v>
      </c>
      <c r="O4495" t="s">
        <v>45</v>
      </c>
      <c r="P4495" t="s">
        <v>58</v>
      </c>
      <c r="Q4495" t="s">
        <v>1612</v>
      </c>
      <c r="R4495">
        <v>92.52</v>
      </c>
      <c r="S4495">
        <v>6</v>
      </c>
      <c r="T4495">
        <v>0</v>
      </c>
      <c r="U4495">
        <v>24.980399999999999</v>
      </c>
      <c r="V4495" t="str">
        <f t="shared" si="70"/>
        <v>Nona Balk</v>
      </c>
      <c r="W4495">
        <f>Table2[Profit]/Table2[Sales]</f>
        <v>0.27</v>
      </c>
    </row>
    <row r="4496" spans="1:23" x14ac:dyDescent="0.25">
      <c r="A4496">
        <v>4495</v>
      </c>
      <c r="B4496" t="s">
        <v>10126</v>
      </c>
      <c r="C4496" s="1">
        <v>42928</v>
      </c>
      <c r="D4496" s="1">
        <v>42934</v>
      </c>
      <c r="E4496" t="s">
        <v>49</v>
      </c>
      <c r="F4496" t="s">
        <v>7572</v>
      </c>
      <c r="G4496" t="s">
        <v>7573</v>
      </c>
      <c r="H4496" t="s">
        <v>25</v>
      </c>
      <c r="I4496" t="s">
        <v>26</v>
      </c>
      <c r="J4496" t="s">
        <v>739</v>
      </c>
      <c r="K4496" t="s">
        <v>491</v>
      </c>
      <c r="L4496">
        <v>45014</v>
      </c>
      <c r="M4496" t="s">
        <v>145</v>
      </c>
      <c r="N4496" t="s">
        <v>5943</v>
      </c>
      <c r="O4496" t="s">
        <v>45</v>
      </c>
      <c r="P4496" t="s">
        <v>89</v>
      </c>
      <c r="Q4496" t="s">
        <v>5944</v>
      </c>
      <c r="R4496">
        <v>3.8159999999999998</v>
      </c>
      <c r="S4496">
        <v>1</v>
      </c>
      <c r="T4496">
        <v>0.2</v>
      </c>
      <c r="U4496">
        <v>1.1924999999999999</v>
      </c>
      <c r="V4496" t="str">
        <f t="shared" si="70"/>
        <v>Cari Schnelling</v>
      </c>
      <c r="W4496">
        <f>Table2[Profit]/Table2[Sales]</f>
        <v>0.3125</v>
      </c>
    </row>
    <row r="4497" spans="1:23" x14ac:dyDescent="0.25">
      <c r="A4497">
        <v>4496</v>
      </c>
      <c r="B4497" t="s">
        <v>10127</v>
      </c>
      <c r="C4497" s="1">
        <v>42874</v>
      </c>
      <c r="D4497" s="1">
        <v>42878</v>
      </c>
      <c r="E4497" t="s">
        <v>49</v>
      </c>
      <c r="F4497" t="s">
        <v>4498</v>
      </c>
      <c r="G4497" t="s">
        <v>4499</v>
      </c>
      <c r="H4497" t="s">
        <v>40</v>
      </c>
      <c r="I4497" t="s">
        <v>26</v>
      </c>
      <c r="J4497" t="s">
        <v>1657</v>
      </c>
      <c r="K4497" t="s">
        <v>351</v>
      </c>
      <c r="L4497">
        <v>35810</v>
      </c>
      <c r="M4497" t="s">
        <v>29</v>
      </c>
      <c r="N4497" t="s">
        <v>6249</v>
      </c>
      <c r="O4497" t="s">
        <v>45</v>
      </c>
      <c r="P4497" t="s">
        <v>74</v>
      </c>
      <c r="Q4497" t="s">
        <v>6250</v>
      </c>
      <c r="R4497">
        <v>26.16</v>
      </c>
      <c r="S4497">
        <v>4</v>
      </c>
      <c r="T4497">
        <v>0</v>
      </c>
      <c r="U4497">
        <v>12.8184</v>
      </c>
      <c r="V4497" t="str">
        <f t="shared" si="70"/>
        <v>Neil Ducich</v>
      </c>
      <c r="W4497">
        <f>Table2[Profit]/Table2[Sales]</f>
        <v>0.49</v>
      </c>
    </row>
    <row r="4498" spans="1:23" x14ac:dyDescent="0.25">
      <c r="A4498">
        <v>4497</v>
      </c>
      <c r="B4498" t="s">
        <v>10128</v>
      </c>
      <c r="C4498" s="1">
        <v>42358</v>
      </c>
      <c r="D4498" s="1">
        <v>42359</v>
      </c>
      <c r="E4498" t="s">
        <v>185</v>
      </c>
      <c r="F4498" t="s">
        <v>4353</v>
      </c>
      <c r="G4498" t="s">
        <v>4354</v>
      </c>
      <c r="H4498" t="s">
        <v>101</v>
      </c>
      <c r="I4498" t="s">
        <v>26</v>
      </c>
      <c r="J4498" t="s">
        <v>181</v>
      </c>
      <c r="K4498" t="s">
        <v>103</v>
      </c>
      <c r="L4498">
        <v>77036</v>
      </c>
      <c r="M4498" t="s">
        <v>104</v>
      </c>
      <c r="N4498" t="s">
        <v>2791</v>
      </c>
      <c r="O4498" t="s">
        <v>70</v>
      </c>
      <c r="P4498" t="s">
        <v>158</v>
      </c>
      <c r="Q4498" t="s">
        <v>2792</v>
      </c>
      <c r="R4498">
        <v>100.8</v>
      </c>
      <c r="S4498">
        <v>2</v>
      </c>
      <c r="T4498">
        <v>0.2</v>
      </c>
      <c r="U4498">
        <v>21.42</v>
      </c>
      <c r="V4498" t="str">
        <f t="shared" si="70"/>
        <v>Emily Ducich</v>
      </c>
      <c r="W4498">
        <f>Table2[Profit]/Table2[Sales]</f>
        <v>0.21250000000000002</v>
      </c>
    </row>
    <row r="4499" spans="1:23" x14ac:dyDescent="0.25">
      <c r="A4499">
        <v>4498</v>
      </c>
      <c r="B4499" t="s">
        <v>10129</v>
      </c>
      <c r="C4499" s="1">
        <v>42421</v>
      </c>
      <c r="D4499" s="1">
        <v>42422</v>
      </c>
      <c r="E4499" t="s">
        <v>185</v>
      </c>
      <c r="F4499" t="s">
        <v>888</v>
      </c>
      <c r="G4499" t="s">
        <v>889</v>
      </c>
      <c r="H4499" t="s">
        <v>40</v>
      </c>
      <c r="I4499" t="s">
        <v>26</v>
      </c>
      <c r="J4499" t="s">
        <v>263</v>
      </c>
      <c r="K4499" t="s">
        <v>264</v>
      </c>
      <c r="L4499">
        <v>10011</v>
      </c>
      <c r="M4499" t="s">
        <v>145</v>
      </c>
      <c r="N4499" t="s">
        <v>1092</v>
      </c>
      <c r="O4499" t="s">
        <v>31</v>
      </c>
      <c r="P4499" t="s">
        <v>64</v>
      </c>
      <c r="Q4499" t="s">
        <v>1093</v>
      </c>
      <c r="R4499">
        <v>135.80000000000001</v>
      </c>
      <c r="S4499">
        <v>7</v>
      </c>
      <c r="T4499">
        <v>0</v>
      </c>
      <c r="U4499">
        <v>66.542000000000002</v>
      </c>
      <c r="V4499" t="str">
        <f t="shared" si="70"/>
        <v>Erin Ashbrook</v>
      </c>
      <c r="W4499">
        <f>Table2[Profit]/Table2[Sales]</f>
        <v>0.49</v>
      </c>
    </row>
    <row r="4500" spans="1:23" x14ac:dyDescent="0.25">
      <c r="A4500">
        <v>4499</v>
      </c>
      <c r="B4500" t="s">
        <v>10130</v>
      </c>
      <c r="C4500" s="1">
        <v>42812</v>
      </c>
      <c r="D4500" s="1">
        <v>42816</v>
      </c>
      <c r="E4500" t="s">
        <v>49</v>
      </c>
      <c r="F4500" t="s">
        <v>8347</v>
      </c>
      <c r="G4500" t="s">
        <v>8348</v>
      </c>
      <c r="H4500" t="s">
        <v>40</v>
      </c>
      <c r="I4500" t="s">
        <v>26</v>
      </c>
      <c r="J4500" t="s">
        <v>41</v>
      </c>
      <c r="K4500" t="s">
        <v>42</v>
      </c>
      <c r="L4500">
        <v>90008</v>
      </c>
      <c r="M4500" t="s">
        <v>43</v>
      </c>
      <c r="N4500" t="s">
        <v>7019</v>
      </c>
      <c r="O4500" t="s">
        <v>45</v>
      </c>
      <c r="P4500" t="s">
        <v>67</v>
      </c>
      <c r="Q4500" t="s">
        <v>4138</v>
      </c>
      <c r="R4500">
        <v>13.9</v>
      </c>
      <c r="S4500">
        <v>5</v>
      </c>
      <c r="T4500">
        <v>0</v>
      </c>
      <c r="U4500">
        <v>3.7530000000000001</v>
      </c>
      <c r="V4500" t="str">
        <f t="shared" si="70"/>
        <v>Barry Pond</v>
      </c>
      <c r="W4500">
        <f>Table2[Profit]/Table2[Sales]</f>
        <v>0.27</v>
      </c>
    </row>
    <row r="4501" spans="1:23" x14ac:dyDescent="0.25">
      <c r="A4501">
        <v>4500</v>
      </c>
      <c r="B4501" t="s">
        <v>10131</v>
      </c>
      <c r="C4501" s="1">
        <v>42721</v>
      </c>
      <c r="D4501" s="1">
        <v>42727</v>
      </c>
      <c r="E4501" t="s">
        <v>49</v>
      </c>
      <c r="F4501" t="s">
        <v>3044</v>
      </c>
      <c r="G4501" t="s">
        <v>3045</v>
      </c>
      <c r="H4501" t="s">
        <v>40</v>
      </c>
      <c r="I4501" t="s">
        <v>26</v>
      </c>
      <c r="J4501" t="s">
        <v>659</v>
      </c>
      <c r="K4501" t="s">
        <v>660</v>
      </c>
      <c r="L4501">
        <v>88220</v>
      </c>
      <c r="M4501" t="s">
        <v>43</v>
      </c>
      <c r="N4501" t="s">
        <v>2581</v>
      </c>
      <c r="O4501" t="s">
        <v>45</v>
      </c>
      <c r="P4501" t="s">
        <v>74</v>
      </c>
      <c r="Q4501" t="s">
        <v>2582</v>
      </c>
      <c r="R4501">
        <v>13.488</v>
      </c>
      <c r="S4501">
        <v>2</v>
      </c>
      <c r="T4501">
        <v>0.2</v>
      </c>
      <c r="U4501">
        <v>4.3836000000000004</v>
      </c>
      <c r="V4501" t="str">
        <f t="shared" si="70"/>
        <v>Noel Staavos</v>
      </c>
      <c r="W4501">
        <f>Table2[Profit]/Table2[Sales]</f>
        <v>0.32500000000000007</v>
      </c>
    </row>
    <row r="4502" spans="1:23" x14ac:dyDescent="0.25">
      <c r="A4502">
        <v>4501</v>
      </c>
      <c r="B4502" t="s">
        <v>10132</v>
      </c>
      <c r="C4502" s="1">
        <v>42455</v>
      </c>
      <c r="D4502" s="1">
        <v>42457</v>
      </c>
      <c r="E4502" t="s">
        <v>22</v>
      </c>
      <c r="F4502" t="s">
        <v>5140</v>
      </c>
      <c r="G4502" t="s">
        <v>5141</v>
      </c>
      <c r="H4502" t="s">
        <v>25</v>
      </c>
      <c r="I4502" t="s">
        <v>26</v>
      </c>
      <c r="J4502" t="s">
        <v>8207</v>
      </c>
      <c r="K4502" t="s">
        <v>6119</v>
      </c>
      <c r="L4502">
        <v>83201</v>
      </c>
      <c r="M4502" t="s">
        <v>43</v>
      </c>
      <c r="N4502" t="s">
        <v>3920</v>
      </c>
      <c r="O4502" t="s">
        <v>45</v>
      </c>
      <c r="P4502" t="s">
        <v>89</v>
      </c>
      <c r="Q4502" t="s">
        <v>3921</v>
      </c>
      <c r="R4502">
        <v>17.64</v>
      </c>
      <c r="S4502">
        <v>3</v>
      </c>
      <c r="T4502">
        <v>0</v>
      </c>
      <c r="U4502">
        <v>8.6435999999999993</v>
      </c>
      <c r="V4502" t="str">
        <f t="shared" si="70"/>
        <v>Mark Van Huff</v>
      </c>
      <c r="W4502">
        <f>Table2[Profit]/Table2[Sales]</f>
        <v>0.48999999999999994</v>
      </c>
    </row>
    <row r="4503" spans="1:23" x14ac:dyDescent="0.25">
      <c r="A4503">
        <v>4502</v>
      </c>
      <c r="B4503" t="s">
        <v>10133</v>
      </c>
      <c r="C4503" s="1">
        <v>41989</v>
      </c>
      <c r="D4503" s="1">
        <v>41991</v>
      </c>
      <c r="E4503" t="s">
        <v>22</v>
      </c>
      <c r="F4503" t="s">
        <v>817</v>
      </c>
      <c r="G4503" t="s">
        <v>818</v>
      </c>
      <c r="H4503" t="s">
        <v>25</v>
      </c>
      <c r="I4503" t="s">
        <v>26</v>
      </c>
      <c r="J4503" t="s">
        <v>311</v>
      </c>
      <c r="K4503" t="s">
        <v>312</v>
      </c>
      <c r="L4503">
        <v>22153</v>
      </c>
      <c r="M4503" t="s">
        <v>29</v>
      </c>
      <c r="N4503" t="s">
        <v>3684</v>
      </c>
      <c r="O4503" t="s">
        <v>70</v>
      </c>
      <c r="P4503" t="s">
        <v>158</v>
      </c>
      <c r="Q4503" t="s">
        <v>3685</v>
      </c>
      <c r="R4503">
        <v>99.98</v>
      </c>
      <c r="S4503">
        <v>2</v>
      </c>
      <c r="T4503">
        <v>0</v>
      </c>
      <c r="U4503">
        <v>7.9984000000000002</v>
      </c>
      <c r="V4503" t="str">
        <f t="shared" si="70"/>
        <v>Laurel Elliston</v>
      </c>
      <c r="W4503">
        <f>Table2[Profit]/Table2[Sales]</f>
        <v>0.08</v>
      </c>
    </row>
    <row r="4504" spans="1:23" x14ac:dyDescent="0.25">
      <c r="A4504">
        <v>4503</v>
      </c>
      <c r="B4504" t="s">
        <v>10134</v>
      </c>
      <c r="C4504" s="1">
        <v>42323</v>
      </c>
      <c r="D4504" s="1">
        <v>42328</v>
      </c>
      <c r="E4504" t="s">
        <v>49</v>
      </c>
      <c r="F4504" t="s">
        <v>8769</v>
      </c>
      <c r="G4504" t="s">
        <v>8770</v>
      </c>
      <c r="H4504" t="s">
        <v>40</v>
      </c>
      <c r="I4504" t="s">
        <v>26</v>
      </c>
      <c r="J4504" t="s">
        <v>2797</v>
      </c>
      <c r="K4504" t="s">
        <v>491</v>
      </c>
      <c r="L4504">
        <v>43615</v>
      </c>
      <c r="M4504" t="s">
        <v>145</v>
      </c>
      <c r="N4504" t="s">
        <v>4548</v>
      </c>
      <c r="O4504" t="s">
        <v>45</v>
      </c>
      <c r="P4504" t="s">
        <v>74</v>
      </c>
      <c r="Q4504" t="s">
        <v>4549</v>
      </c>
      <c r="R4504">
        <v>166.92</v>
      </c>
      <c r="S4504">
        <v>13</v>
      </c>
      <c r="T4504">
        <v>0.7</v>
      </c>
      <c r="U4504">
        <v>-116.84399999999999</v>
      </c>
      <c r="V4504" t="str">
        <f t="shared" si="70"/>
        <v>Victoria Pisteka</v>
      </c>
      <c r="W4504">
        <f>Table2[Profit]/Table2[Sales]</f>
        <v>-0.70000000000000007</v>
      </c>
    </row>
    <row r="4505" spans="1:23" x14ac:dyDescent="0.25">
      <c r="A4505">
        <v>4504</v>
      </c>
      <c r="B4505" t="s">
        <v>10135</v>
      </c>
      <c r="C4505" s="1">
        <v>42604</v>
      </c>
      <c r="D4505" s="1">
        <v>42605</v>
      </c>
      <c r="E4505" t="s">
        <v>185</v>
      </c>
      <c r="F4505" t="s">
        <v>6115</v>
      </c>
      <c r="G4505" t="s">
        <v>6116</v>
      </c>
      <c r="H4505" t="s">
        <v>101</v>
      </c>
      <c r="I4505" t="s">
        <v>26</v>
      </c>
      <c r="J4505" t="s">
        <v>5230</v>
      </c>
      <c r="K4505" t="s">
        <v>450</v>
      </c>
      <c r="L4505">
        <v>80525</v>
      </c>
      <c r="M4505" t="s">
        <v>43</v>
      </c>
      <c r="N4505" t="s">
        <v>1966</v>
      </c>
      <c r="O4505" t="s">
        <v>31</v>
      </c>
      <c r="P4505" t="s">
        <v>64</v>
      </c>
      <c r="Q4505" t="s">
        <v>1967</v>
      </c>
      <c r="R4505">
        <v>98.328000000000003</v>
      </c>
      <c r="S4505">
        <v>3</v>
      </c>
      <c r="T4505">
        <v>0.2</v>
      </c>
      <c r="U4505">
        <v>9.8328000000000007</v>
      </c>
      <c r="V4505" t="str">
        <f t="shared" si="70"/>
        <v>Tony Chapman</v>
      </c>
      <c r="W4505">
        <f>Table2[Profit]/Table2[Sales]</f>
        <v>0.1</v>
      </c>
    </row>
    <row r="4506" spans="1:23" x14ac:dyDescent="0.25">
      <c r="A4506">
        <v>4505</v>
      </c>
      <c r="B4506" t="s">
        <v>10136</v>
      </c>
      <c r="C4506" s="1">
        <v>42184</v>
      </c>
      <c r="D4506" s="1">
        <v>42187</v>
      </c>
      <c r="E4506" t="s">
        <v>185</v>
      </c>
      <c r="F4506" t="s">
        <v>4057</v>
      </c>
      <c r="G4506" t="s">
        <v>4058</v>
      </c>
      <c r="H4506" t="s">
        <v>25</v>
      </c>
      <c r="I4506" t="s">
        <v>26</v>
      </c>
      <c r="J4506" t="s">
        <v>263</v>
      </c>
      <c r="K4506" t="s">
        <v>264</v>
      </c>
      <c r="L4506">
        <v>10024</v>
      </c>
      <c r="M4506" t="s">
        <v>145</v>
      </c>
      <c r="N4506" t="s">
        <v>2065</v>
      </c>
      <c r="O4506" t="s">
        <v>31</v>
      </c>
      <c r="P4506" t="s">
        <v>35</v>
      </c>
      <c r="Q4506" t="s">
        <v>2066</v>
      </c>
      <c r="R4506">
        <v>117.88200000000001</v>
      </c>
      <c r="S4506">
        <v>1</v>
      </c>
      <c r="T4506">
        <v>0.1</v>
      </c>
      <c r="U4506">
        <v>1.3098000000000001</v>
      </c>
      <c r="V4506" t="str">
        <f t="shared" si="70"/>
        <v>Sheri Gordon</v>
      </c>
      <c r="W4506">
        <f>Table2[Profit]/Table2[Sales]</f>
        <v>1.1111111111111112E-2</v>
      </c>
    </row>
    <row r="4507" spans="1:23" x14ac:dyDescent="0.25">
      <c r="A4507">
        <v>4506</v>
      </c>
      <c r="B4507" t="s">
        <v>10137</v>
      </c>
      <c r="C4507" s="1">
        <v>42547</v>
      </c>
      <c r="D4507" s="1">
        <v>42553</v>
      </c>
      <c r="E4507" t="s">
        <v>49</v>
      </c>
      <c r="F4507" t="s">
        <v>8769</v>
      </c>
      <c r="G4507" t="s">
        <v>8770</v>
      </c>
      <c r="H4507" t="s">
        <v>40</v>
      </c>
      <c r="I4507" t="s">
        <v>26</v>
      </c>
      <c r="J4507" t="s">
        <v>263</v>
      </c>
      <c r="K4507" t="s">
        <v>264</v>
      </c>
      <c r="L4507">
        <v>10035</v>
      </c>
      <c r="M4507" t="s">
        <v>145</v>
      </c>
      <c r="N4507" t="s">
        <v>7556</v>
      </c>
      <c r="O4507" t="s">
        <v>70</v>
      </c>
      <c r="P4507" t="s">
        <v>158</v>
      </c>
      <c r="Q4507" t="s">
        <v>7557</v>
      </c>
      <c r="R4507">
        <v>20.97</v>
      </c>
      <c r="S4507">
        <v>3</v>
      </c>
      <c r="T4507">
        <v>0</v>
      </c>
      <c r="U4507">
        <v>9.0170999999999992</v>
      </c>
      <c r="V4507" t="str">
        <f t="shared" si="70"/>
        <v>Victoria Pisteka</v>
      </c>
      <c r="W4507">
        <f>Table2[Profit]/Table2[Sales]</f>
        <v>0.43</v>
      </c>
    </row>
    <row r="4508" spans="1:23" x14ac:dyDescent="0.25">
      <c r="A4508">
        <v>4507</v>
      </c>
      <c r="B4508" t="s">
        <v>10138</v>
      </c>
      <c r="C4508" s="1">
        <v>42630</v>
      </c>
      <c r="D4508" s="1">
        <v>42635</v>
      </c>
      <c r="E4508" t="s">
        <v>49</v>
      </c>
      <c r="F4508" t="s">
        <v>232</v>
      </c>
      <c r="G4508" t="s">
        <v>233</v>
      </c>
      <c r="H4508" t="s">
        <v>25</v>
      </c>
      <c r="I4508" t="s">
        <v>26</v>
      </c>
      <c r="J4508" t="s">
        <v>10139</v>
      </c>
      <c r="K4508" t="s">
        <v>1233</v>
      </c>
      <c r="L4508">
        <v>1752</v>
      </c>
      <c r="M4508" t="s">
        <v>145</v>
      </c>
      <c r="N4508" t="s">
        <v>2416</v>
      </c>
      <c r="O4508" t="s">
        <v>31</v>
      </c>
      <c r="P4508" t="s">
        <v>64</v>
      </c>
      <c r="Q4508" t="s">
        <v>2417</v>
      </c>
      <c r="R4508">
        <v>14.82</v>
      </c>
      <c r="S4508">
        <v>3</v>
      </c>
      <c r="T4508">
        <v>0</v>
      </c>
      <c r="U4508">
        <v>6.2244000000000002</v>
      </c>
      <c r="V4508" t="str">
        <f t="shared" si="70"/>
        <v>Patrick O'Donnell</v>
      </c>
      <c r="W4508">
        <f>Table2[Profit]/Table2[Sales]</f>
        <v>0.42</v>
      </c>
    </row>
    <row r="4509" spans="1:23" x14ac:dyDescent="0.25">
      <c r="A4509">
        <v>4508</v>
      </c>
      <c r="B4509" t="s">
        <v>10140</v>
      </c>
      <c r="C4509" s="1">
        <v>41838</v>
      </c>
      <c r="D4509" s="1">
        <v>41843</v>
      </c>
      <c r="E4509" t="s">
        <v>49</v>
      </c>
      <c r="F4509" t="s">
        <v>6258</v>
      </c>
      <c r="G4509" t="s">
        <v>6259</v>
      </c>
      <c r="H4509" t="s">
        <v>25</v>
      </c>
      <c r="I4509" t="s">
        <v>26</v>
      </c>
      <c r="J4509" t="s">
        <v>1485</v>
      </c>
      <c r="K4509" t="s">
        <v>264</v>
      </c>
      <c r="L4509">
        <v>10801</v>
      </c>
      <c r="M4509" t="s">
        <v>145</v>
      </c>
      <c r="N4509" t="s">
        <v>2024</v>
      </c>
      <c r="O4509" t="s">
        <v>45</v>
      </c>
      <c r="P4509" t="s">
        <v>74</v>
      </c>
      <c r="Q4509" t="s">
        <v>2025</v>
      </c>
      <c r="R4509">
        <v>13.904</v>
      </c>
      <c r="S4509">
        <v>2</v>
      </c>
      <c r="T4509">
        <v>0.2</v>
      </c>
      <c r="U4509">
        <v>4.5187999999999997</v>
      </c>
      <c r="V4509" t="str">
        <f t="shared" si="70"/>
        <v>Jack Lebron</v>
      </c>
      <c r="W4509">
        <f>Table2[Profit]/Table2[Sales]</f>
        <v>0.32499999999999996</v>
      </c>
    </row>
    <row r="4510" spans="1:23" x14ac:dyDescent="0.25">
      <c r="A4510">
        <v>4509</v>
      </c>
      <c r="B4510" t="s">
        <v>10141</v>
      </c>
      <c r="C4510" s="1">
        <v>42979</v>
      </c>
      <c r="D4510" s="1">
        <v>42979</v>
      </c>
      <c r="E4510" t="s">
        <v>1278</v>
      </c>
      <c r="F4510" t="s">
        <v>3769</v>
      </c>
      <c r="G4510" t="s">
        <v>3770</v>
      </c>
      <c r="H4510" t="s">
        <v>40</v>
      </c>
      <c r="I4510" t="s">
        <v>26</v>
      </c>
      <c r="J4510" t="s">
        <v>94</v>
      </c>
      <c r="K4510" t="s">
        <v>95</v>
      </c>
      <c r="L4510">
        <v>98103</v>
      </c>
      <c r="M4510" t="s">
        <v>43</v>
      </c>
      <c r="N4510" t="s">
        <v>4519</v>
      </c>
      <c r="O4510" t="s">
        <v>45</v>
      </c>
      <c r="P4510" t="s">
        <v>77</v>
      </c>
      <c r="Q4510" t="s">
        <v>4520</v>
      </c>
      <c r="R4510">
        <v>314.60000000000002</v>
      </c>
      <c r="S4510">
        <v>4</v>
      </c>
      <c r="T4510">
        <v>0</v>
      </c>
      <c r="U4510">
        <v>103.818</v>
      </c>
      <c r="V4510" t="str">
        <f t="shared" si="70"/>
        <v>Rick Wilson</v>
      </c>
      <c r="W4510">
        <f>Table2[Profit]/Table2[Sales]</f>
        <v>0.32999999999999996</v>
      </c>
    </row>
    <row r="4511" spans="1:23" x14ac:dyDescent="0.25">
      <c r="A4511">
        <v>4510</v>
      </c>
      <c r="B4511" t="s">
        <v>10142</v>
      </c>
      <c r="C4511" s="1">
        <v>42908</v>
      </c>
      <c r="D4511" s="1">
        <v>42912</v>
      </c>
      <c r="E4511" t="s">
        <v>49</v>
      </c>
      <c r="F4511" t="s">
        <v>433</v>
      </c>
      <c r="G4511" t="s">
        <v>434</v>
      </c>
      <c r="H4511" t="s">
        <v>101</v>
      </c>
      <c r="I4511" t="s">
        <v>26</v>
      </c>
      <c r="J4511" t="s">
        <v>873</v>
      </c>
      <c r="K4511" t="s">
        <v>235</v>
      </c>
      <c r="L4511">
        <v>48227</v>
      </c>
      <c r="M4511" t="s">
        <v>104</v>
      </c>
      <c r="N4511" t="s">
        <v>34</v>
      </c>
      <c r="O4511" t="s">
        <v>31</v>
      </c>
      <c r="P4511" t="s">
        <v>35</v>
      </c>
      <c r="Q4511" t="s">
        <v>36</v>
      </c>
      <c r="R4511">
        <v>487.96</v>
      </c>
      <c r="S4511">
        <v>2</v>
      </c>
      <c r="T4511">
        <v>0</v>
      </c>
      <c r="U4511">
        <v>146.38800000000001</v>
      </c>
      <c r="V4511" t="str">
        <f t="shared" si="70"/>
        <v>Rick Bensley</v>
      </c>
      <c r="W4511">
        <f>Table2[Profit]/Table2[Sales]</f>
        <v>0.30000000000000004</v>
      </c>
    </row>
    <row r="4512" spans="1:23" x14ac:dyDescent="0.25">
      <c r="A4512">
        <v>4511</v>
      </c>
      <c r="B4512" t="s">
        <v>10143</v>
      </c>
      <c r="C4512" s="1">
        <v>41884</v>
      </c>
      <c r="D4512" s="1">
        <v>41889</v>
      </c>
      <c r="E4512" t="s">
        <v>49</v>
      </c>
      <c r="F4512" t="s">
        <v>1561</v>
      </c>
      <c r="G4512" t="s">
        <v>1562</v>
      </c>
      <c r="H4512" t="s">
        <v>25</v>
      </c>
      <c r="I4512" t="s">
        <v>26</v>
      </c>
      <c r="J4512" t="s">
        <v>1682</v>
      </c>
      <c r="K4512" t="s">
        <v>1683</v>
      </c>
      <c r="L4512">
        <v>72701</v>
      </c>
      <c r="M4512" t="s">
        <v>29</v>
      </c>
      <c r="N4512" t="s">
        <v>4620</v>
      </c>
      <c r="O4512" t="s">
        <v>45</v>
      </c>
      <c r="P4512" t="s">
        <v>74</v>
      </c>
      <c r="Q4512" t="s">
        <v>4621</v>
      </c>
      <c r="R4512">
        <v>1793.98</v>
      </c>
      <c r="S4512">
        <v>2</v>
      </c>
      <c r="T4512">
        <v>0</v>
      </c>
      <c r="U4512">
        <v>843.17060000000004</v>
      </c>
      <c r="V4512" t="str">
        <f t="shared" si="70"/>
        <v>Sanjit Chand</v>
      </c>
      <c r="W4512">
        <f>Table2[Profit]/Table2[Sales]</f>
        <v>0.47000000000000003</v>
      </c>
    </row>
    <row r="4513" spans="1:23" x14ac:dyDescent="0.25">
      <c r="A4513">
        <v>4512</v>
      </c>
      <c r="B4513" t="s">
        <v>10144</v>
      </c>
      <c r="C4513" s="1">
        <v>42278</v>
      </c>
      <c r="D4513" s="1">
        <v>42282</v>
      </c>
      <c r="E4513" t="s">
        <v>49</v>
      </c>
      <c r="F4513" t="s">
        <v>652</v>
      </c>
      <c r="G4513" t="s">
        <v>653</v>
      </c>
      <c r="H4513" t="s">
        <v>25</v>
      </c>
      <c r="I4513" t="s">
        <v>26</v>
      </c>
      <c r="J4513" t="s">
        <v>1309</v>
      </c>
      <c r="K4513" t="s">
        <v>208</v>
      </c>
      <c r="L4513">
        <v>62301</v>
      </c>
      <c r="M4513" t="s">
        <v>104</v>
      </c>
      <c r="N4513" t="s">
        <v>5624</v>
      </c>
      <c r="O4513" t="s">
        <v>45</v>
      </c>
      <c r="P4513" t="s">
        <v>74</v>
      </c>
      <c r="Q4513" t="s">
        <v>5625</v>
      </c>
      <c r="R4513">
        <v>2.992</v>
      </c>
      <c r="S4513">
        <v>4</v>
      </c>
      <c r="T4513">
        <v>0.8</v>
      </c>
      <c r="U4513">
        <v>-4.4880000000000004</v>
      </c>
      <c r="V4513" t="str">
        <f t="shared" si="70"/>
        <v>Eric Murdock</v>
      </c>
      <c r="W4513">
        <f>Table2[Profit]/Table2[Sales]</f>
        <v>-1.5000000000000002</v>
      </c>
    </row>
    <row r="4514" spans="1:23" x14ac:dyDescent="0.25">
      <c r="A4514">
        <v>4513</v>
      </c>
      <c r="B4514" t="s">
        <v>10145</v>
      </c>
      <c r="C4514" s="1">
        <v>42101</v>
      </c>
      <c r="D4514" s="1">
        <v>42104</v>
      </c>
      <c r="E4514" t="s">
        <v>185</v>
      </c>
      <c r="F4514" t="s">
        <v>2146</v>
      </c>
      <c r="G4514" t="s">
        <v>2147</v>
      </c>
      <c r="H4514" t="s">
        <v>25</v>
      </c>
      <c r="I4514" t="s">
        <v>26</v>
      </c>
      <c r="J4514" t="s">
        <v>263</v>
      </c>
      <c r="K4514" t="s">
        <v>264</v>
      </c>
      <c r="L4514">
        <v>10035</v>
      </c>
      <c r="M4514" t="s">
        <v>145</v>
      </c>
      <c r="N4514" t="s">
        <v>3890</v>
      </c>
      <c r="O4514" t="s">
        <v>45</v>
      </c>
      <c r="P4514" t="s">
        <v>89</v>
      </c>
      <c r="Q4514" t="s">
        <v>3891</v>
      </c>
      <c r="R4514">
        <v>25.92</v>
      </c>
      <c r="S4514">
        <v>4</v>
      </c>
      <c r="T4514">
        <v>0</v>
      </c>
      <c r="U4514">
        <v>12.441599999999999</v>
      </c>
      <c r="V4514" t="str">
        <f t="shared" si="70"/>
        <v>Resi Pölking</v>
      </c>
      <c r="W4514">
        <f>Table2[Profit]/Table2[Sales]</f>
        <v>0.47999999999999993</v>
      </c>
    </row>
    <row r="4515" spans="1:23" x14ac:dyDescent="0.25">
      <c r="A4515">
        <v>4514</v>
      </c>
      <c r="B4515" t="s">
        <v>10146</v>
      </c>
      <c r="C4515" s="1">
        <v>43060</v>
      </c>
      <c r="D4515" s="1">
        <v>43060</v>
      </c>
      <c r="E4515" t="s">
        <v>1278</v>
      </c>
      <c r="F4515" t="s">
        <v>4290</v>
      </c>
      <c r="G4515" t="s">
        <v>4291</v>
      </c>
      <c r="H4515" t="s">
        <v>25</v>
      </c>
      <c r="I4515" t="s">
        <v>26</v>
      </c>
      <c r="J4515" t="s">
        <v>181</v>
      </c>
      <c r="K4515" t="s">
        <v>103</v>
      </c>
      <c r="L4515">
        <v>77095</v>
      </c>
      <c r="M4515" t="s">
        <v>104</v>
      </c>
      <c r="N4515" t="s">
        <v>1758</v>
      </c>
      <c r="O4515" t="s">
        <v>70</v>
      </c>
      <c r="P4515" t="s">
        <v>71</v>
      </c>
      <c r="Q4515" t="s">
        <v>1759</v>
      </c>
      <c r="R4515">
        <v>55.176000000000002</v>
      </c>
      <c r="S4515">
        <v>3</v>
      </c>
      <c r="T4515">
        <v>0.2</v>
      </c>
      <c r="U4515">
        <v>-12.4146</v>
      </c>
      <c r="V4515" t="str">
        <f t="shared" si="70"/>
        <v>Henia Zydlo</v>
      </c>
      <c r="W4515">
        <f>Table2[Profit]/Table2[Sales]</f>
        <v>-0.22500000000000001</v>
      </c>
    </row>
    <row r="4516" spans="1:23" x14ac:dyDescent="0.25">
      <c r="A4516">
        <v>4515</v>
      </c>
      <c r="B4516" t="s">
        <v>10147</v>
      </c>
      <c r="C4516" s="1">
        <v>42721</v>
      </c>
      <c r="D4516" s="1">
        <v>42725</v>
      </c>
      <c r="E4516" t="s">
        <v>49</v>
      </c>
      <c r="F4516" t="s">
        <v>3751</v>
      </c>
      <c r="G4516" t="s">
        <v>3752</v>
      </c>
      <c r="H4516" t="s">
        <v>25</v>
      </c>
      <c r="I4516" t="s">
        <v>26</v>
      </c>
      <c r="J4516" t="s">
        <v>873</v>
      </c>
      <c r="K4516" t="s">
        <v>235</v>
      </c>
      <c r="L4516">
        <v>48205</v>
      </c>
      <c r="M4516" t="s">
        <v>104</v>
      </c>
      <c r="N4516" t="s">
        <v>2655</v>
      </c>
      <c r="O4516" t="s">
        <v>45</v>
      </c>
      <c r="P4516" t="s">
        <v>74</v>
      </c>
      <c r="Q4516" t="s">
        <v>2656</v>
      </c>
      <c r="R4516">
        <v>9892.74</v>
      </c>
      <c r="S4516">
        <v>13</v>
      </c>
      <c r="T4516">
        <v>0</v>
      </c>
      <c r="U4516">
        <v>4946.37</v>
      </c>
      <c r="V4516" t="str">
        <f t="shared" si="70"/>
        <v>Adrian Barton</v>
      </c>
      <c r="W4516">
        <f>Table2[Profit]/Table2[Sales]</f>
        <v>0.5</v>
      </c>
    </row>
    <row r="4517" spans="1:23" x14ac:dyDescent="0.25">
      <c r="A4517">
        <v>4516</v>
      </c>
      <c r="B4517" t="s">
        <v>10148</v>
      </c>
      <c r="C4517" s="1">
        <v>41901</v>
      </c>
      <c r="D4517" s="1">
        <v>41906</v>
      </c>
      <c r="E4517" t="s">
        <v>49</v>
      </c>
      <c r="F4517" t="s">
        <v>4498</v>
      </c>
      <c r="G4517" t="s">
        <v>4499</v>
      </c>
      <c r="H4517" t="s">
        <v>40</v>
      </c>
      <c r="I4517" t="s">
        <v>26</v>
      </c>
      <c r="J4517" t="s">
        <v>7828</v>
      </c>
      <c r="K4517" t="s">
        <v>303</v>
      </c>
      <c r="L4517">
        <v>85224</v>
      </c>
      <c r="M4517" t="s">
        <v>43</v>
      </c>
      <c r="N4517" t="s">
        <v>4365</v>
      </c>
      <c r="O4517" t="s">
        <v>31</v>
      </c>
      <c r="P4517" t="s">
        <v>55</v>
      </c>
      <c r="Q4517" t="s">
        <v>4366</v>
      </c>
      <c r="R4517">
        <v>73.915000000000006</v>
      </c>
      <c r="S4517">
        <v>1</v>
      </c>
      <c r="T4517">
        <v>0.5</v>
      </c>
      <c r="U4517">
        <v>-45.827300000000001</v>
      </c>
      <c r="V4517" t="str">
        <f t="shared" si="70"/>
        <v>Neil Ducich</v>
      </c>
      <c r="W4517">
        <f>Table2[Profit]/Table2[Sales]</f>
        <v>-0.62</v>
      </c>
    </row>
    <row r="4518" spans="1:23" x14ac:dyDescent="0.25">
      <c r="A4518">
        <v>4517</v>
      </c>
      <c r="B4518" t="s">
        <v>10149</v>
      </c>
      <c r="C4518" s="1">
        <v>41910</v>
      </c>
      <c r="D4518" s="1">
        <v>41915</v>
      </c>
      <c r="E4518" t="s">
        <v>49</v>
      </c>
      <c r="F4518" t="s">
        <v>1631</v>
      </c>
      <c r="G4518" t="s">
        <v>1632</v>
      </c>
      <c r="H4518" t="s">
        <v>25</v>
      </c>
      <c r="I4518" t="s">
        <v>26</v>
      </c>
      <c r="J4518" t="s">
        <v>7070</v>
      </c>
      <c r="K4518" t="s">
        <v>53</v>
      </c>
      <c r="L4518">
        <v>33021</v>
      </c>
      <c r="M4518" t="s">
        <v>29</v>
      </c>
      <c r="N4518" t="s">
        <v>8955</v>
      </c>
      <c r="O4518" t="s">
        <v>31</v>
      </c>
      <c r="P4518" t="s">
        <v>64</v>
      </c>
      <c r="Q4518" t="s">
        <v>8956</v>
      </c>
      <c r="R4518">
        <v>337.08800000000002</v>
      </c>
      <c r="S4518">
        <v>4</v>
      </c>
      <c r="T4518">
        <v>0.2</v>
      </c>
      <c r="U4518">
        <v>16.854399999999998</v>
      </c>
      <c r="V4518" t="str">
        <f t="shared" si="70"/>
        <v>Xylona Preis</v>
      </c>
      <c r="W4518">
        <f>Table2[Profit]/Table2[Sales]</f>
        <v>4.9999999999999989E-2</v>
      </c>
    </row>
    <row r="4519" spans="1:23" x14ac:dyDescent="0.25">
      <c r="A4519">
        <v>4518</v>
      </c>
      <c r="B4519" t="s">
        <v>10150</v>
      </c>
      <c r="C4519" s="1">
        <v>42269</v>
      </c>
      <c r="D4519" s="1">
        <v>42273</v>
      </c>
      <c r="E4519" t="s">
        <v>22</v>
      </c>
      <c r="F4519" t="s">
        <v>1307</v>
      </c>
      <c r="G4519" t="s">
        <v>1308</v>
      </c>
      <c r="H4519" t="s">
        <v>40</v>
      </c>
      <c r="I4519" t="s">
        <v>26</v>
      </c>
      <c r="J4519" t="s">
        <v>41</v>
      </c>
      <c r="K4519" t="s">
        <v>42</v>
      </c>
      <c r="L4519">
        <v>90049</v>
      </c>
      <c r="M4519" t="s">
        <v>43</v>
      </c>
      <c r="N4519" t="s">
        <v>2163</v>
      </c>
      <c r="O4519" t="s">
        <v>45</v>
      </c>
      <c r="P4519" t="s">
        <v>77</v>
      </c>
      <c r="Q4519" t="s">
        <v>2164</v>
      </c>
      <c r="R4519">
        <v>61.44</v>
      </c>
      <c r="S4519">
        <v>3</v>
      </c>
      <c r="T4519">
        <v>0</v>
      </c>
      <c r="U4519">
        <v>16.588799999999999</v>
      </c>
      <c r="V4519" t="str">
        <f t="shared" si="70"/>
        <v>Muhammed MacIntyre</v>
      </c>
      <c r="W4519">
        <f>Table2[Profit]/Table2[Sales]</f>
        <v>0.27</v>
      </c>
    </row>
    <row r="4520" spans="1:23" x14ac:dyDescent="0.25">
      <c r="A4520">
        <v>4519</v>
      </c>
      <c r="B4520" t="s">
        <v>10151</v>
      </c>
      <c r="C4520" s="1">
        <v>42681</v>
      </c>
      <c r="D4520" s="1">
        <v>42687</v>
      </c>
      <c r="E4520" t="s">
        <v>49</v>
      </c>
      <c r="F4520" t="s">
        <v>4150</v>
      </c>
      <c r="G4520" t="s">
        <v>4151</v>
      </c>
      <c r="H4520" t="s">
        <v>40</v>
      </c>
      <c r="I4520" t="s">
        <v>26</v>
      </c>
      <c r="J4520" t="s">
        <v>126</v>
      </c>
      <c r="K4520" t="s">
        <v>42</v>
      </c>
      <c r="L4520">
        <v>94122</v>
      </c>
      <c r="M4520" t="s">
        <v>43</v>
      </c>
      <c r="N4520" t="s">
        <v>1300</v>
      </c>
      <c r="O4520" t="s">
        <v>70</v>
      </c>
      <c r="P4520" t="s">
        <v>158</v>
      </c>
      <c r="Q4520" t="s">
        <v>1301</v>
      </c>
      <c r="R4520">
        <v>479.97</v>
      </c>
      <c r="S4520">
        <v>3</v>
      </c>
      <c r="T4520">
        <v>0</v>
      </c>
      <c r="U4520">
        <v>163.18979999999999</v>
      </c>
      <c r="V4520" t="str">
        <f t="shared" si="70"/>
        <v>Marina Lichtenstein</v>
      </c>
      <c r="W4520">
        <f>Table2[Profit]/Table2[Sales]</f>
        <v>0.33999999999999997</v>
      </c>
    </row>
    <row r="4521" spans="1:23" x14ac:dyDescent="0.25">
      <c r="A4521">
        <v>4520</v>
      </c>
      <c r="B4521" t="s">
        <v>10152</v>
      </c>
      <c r="C4521" s="1">
        <v>43085</v>
      </c>
      <c r="D4521" s="1">
        <v>43089</v>
      </c>
      <c r="E4521" t="s">
        <v>22</v>
      </c>
      <c r="F4521" t="s">
        <v>2977</v>
      </c>
      <c r="G4521" t="s">
        <v>2978</v>
      </c>
      <c r="H4521" t="s">
        <v>40</v>
      </c>
      <c r="I4521" t="s">
        <v>26</v>
      </c>
      <c r="J4521" t="s">
        <v>4927</v>
      </c>
      <c r="K4521" t="s">
        <v>42</v>
      </c>
      <c r="L4521">
        <v>94086</v>
      </c>
      <c r="M4521" t="s">
        <v>43</v>
      </c>
      <c r="N4521" t="s">
        <v>5624</v>
      </c>
      <c r="O4521" t="s">
        <v>45</v>
      </c>
      <c r="P4521" t="s">
        <v>74</v>
      </c>
      <c r="Q4521" t="s">
        <v>5625</v>
      </c>
      <c r="R4521">
        <v>5.984</v>
      </c>
      <c r="S4521">
        <v>2</v>
      </c>
      <c r="T4521">
        <v>0.2</v>
      </c>
      <c r="U4521">
        <v>2.2440000000000002</v>
      </c>
      <c r="V4521" t="str">
        <f t="shared" si="70"/>
        <v>Kalyca Meade</v>
      </c>
      <c r="W4521">
        <f>Table2[Profit]/Table2[Sales]</f>
        <v>0.37500000000000006</v>
      </c>
    </row>
    <row r="4522" spans="1:23" x14ac:dyDescent="0.25">
      <c r="A4522">
        <v>4521</v>
      </c>
      <c r="B4522" t="s">
        <v>10153</v>
      </c>
      <c r="C4522" s="1">
        <v>41903</v>
      </c>
      <c r="D4522" s="1">
        <v>41907</v>
      </c>
      <c r="E4522" t="s">
        <v>49</v>
      </c>
      <c r="F4522" t="s">
        <v>2923</v>
      </c>
      <c r="G4522" t="s">
        <v>2924</v>
      </c>
      <c r="H4522" t="s">
        <v>101</v>
      </c>
      <c r="I4522" t="s">
        <v>26</v>
      </c>
      <c r="J4522" t="s">
        <v>263</v>
      </c>
      <c r="K4522" t="s">
        <v>264</v>
      </c>
      <c r="L4522">
        <v>10011</v>
      </c>
      <c r="M4522" t="s">
        <v>145</v>
      </c>
      <c r="N4522" t="s">
        <v>2556</v>
      </c>
      <c r="O4522" t="s">
        <v>45</v>
      </c>
      <c r="P4522" t="s">
        <v>67</v>
      </c>
      <c r="Q4522" t="s">
        <v>2557</v>
      </c>
      <c r="R4522">
        <v>66.03</v>
      </c>
      <c r="S4522">
        <v>3</v>
      </c>
      <c r="T4522">
        <v>0</v>
      </c>
      <c r="U4522">
        <v>17.1678</v>
      </c>
      <c r="V4522" t="str">
        <f t="shared" si="70"/>
        <v>Sara Luxemburg</v>
      </c>
      <c r="W4522">
        <f>Table2[Profit]/Table2[Sales]</f>
        <v>0.26</v>
      </c>
    </row>
    <row r="4523" spans="1:23" x14ac:dyDescent="0.25">
      <c r="A4523">
        <v>4522</v>
      </c>
      <c r="B4523" t="s">
        <v>10154</v>
      </c>
      <c r="C4523" s="1">
        <v>42142</v>
      </c>
      <c r="D4523" s="1">
        <v>42146</v>
      </c>
      <c r="E4523" t="s">
        <v>49</v>
      </c>
      <c r="F4523" t="s">
        <v>2636</v>
      </c>
      <c r="G4523" t="s">
        <v>2637</v>
      </c>
      <c r="H4523" t="s">
        <v>40</v>
      </c>
      <c r="I4523" t="s">
        <v>26</v>
      </c>
      <c r="J4523" t="s">
        <v>41</v>
      </c>
      <c r="K4523" t="s">
        <v>42</v>
      </c>
      <c r="L4523">
        <v>90004</v>
      </c>
      <c r="M4523" t="s">
        <v>43</v>
      </c>
      <c r="N4523" t="s">
        <v>1420</v>
      </c>
      <c r="O4523" t="s">
        <v>45</v>
      </c>
      <c r="P4523" t="s">
        <v>89</v>
      </c>
      <c r="Q4523" t="s">
        <v>1421</v>
      </c>
      <c r="R4523">
        <v>10.86</v>
      </c>
      <c r="S4523">
        <v>2</v>
      </c>
      <c r="T4523">
        <v>0</v>
      </c>
      <c r="U4523">
        <v>5.3213999999999997</v>
      </c>
      <c r="V4523" t="str">
        <f t="shared" si="70"/>
        <v>Anthony Jacobs</v>
      </c>
      <c r="W4523">
        <f>Table2[Profit]/Table2[Sales]</f>
        <v>0.49</v>
      </c>
    </row>
    <row r="4524" spans="1:23" x14ac:dyDescent="0.25">
      <c r="A4524">
        <v>4523</v>
      </c>
      <c r="B4524" t="s">
        <v>10155</v>
      </c>
      <c r="C4524" s="1">
        <v>41724</v>
      </c>
      <c r="D4524" s="1">
        <v>41729</v>
      </c>
      <c r="E4524" t="s">
        <v>22</v>
      </c>
      <c r="F4524" t="s">
        <v>3778</v>
      </c>
      <c r="G4524" t="s">
        <v>3779</v>
      </c>
      <c r="H4524" t="s">
        <v>40</v>
      </c>
      <c r="I4524" t="s">
        <v>26</v>
      </c>
      <c r="J4524" t="s">
        <v>126</v>
      </c>
      <c r="K4524" t="s">
        <v>42</v>
      </c>
      <c r="L4524">
        <v>94122</v>
      </c>
      <c r="M4524" t="s">
        <v>43</v>
      </c>
      <c r="N4524" t="s">
        <v>4910</v>
      </c>
      <c r="O4524" t="s">
        <v>45</v>
      </c>
      <c r="P4524" t="s">
        <v>67</v>
      </c>
      <c r="Q4524" t="s">
        <v>4911</v>
      </c>
      <c r="R4524">
        <v>3.36</v>
      </c>
      <c r="S4524">
        <v>2</v>
      </c>
      <c r="T4524">
        <v>0</v>
      </c>
      <c r="U4524">
        <v>0.84</v>
      </c>
      <c r="V4524" t="str">
        <f t="shared" si="70"/>
        <v>Damala Kotsonis</v>
      </c>
      <c r="W4524">
        <f>Table2[Profit]/Table2[Sales]</f>
        <v>0.25</v>
      </c>
    </row>
    <row r="4525" spans="1:23" x14ac:dyDescent="0.25">
      <c r="A4525">
        <v>4524</v>
      </c>
      <c r="B4525" t="s">
        <v>10156</v>
      </c>
      <c r="C4525" s="1">
        <v>43000</v>
      </c>
      <c r="D4525" s="1">
        <v>43006</v>
      </c>
      <c r="E4525" t="s">
        <v>49</v>
      </c>
      <c r="F4525" t="s">
        <v>2611</v>
      </c>
      <c r="G4525" t="s">
        <v>2612</v>
      </c>
      <c r="H4525" t="s">
        <v>25</v>
      </c>
      <c r="I4525" t="s">
        <v>26</v>
      </c>
      <c r="J4525" t="s">
        <v>2511</v>
      </c>
      <c r="K4525" t="s">
        <v>42</v>
      </c>
      <c r="L4525">
        <v>92704</v>
      </c>
      <c r="M4525" t="s">
        <v>43</v>
      </c>
      <c r="N4525" t="s">
        <v>571</v>
      </c>
      <c r="O4525" t="s">
        <v>45</v>
      </c>
      <c r="P4525" t="s">
        <v>572</v>
      </c>
      <c r="Q4525" t="s">
        <v>573</v>
      </c>
      <c r="R4525">
        <v>21.96</v>
      </c>
      <c r="S4525">
        <v>2</v>
      </c>
      <c r="T4525">
        <v>0</v>
      </c>
      <c r="U4525">
        <v>6.1487999999999996</v>
      </c>
      <c r="V4525" t="str">
        <f t="shared" si="70"/>
        <v>Berenike Kampe</v>
      </c>
      <c r="W4525">
        <f>Table2[Profit]/Table2[Sales]</f>
        <v>0.27999999999999997</v>
      </c>
    </row>
    <row r="4526" spans="1:23" x14ac:dyDescent="0.25">
      <c r="A4526">
        <v>4525</v>
      </c>
      <c r="B4526" t="s">
        <v>10157</v>
      </c>
      <c r="C4526" s="1">
        <v>42259</v>
      </c>
      <c r="D4526" s="1">
        <v>42264</v>
      </c>
      <c r="E4526" t="s">
        <v>22</v>
      </c>
      <c r="F4526" t="s">
        <v>959</v>
      </c>
      <c r="G4526" t="s">
        <v>960</v>
      </c>
      <c r="H4526" t="s">
        <v>25</v>
      </c>
      <c r="I4526" t="s">
        <v>26</v>
      </c>
      <c r="J4526" t="s">
        <v>94</v>
      </c>
      <c r="K4526" t="s">
        <v>95</v>
      </c>
      <c r="L4526">
        <v>98103</v>
      </c>
      <c r="M4526" t="s">
        <v>43</v>
      </c>
      <c r="N4526" t="s">
        <v>3487</v>
      </c>
      <c r="O4526" t="s">
        <v>70</v>
      </c>
      <c r="P4526" t="s">
        <v>158</v>
      </c>
      <c r="Q4526" t="s">
        <v>3488</v>
      </c>
      <c r="R4526">
        <v>21.98</v>
      </c>
      <c r="S4526">
        <v>2</v>
      </c>
      <c r="T4526">
        <v>0</v>
      </c>
      <c r="U4526">
        <v>8.5722000000000005</v>
      </c>
      <c r="V4526" t="str">
        <f t="shared" si="70"/>
        <v>Craig Carreira</v>
      </c>
      <c r="W4526">
        <f>Table2[Profit]/Table2[Sales]</f>
        <v>0.39</v>
      </c>
    </row>
    <row r="4527" spans="1:23" x14ac:dyDescent="0.25">
      <c r="A4527">
        <v>4526</v>
      </c>
      <c r="B4527" t="s">
        <v>10158</v>
      </c>
      <c r="C4527" s="1">
        <v>42310</v>
      </c>
      <c r="D4527" s="1">
        <v>42312</v>
      </c>
      <c r="E4527" t="s">
        <v>185</v>
      </c>
      <c r="F4527" t="s">
        <v>4353</v>
      </c>
      <c r="G4527" t="s">
        <v>4354</v>
      </c>
      <c r="H4527" t="s">
        <v>101</v>
      </c>
      <c r="I4527" t="s">
        <v>26</v>
      </c>
      <c r="J4527" t="s">
        <v>263</v>
      </c>
      <c r="K4527" t="s">
        <v>264</v>
      </c>
      <c r="L4527">
        <v>10011</v>
      </c>
      <c r="M4527" t="s">
        <v>145</v>
      </c>
      <c r="N4527" t="s">
        <v>8899</v>
      </c>
      <c r="O4527" t="s">
        <v>31</v>
      </c>
      <c r="P4527" t="s">
        <v>35</v>
      </c>
      <c r="Q4527" t="s">
        <v>8900</v>
      </c>
      <c r="R4527">
        <v>2621.3220000000001</v>
      </c>
      <c r="S4527">
        <v>11</v>
      </c>
      <c r="T4527">
        <v>0.1</v>
      </c>
      <c r="U4527">
        <v>553.39020000000005</v>
      </c>
      <c r="V4527" t="str">
        <f t="shared" si="70"/>
        <v>Emily Ducich</v>
      </c>
      <c r="W4527">
        <f>Table2[Profit]/Table2[Sales]</f>
        <v>0.21111111111111111</v>
      </c>
    </row>
    <row r="4528" spans="1:23" x14ac:dyDescent="0.25">
      <c r="A4528">
        <v>4527</v>
      </c>
      <c r="B4528" t="s">
        <v>10159</v>
      </c>
      <c r="C4528" s="1">
        <v>42297</v>
      </c>
      <c r="D4528" s="1">
        <v>42301</v>
      </c>
      <c r="E4528" t="s">
        <v>49</v>
      </c>
      <c r="F4528" t="s">
        <v>5686</v>
      </c>
      <c r="G4528" t="s">
        <v>5687</v>
      </c>
      <c r="H4528" t="s">
        <v>25</v>
      </c>
      <c r="I4528" t="s">
        <v>26</v>
      </c>
      <c r="J4528" t="s">
        <v>41</v>
      </c>
      <c r="K4528" t="s">
        <v>42</v>
      </c>
      <c r="L4528">
        <v>90045</v>
      </c>
      <c r="M4528" t="s">
        <v>43</v>
      </c>
      <c r="N4528" t="s">
        <v>7441</v>
      </c>
      <c r="O4528" t="s">
        <v>31</v>
      </c>
      <c r="P4528" t="s">
        <v>64</v>
      </c>
      <c r="Q4528" t="s">
        <v>7442</v>
      </c>
      <c r="R4528">
        <v>74.760000000000005</v>
      </c>
      <c r="S4528">
        <v>7</v>
      </c>
      <c r="T4528">
        <v>0</v>
      </c>
      <c r="U4528">
        <v>23.923200000000001</v>
      </c>
      <c r="V4528" t="str">
        <f t="shared" si="70"/>
        <v>Stewart Visinsky</v>
      </c>
      <c r="W4528">
        <f>Table2[Profit]/Table2[Sales]</f>
        <v>0.32</v>
      </c>
    </row>
    <row r="4529" spans="1:23" x14ac:dyDescent="0.25">
      <c r="A4529">
        <v>4528</v>
      </c>
      <c r="B4529" t="s">
        <v>10160</v>
      </c>
      <c r="C4529" s="1">
        <v>42535</v>
      </c>
      <c r="D4529" s="1">
        <v>42539</v>
      </c>
      <c r="E4529" t="s">
        <v>49</v>
      </c>
      <c r="F4529" t="s">
        <v>2110</v>
      </c>
      <c r="G4529" t="s">
        <v>2111</v>
      </c>
      <c r="H4529" t="s">
        <v>40</v>
      </c>
      <c r="I4529" t="s">
        <v>26</v>
      </c>
      <c r="J4529" t="s">
        <v>94</v>
      </c>
      <c r="K4529" t="s">
        <v>95</v>
      </c>
      <c r="L4529">
        <v>98103</v>
      </c>
      <c r="M4529" t="s">
        <v>43</v>
      </c>
      <c r="N4529" t="s">
        <v>3420</v>
      </c>
      <c r="O4529" t="s">
        <v>31</v>
      </c>
      <c r="P4529" t="s">
        <v>55</v>
      </c>
      <c r="Q4529" t="s">
        <v>3421</v>
      </c>
      <c r="R4529">
        <v>1115.17</v>
      </c>
      <c r="S4529">
        <v>7</v>
      </c>
      <c r="T4529">
        <v>0</v>
      </c>
      <c r="U4529">
        <v>334.55099999999999</v>
      </c>
      <c r="V4529" t="str">
        <f t="shared" si="70"/>
        <v>Anthony Rawles</v>
      </c>
      <c r="W4529">
        <f>Table2[Profit]/Table2[Sales]</f>
        <v>0.3</v>
      </c>
    </row>
    <row r="4530" spans="1:23" x14ac:dyDescent="0.25">
      <c r="A4530">
        <v>4529</v>
      </c>
      <c r="B4530" t="s">
        <v>10161</v>
      </c>
      <c r="C4530" s="1">
        <v>42328</v>
      </c>
      <c r="D4530" s="1">
        <v>42329</v>
      </c>
      <c r="E4530" t="s">
        <v>185</v>
      </c>
      <c r="F4530" t="s">
        <v>2388</v>
      </c>
      <c r="G4530" t="s">
        <v>2389</v>
      </c>
      <c r="H4530" t="s">
        <v>40</v>
      </c>
      <c r="I4530" t="s">
        <v>26</v>
      </c>
      <c r="J4530" t="s">
        <v>941</v>
      </c>
      <c r="K4530" t="s">
        <v>42</v>
      </c>
      <c r="L4530">
        <v>92024</v>
      </c>
      <c r="M4530" t="s">
        <v>43</v>
      </c>
      <c r="N4530" t="s">
        <v>3473</v>
      </c>
      <c r="O4530" t="s">
        <v>45</v>
      </c>
      <c r="P4530" t="s">
        <v>74</v>
      </c>
      <c r="Q4530" t="s">
        <v>3474</v>
      </c>
      <c r="R4530">
        <v>89.695999999999998</v>
      </c>
      <c r="S4530">
        <v>4</v>
      </c>
      <c r="T4530">
        <v>0.2</v>
      </c>
      <c r="U4530">
        <v>33.636000000000003</v>
      </c>
      <c r="V4530" t="str">
        <f t="shared" si="70"/>
        <v>Chris Selesnick</v>
      </c>
      <c r="W4530">
        <f>Table2[Profit]/Table2[Sales]</f>
        <v>0.37500000000000006</v>
      </c>
    </row>
    <row r="4531" spans="1:23" x14ac:dyDescent="0.25">
      <c r="A4531">
        <v>4530</v>
      </c>
      <c r="B4531" t="s">
        <v>10162</v>
      </c>
      <c r="C4531" s="1">
        <v>42428</v>
      </c>
      <c r="D4531" s="1">
        <v>42435</v>
      </c>
      <c r="E4531" t="s">
        <v>49</v>
      </c>
      <c r="F4531" t="s">
        <v>5675</v>
      </c>
      <c r="G4531" t="s">
        <v>5676</v>
      </c>
      <c r="H4531" t="s">
        <v>40</v>
      </c>
      <c r="I4531" t="s">
        <v>26</v>
      </c>
      <c r="J4531" t="s">
        <v>263</v>
      </c>
      <c r="K4531" t="s">
        <v>264</v>
      </c>
      <c r="L4531">
        <v>10035</v>
      </c>
      <c r="M4531" t="s">
        <v>145</v>
      </c>
      <c r="N4531" t="s">
        <v>3190</v>
      </c>
      <c r="O4531" t="s">
        <v>45</v>
      </c>
      <c r="P4531" t="s">
        <v>266</v>
      </c>
      <c r="Q4531" t="s">
        <v>556</v>
      </c>
      <c r="R4531">
        <v>36.479999999999997</v>
      </c>
      <c r="S4531">
        <v>6</v>
      </c>
      <c r="T4531">
        <v>0</v>
      </c>
      <c r="U4531">
        <v>18.239999999999998</v>
      </c>
      <c r="V4531" t="str">
        <f t="shared" si="70"/>
        <v>Rick Reed</v>
      </c>
      <c r="W4531">
        <f>Table2[Profit]/Table2[Sales]</f>
        <v>0.5</v>
      </c>
    </row>
    <row r="4532" spans="1:23" x14ac:dyDescent="0.25">
      <c r="A4532">
        <v>4531</v>
      </c>
      <c r="B4532" t="s">
        <v>10163</v>
      </c>
      <c r="C4532" s="1">
        <v>41926</v>
      </c>
      <c r="D4532" s="1">
        <v>41932</v>
      </c>
      <c r="E4532" t="s">
        <v>49</v>
      </c>
      <c r="F4532" t="s">
        <v>1818</v>
      </c>
      <c r="G4532" t="s">
        <v>1819</v>
      </c>
      <c r="H4532" t="s">
        <v>25</v>
      </c>
      <c r="I4532" t="s">
        <v>26</v>
      </c>
      <c r="J4532" t="s">
        <v>296</v>
      </c>
      <c r="K4532" t="s">
        <v>208</v>
      </c>
      <c r="L4532">
        <v>60653</v>
      </c>
      <c r="M4532" t="s">
        <v>104</v>
      </c>
      <c r="N4532" t="s">
        <v>5301</v>
      </c>
      <c r="O4532" t="s">
        <v>45</v>
      </c>
      <c r="P4532" t="s">
        <v>89</v>
      </c>
      <c r="Q4532" t="s">
        <v>5302</v>
      </c>
      <c r="R4532">
        <v>322.19200000000001</v>
      </c>
      <c r="S4532">
        <v>13</v>
      </c>
      <c r="T4532">
        <v>0.2</v>
      </c>
      <c r="U4532">
        <v>100.685</v>
      </c>
      <c r="V4532" t="str">
        <f t="shared" si="70"/>
        <v>Bradley Drucker</v>
      </c>
      <c r="W4532">
        <f>Table2[Profit]/Table2[Sales]</f>
        <v>0.3125</v>
      </c>
    </row>
    <row r="4533" spans="1:23" x14ac:dyDescent="0.25">
      <c r="A4533">
        <v>4532</v>
      </c>
      <c r="B4533" t="s">
        <v>10164</v>
      </c>
      <c r="C4533" s="1">
        <v>42881</v>
      </c>
      <c r="D4533" s="1">
        <v>42885</v>
      </c>
      <c r="E4533" t="s">
        <v>49</v>
      </c>
      <c r="F4533" t="s">
        <v>2429</v>
      </c>
      <c r="G4533" t="s">
        <v>2430</v>
      </c>
      <c r="H4533" t="s">
        <v>25</v>
      </c>
      <c r="I4533" t="s">
        <v>26</v>
      </c>
      <c r="J4533" t="s">
        <v>3259</v>
      </c>
      <c r="K4533" t="s">
        <v>312</v>
      </c>
      <c r="L4533">
        <v>22801</v>
      </c>
      <c r="M4533" t="s">
        <v>29</v>
      </c>
      <c r="N4533" t="s">
        <v>6716</v>
      </c>
      <c r="O4533" t="s">
        <v>70</v>
      </c>
      <c r="P4533" t="s">
        <v>158</v>
      </c>
      <c r="Q4533" t="s">
        <v>6717</v>
      </c>
      <c r="R4533">
        <v>23.08</v>
      </c>
      <c r="S4533">
        <v>2</v>
      </c>
      <c r="T4533">
        <v>0</v>
      </c>
      <c r="U4533">
        <v>6.9240000000000004</v>
      </c>
      <c r="V4533" t="str">
        <f t="shared" si="70"/>
        <v>Bryan Mills</v>
      </c>
      <c r="W4533">
        <f>Table2[Profit]/Table2[Sales]</f>
        <v>0.30000000000000004</v>
      </c>
    </row>
    <row r="4534" spans="1:23" x14ac:dyDescent="0.25">
      <c r="A4534">
        <v>4533</v>
      </c>
      <c r="B4534" t="s">
        <v>10165</v>
      </c>
      <c r="C4534" s="1">
        <v>42404</v>
      </c>
      <c r="D4534" s="1">
        <v>42410</v>
      </c>
      <c r="E4534" t="s">
        <v>49</v>
      </c>
      <c r="F4534" t="s">
        <v>2721</v>
      </c>
      <c r="G4534" t="s">
        <v>2722</v>
      </c>
      <c r="H4534" t="s">
        <v>25</v>
      </c>
      <c r="I4534" t="s">
        <v>26</v>
      </c>
      <c r="J4534" t="s">
        <v>3311</v>
      </c>
      <c r="K4534" t="s">
        <v>2699</v>
      </c>
      <c r="L4534">
        <v>20852</v>
      </c>
      <c r="M4534" t="s">
        <v>145</v>
      </c>
      <c r="N4534" t="s">
        <v>5707</v>
      </c>
      <c r="O4534" t="s">
        <v>70</v>
      </c>
      <c r="P4534" t="s">
        <v>71</v>
      </c>
      <c r="Q4534" t="s">
        <v>5708</v>
      </c>
      <c r="R4534">
        <v>90.48</v>
      </c>
      <c r="S4534">
        <v>2</v>
      </c>
      <c r="T4534">
        <v>0</v>
      </c>
      <c r="U4534">
        <v>23.524799999999999</v>
      </c>
      <c r="V4534" t="str">
        <f t="shared" si="70"/>
        <v>Maribeth Schnelling</v>
      </c>
      <c r="W4534">
        <f>Table2[Profit]/Table2[Sales]</f>
        <v>0.25999999999999995</v>
      </c>
    </row>
    <row r="4535" spans="1:23" x14ac:dyDescent="0.25">
      <c r="A4535">
        <v>4534</v>
      </c>
      <c r="B4535" t="s">
        <v>10166</v>
      </c>
      <c r="C4535" s="1">
        <v>42615</v>
      </c>
      <c r="D4535" s="1">
        <v>42618</v>
      </c>
      <c r="E4535" t="s">
        <v>22</v>
      </c>
      <c r="F4535" t="s">
        <v>669</v>
      </c>
      <c r="G4535" t="s">
        <v>670</v>
      </c>
      <c r="H4535" t="s">
        <v>25</v>
      </c>
      <c r="I4535" t="s">
        <v>26</v>
      </c>
      <c r="J4535" t="s">
        <v>1366</v>
      </c>
      <c r="K4535" t="s">
        <v>95</v>
      </c>
      <c r="L4535">
        <v>98198</v>
      </c>
      <c r="M4535" t="s">
        <v>43</v>
      </c>
      <c r="N4535" t="s">
        <v>258</v>
      </c>
      <c r="O4535" t="s">
        <v>31</v>
      </c>
      <c r="P4535" t="s">
        <v>35</v>
      </c>
      <c r="Q4535" t="s">
        <v>259</v>
      </c>
      <c r="R4535">
        <v>215.976</v>
      </c>
      <c r="S4535">
        <v>3</v>
      </c>
      <c r="T4535">
        <v>0.2</v>
      </c>
      <c r="U4535">
        <v>-2.6997</v>
      </c>
      <c r="V4535" t="str">
        <f t="shared" si="70"/>
        <v>Becky Martin</v>
      </c>
      <c r="W4535">
        <f>Table2[Profit]/Table2[Sales]</f>
        <v>-1.2500000000000001E-2</v>
      </c>
    </row>
    <row r="4536" spans="1:23" x14ac:dyDescent="0.25">
      <c r="A4536">
        <v>4535</v>
      </c>
      <c r="B4536" t="s">
        <v>10167</v>
      </c>
      <c r="C4536" s="1">
        <v>43073</v>
      </c>
      <c r="D4536" s="1">
        <v>43074</v>
      </c>
      <c r="E4536" t="s">
        <v>185</v>
      </c>
      <c r="F4536" t="s">
        <v>6824</v>
      </c>
      <c r="G4536" t="s">
        <v>6825</v>
      </c>
      <c r="H4536" t="s">
        <v>40</v>
      </c>
      <c r="I4536" t="s">
        <v>26</v>
      </c>
      <c r="J4536" t="s">
        <v>143</v>
      </c>
      <c r="K4536" t="s">
        <v>144</v>
      </c>
      <c r="L4536">
        <v>19134</v>
      </c>
      <c r="M4536" t="s">
        <v>145</v>
      </c>
      <c r="N4536" t="s">
        <v>1126</v>
      </c>
      <c r="O4536" t="s">
        <v>31</v>
      </c>
      <c r="P4536" t="s">
        <v>64</v>
      </c>
      <c r="Q4536" t="s">
        <v>1127</v>
      </c>
      <c r="R4536">
        <v>11.352</v>
      </c>
      <c r="S4536">
        <v>3</v>
      </c>
      <c r="T4536">
        <v>0.2</v>
      </c>
      <c r="U4536">
        <v>2.6960999999999999</v>
      </c>
      <c r="V4536" t="str">
        <f t="shared" si="70"/>
        <v>Katrina Edelman</v>
      </c>
      <c r="W4536">
        <f>Table2[Profit]/Table2[Sales]</f>
        <v>0.23749999999999999</v>
      </c>
    </row>
    <row r="4537" spans="1:23" x14ac:dyDescent="0.25">
      <c r="A4537">
        <v>4536</v>
      </c>
      <c r="B4537" t="s">
        <v>10168</v>
      </c>
      <c r="C4537" s="1">
        <v>42167</v>
      </c>
      <c r="D4537" s="1">
        <v>42171</v>
      </c>
      <c r="E4537" t="s">
        <v>49</v>
      </c>
      <c r="F4537" t="s">
        <v>3687</v>
      </c>
      <c r="G4537" t="s">
        <v>3688</v>
      </c>
      <c r="H4537" t="s">
        <v>101</v>
      </c>
      <c r="I4537" t="s">
        <v>26</v>
      </c>
      <c r="J4537" t="s">
        <v>490</v>
      </c>
      <c r="K4537" t="s">
        <v>251</v>
      </c>
      <c r="L4537">
        <v>47201</v>
      </c>
      <c r="M4537" t="s">
        <v>104</v>
      </c>
      <c r="N4537" t="s">
        <v>2208</v>
      </c>
      <c r="O4537" t="s">
        <v>45</v>
      </c>
      <c r="P4537" t="s">
        <v>58</v>
      </c>
      <c r="Q4537" t="s">
        <v>2209</v>
      </c>
      <c r="R4537">
        <v>24.56</v>
      </c>
      <c r="S4537">
        <v>2</v>
      </c>
      <c r="T4537">
        <v>0</v>
      </c>
      <c r="U4537">
        <v>6.8768000000000002</v>
      </c>
      <c r="V4537" t="str">
        <f t="shared" si="70"/>
        <v>Sam Zeldin</v>
      </c>
      <c r="W4537">
        <f>Table2[Profit]/Table2[Sales]</f>
        <v>0.28000000000000003</v>
      </c>
    </row>
    <row r="4538" spans="1:23" x14ac:dyDescent="0.25">
      <c r="A4538">
        <v>4537</v>
      </c>
      <c r="B4538" t="s">
        <v>10169</v>
      </c>
      <c r="C4538" s="1">
        <v>42617</v>
      </c>
      <c r="D4538" s="1">
        <v>42621</v>
      </c>
      <c r="E4538" t="s">
        <v>49</v>
      </c>
      <c r="F4538" t="s">
        <v>3852</v>
      </c>
      <c r="G4538" t="s">
        <v>3853</v>
      </c>
      <c r="H4538" t="s">
        <v>25</v>
      </c>
      <c r="I4538" t="s">
        <v>26</v>
      </c>
      <c r="J4538" t="s">
        <v>311</v>
      </c>
      <c r="K4538" t="s">
        <v>590</v>
      </c>
      <c r="L4538">
        <v>65807</v>
      </c>
      <c r="M4538" t="s">
        <v>104</v>
      </c>
      <c r="N4538" t="s">
        <v>5972</v>
      </c>
      <c r="O4538" t="s">
        <v>45</v>
      </c>
      <c r="P4538" t="s">
        <v>170</v>
      </c>
      <c r="Q4538" t="s">
        <v>662</v>
      </c>
      <c r="R4538">
        <v>16.559999999999999</v>
      </c>
      <c r="S4538">
        <v>2</v>
      </c>
      <c r="T4538">
        <v>0</v>
      </c>
      <c r="U4538">
        <v>7.7831999999999999</v>
      </c>
      <c r="V4538" t="str">
        <f t="shared" si="70"/>
        <v>Mick Brown</v>
      </c>
      <c r="W4538">
        <f>Table2[Profit]/Table2[Sales]</f>
        <v>0.47000000000000003</v>
      </c>
    </row>
    <row r="4539" spans="1:23" x14ac:dyDescent="0.25">
      <c r="A4539">
        <v>4538</v>
      </c>
      <c r="B4539" t="s">
        <v>10170</v>
      </c>
      <c r="C4539" s="1">
        <v>41750</v>
      </c>
      <c r="D4539" s="1">
        <v>41755</v>
      </c>
      <c r="E4539" t="s">
        <v>49</v>
      </c>
      <c r="F4539" t="s">
        <v>5063</v>
      </c>
      <c r="G4539" t="s">
        <v>5064</v>
      </c>
      <c r="H4539" t="s">
        <v>40</v>
      </c>
      <c r="I4539" t="s">
        <v>26</v>
      </c>
      <c r="J4539" t="s">
        <v>27</v>
      </c>
      <c r="K4539" t="s">
        <v>28</v>
      </c>
      <c r="L4539">
        <v>42420</v>
      </c>
      <c r="M4539" t="s">
        <v>29</v>
      </c>
      <c r="N4539" t="s">
        <v>3617</v>
      </c>
      <c r="O4539" t="s">
        <v>45</v>
      </c>
      <c r="P4539" t="s">
        <v>58</v>
      </c>
      <c r="Q4539" t="s">
        <v>3618</v>
      </c>
      <c r="R4539">
        <v>828.84</v>
      </c>
      <c r="S4539">
        <v>6</v>
      </c>
      <c r="T4539">
        <v>0</v>
      </c>
      <c r="U4539">
        <v>0</v>
      </c>
      <c r="V4539" t="str">
        <f t="shared" si="70"/>
        <v>Dorothy Badders</v>
      </c>
      <c r="W4539">
        <f>Table2[Profit]/Table2[Sales]</f>
        <v>0</v>
      </c>
    </row>
    <row r="4540" spans="1:23" x14ac:dyDescent="0.25">
      <c r="A4540">
        <v>4539</v>
      </c>
      <c r="B4540" t="s">
        <v>10171</v>
      </c>
      <c r="C4540" s="1">
        <v>42313</v>
      </c>
      <c r="D4540" s="1">
        <v>42316</v>
      </c>
      <c r="E4540" t="s">
        <v>185</v>
      </c>
      <c r="F4540" t="s">
        <v>4750</v>
      </c>
      <c r="G4540" t="s">
        <v>4751</v>
      </c>
      <c r="H4540" t="s">
        <v>25</v>
      </c>
      <c r="I4540" t="s">
        <v>26</v>
      </c>
      <c r="J4540" t="s">
        <v>1111</v>
      </c>
      <c r="K4540" t="s">
        <v>491</v>
      </c>
      <c r="L4540">
        <v>44107</v>
      </c>
      <c r="M4540" t="s">
        <v>145</v>
      </c>
      <c r="N4540" t="s">
        <v>1508</v>
      </c>
      <c r="O4540" t="s">
        <v>45</v>
      </c>
      <c r="P4540" t="s">
        <v>74</v>
      </c>
      <c r="Q4540" t="s">
        <v>1509</v>
      </c>
      <c r="R4540">
        <v>7.218</v>
      </c>
      <c r="S4540">
        <v>3</v>
      </c>
      <c r="T4540">
        <v>0.7</v>
      </c>
      <c r="U4540">
        <v>-5.5338000000000003</v>
      </c>
      <c r="V4540" t="str">
        <f t="shared" si="70"/>
        <v>Christy Brittain</v>
      </c>
      <c r="W4540">
        <f>Table2[Profit]/Table2[Sales]</f>
        <v>-0.76666666666666672</v>
      </c>
    </row>
    <row r="4541" spans="1:23" x14ac:dyDescent="0.25">
      <c r="A4541">
        <v>4540</v>
      </c>
      <c r="B4541" t="s">
        <v>10172</v>
      </c>
      <c r="C4541" s="1">
        <v>41946</v>
      </c>
      <c r="D4541" s="1">
        <v>41950</v>
      </c>
      <c r="E4541" t="s">
        <v>49</v>
      </c>
      <c r="F4541" t="s">
        <v>620</v>
      </c>
      <c r="G4541" t="s">
        <v>621</v>
      </c>
      <c r="H4541" t="s">
        <v>40</v>
      </c>
      <c r="I4541" t="s">
        <v>26</v>
      </c>
      <c r="J4541" t="s">
        <v>2499</v>
      </c>
      <c r="K4541" t="s">
        <v>135</v>
      </c>
      <c r="L4541">
        <v>68104</v>
      </c>
      <c r="M4541" t="s">
        <v>104</v>
      </c>
      <c r="N4541" t="s">
        <v>4081</v>
      </c>
      <c r="O4541" t="s">
        <v>70</v>
      </c>
      <c r="P4541" t="s">
        <v>158</v>
      </c>
      <c r="Q4541" t="s">
        <v>4082</v>
      </c>
      <c r="R4541">
        <v>89.97</v>
      </c>
      <c r="S4541">
        <v>3</v>
      </c>
      <c r="T4541">
        <v>0</v>
      </c>
      <c r="U4541">
        <v>18.893699999999999</v>
      </c>
      <c r="V4541" t="str">
        <f t="shared" si="70"/>
        <v>Stephanie Phelps</v>
      </c>
      <c r="W4541">
        <f>Table2[Profit]/Table2[Sales]</f>
        <v>0.21</v>
      </c>
    </row>
    <row r="4542" spans="1:23" x14ac:dyDescent="0.25">
      <c r="A4542">
        <v>4541</v>
      </c>
      <c r="B4542" t="s">
        <v>10173</v>
      </c>
      <c r="C4542" s="1">
        <v>42416</v>
      </c>
      <c r="D4542" s="1">
        <v>42423</v>
      </c>
      <c r="E4542" t="s">
        <v>49</v>
      </c>
      <c r="F4542" t="s">
        <v>4531</v>
      </c>
      <c r="G4542" t="s">
        <v>4532</v>
      </c>
      <c r="H4542" t="s">
        <v>25</v>
      </c>
      <c r="I4542" t="s">
        <v>26</v>
      </c>
      <c r="J4542" t="s">
        <v>27</v>
      </c>
      <c r="K4542" t="s">
        <v>28</v>
      </c>
      <c r="L4542">
        <v>42420</v>
      </c>
      <c r="M4542" t="s">
        <v>29</v>
      </c>
      <c r="N4542" t="s">
        <v>546</v>
      </c>
      <c r="O4542" t="s">
        <v>31</v>
      </c>
      <c r="P4542" t="s">
        <v>64</v>
      </c>
      <c r="Q4542" t="s">
        <v>547</v>
      </c>
      <c r="R4542">
        <v>318.08</v>
      </c>
      <c r="S4542">
        <v>4</v>
      </c>
      <c r="T4542">
        <v>0</v>
      </c>
      <c r="U4542">
        <v>34.988799999999998</v>
      </c>
      <c r="V4542" t="str">
        <f t="shared" si="70"/>
        <v>Giulietta Weimer</v>
      </c>
      <c r="W4542">
        <f>Table2[Profit]/Table2[Sales]</f>
        <v>0.11</v>
      </c>
    </row>
    <row r="4543" spans="1:23" x14ac:dyDescent="0.25">
      <c r="A4543">
        <v>4542</v>
      </c>
      <c r="B4543" t="s">
        <v>10174</v>
      </c>
      <c r="C4543" s="1">
        <v>42989</v>
      </c>
      <c r="D4543" s="1">
        <v>42991</v>
      </c>
      <c r="E4543" t="s">
        <v>22</v>
      </c>
      <c r="F4543" t="s">
        <v>1489</v>
      </c>
      <c r="G4543" t="s">
        <v>1490</v>
      </c>
      <c r="H4543" t="s">
        <v>40</v>
      </c>
      <c r="I4543" t="s">
        <v>26</v>
      </c>
      <c r="J4543" t="s">
        <v>2511</v>
      </c>
      <c r="K4543" t="s">
        <v>42</v>
      </c>
      <c r="L4543">
        <v>92704</v>
      </c>
      <c r="M4543" t="s">
        <v>43</v>
      </c>
      <c r="N4543" t="s">
        <v>3813</v>
      </c>
      <c r="O4543" t="s">
        <v>70</v>
      </c>
      <c r="P4543" t="s">
        <v>71</v>
      </c>
      <c r="Q4543" t="s">
        <v>3814</v>
      </c>
      <c r="R4543">
        <v>143.952</v>
      </c>
      <c r="S4543">
        <v>6</v>
      </c>
      <c r="T4543">
        <v>0.2</v>
      </c>
      <c r="U4543">
        <v>17.994</v>
      </c>
      <c r="V4543" t="str">
        <f t="shared" si="70"/>
        <v>Ken Heidel</v>
      </c>
      <c r="W4543">
        <f>Table2[Profit]/Table2[Sales]</f>
        <v>0.125</v>
      </c>
    </row>
    <row r="4544" spans="1:23" x14ac:dyDescent="0.25">
      <c r="A4544">
        <v>4543</v>
      </c>
      <c r="B4544" t="s">
        <v>10175</v>
      </c>
      <c r="C4544" s="1">
        <v>43041</v>
      </c>
      <c r="D4544" s="1">
        <v>43045</v>
      </c>
      <c r="E4544" t="s">
        <v>49</v>
      </c>
      <c r="F4544" t="s">
        <v>8161</v>
      </c>
      <c r="G4544" t="s">
        <v>8162</v>
      </c>
      <c r="H4544" t="s">
        <v>25</v>
      </c>
      <c r="I4544" t="s">
        <v>26</v>
      </c>
      <c r="J4544" t="s">
        <v>311</v>
      </c>
      <c r="K4544" t="s">
        <v>312</v>
      </c>
      <c r="L4544">
        <v>22153</v>
      </c>
      <c r="M4544" t="s">
        <v>29</v>
      </c>
      <c r="N4544" t="s">
        <v>136</v>
      </c>
      <c r="O4544" t="s">
        <v>45</v>
      </c>
      <c r="P4544" t="s">
        <v>67</v>
      </c>
      <c r="Q4544" t="s">
        <v>137</v>
      </c>
      <c r="R4544">
        <v>5.56</v>
      </c>
      <c r="S4544">
        <v>2</v>
      </c>
      <c r="T4544">
        <v>0</v>
      </c>
      <c r="U4544">
        <v>1.4456</v>
      </c>
      <c r="V4544" t="str">
        <f t="shared" si="70"/>
        <v>Barry Gonzalez</v>
      </c>
      <c r="W4544">
        <f>Table2[Profit]/Table2[Sales]</f>
        <v>0.26</v>
      </c>
    </row>
    <row r="4545" spans="1:23" x14ac:dyDescent="0.25">
      <c r="A4545">
        <v>4544</v>
      </c>
      <c r="B4545" t="s">
        <v>10176</v>
      </c>
      <c r="C4545" s="1">
        <v>42041</v>
      </c>
      <c r="D4545" s="1">
        <v>42043</v>
      </c>
      <c r="E4545" t="s">
        <v>185</v>
      </c>
      <c r="F4545" t="s">
        <v>5508</v>
      </c>
      <c r="G4545" t="s">
        <v>5509</v>
      </c>
      <c r="H4545" t="s">
        <v>40</v>
      </c>
      <c r="I4545" t="s">
        <v>26</v>
      </c>
      <c r="J4545" t="s">
        <v>4264</v>
      </c>
      <c r="K4545" t="s">
        <v>312</v>
      </c>
      <c r="L4545">
        <v>23434</v>
      </c>
      <c r="M4545" t="s">
        <v>29</v>
      </c>
      <c r="N4545" t="s">
        <v>4567</v>
      </c>
      <c r="O4545" t="s">
        <v>45</v>
      </c>
      <c r="P4545" t="s">
        <v>58</v>
      </c>
      <c r="Q4545" t="s">
        <v>4568</v>
      </c>
      <c r="R4545">
        <v>146.72999999999999</v>
      </c>
      <c r="S4545">
        <v>3</v>
      </c>
      <c r="T4545">
        <v>0</v>
      </c>
      <c r="U4545">
        <v>2.9346000000000001</v>
      </c>
      <c r="V4545" t="str">
        <f t="shared" si="70"/>
        <v>Lori Olson</v>
      </c>
      <c r="W4545">
        <f>Table2[Profit]/Table2[Sales]</f>
        <v>0.02</v>
      </c>
    </row>
    <row r="4546" spans="1:23" x14ac:dyDescent="0.25">
      <c r="A4546">
        <v>4545</v>
      </c>
      <c r="B4546" t="s">
        <v>10177</v>
      </c>
      <c r="C4546" s="1">
        <v>42623</v>
      </c>
      <c r="D4546" s="1">
        <v>42625</v>
      </c>
      <c r="E4546" t="s">
        <v>22</v>
      </c>
      <c r="F4546" t="s">
        <v>1934</v>
      </c>
      <c r="G4546" t="s">
        <v>1935</v>
      </c>
      <c r="H4546" t="s">
        <v>25</v>
      </c>
      <c r="I4546" t="s">
        <v>26</v>
      </c>
      <c r="J4546" t="s">
        <v>41</v>
      </c>
      <c r="K4546" t="s">
        <v>42</v>
      </c>
      <c r="L4546">
        <v>90049</v>
      </c>
      <c r="M4546" t="s">
        <v>43</v>
      </c>
      <c r="N4546" t="s">
        <v>6831</v>
      </c>
      <c r="O4546" t="s">
        <v>45</v>
      </c>
      <c r="P4546" t="s">
        <v>74</v>
      </c>
      <c r="Q4546" t="s">
        <v>6832</v>
      </c>
      <c r="R4546">
        <v>276.78399999999999</v>
      </c>
      <c r="S4546">
        <v>2</v>
      </c>
      <c r="T4546">
        <v>0.2</v>
      </c>
      <c r="U4546">
        <v>89.954800000000006</v>
      </c>
      <c r="V4546" t="str">
        <f t="shared" si="70"/>
        <v>Dianna Vittorini</v>
      </c>
      <c r="W4546">
        <f>Table2[Profit]/Table2[Sales]</f>
        <v>0.32500000000000001</v>
      </c>
    </row>
    <row r="4547" spans="1:23" x14ac:dyDescent="0.25">
      <c r="A4547">
        <v>4546</v>
      </c>
      <c r="B4547" t="s">
        <v>10178</v>
      </c>
      <c r="C4547" s="1">
        <v>42639</v>
      </c>
      <c r="D4547" s="1">
        <v>42643</v>
      </c>
      <c r="E4547" t="s">
        <v>49</v>
      </c>
      <c r="F4547" t="s">
        <v>7739</v>
      </c>
      <c r="G4547" t="s">
        <v>7740</v>
      </c>
      <c r="H4547" t="s">
        <v>40</v>
      </c>
      <c r="I4547" t="s">
        <v>26</v>
      </c>
      <c r="J4547" t="s">
        <v>181</v>
      </c>
      <c r="K4547" t="s">
        <v>103</v>
      </c>
      <c r="L4547">
        <v>77041</v>
      </c>
      <c r="M4547" t="s">
        <v>104</v>
      </c>
      <c r="N4547" t="s">
        <v>8562</v>
      </c>
      <c r="O4547" t="s">
        <v>45</v>
      </c>
      <c r="P4547" t="s">
        <v>77</v>
      </c>
      <c r="Q4547" t="s">
        <v>8563</v>
      </c>
      <c r="R4547">
        <v>93.031999999999996</v>
      </c>
      <c r="S4547">
        <v>2</v>
      </c>
      <c r="T4547">
        <v>0.8</v>
      </c>
      <c r="U4547">
        <v>-251.18639999999999</v>
      </c>
      <c r="V4547" t="str">
        <f t="shared" ref="V4547:V4610" si="71">TRIM(G4547)</f>
        <v>Lisa Ryan</v>
      </c>
      <c r="W4547">
        <f>Table2[Profit]/Table2[Sales]</f>
        <v>-2.7</v>
      </c>
    </row>
    <row r="4548" spans="1:23" x14ac:dyDescent="0.25">
      <c r="A4548">
        <v>4547</v>
      </c>
      <c r="B4548" t="s">
        <v>10179</v>
      </c>
      <c r="C4548" s="1">
        <v>42353</v>
      </c>
      <c r="D4548" s="1">
        <v>42358</v>
      </c>
      <c r="E4548" t="s">
        <v>49</v>
      </c>
      <c r="F4548" t="s">
        <v>5675</v>
      </c>
      <c r="G4548" t="s">
        <v>5676</v>
      </c>
      <c r="H4548" t="s">
        <v>40</v>
      </c>
      <c r="I4548" t="s">
        <v>26</v>
      </c>
      <c r="J4548" t="s">
        <v>2241</v>
      </c>
      <c r="K4548" t="s">
        <v>87</v>
      </c>
      <c r="L4548">
        <v>27511</v>
      </c>
      <c r="M4548" t="s">
        <v>29</v>
      </c>
      <c r="N4548" t="s">
        <v>978</v>
      </c>
      <c r="O4548" t="s">
        <v>70</v>
      </c>
      <c r="P4548" t="s">
        <v>71</v>
      </c>
      <c r="Q4548" t="s">
        <v>979</v>
      </c>
      <c r="R4548">
        <v>246.16800000000001</v>
      </c>
      <c r="S4548">
        <v>3</v>
      </c>
      <c r="T4548">
        <v>0.2</v>
      </c>
      <c r="U4548">
        <v>21.5397</v>
      </c>
      <c r="V4548" t="str">
        <f t="shared" si="71"/>
        <v>Rick Reed</v>
      </c>
      <c r="W4548">
        <f>Table2[Profit]/Table2[Sales]</f>
        <v>8.7499999999999994E-2</v>
      </c>
    </row>
    <row r="4549" spans="1:23" x14ac:dyDescent="0.25">
      <c r="A4549">
        <v>4548</v>
      </c>
      <c r="B4549" t="s">
        <v>10180</v>
      </c>
      <c r="C4549" s="1">
        <v>42630</v>
      </c>
      <c r="D4549" s="1">
        <v>42633</v>
      </c>
      <c r="E4549" t="s">
        <v>22</v>
      </c>
      <c r="F4549" t="s">
        <v>535</v>
      </c>
      <c r="G4549" t="s">
        <v>536</v>
      </c>
      <c r="H4549" t="s">
        <v>25</v>
      </c>
      <c r="I4549" t="s">
        <v>26</v>
      </c>
      <c r="J4549" t="s">
        <v>311</v>
      </c>
      <c r="K4549" t="s">
        <v>491</v>
      </c>
      <c r="L4549">
        <v>45503</v>
      </c>
      <c r="M4549" t="s">
        <v>145</v>
      </c>
      <c r="N4549" t="s">
        <v>963</v>
      </c>
      <c r="O4549" t="s">
        <v>45</v>
      </c>
      <c r="P4549" t="s">
        <v>58</v>
      </c>
      <c r="Q4549" t="s">
        <v>964</v>
      </c>
      <c r="R4549">
        <v>295.39999999999998</v>
      </c>
      <c r="S4549">
        <v>5</v>
      </c>
      <c r="T4549">
        <v>0.2</v>
      </c>
      <c r="U4549">
        <v>-62.772500000000001</v>
      </c>
      <c r="V4549" t="str">
        <f t="shared" si="71"/>
        <v>Troy Staebel</v>
      </c>
      <c r="W4549">
        <f>Table2[Profit]/Table2[Sales]</f>
        <v>-0.21250000000000002</v>
      </c>
    </row>
    <row r="4550" spans="1:23" x14ac:dyDescent="0.25">
      <c r="A4550">
        <v>4549</v>
      </c>
      <c r="B4550" t="s">
        <v>10181</v>
      </c>
      <c r="C4550" s="1">
        <v>43021</v>
      </c>
      <c r="D4550" s="1">
        <v>43023</v>
      </c>
      <c r="E4550" t="s">
        <v>185</v>
      </c>
      <c r="F4550" t="s">
        <v>981</v>
      </c>
      <c r="G4550" t="s">
        <v>982</v>
      </c>
      <c r="H4550" t="s">
        <v>25</v>
      </c>
      <c r="I4550" t="s">
        <v>26</v>
      </c>
      <c r="J4550" t="s">
        <v>1459</v>
      </c>
      <c r="K4550" t="s">
        <v>28</v>
      </c>
      <c r="L4550">
        <v>40214</v>
      </c>
      <c r="M4550" t="s">
        <v>29</v>
      </c>
      <c r="N4550" t="s">
        <v>540</v>
      </c>
      <c r="O4550" t="s">
        <v>45</v>
      </c>
      <c r="P4550" t="s">
        <v>58</v>
      </c>
      <c r="Q4550" t="s">
        <v>541</v>
      </c>
      <c r="R4550">
        <v>348.56</v>
      </c>
      <c r="S4550">
        <v>8</v>
      </c>
      <c r="T4550">
        <v>0</v>
      </c>
      <c r="U4550">
        <v>104.568</v>
      </c>
      <c r="V4550" t="str">
        <f t="shared" si="71"/>
        <v>Alan Hwang</v>
      </c>
      <c r="W4550">
        <f>Table2[Profit]/Table2[Sales]</f>
        <v>0.3</v>
      </c>
    </row>
    <row r="4551" spans="1:23" x14ac:dyDescent="0.25">
      <c r="A4551">
        <v>4550</v>
      </c>
      <c r="B4551" t="s">
        <v>10182</v>
      </c>
      <c r="C4551" s="1">
        <v>42183</v>
      </c>
      <c r="D4551" s="1">
        <v>42188</v>
      </c>
      <c r="E4551" t="s">
        <v>22</v>
      </c>
      <c r="F4551" t="s">
        <v>549</v>
      </c>
      <c r="G4551" t="s">
        <v>550</v>
      </c>
      <c r="H4551" t="s">
        <v>40</v>
      </c>
      <c r="I4551" t="s">
        <v>26</v>
      </c>
      <c r="J4551" t="s">
        <v>271</v>
      </c>
      <c r="K4551" t="s">
        <v>491</v>
      </c>
      <c r="L4551">
        <v>45373</v>
      </c>
      <c r="M4551" t="s">
        <v>145</v>
      </c>
      <c r="N4551" t="s">
        <v>403</v>
      </c>
      <c r="O4551" t="s">
        <v>45</v>
      </c>
      <c r="P4551" t="s">
        <v>89</v>
      </c>
      <c r="Q4551" t="s">
        <v>404</v>
      </c>
      <c r="R4551">
        <v>15.552</v>
      </c>
      <c r="S4551">
        <v>3</v>
      </c>
      <c r="T4551">
        <v>0.2</v>
      </c>
      <c r="U4551">
        <v>5.4432</v>
      </c>
      <c r="V4551" t="str">
        <f t="shared" si="71"/>
        <v>Dorothy Wardle</v>
      </c>
      <c r="W4551">
        <f>Table2[Profit]/Table2[Sales]</f>
        <v>0.35000000000000003</v>
      </c>
    </row>
    <row r="4552" spans="1:23" x14ac:dyDescent="0.25">
      <c r="A4552">
        <v>4551</v>
      </c>
      <c r="B4552" t="s">
        <v>10183</v>
      </c>
      <c r="C4552" s="1">
        <v>42156</v>
      </c>
      <c r="D4552" s="1">
        <v>42160</v>
      </c>
      <c r="E4552" t="s">
        <v>49</v>
      </c>
      <c r="F4552" t="s">
        <v>1861</v>
      </c>
      <c r="G4552" t="s">
        <v>1862</v>
      </c>
      <c r="H4552" t="s">
        <v>25</v>
      </c>
      <c r="I4552" t="s">
        <v>26</v>
      </c>
      <c r="J4552" t="s">
        <v>873</v>
      </c>
      <c r="K4552" t="s">
        <v>235</v>
      </c>
      <c r="L4552">
        <v>48227</v>
      </c>
      <c r="M4552" t="s">
        <v>104</v>
      </c>
      <c r="N4552" t="s">
        <v>6231</v>
      </c>
      <c r="O4552" t="s">
        <v>70</v>
      </c>
      <c r="P4552" t="s">
        <v>71</v>
      </c>
      <c r="Q4552" t="s">
        <v>6232</v>
      </c>
      <c r="R4552">
        <v>299.98</v>
      </c>
      <c r="S4552">
        <v>2</v>
      </c>
      <c r="T4552">
        <v>0</v>
      </c>
      <c r="U4552">
        <v>83.994399999999999</v>
      </c>
      <c r="V4552" t="str">
        <f t="shared" si="71"/>
        <v>Ashley Jarboe</v>
      </c>
      <c r="W4552">
        <f>Table2[Profit]/Table2[Sales]</f>
        <v>0.27999999999999997</v>
      </c>
    </row>
    <row r="4553" spans="1:23" x14ac:dyDescent="0.25">
      <c r="A4553">
        <v>4552</v>
      </c>
      <c r="B4553" t="s">
        <v>10184</v>
      </c>
      <c r="C4553" s="1">
        <v>41741</v>
      </c>
      <c r="D4553" s="1">
        <v>41746</v>
      </c>
      <c r="E4553" t="s">
        <v>49</v>
      </c>
      <c r="F4553" t="s">
        <v>5686</v>
      </c>
      <c r="G4553" t="s">
        <v>5687</v>
      </c>
      <c r="H4553" t="s">
        <v>25</v>
      </c>
      <c r="I4553" t="s">
        <v>26</v>
      </c>
      <c r="J4553" t="s">
        <v>531</v>
      </c>
      <c r="K4553" t="s">
        <v>251</v>
      </c>
      <c r="L4553">
        <v>47401</v>
      </c>
      <c r="M4553" t="s">
        <v>104</v>
      </c>
      <c r="N4553" t="s">
        <v>2818</v>
      </c>
      <c r="O4553" t="s">
        <v>45</v>
      </c>
      <c r="P4553" t="s">
        <v>89</v>
      </c>
      <c r="Q4553" t="s">
        <v>2819</v>
      </c>
      <c r="R4553">
        <v>32.4</v>
      </c>
      <c r="S4553">
        <v>5</v>
      </c>
      <c r="T4553">
        <v>0</v>
      </c>
      <c r="U4553">
        <v>15.552</v>
      </c>
      <c r="V4553" t="str">
        <f t="shared" si="71"/>
        <v>Stewart Visinsky</v>
      </c>
      <c r="W4553">
        <f>Table2[Profit]/Table2[Sales]</f>
        <v>0.48</v>
      </c>
    </row>
    <row r="4554" spans="1:23" x14ac:dyDescent="0.25">
      <c r="A4554">
        <v>4553</v>
      </c>
      <c r="B4554" t="s">
        <v>10185</v>
      </c>
      <c r="C4554" s="1">
        <v>43020</v>
      </c>
      <c r="D4554" s="1">
        <v>43024</v>
      </c>
      <c r="E4554" t="s">
        <v>49</v>
      </c>
      <c r="F4554" t="s">
        <v>3078</v>
      </c>
      <c r="G4554" t="s">
        <v>3079</v>
      </c>
      <c r="H4554" t="s">
        <v>101</v>
      </c>
      <c r="I4554" t="s">
        <v>26</v>
      </c>
      <c r="J4554" t="s">
        <v>808</v>
      </c>
      <c r="K4554" t="s">
        <v>103</v>
      </c>
      <c r="L4554">
        <v>75081</v>
      </c>
      <c r="M4554" t="s">
        <v>104</v>
      </c>
      <c r="N4554" t="s">
        <v>2553</v>
      </c>
      <c r="O4554" t="s">
        <v>70</v>
      </c>
      <c r="P4554" t="s">
        <v>71</v>
      </c>
      <c r="Q4554" t="s">
        <v>2554</v>
      </c>
      <c r="R4554">
        <v>369.54399999999998</v>
      </c>
      <c r="S4554">
        <v>7</v>
      </c>
      <c r="T4554">
        <v>0.2</v>
      </c>
      <c r="U4554">
        <v>27.715800000000002</v>
      </c>
      <c r="V4554" t="str">
        <f t="shared" si="71"/>
        <v>Matthew Grinstein</v>
      </c>
      <c r="W4554">
        <f>Table2[Profit]/Table2[Sales]</f>
        <v>7.5000000000000011E-2</v>
      </c>
    </row>
    <row r="4555" spans="1:23" x14ac:dyDescent="0.25">
      <c r="A4555">
        <v>4554</v>
      </c>
      <c r="B4555" t="s">
        <v>10186</v>
      </c>
      <c r="C4555" s="1">
        <v>42315</v>
      </c>
      <c r="D4555" s="1">
        <v>42320</v>
      </c>
      <c r="E4555" t="s">
        <v>49</v>
      </c>
      <c r="F4555" t="s">
        <v>3751</v>
      </c>
      <c r="G4555" t="s">
        <v>3752</v>
      </c>
      <c r="H4555" t="s">
        <v>25</v>
      </c>
      <c r="I4555" t="s">
        <v>26</v>
      </c>
      <c r="J4555" t="s">
        <v>181</v>
      </c>
      <c r="K4555" t="s">
        <v>103</v>
      </c>
      <c r="L4555">
        <v>77041</v>
      </c>
      <c r="M4555" t="s">
        <v>104</v>
      </c>
      <c r="N4555" t="s">
        <v>176</v>
      </c>
      <c r="O4555" t="s">
        <v>45</v>
      </c>
      <c r="P4555" t="s">
        <v>67</v>
      </c>
      <c r="Q4555" t="s">
        <v>177</v>
      </c>
      <c r="R4555">
        <v>23.64</v>
      </c>
      <c r="S4555">
        <v>3</v>
      </c>
      <c r="T4555">
        <v>0.2</v>
      </c>
      <c r="U4555">
        <v>5.319</v>
      </c>
      <c r="V4555" t="str">
        <f t="shared" si="71"/>
        <v>Adrian Barton</v>
      </c>
      <c r="W4555">
        <f>Table2[Profit]/Table2[Sales]</f>
        <v>0.22500000000000001</v>
      </c>
    </row>
    <row r="4556" spans="1:23" x14ac:dyDescent="0.25">
      <c r="A4556">
        <v>4555</v>
      </c>
      <c r="B4556" t="s">
        <v>10187</v>
      </c>
      <c r="C4556" s="1">
        <v>42149</v>
      </c>
      <c r="D4556" s="1">
        <v>42152</v>
      </c>
      <c r="E4556" t="s">
        <v>185</v>
      </c>
      <c r="F4556" t="s">
        <v>1307</v>
      </c>
      <c r="G4556" t="s">
        <v>1308</v>
      </c>
      <c r="H4556" t="s">
        <v>40</v>
      </c>
      <c r="I4556" t="s">
        <v>26</v>
      </c>
      <c r="J4556" t="s">
        <v>5573</v>
      </c>
      <c r="K4556" t="s">
        <v>103</v>
      </c>
      <c r="L4556">
        <v>76117</v>
      </c>
      <c r="M4556" t="s">
        <v>104</v>
      </c>
      <c r="N4556" t="s">
        <v>5434</v>
      </c>
      <c r="O4556" t="s">
        <v>45</v>
      </c>
      <c r="P4556" t="s">
        <v>572</v>
      </c>
      <c r="Q4556" t="s">
        <v>5435</v>
      </c>
      <c r="R4556">
        <v>22.367999999999999</v>
      </c>
      <c r="S4556">
        <v>2</v>
      </c>
      <c r="T4556">
        <v>0.2</v>
      </c>
      <c r="U4556">
        <v>1.6776</v>
      </c>
      <c r="V4556" t="str">
        <f t="shared" si="71"/>
        <v>Muhammed MacIntyre</v>
      </c>
      <c r="W4556">
        <f>Table2[Profit]/Table2[Sales]</f>
        <v>7.4999999999999997E-2</v>
      </c>
    </row>
    <row r="4557" spans="1:23" x14ac:dyDescent="0.25">
      <c r="A4557">
        <v>4556</v>
      </c>
      <c r="B4557" t="s">
        <v>10188</v>
      </c>
      <c r="C4557" s="1">
        <v>41925</v>
      </c>
      <c r="D4557" s="1">
        <v>41927</v>
      </c>
      <c r="E4557" t="s">
        <v>185</v>
      </c>
      <c r="F4557" t="s">
        <v>6015</v>
      </c>
      <c r="G4557" t="s">
        <v>6016</v>
      </c>
      <c r="H4557" t="s">
        <v>101</v>
      </c>
      <c r="I4557" t="s">
        <v>26</v>
      </c>
      <c r="J4557" t="s">
        <v>1450</v>
      </c>
      <c r="K4557" t="s">
        <v>312</v>
      </c>
      <c r="L4557">
        <v>23223</v>
      </c>
      <c r="M4557" t="s">
        <v>29</v>
      </c>
      <c r="N4557" t="s">
        <v>4079</v>
      </c>
      <c r="O4557" t="s">
        <v>45</v>
      </c>
      <c r="P4557" t="s">
        <v>170</v>
      </c>
      <c r="Q4557" t="s">
        <v>4080</v>
      </c>
      <c r="R4557">
        <v>36.4</v>
      </c>
      <c r="S4557">
        <v>5</v>
      </c>
      <c r="T4557">
        <v>0</v>
      </c>
      <c r="U4557">
        <v>17.472000000000001</v>
      </c>
      <c r="V4557" t="str">
        <f t="shared" si="71"/>
        <v>Michelle Arnett</v>
      </c>
      <c r="W4557">
        <f>Table2[Profit]/Table2[Sales]</f>
        <v>0.48000000000000004</v>
      </c>
    </row>
    <row r="4558" spans="1:23" x14ac:dyDescent="0.25">
      <c r="A4558">
        <v>4557</v>
      </c>
      <c r="B4558" t="s">
        <v>10189</v>
      </c>
      <c r="C4558" s="1">
        <v>42407</v>
      </c>
      <c r="D4558" s="1">
        <v>42410</v>
      </c>
      <c r="E4558" t="s">
        <v>22</v>
      </c>
      <c r="F4558" t="s">
        <v>3526</v>
      </c>
      <c r="G4558" t="s">
        <v>3527</v>
      </c>
      <c r="H4558" t="s">
        <v>40</v>
      </c>
      <c r="I4558" t="s">
        <v>26</v>
      </c>
      <c r="J4558" t="s">
        <v>41</v>
      </c>
      <c r="K4558" t="s">
        <v>42</v>
      </c>
      <c r="L4558">
        <v>90049</v>
      </c>
      <c r="M4558" t="s">
        <v>43</v>
      </c>
      <c r="N4558" t="s">
        <v>8963</v>
      </c>
      <c r="O4558" t="s">
        <v>70</v>
      </c>
      <c r="P4558" t="s">
        <v>71</v>
      </c>
      <c r="Q4558" t="s">
        <v>8964</v>
      </c>
      <c r="R4558">
        <v>623.96</v>
      </c>
      <c r="S4558">
        <v>5</v>
      </c>
      <c r="T4558">
        <v>0.2</v>
      </c>
      <c r="U4558">
        <v>38.997500000000002</v>
      </c>
      <c r="V4558" t="str">
        <f t="shared" si="71"/>
        <v>Erica Bern</v>
      </c>
      <c r="W4558">
        <f>Table2[Profit]/Table2[Sales]</f>
        <v>6.25E-2</v>
      </c>
    </row>
    <row r="4559" spans="1:23" x14ac:dyDescent="0.25">
      <c r="A4559">
        <v>4558</v>
      </c>
      <c r="B4559" t="s">
        <v>10190</v>
      </c>
      <c r="C4559" s="1">
        <v>42754</v>
      </c>
      <c r="D4559" s="1">
        <v>42759</v>
      </c>
      <c r="E4559" t="s">
        <v>22</v>
      </c>
      <c r="F4559" t="s">
        <v>4244</v>
      </c>
      <c r="G4559" t="s">
        <v>4245</v>
      </c>
      <c r="H4559" t="s">
        <v>25</v>
      </c>
      <c r="I4559" t="s">
        <v>26</v>
      </c>
      <c r="J4559" t="s">
        <v>143</v>
      </c>
      <c r="K4559" t="s">
        <v>144</v>
      </c>
      <c r="L4559">
        <v>19140</v>
      </c>
      <c r="M4559" t="s">
        <v>145</v>
      </c>
      <c r="N4559" t="s">
        <v>4374</v>
      </c>
      <c r="O4559" t="s">
        <v>70</v>
      </c>
      <c r="P4559" t="s">
        <v>71</v>
      </c>
      <c r="Q4559" t="s">
        <v>4375</v>
      </c>
      <c r="R4559">
        <v>429.6</v>
      </c>
      <c r="S4559">
        <v>2</v>
      </c>
      <c r="T4559">
        <v>0.4</v>
      </c>
      <c r="U4559">
        <v>-93.08</v>
      </c>
      <c r="V4559" t="str">
        <f t="shared" si="71"/>
        <v>Neola Schneider</v>
      </c>
      <c r="W4559">
        <f>Table2[Profit]/Table2[Sales]</f>
        <v>-0.21666666666666665</v>
      </c>
    </row>
    <row r="4560" spans="1:23" x14ac:dyDescent="0.25">
      <c r="A4560">
        <v>4559</v>
      </c>
      <c r="B4560" t="s">
        <v>10191</v>
      </c>
      <c r="C4560" s="1">
        <v>42527</v>
      </c>
      <c r="D4560" s="1">
        <v>42533</v>
      </c>
      <c r="E4560" t="s">
        <v>49</v>
      </c>
      <c r="F4560" t="s">
        <v>1494</v>
      </c>
      <c r="G4560" t="s">
        <v>1495</v>
      </c>
      <c r="H4560" t="s">
        <v>101</v>
      </c>
      <c r="I4560" t="s">
        <v>26</v>
      </c>
      <c r="J4560" t="s">
        <v>41</v>
      </c>
      <c r="K4560" t="s">
        <v>42</v>
      </c>
      <c r="L4560">
        <v>90036</v>
      </c>
      <c r="M4560" t="s">
        <v>43</v>
      </c>
      <c r="N4560" t="s">
        <v>3146</v>
      </c>
      <c r="O4560" t="s">
        <v>45</v>
      </c>
      <c r="P4560" t="s">
        <v>46</v>
      </c>
      <c r="Q4560" t="s">
        <v>3147</v>
      </c>
      <c r="R4560">
        <v>22.05</v>
      </c>
      <c r="S4560">
        <v>7</v>
      </c>
      <c r="T4560">
        <v>0</v>
      </c>
      <c r="U4560">
        <v>10.584</v>
      </c>
      <c r="V4560" t="str">
        <f t="shared" si="71"/>
        <v>Ross Baird</v>
      </c>
      <c r="W4560">
        <f>Table2[Profit]/Table2[Sales]</f>
        <v>0.48</v>
      </c>
    </row>
    <row r="4561" spans="1:23" x14ac:dyDescent="0.25">
      <c r="A4561">
        <v>4560</v>
      </c>
      <c r="B4561" t="s">
        <v>10192</v>
      </c>
      <c r="C4561" s="1">
        <v>42812</v>
      </c>
      <c r="D4561" s="1">
        <v>42814</v>
      </c>
      <c r="E4561" t="s">
        <v>22</v>
      </c>
      <c r="F4561" t="s">
        <v>7956</v>
      </c>
      <c r="G4561" t="s">
        <v>7957</v>
      </c>
      <c r="H4561" t="s">
        <v>40</v>
      </c>
      <c r="I4561" t="s">
        <v>26</v>
      </c>
      <c r="J4561" t="s">
        <v>41</v>
      </c>
      <c r="K4561" t="s">
        <v>42</v>
      </c>
      <c r="L4561">
        <v>90032</v>
      </c>
      <c r="M4561" t="s">
        <v>43</v>
      </c>
      <c r="N4561" t="s">
        <v>430</v>
      </c>
      <c r="O4561" t="s">
        <v>45</v>
      </c>
      <c r="P4561" t="s">
        <v>77</v>
      </c>
      <c r="Q4561" t="s">
        <v>431</v>
      </c>
      <c r="R4561">
        <v>90.86</v>
      </c>
      <c r="S4561">
        <v>7</v>
      </c>
      <c r="T4561">
        <v>0</v>
      </c>
      <c r="U4561">
        <v>26.349399999999999</v>
      </c>
      <c r="V4561" t="str">
        <f t="shared" si="71"/>
        <v>Jason Klamczynski</v>
      </c>
      <c r="W4561">
        <f>Table2[Profit]/Table2[Sales]</f>
        <v>0.28999999999999998</v>
      </c>
    </row>
    <row r="4562" spans="1:23" x14ac:dyDescent="0.25">
      <c r="A4562">
        <v>4561</v>
      </c>
      <c r="B4562" t="s">
        <v>10193</v>
      </c>
      <c r="C4562" s="1">
        <v>43063</v>
      </c>
      <c r="D4562" s="1">
        <v>43063</v>
      </c>
      <c r="E4562" t="s">
        <v>1278</v>
      </c>
      <c r="F4562" t="s">
        <v>6391</v>
      </c>
      <c r="G4562" t="s">
        <v>6392</v>
      </c>
      <c r="H4562" t="s">
        <v>25</v>
      </c>
      <c r="I4562" t="s">
        <v>26</v>
      </c>
      <c r="J4562" t="s">
        <v>126</v>
      </c>
      <c r="K4562" t="s">
        <v>42</v>
      </c>
      <c r="L4562">
        <v>94109</v>
      </c>
      <c r="M4562" t="s">
        <v>43</v>
      </c>
      <c r="N4562" t="s">
        <v>2165</v>
      </c>
      <c r="O4562" t="s">
        <v>45</v>
      </c>
      <c r="P4562" t="s">
        <v>89</v>
      </c>
      <c r="Q4562" t="s">
        <v>2166</v>
      </c>
      <c r="R4562">
        <v>7.78</v>
      </c>
      <c r="S4562">
        <v>1</v>
      </c>
      <c r="T4562">
        <v>0</v>
      </c>
      <c r="U4562">
        <v>3.5009999999999999</v>
      </c>
      <c r="V4562" t="str">
        <f t="shared" si="71"/>
        <v>Patrick Ryan</v>
      </c>
      <c r="W4562">
        <f>Table2[Profit]/Table2[Sales]</f>
        <v>0.44999999999999996</v>
      </c>
    </row>
    <row r="4563" spans="1:23" x14ac:dyDescent="0.25">
      <c r="A4563">
        <v>4562</v>
      </c>
      <c r="B4563" t="s">
        <v>10194</v>
      </c>
      <c r="C4563" s="1">
        <v>42700</v>
      </c>
      <c r="D4563" s="1">
        <v>42702</v>
      </c>
      <c r="E4563" t="s">
        <v>22</v>
      </c>
      <c r="F4563" t="s">
        <v>153</v>
      </c>
      <c r="G4563" t="s">
        <v>154</v>
      </c>
      <c r="H4563" t="s">
        <v>25</v>
      </c>
      <c r="I4563" t="s">
        <v>26</v>
      </c>
      <c r="J4563" t="s">
        <v>143</v>
      </c>
      <c r="K4563" t="s">
        <v>144</v>
      </c>
      <c r="L4563">
        <v>19120</v>
      </c>
      <c r="M4563" t="s">
        <v>145</v>
      </c>
      <c r="N4563" t="s">
        <v>2714</v>
      </c>
      <c r="O4563" t="s">
        <v>45</v>
      </c>
      <c r="P4563" t="s">
        <v>74</v>
      </c>
      <c r="Q4563" t="s">
        <v>2715</v>
      </c>
      <c r="R4563">
        <v>78.759</v>
      </c>
      <c r="S4563">
        <v>9</v>
      </c>
      <c r="T4563">
        <v>0.7</v>
      </c>
      <c r="U4563">
        <v>-57.756599999999999</v>
      </c>
      <c r="V4563" t="str">
        <f t="shared" si="71"/>
        <v>Eric Hoffmann</v>
      </c>
      <c r="W4563">
        <f>Table2[Profit]/Table2[Sales]</f>
        <v>-0.73333333333333328</v>
      </c>
    </row>
    <row r="4564" spans="1:23" x14ac:dyDescent="0.25">
      <c r="A4564">
        <v>4563</v>
      </c>
      <c r="B4564" t="s">
        <v>10195</v>
      </c>
      <c r="C4564" s="1">
        <v>42600</v>
      </c>
      <c r="D4564" s="1">
        <v>42602</v>
      </c>
      <c r="E4564" t="s">
        <v>22</v>
      </c>
      <c r="F4564" t="s">
        <v>179</v>
      </c>
      <c r="G4564" t="s">
        <v>180</v>
      </c>
      <c r="H4564" t="s">
        <v>101</v>
      </c>
      <c r="I4564" t="s">
        <v>26</v>
      </c>
      <c r="J4564" t="s">
        <v>181</v>
      </c>
      <c r="K4564" t="s">
        <v>103</v>
      </c>
      <c r="L4564">
        <v>77070</v>
      </c>
      <c r="M4564" t="s">
        <v>104</v>
      </c>
      <c r="N4564" t="s">
        <v>2849</v>
      </c>
      <c r="O4564" t="s">
        <v>31</v>
      </c>
      <c r="P4564" t="s">
        <v>64</v>
      </c>
      <c r="Q4564" t="s">
        <v>916</v>
      </c>
      <c r="R4564">
        <v>9.5519999999999996</v>
      </c>
      <c r="S4564">
        <v>3</v>
      </c>
      <c r="T4564">
        <v>0.6</v>
      </c>
      <c r="U4564">
        <v>-3.8208000000000002</v>
      </c>
      <c r="V4564" t="str">
        <f t="shared" si="71"/>
        <v>Matt Abelman</v>
      </c>
      <c r="W4564">
        <f>Table2[Profit]/Table2[Sales]</f>
        <v>-0.4</v>
      </c>
    </row>
    <row r="4565" spans="1:23" x14ac:dyDescent="0.25">
      <c r="A4565">
        <v>4564</v>
      </c>
      <c r="B4565" t="s">
        <v>10196</v>
      </c>
      <c r="C4565" s="1">
        <v>42336</v>
      </c>
      <c r="D4565" s="1">
        <v>42341</v>
      </c>
      <c r="E4565" t="s">
        <v>49</v>
      </c>
      <c r="F4565" t="s">
        <v>6015</v>
      </c>
      <c r="G4565" t="s">
        <v>6016</v>
      </c>
      <c r="H4565" t="s">
        <v>101</v>
      </c>
      <c r="I4565" t="s">
        <v>26</v>
      </c>
      <c r="J4565" t="s">
        <v>5760</v>
      </c>
      <c r="K4565" t="s">
        <v>660</v>
      </c>
      <c r="L4565">
        <v>88001</v>
      </c>
      <c r="M4565" t="s">
        <v>43</v>
      </c>
      <c r="N4565" t="s">
        <v>672</v>
      </c>
      <c r="O4565" t="s">
        <v>45</v>
      </c>
      <c r="P4565" t="s">
        <v>67</v>
      </c>
      <c r="Q4565" t="s">
        <v>673</v>
      </c>
      <c r="R4565">
        <v>8.2799999999999994</v>
      </c>
      <c r="S4565">
        <v>2</v>
      </c>
      <c r="T4565">
        <v>0</v>
      </c>
      <c r="U4565">
        <v>3.4775999999999998</v>
      </c>
      <c r="V4565" t="str">
        <f t="shared" si="71"/>
        <v>Michelle Arnett</v>
      </c>
      <c r="W4565">
        <f>Table2[Profit]/Table2[Sales]</f>
        <v>0.42</v>
      </c>
    </row>
    <row r="4566" spans="1:23" x14ac:dyDescent="0.25">
      <c r="A4566">
        <v>4565</v>
      </c>
      <c r="B4566" t="s">
        <v>10197</v>
      </c>
      <c r="C4566" s="1">
        <v>42880</v>
      </c>
      <c r="D4566" s="1">
        <v>42887</v>
      </c>
      <c r="E4566" t="s">
        <v>49</v>
      </c>
      <c r="F4566" t="s">
        <v>1246</v>
      </c>
      <c r="G4566" t="s">
        <v>1247</v>
      </c>
      <c r="H4566" t="s">
        <v>25</v>
      </c>
      <c r="I4566" t="s">
        <v>26</v>
      </c>
      <c r="J4566" t="s">
        <v>181</v>
      </c>
      <c r="K4566" t="s">
        <v>103</v>
      </c>
      <c r="L4566">
        <v>77070</v>
      </c>
      <c r="M4566" t="s">
        <v>104</v>
      </c>
      <c r="N4566" t="s">
        <v>8138</v>
      </c>
      <c r="O4566" t="s">
        <v>45</v>
      </c>
      <c r="P4566" t="s">
        <v>58</v>
      </c>
      <c r="Q4566" t="s">
        <v>8139</v>
      </c>
      <c r="R4566">
        <v>50.136000000000003</v>
      </c>
      <c r="S4566">
        <v>3</v>
      </c>
      <c r="T4566">
        <v>0.2</v>
      </c>
      <c r="U4566">
        <v>-11.2806</v>
      </c>
      <c r="V4566" t="str">
        <f t="shared" si="71"/>
        <v>Jeremy Lonsdale</v>
      </c>
      <c r="W4566">
        <f>Table2[Profit]/Table2[Sales]</f>
        <v>-0.22499999999999998</v>
      </c>
    </row>
    <row r="4567" spans="1:23" x14ac:dyDescent="0.25">
      <c r="A4567">
        <v>4566</v>
      </c>
      <c r="B4567" t="s">
        <v>10198</v>
      </c>
      <c r="C4567" s="1">
        <v>42982</v>
      </c>
      <c r="D4567" s="1">
        <v>42983</v>
      </c>
      <c r="E4567" t="s">
        <v>185</v>
      </c>
      <c r="F4567" t="s">
        <v>3632</v>
      </c>
      <c r="G4567" t="s">
        <v>3633</v>
      </c>
      <c r="H4567" t="s">
        <v>40</v>
      </c>
      <c r="I4567" t="s">
        <v>26</v>
      </c>
      <c r="J4567" t="s">
        <v>4488</v>
      </c>
      <c r="K4567" t="s">
        <v>413</v>
      </c>
      <c r="L4567">
        <v>97756</v>
      </c>
      <c r="M4567" t="s">
        <v>43</v>
      </c>
      <c r="N4567" t="s">
        <v>2834</v>
      </c>
      <c r="O4567" t="s">
        <v>45</v>
      </c>
      <c r="P4567" t="s">
        <v>74</v>
      </c>
      <c r="Q4567" t="s">
        <v>2835</v>
      </c>
      <c r="R4567">
        <v>88.073999999999998</v>
      </c>
      <c r="S4567">
        <v>7</v>
      </c>
      <c r="T4567">
        <v>0.7</v>
      </c>
      <c r="U4567">
        <v>-58.716000000000001</v>
      </c>
      <c r="V4567" t="str">
        <f t="shared" si="71"/>
        <v>Aaron Smayling</v>
      </c>
      <c r="W4567">
        <f>Table2[Profit]/Table2[Sales]</f>
        <v>-0.66666666666666674</v>
      </c>
    </row>
    <row r="4568" spans="1:23" x14ac:dyDescent="0.25">
      <c r="A4568">
        <v>4567</v>
      </c>
      <c r="B4568" t="s">
        <v>10199</v>
      </c>
      <c r="C4568" s="1">
        <v>42453</v>
      </c>
      <c r="D4568" s="1">
        <v>42455</v>
      </c>
      <c r="E4568" t="s">
        <v>22</v>
      </c>
      <c r="F4568" t="s">
        <v>3466</v>
      </c>
      <c r="G4568" t="s">
        <v>3467</v>
      </c>
      <c r="H4568" t="s">
        <v>25</v>
      </c>
      <c r="I4568" t="s">
        <v>26</v>
      </c>
      <c r="J4568" t="s">
        <v>2148</v>
      </c>
      <c r="K4568" t="s">
        <v>491</v>
      </c>
      <c r="L4568">
        <v>44105</v>
      </c>
      <c r="M4568" t="s">
        <v>145</v>
      </c>
      <c r="N4568" t="s">
        <v>5542</v>
      </c>
      <c r="O4568" t="s">
        <v>31</v>
      </c>
      <c r="P4568" t="s">
        <v>32</v>
      </c>
      <c r="Q4568" t="s">
        <v>5543</v>
      </c>
      <c r="R4568">
        <v>301.47000000000003</v>
      </c>
      <c r="S4568">
        <v>3</v>
      </c>
      <c r="T4568">
        <v>0.5</v>
      </c>
      <c r="U4568">
        <v>-241.17599999999999</v>
      </c>
      <c r="V4568" t="str">
        <f t="shared" si="71"/>
        <v>Dan Campbell</v>
      </c>
      <c r="W4568">
        <f>Table2[Profit]/Table2[Sales]</f>
        <v>-0.79999999999999993</v>
      </c>
    </row>
    <row r="4569" spans="1:23" x14ac:dyDescent="0.25">
      <c r="A4569">
        <v>4568</v>
      </c>
      <c r="B4569" t="s">
        <v>10200</v>
      </c>
      <c r="C4569" s="1">
        <v>42883</v>
      </c>
      <c r="D4569" s="1">
        <v>42887</v>
      </c>
      <c r="E4569" t="s">
        <v>49</v>
      </c>
      <c r="F4569" t="s">
        <v>4635</v>
      </c>
      <c r="G4569" t="s">
        <v>4636</v>
      </c>
      <c r="H4569" t="s">
        <v>40</v>
      </c>
      <c r="I4569" t="s">
        <v>26</v>
      </c>
      <c r="J4569" t="s">
        <v>10201</v>
      </c>
      <c r="K4569" t="s">
        <v>2699</v>
      </c>
      <c r="L4569">
        <v>20707</v>
      </c>
      <c r="M4569" t="s">
        <v>145</v>
      </c>
      <c r="N4569" t="s">
        <v>3846</v>
      </c>
      <c r="O4569" t="s">
        <v>31</v>
      </c>
      <c r="P4569" t="s">
        <v>64</v>
      </c>
      <c r="Q4569" t="s">
        <v>3847</v>
      </c>
      <c r="R4569">
        <v>27.46</v>
      </c>
      <c r="S4569">
        <v>2</v>
      </c>
      <c r="T4569">
        <v>0</v>
      </c>
      <c r="U4569">
        <v>9.8856000000000002</v>
      </c>
      <c r="V4569" t="str">
        <f t="shared" si="71"/>
        <v>Michael Dominguez</v>
      </c>
      <c r="W4569">
        <f>Table2[Profit]/Table2[Sales]</f>
        <v>0.36</v>
      </c>
    </row>
    <row r="4570" spans="1:23" x14ac:dyDescent="0.25">
      <c r="A4570">
        <v>4569</v>
      </c>
      <c r="B4570" t="s">
        <v>10202</v>
      </c>
      <c r="C4570" s="1">
        <v>42247</v>
      </c>
      <c r="D4570" s="1">
        <v>42251</v>
      </c>
      <c r="E4570" t="s">
        <v>49</v>
      </c>
      <c r="F4570" t="s">
        <v>4797</v>
      </c>
      <c r="G4570" t="s">
        <v>4798</v>
      </c>
      <c r="H4570" t="s">
        <v>101</v>
      </c>
      <c r="I4570" t="s">
        <v>26</v>
      </c>
      <c r="J4570" t="s">
        <v>941</v>
      </c>
      <c r="K4570" t="s">
        <v>42</v>
      </c>
      <c r="L4570">
        <v>92037</v>
      </c>
      <c r="M4570" t="s">
        <v>43</v>
      </c>
      <c r="N4570" t="s">
        <v>3335</v>
      </c>
      <c r="O4570" t="s">
        <v>70</v>
      </c>
      <c r="P4570" t="s">
        <v>71</v>
      </c>
      <c r="Q4570" t="s">
        <v>3336</v>
      </c>
      <c r="R4570">
        <v>555.96</v>
      </c>
      <c r="S4570">
        <v>5</v>
      </c>
      <c r="T4570">
        <v>0.2</v>
      </c>
      <c r="U4570">
        <v>41.697000000000003</v>
      </c>
      <c r="V4570" t="str">
        <f t="shared" si="71"/>
        <v>Rick Huthwaite</v>
      </c>
      <c r="W4570">
        <f>Table2[Profit]/Table2[Sales]</f>
        <v>7.4999999999999997E-2</v>
      </c>
    </row>
    <row r="4571" spans="1:23" x14ac:dyDescent="0.25">
      <c r="A4571">
        <v>4570</v>
      </c>
      <c r="B4571" t="s">
        <v>10203</v>
      </c>
      <c r="C4571" s="1">
        <v>42472</v>
      </c>
      <c r="D4571" s="1">
        <v>42477</v>
      </c>
      <c r="E4571" t="s">
        <v>49</v>
      </c>
      <c r="F4571" t="s">
        <v>4430</v>
      </c>
      <c r="G4571" t="s">
        <v>4431</v>
      </c>
      <c r="H4571" t="s">
        <v>40</v>
      </c>
      <c r="I4571" t="s">
        <v>26</v>
      </c>
      <c r="J4571" t="s">
        <v>8777</v>
      </c>
      <c r="K4571" t="s">
        <v>87</v>
      </c>
      <c r="L4571">
        <v>27893</v>
      </c>
      <c r="M4571" t="s">
        <v>29</v>
      </c>
      <c r="N4571" t="s">
        <v>1543</v>
      </c>
      <c r="O4571" t="s">
        <v>45</v>
      </c>
      <c r="P4571" t="s">
        <v>58</v>
      </c>
      <c r="Q4571" t="s">
        <v>1544</v>
      </c>
      <c r="R4571">
        <v>129.55199999999999</v>
      </c>
      <c r="S4571">
        <v>3</v>
      </c>
      <c r="T4571">
        <v>0.2</v>
      </c>
      <c r="U4571">
        <v>-22.671600000000002</v>
      </c>
      <c r="V4571" t="str">
        <f t="shared" si="71"/>
        <v>Thomas Boland</v>
      </c>
      <c r="W4571">
        <f>Table2[Profit]/Table2[Sales]</f>
        <v>-0.17500000000000002</v>
      </c>
    </row>
    <row r="4572" spans="1:23" x14ac:dyDescent="0.25">
      <c r="A4572">
        <v>4571</v>
      </c>
      <c r="B4572" t="s">
        <v>10204</v>
      </c>
      <c r="C4572" s="1">
        <v>41672</v>
      </c>
      <c r="D4572" s="1">
        <v>41679</v>
      </c>
      <c r="E4572" t="s">
        <v>49</v>
      </c>
      <c r="F4572" t="s">
        <v>4267</v>
      </c>
      <c r="G4572" t="s">
        <v>4268</v>
      </c>
      <c r="H4572" t="s">
        <v>25</v>
      </c>
      <c r="I4572" t="s">
        <v>26</v>
      </c>
      <c r="J4572" t="s">
        <v>1141</v>
      </c>
      <c r="K4572" t="s">
        <v>53</v>
      </c>
      <c r="L4572">
        <v>33710</v>
      </c>
      <c r="M4572" t="s">
        <v>29</v>
      </c>
      <c r="N4572" t="s">
        <v>3830</v>
      </c>
      <c r="O4572" t="s">
        <v>45</v>
      </c>
      <c r="P4572" t="s">
        <v>74</v>
      </c>
      <c r="Q4572" t="s">
        <v>3831</v>
      </c>
      <c r="R4572">
        <v>18.335999999999999</v>
      </c>
      <c r="S4572">
        <v>2</v>
      </c>
      <c r="T4572">
        <v>0.7</v>
      </c>
      <c r="U4572">
        <v>-12.224</v>
      </c>
      <c r="V4572" t="str">
        <f t="shared" si="71"/>
        <v>Eric Barreto</v>
      </c>
      <c r="W4572">
        <f>Table2[Profit]/Table2[Sales]</f>
        <v>-0.66666666666666674</v>
      </c>
    </row>
    <row r="4573" spans="1:23" x14ac:dyDescent="0.25">
      <c r="A4573">
        <v>4572</v>
      </c>
      <c r="B4573" t="s">
        <v>10205</v>
      </c>
      <c r="C4573" s="1">
        <v>41884</v>
      </c>
      <c r="D4573" s="1">
        <v>41890</v>
      </c>
      <c r="E4573" t="s">
        <v>49</v>
      </c>
      <c r="F4573" t="s">
        <v>2429</v>
      </c>
      <c r="G4573" t="s">
        <v>2430</v>
      </c>
      <c r="H4573" t="s">
        <v>25</v>
      </c>
      <c r="I4573" t="s">
        <v>26</v>
      </c>
      <c r="J4573" t="s">
        <v>8249</v>
      </c>
      <c r="K4573" t="s">
        <v>208</v>
      </c>
      <c r="L4573">
        <v>60089</v>
      </c>
      <c r="M4573" t="s">
        <v>104</v>
      </c>
      <c r="N4573" t="s">
        <v>471</v>
      </c>
      <c r="O4573" t="s">
        <v>70</v>
      </c>
      <c r="P4573" t="s">
        <v>158</v>
      </c>
      <c r="Q4573" t="s">
        <v>472</v>
      </c>
      <c r="R4573">
        <v>475.94400000000002</v>
      </c>
      <c r="S4573">
        <v>7</v>
      </c>
      <c r="T4573">
        <v>0.2</v>
      </c>
      <c r="U4573">
        <v>95.188800000000001</v>
      </c>
      <c r="V4573" t="str">
        <f t="shared" si="71"/>
        <v>Bryan Mills</v>
      </c>
      <c r="W4573">
        <f>Table2[Profit]/Table2[Sales]</f>
        <v>0.19999999999999998</v>
      </c>
    </row>
    <row r="4574" spans="1:23" x14ac:dyDescent="0.25">
      <c r="A4574">
        <v>4573</v>
      </c>
      <c r="B4574" t="s">
        <v>10206</v>
      </c>
      <c r="C4574" s="1">
        <v>43008</v>
      </c>
      <c r="D4574" s="1">
        <v>43010</v>
      </c>
      <c r="E4574" t="s">
        <v>22</v>
      </c>
      <c r="F4574" t="s">
        <v>3333</v>
      </c>
      <c r="G4574" t="s">
        <v>3334</v>
      </c>
      <c r="H4574" t="s">
        <v>101</v>
      </c>
      <c r="I4574" t="s">
        <v>26</v>
      </c>
      <c r="J4574" t="s">
        <v>41</v>
      </c>
      <c r="K4574" t="s">
        <v>42</v>
      </c>
      <c r="L4574">
        <v>90049</v>
      </c>
      <c r="M4574" t="s">
        <v>43</v>
      </c>
      <c r="N4574" t="s">
        <v>2533</v>
      </c>
      <c r="O4574" t="s">
        <v>70</v>
      </c>
      <c r="P4574" t="s">
        <v>158</v>
      </c>
      <c r="Q4574" t="s">
        <v>2534</v>
      </c>
      <c r="R4574">
        <v>159.97999999999999</v>
      </c>
      <c r="S4574">
        <v>2</v>
      </c>
      <c r="T4574">
        <v>0</v>
      </c>
      <c r="U4574">
        <v>47.994</v>
      </c>
      <c r="V4574" t="str">
        <f t="shared" si="71"/>
        <v>Bradley Talbott</v>
      </c>
      <c r="W4574">
        <f>Table2[Profit]/Table2[Sales]</f>
        <v>0.30000000000000004</v>
      </c>
    </row>
    <row r="4575" spans="1:23" x14ac:dyDescent="0.25">
      <c r="A4575">
        <v>4574</v>
      </c>
      <c r="B4575" t="s">
        <v>10207</v>
      </c>
      <c r="C4575" s="1">
        <v>42618</v>
      </c>
      <c r="D4575" s="1">
        <v>42620</v>
      </c>
      <c r="E4575" t="s">
        <v>185</v>
      </c>
      <c r="F4575" t="s">
        <v>9345</v>
      </c>
      <c r="G4575" t="s">
        <v>9346</v>
      </c>
      <c r="H4575" t="s">
        <v>40</v>
      </c>
      <c r="I4575" t="s">
        <v>26</v>
      </c>
      <c r="J4575" t="s">
        <v>263</v>
      </c>
      <c r="K4575" t="s">
        <v>264</v>
      </c>
      <c r="L4575">
        <v>10011</v>
      </c>
      <c r="M4575" t="s">
        <v>145</v>
      </c>
      <c r="N4575" t="s">
        <v>245</v>
      </c>
      <c r="O4575" t="s">
        <v>70</v>
      </c>
      <c r="P4575" t="s">
        <v>71</v>
      </c>
      <c r="Q4575" t="s">
        <v>246</v>
      </c>
      <c r="R4575">
        <v>43.6</v>
      </c>
      <c r="S4575">
        <v>4</v>
      </c>
      <c r="T4575">
        <v>0</v>
      </c>
      <c r="U4575">
        <v>12.208</v>
      </c>
      <c r="V4575" t="str">
        <f t="shared" si="71"/>
        <v>Fred Wasserman</v>
      </c>
      <c r="W4575">
        <f>Table2[Profit]/Table2[Sales]</f>
        <v>0.27999999999999997</v>
      </c>
    </row>
    <row r="4576" spans="1:23" x14ac:dyDescent="0.25">
      <c r="A4576">
        <v>4575</v>
      </c>
      <c r="B4576" t="s">
        <v>10208</v>
      </c>
      <c r="C4576" s="1">
        <v>42875</v>
      </c>
      <c r="D4576" s="1">
        <v>42881</v>
      </c>
      <c r="E4576" t="s">
        <v>49</v>
      </c>
      <c r="F4576" t="s">
        <v>4113</v>
      </c>
      <c r="G4576" t="s">
        <v>4114</v>
      </c>
      <c r="H4576" t="s">
        <v>25</v>
      </c>
      <c r="I4576" t="s">
        <v>26</v>
      </c>
      <c r="J4576" t="s">
        <v>1380</v>
      </c>
      <c r="K4576" t="s">
        <v>1381</v>
      </c>
      <c r="L4576">
        <v>89115</v>
      </c>
      <c r="M4576" t="s">
        <v>43</v>
      </c>
      <c r="N4576" t="s">
        <v>6226</v>
      </c>
      <c r="O4576" t="s">
        <v>45</v>
      </c>
      <c r="P4576" t="s">
        <v>74</v>
      </c>
      <c r="Q4576" t="s">
        <v>6227</v>
      </c>
      <c r="R4576">
        <v>8.2880000000000003</v>
      </c>
      <c r="S4576">
        <v>2</v>
      </c>
      <c r="T4576">
        <v>0.2</v>
      </c>
      <c r="U4576">
        <v>3.0044</v>
      </c>
      <c r="V4576" t="str">
        <f t="shared" si="71"/>
        <v>Rick Duston</v>
      </c>
      <c r="W4576">
        <f>Table2[Profit]/Table2[Sales]</f>
        <v>0.36249999999999999</v>
      </c>
    </row>
    <row r="4577" spans="1:23" x14ac:dyDescent="0.25">
      <c r="A4577">
        <v>4576</v>
      </c>
      <c r="B4577" t="s">
        <v>10209</v>
      </c>
      <c r="C4577" s="1">
        <v>42267</v>
      </c>
      <c r="D4577" s="1">
        <v>42271</v>
      </c>
      <c r="E4577" t="s">
        <v>49</v>
      </c>
      <c r="F4577" t="s">
        <v>1969</v>
      </c>
      <c r="G4577" t="s">
        <v>1970</v>
      </c>
      <c r="H4577" t="s">
        <v>25</v>
      </c>
      <c r="I4577" t="s">
        <v>26</v>
      </c>
      <c r="J4577" t="s">
        <v>207</v>
      </c>
      <c r="K4577" t="s">
        <v>208</v>
      </c>
      <c r="L4577">
        <v>60540</v>
      </c>
      <c r="M4577" t="s">
        <v>104</v>
      </c>
      <c r="N4577" t="s">
        <v>2325</v>
      </c>
      <c r="O4577" t="s">
        <v>45</v>
      </c>
      <c r="P4577" t="s">
        <v>74</v>
      </c>
      <c r="Q4577" t="s">
        <v>2326</v>
      </c>
      <c r="R4577">
        <v>2.8079999999999998</v>
      </c>
      <c r="S4577">
        <v>3</v>
      </c>
      <c r="T4577">
        <v>0.8</v>
      </c>
      <c r="U4577">
        <v>-4.4927999999999999</v>
      </c>
      <c r="V4577" t="str">
        <f t="shared" si="71"/>
        <v>Theone Pippenger</v>
      </c>
      <c r="W4577">
        <f>Table2[Profit]/Table2[Sales]</f>
        <v>-1.6</v>
      </c>
    </row>
    <row r="4578" spans="1:23" x14ac:dyDescent="0.25">
      <c r="A4578">
        <v>4577</v>
      </c>
      <c r="B4578" t="s">
        <v>10210</v>
      </c>
      <c r="C4578" s="1">
        <v>42392</v>
      </c>
      <c r="D4578" s="1">
        <v>42396</v>
      </c>
      <c r="E4578" t="s">
        <v>49</v>
      </c>
      <c r="F4578" t="s">
        <v>987</v>
      </c>
      <c r="G4578" t="s">
        <v>988</v>
      </c>
      <c r="H4578" t="s">
        <v>40</v>
      </c>
      <c r="I4578" t="s">
        <v>26</v>
      </c>
      <c r="J4578" t="s">
        <v>2189</v>
      </c>
      <c r="K4578" t="s">
        <v>5098</v>
      </c>
      <c r="L4578">
        <v>5408</v>
      </c>
      <c r="M4578" t="s">
        <v>145</v>
      </c>
      <c r="N4578" t="s">
        <v>4448</v>
      </c>
      <c r="O4578" t="s">
        <v>70</v>
      </c>
      <c r="P4578" t="s">
        <v>158</v>
      </c>
      <c r="Q4578" t="s">
        <v>4449</v>
      </c>
      <c r="R4578">
        <v>99.98</v>
      </c>
      <c r="S4578">
        <v>2</v>
      </c>
      <c r="T4578">
        <v>0</v>
      </c>
      <c r="U4578">
        <v>42.991399999999999</v>
      </c>
      <c r="V4578" t="str">
        <f t="shared" si="71"/>
        <v>Claudia Bergmann</v>
      </c>
      <c r="W4578">
        <f>Table2[Profit]/Table2[Sales]</f>
        <v>0.43</v>
      </c>
    </row>
    <row r="4579" spans="1:23" x14ac:dyDescent="0.25">
      <c r="A4579">
        <v>4578</v>
      </c>
      <c r="B4579" t="s">
        <v>10211</v>
      </c>
      <c r="C4579" s="1">
        <v>41791</v>
      </c>
      <c r="D4579" s="1">
        <v>41796</v>
      </c>
      <c r="E4579" t="s">
        <v>49</v>
      </c>
      <c r="F4579" t="s">
        <v>3530</v>
      </c>
      <c r="G4579" t="s">
        <v>3531</v>
      </c>
      <c r="H4579" t="s">
        <v>40</v>
      </c>
      <c r="I4579" t="s">
        <v>26</v>
      </c>
      <c r="J4579" t="s">
        <v>873</v>
      </c>
      <c r="K4579" t="s">
        <v>235</v>
      </c>
      <c r="L4579">
        <v>48234</v>
      </c>
      <c r="M4579" t="s">
        <v>104</v>
      </c>
      <c r="N4579" t="s">
        <v>3849</v>
      </c>
      <c r="O4579" t="s">
        <v>45</v>
      </c>
      <c r="P4579" t="s">
        <v>74</v>
      </c>
      <c r="Q4579" t="s">
        <v>3850</v>
      </c>
      <c r="R4579">
        <v>138.56</v>
      </c>
      <c r="S4579">
        <v>4</v>
      </c>
      <c r="T4579">
        <v>0</v>
      </c>
      <c r="U4579">
        <v>66.508799999999994</v>
      </c>
      <c r="V4579" t="str">
        <f t="shared" si="71"/>
        <v>Quincy Jones</v>
      </c>
      <c r="W4579">
        <f>Table2[Profit]/Table2[Sales]</f>
        <v>0.47999999999999993</v>
      </c>
    </row>
    <row r="4580" spans="1:23" x14ac:dyDescent="0.25">
      <c r="A4580">
        <v>4579</v>
      </c>
      <c r="B4580" t="s">
        <v>10212</v>
      </c>
      <c r="C4580" s="1">
        <v>42271</v>
      </c>
      <c r="D4580" s="1">
        <v>42276</v>
      </c>
      <c r="E4580" t="s">
        <v>22</v>
      </c>
      <c r="F4580" t="s">
        <v>283</v>
      </c>
      <c r="G4580" t="s">
        <v>284</v>
      </c>
      <c r="H4580" t="s">
        <v>25</v>
      </c>
      <c r="I4580" t="s">
        <v>26</v>
      </c>
      <c r="J4580" t="s">
        <v>7578</v>
      </c>
      <c r="K4580" t="s">
        <v>303</v>
      </c>
      <c r="L4580">
        <v>85323</v>
      </c>
      <c r="M4580" t="s">
        <v>43</v>
      </c>
      <c r="N4580" t="s">
        <v>6790</v>
      </c>
      <c r="O4580" t="s">
        <v>45</v>
      </c>
      <c r="P4580" t="s">
        <v>67</v>
      </c>
      <c r="Q4580" t="s">
        <v>6791</v>
      </c>
      <c r="R4580">
        <v>14.576000000000001</v>
      </c>
      <c r="S4580">
        <v>2</v>
      </c>
      <c r="T4580">
        <v>0.2</v>
      </c>
      <c r="U4580">
        <v>2.3685999999999998</v>
      </c>
      <c r="V4580" t="str">
        <f t="shared" si="71"/>
        <v>Kunst Miller</v>
      </c>
      <c r="W4580">
        <f>Table2[Profit]/Table2[Sales]</f>
        <v>0.16249999999999998</v>
      </c>
    </row>
    <row r="4581" spans="1:23" x14ac:dyDescent="0.25">
      <c r="A4581">
        <v>4580</v>
      </c>
      <c r="B4581" t="s">
        <v>10213</v>
      </c>
      <c r="C4581" s="1">
        <v>42583</v>
      </c>
      <c r="D4581" s="1">
        <v>42585</v>
      </c>
      <c r="E4581" t="s">
        <v>22</v>
      </c>
      <c r="F4581" t="s">
        <v>6979</v>
      </c>
      <c r="G4581" t="s">
        <v>6980</v>
      </c>
      <c r="H4581" t="s">
        <v>25</v>
      </c>
      <c r="I4581" t="s">
        <v>26</v>
      </c>
      <c r="J4581" t="s">
        <v>143</v>
      </c>
      <c r="K4581" t="s">
        <v>144</v>
      </c>
      <c r="L4581">
        <v>19140</v>
      </c>
      <c r="M4581" t="s">
        <v>145</v>
      </c>
      <c r="N4581" t="s">
        <v>1690</v>
      </c>
      <c r="O4581" t="s">
        <v>31</v>
      </c>
      <c r="P4581" t="s">
        <v>64</v>
      </c>
      <c r="Q4581" t="s">
        <v>7942</v>
      </c>
      <c r="R4581">
        <v>19.312000000000001</v>
      </c>
      <c r="S4581">
        <v>2</v>
      </c>
      <c r="T4581">
        <v>0.2</v>
      </c>
      <c r="U4581">
        <v>3.1381999999999999</v>
      </c>
      <c r="V4581" t="str">
        <f t="shared" si="71"/>
        <v>Khloe Miller</v>
      </c>
      <c r="W4581">
        <f>Table2[Profit]/Table2[Sales]</f>
        <v>0.16249999999999998</v>
      </c>
    </row>
    <row r="4582" spans="1:23" x14ac:dyDescent="0.25">
      <c r="A4582">
        <v>4581</v>
      </c>
      <c r="B4582" t="s">
        <v>10214</v>
      </c>
      <c r="C4582" s="1">
        <v>41662</v>
      </c>
      <c r="D4582" s="1">
        <v>41667</v>
      </c>
      <c r="E4582" t="s">
        <v>49</v>
      </c>
      <c r="F4582" t="s">
        <v>8869</v>
      </c>
      <c r="G4582" t="s">
        <v>8870</v>
      </c>
      <c r="H4582" t="s">
        <v>25</v>
      </c>
      <c r="I4582" t="s">
        <v>26</v>
      </c>
      <c r="J4582" t="s">
        <v>1380</v>
      </c>
      <c r="K4582" t="s">
        <v>1381</v>
      </c>
      <c r="L4582">
        <v>89115</v>
      </c>
      <c r="M4582" t="s">
        <v>43</v>
      </c>
      <c r="N4582" t="s">
        <v>561</v>
      </c>
      <c r="O4582" t="s">
        <v>45</v>
      </c>
      <c r="P4582" t="s">
        <v>89</v>
      </c>
      <c r="Q4582" t="s">
        <v>562</v>
      </c>
      <c r="R4582">
        <v>40.08</v>
      </c>
      <c r="S4582">
        <v>6</v>
      </c>
      <c r="T4582">
        <v>0</v>
      </c>
      <c r="U4582">
        <v>19.238399999999999</v>
      </c>
      <c r="V4582" t="str">
        <f t="shared" si="71"/>
        <v>Ionia McGrath</v>
      </c>
      <c r="W4582">
        <f>Table2[Profit]/Table2[Sales]</f>
        <v>0.48</v>
      </c>
    </row>
    <row r="4583" spans="1:23" x14ac:dyDescent="0.25">
      <c r="A4583">
        <v>4582</v>
      </c>
      <c r="B4583" t="s">
        <v>10215</v>
      </c>
      <c r="C4583" s="1">
        <v>41855</v>
      </c>
      <c r="D4583" s="1">
        <v>41859</v>
      </c>
      <c r="E4583" t="s">
        <v>49</v>
      </c>
      <c r="F4583" t="s">
        <v>4150</v>
      </c>
      <c r="G4583" t="s">
        <v>4151</v>
      </c>
      <c r="H4583" t="s">
        <v>40</v>
      </c>
      <c r="I4583" t="s">
        <v>26</v>
      </c>
      <c r="J4583" t="s">
        <v>5126</v>
      </c>
      <c r="K4583" t="s">
        <v>5127</v>
      </c>
      <c r="L4583">
        <v>4401</v>
      </c>
      <c r="M4583" t="s">
        <v>145</v>
      </c>
      <c r="N4583" t="s">
        <v>1813</v>
      </c>
      <c r="O4583" t="s">
        <v>45</v>
      </c>
      <c r="P4583" t="s">
        <v>77</v>
      </c>
      <c r="Q4583" t="s">
        <v>1814</v>
      </c>
      <c r="R4583">
        <v>101.96</v>
      </c>
      <c r="S4583">
        <v>2</v>
      </c>
      <c r="T4583">
        <v>0</v>
      </c>
      <c r="U4583">
        <v>27.529199999999999</v>
      </c>
      <c r="V4583" t="str">
        <f t="shared" si="71"/>
        <v>Marina Lichtenstein</v>
      </c>
      <c r="W4583">
        <f>Table2[Profit]/Table2[Sales]</f>
        <v>0.27</v>
      </c>
    </row>
    <row r="4584" spans="1:23" x14ac:dyDescent="0.25">
      <c r="A4584">
        <v>4583</v>
      </c>
      <c r="B4584" t="s">
        <v>10216</v>
      </c>
      <c r="C4584" s="1">
        <v>42591</v>
      </c>
      <c r="D4584" s="1">
        <v>42596</v>
      </c>
      <c r="E4584" t="s">
        <v>49</v>
      </c>
      <c r="F4584" t="s">
        <v>6219</v>
      </c>
      <c r="G4584" t="s">
        <v>6220</v>
      </c>
      <c r="H4584" t="s">
        <v>101</v>
      </c>
      <c r="I4584" t="s">
        <v>26</v>
      </c>
      <c r="J4584" t="s">
        <v>8546</v>
      </c>
      <c r="K4584" t="s">
        <v>328</v>
      </c>
      <c r="L4584">
        <v>37075</v>
      </c>
      <c r="M4584" t="s">
        <v>29</v>
      </c>
      <c r="N4584" t="s">
        <v>1211</v>
      </c>
      <c r="O4584" t="s">
        <v>45</v>
      </c>
      <c r="P4584" t="s">
        <v>74</v>
      </c>
      <c r="Q4584" t="s">
        <v>1212</v>
      </c>
      <c r="R4584">
        <v>4.3380000000000001</v>
      </c>
      <c r="S4584">
        <v>3</v>
      </c>
      <c r="T4584">
        <v>0.7</v>
      </c>
      <c r="U4584">
        <v>-3.0366</v>
      </c>
      <c r="V4584" t="str">
        <f t="shared" si="71"/>
        <v>Gary Hansen</v>
      </c>
      <c r="W4584">
        <f>Table2[Profit]/Table2[Sales]</f>
        <v>-0.7</v>
      </c>
    </row>
    <row r="4585" spans="1:23" x14ac:dyDescent="0.25">
      <c r="A4585">
        <v>4584</v>
      </c>
      <c r="B4585" t="s">
        <v>10217</v>
      </c>
      <c r="C4585" s="1">
        <v>42712</v>
      </c>
      <c r="D4585" s="1">
        <v>42716</v>
      </c>
      <c r="E4585" t="s">
        <v>49</v>
      </c>
      <c r="F4585" t="s">
        <v>1297</v>
      </c>
      <c r="G4585" t="s">
        <v>1298</v>
      </c>
      <c r="H4585" t="s">
        <v>25</v>
      </c>
      <c r="I4585" t="s">
        <v>26</v>
      </c>
      <c r="J4585" t="s">
        <v>6067</v>
      </c>
      <c r="K4585" t="s">
        <v>113</v>
      </c>
      <c r="L4585">
        <v>54703</v>
      </c>
      <c r="M4585" t="s">
        <v>104</v>
      </c>
      <c r="N4585" t="s">
        <v>5522</v>
      </c>
      <c r="O4585" t="s">
        <v>31</v>
      </c>
      <c r="P4585" t="s">
        <v>32</v>
      </c>
      <c r="Q4585" t="s">
        <v>5523</v>
      </c>
      <c r="R4585">
        <v>405.86</v>
      </c>
      <c r="S4585">
        <v>7</v>
      </c>
      <c r="T4585">
        <v>0</v>
      </c>
      <c r="U4585">
        <v>32.468800000000002</v>
      </c>
      <c r="V4585" t="str">
        <f t="shared" si="71"/>
        <v>Arthur Gainer</v>
      </c>
      <c r="W4585">
        <f>Table2[Profit]/Table2[Sales]</f>
        <v>0.08</v>
      </c>
    </row>
    <row r="4586" spans="1:23" x14ac:dyDescent="0.25">
      <c r="A4586">
        <v>4585</v>
      </c>
      <c r="B4586" t="s">
        <v>10218</v>
      </c>
      <c r="C4586" s="1">
        <v>42163</v>
      </c>
      <c r="D4586" s="1">
        <v>42167</v>
      </c>
      <c r="E4586" t="s">
        <v>49</v>
      </c>
      <c r="F4586" t="s">
        <v>6919</v>
      </c>
      <c r="G4586" t="s">
        <v>6920</v>
      </c>
      <c r="H4586" t="s">
        <v>25</v>
      </c>
      <c r="I4586" t="s">
        <v>26</v>
      </c>
      <c r="J4586" t="s">
        <v>296</v>
      </c>
      <c r="K4586" t="s">
        <v>208</v>
      </c>
      <c r="L4586">
        <v>60610</v>
      </c>
      <c r="M4586" t="s">
        <v>104</v>
      </c>
      <c r="N4586" t="s">
        <v>5829</v>
      </c>
      <c r="O4586" t="s">
        <v>70</v>
      </c>
      <c r="P4586" t="s">
        <v>158</v>
      </c>
      <c r="Q4586" t="s">
        <v>5830</v>
      </c>
      <c r="R4586">
        <v>2.3759999999999999</v>
      </c>
      <c r="S4586">
        <v>3</v>
      </c>
      <c r="T4586">
        <v>0.2</v>
      </c>
      <c r="U4586">
        <v>0.74250000000000005</v>
      </c>
      <c r="V4586" t="str">
        <f t="shared" si="71"/>
        <v>Maureen Gnade</v>
      </c>
      <c r="W4586">
        <f>Table2[Profit]/Table2[Sales]</f>
        <v>0.31250000000000006</v>
      </c>
    </row>
    <row r="4587" spans="1:23" x14ac:dyDescent="0.25">
      <c r="A4587">
        <v>4586</v>
      </c>
      <c r="B4587" t="s">
        <v>10219</v>
      </c>
      <c r="C4587" s="1">
        <v>42545</v>
      </c>
      <c r="D4587" s="1">
        <v>42547</v>
      </c>
      <c r="E4587" t="s">
        <v>22</v>
      </c>
      <c r="F4587" t="s">
        <v>664</v>
      </c>
      <c r="G4587" t="s">
        <v>665</v>
      </c>
      <c r="H4587" t="s">
        <v>25</v>
      </c>
      <c r="I4587" t="s">
        <v>26</v>
      </c>
      <c r="J4587" t="s">
        <v>941</v>
      </c>
      <c r="K4587" t="s">
        <v>42</v>
      </c>
      <c r="L4587">
        <v>92037</v>
      </c>
      <c r="M4587" t="s">
        <v>43</v>
      </c>
      <c r="N4587" t="s">
        <v>9589</v>
      </c>
      <c r="O4587" t="s">
        <v>70</v>
      </c>
      <c r="P4587" t="s">
        <v>675</v>
      </c>
      <c r="Q4587" t="s">
        <v>9590</v>
      </c>
      <c r="R4587">
        <v>4476.8</v>
      </c>
      <c r="S4587">
        <v>4</v>
      </c>
      <c r="T4587">
        <v>0.2</v>
      </c>
      <c r="U4587">
        <v>503.64</v>
      </c>
      <c r="V4587" t="str">
        <f t="shared" si="71"/>
        <v>Max Jones</v>
      </c>
      <c r="W4587">
        <f>Table2[Profit]/Table2[Sales]</f>
        <v>0.11249999999999999</v>
      </c>
    </row>
    <row r="4588" spans="1:23" x14ac:dyDescent="0.25">
      <c r="A4588">
        <v>4587</v>
      </c>
      <c r="B4588" t="s">
        <v>10220</v>
      </c>
      <c r="C4588" s="1">
        <v>42444</v>
      </c>
      <c r="D4588" s="1">
        <v>42448</v>
      </c>
      <c r="E4588" t="s">
        <v>49</v>
      </c>
      <c r="F4588" t="s">
        <v>2620</v>
      </c>
      <c r="G4588" t="s">
        <v>2621</v>
      </c>
      <c r="H4588" t="s">
        <v>101</v>
      </c>
      <c r="I4588" t="s">
        <v>26</v>
      </c>
      <c r="J4588" t="s">
        <v>321</v>
      </c>
      <c r="K4588" t="s">
        <v>1473</v>
      </c>
      <c r="L4588">
        <v>39212</v>
      </c>
      <c r="M4588" t="s">
        <v>29</v>
      </c>
      <c r="N4588" t="s">
        <v>2312</v>
      </c>
      <c r="O4588" t="s">
        <v>45</v>
      </c>
      <c r="P4588" t="s">
        <v>89</v>
      </c>
      <c r="Q4588" t="s">
        <v>2313</v>
      </c>
      <c r="R4588">
        <v>319.76</v>
      </c>
      <c r="S4588">
        <v>14</v>
      </c>
      <c r="T4588">
        <v>0</v>
      </c>
      <c r="U4588">
        <v>147.08959999999999</v>
      </c>
      <c r="V4588" t="str">
        <f t="shared" si="71"/>
        <v>Sanjit Jacobs</v>
      </c>
      <c r="W4588">
        <f>Table2[Profit]/Table2[Sales]</f>
        <v>0.45999999999999996</v>
      </c>
    </row>
    <row r="4589" spans="1:23" x14ac:dyDescent="0.25">
      <c r="A4589">
        <v>4588</v>
      </c>
      <c r="B4589" t="s">
        <v>10221</v>
      </c>
      <c r="C4589" s="1">
        <v>42705</v>
      </c>
      <c r="D4589" s="1">
        <v>42705</v>
      </c>
      <c r="E4589" t="s">
        <v>1278</v>
      </c>
      <c r="F4589" t="s">
        <v>6326</v>
      </c>
      <c r="G4589" t="s">
        <v>6327</v>
      </c>
      <c r="H4589" t="s">
        <v>101</v>
      </c>
      <c r="I4589" t="s">
        <v>26</v>
      </c>
      <c r="J4589" t="s">
        <v>8609</v>
      </c>
      <c r="K4589" t="s">
        <v>42</v>
      </c>
      <c r="L4589">
        <v>93030</v>
      </c>
      <c r="M4589" t="s">
        <v>43</v>
      </c>
      <c r="N4589" t="s">
        <v>1788</v>
      </c>
      <c r="O4589" t="s">
        <v>31</v>
      </c>
      <c r="P4589" t="s">
        <v>64</v>
      </c>
      <c r="Q4589" t="s">
        <v>1789</v>
      </c>
      <c r="R4589">
        <v>31.96</v>
      </c>
      <c r="S4589">
        <v>2</v>
      </c>
      <c r="T4589">
        <v>0</v>
      </c>
      <c r="U4589">
        <v>1.5980000000000001</v>
      </c>
      <c r="V4589" t="str">
        <f t="shared" si="71"/>
        <v>Laurel Beltran</v>
      </c>
      <c r="W4589">
        <f>Table2[Profit]/Table2[Sales]</f>
        <v>0.05</v>
      </c>
    </row>
    <row r="4590" spans="1:23" x14ac:dyDescent="0.25">
      <c r="A4590">
        <v>4589</v>
      </c>
      <c r="B4590" t="s">
        <v>10222</v>
      </c>
      <c r="C4590" s="1">
        <v>42898</v>
      </c>
      <c r="D4590" s="1">
        <v>42900</v>
      </c>
      <c r="E4590" t="s">
        <v>22</v>
      </c>
      <c r="F4590" t="s">
        <v>8147</v>
      </c>
      <c r="G4590" t="s">
        <v>8148</v>
      </c>
      <c r="H4590" t="s">
        <v>25</v>
      </c>
      <c r="I4590" t="s">
        <v>26</v>
      </c>
      <c r="J4590" t="s">
        <v>4169</v>
      </c>
      <c r="K4590" t="s">
        <v>95</v>
      </c>
      <c r="L4590">
        <v>98031</v>
      </c>
      <c r="M4590" t="s">
        <v>43</v>
      </c>
      <c r="N4590" t="s">
        <v>3813</v>
      </c>
      <c r="O4590" t="s">
        <v>70</v>
      </c>
      <c r="P4590" t="s">
        <v>71</v>
      </c>
      <c r="Q4590" t="s">
        <v>3814</v>
      </c>
      <c r="R4590">
        <v>71.975999999999999</v>
      </c>
      <c r="S4590">
        <v>3</v>
      </c>
      <c r="T4590">
        <v>0.2</v>
      </c>
      <c r="U4590">
        <v>8.9969999999999999</v>
      </c>
      <c r="V4590" t="str">
        <f t="shared" si="71"/>
        <v>Sarah Brown</v>
      </c>
      <c r="W4590">
        <f>Table2[Profit]/Table2[Sales]</f>
        <v>0.125</v>
      </c>
    </row>
    <row r="4591" spans="1:23" x14ac:dyDescent="0.25">
      <c r="A4591">
        <v>4590</v>
      </c>
      <c r="B4591" t="s">
        <v>10223</v>
      </c>
      <c r="C4591" s="1">
        <v>42448</v>
      </c>
      <c r="D4591" s="1">
        <v>42453</v>
      </c>
      <c r="E4591" t="s">
        <v>49</v>
      </c>
      <c r="F4591" t="s">
        <v>4849</v>
      </c>
      <c r="G4591" t="s">
        <v>4850</v>
      </c>
      <c r="H4591" t="s">
        <v>40</v>
      </c>
      <c r="I4591" t="s">
        <v>26</v>
      </c>
      <c r="J4591" t="s">
        <v>5545</v>
      </c>
      <c r="K4591" t="s">
        <v>328</v>
      </c>
      <c r="L4591">
        <v>37211</v>
      </c>
      <c r="M4591" t="s">
        <v>29</v>
      </c>
      <c r="N4591" t="s">
        <v>1194</v>
      </c>
      <c r="O4591" t="s">
        <v>45</v>
      </c>
      <c r="P4591" t="s">
        <v>74</v>
      </c>
      <c r="Q4591" t="s">
        <v>1195</v>
      </c>
      <c r="R4591">
        <v>31.085999999999999</v>
      </c>
      <c r="S4591">
        <v>3</v>
      </c>
      <c r="T4591">
        <v>0.7</v>
      </c>
      <c r="U4591">
        <v>-20.724</v>
      </c>
      <c r="V4591" t="str">
        <f t="shared" si="71"/>
        <v>Corey Catlett</v>
      </c>
      <c r="W4591">
        <f>Table2[Profit]/Table2[Sales]</f>
        <v>-0.66666666666666674</v>
      </c>
    </row>
    <row r="4592" spans="1:23" x14ac:dyDescent="0.25">
      <c r="A4592">
        <v>4591</v>
      </c>
      <c r="B4592" t="s">
        <v>10224</v>
      </c>
      <c r="C4592" s="1">
        <v>42688</v>
      </c>
      <c r="D4592" s="1">
        <v>42692</v>
      </c>
      <c r="E4592" t="s">
        <v>49</v>
      </c>
      <c r="F4592" t="s">
        <v>248</v>
      </c>
      <c r="G4592" t="s">
        <v>249</v>
      </c>
      <c r="H4592" t="s">
        <v>25</v>
      </c>
      <c r="I4592" t="s">
        <v>26</v>
      </c>
      <c r="J4592" t="s">
        <v>263</v>
      </c>
      <c r="K4592" t="s">
        <v>264</v>
      </c>
      <c r="L4592">
        <v>10035</v>
      </c>
      <c r="M4592" t="s">
        <v>145</v>
      </c>
      <c r="N4592" t="s">
        <v>7685</v>
      </c>
      <c r="O4592" t="s">
        <v>70</v>
      </c>
      <c r="P4592" t="s">
        <v>71</v>
      </c>
      <c r="Q4592" t="s">
        <v>7686</v>
      </c>
      <c r="R4592">
        <v>13.98</v>
      </c>
      <c r="S4592">
        <v>2</v>
      </c>
      <c r="T4592">
        <v>0</v>
      </c>
      <c r="U4592">
        <v>3.9144000000000001</v>
      </c>
      <c r="V4592" t="str">
        <f t="shared" si="71"/>
        <v>Darren Powers</v>
      </c>
      <c r="W4592">
        <f>Table2[Profit]/Table2[Sales]</f>
        <v>0.27999999999999997</v>
      </c>
    </row>
    <row r="4593" spans="1:23" x14ac:dyDescent="0.25">
      <c r="A4593">
        <v>4592</v>
      </c>
      <c r="B4593" t="s">
        <v>10225</v>
      </c>
      <c r="C4593" s="1">
        <v>42954</v>
      </c>
      <c r="D4593" s="1">
        <v>42958</v>
      </c>
      <c r="E4593" t="s">
        <v>49</v>
      </c>
      <c r="F4593" t="s">
        <v>1246</v>
      </c>
      <c r="G4593" t="s">
        <v>1247</v>
      </c>
      <c r="H4593" t="s">
        <v>25</v>
      </c>
      <c r="I4593" t="s">
        <v>26</v>
      </c>
      <c r="J4593" t="s">
        <v>3888</v>
      </c>
      <c r="K4593" t="s">
        <v>42</v>
      </c>
      <c r="L4593">
        <v>92683</v>
      </c>
      <c r="M4593" t="s">
        <v>43</v>
      </c>
      <c r="N4593" t="s">
        <v>6489</v>
      </c>
      <c r="O4593" t="s">
        <v>70</v>
      </c>
      <c r="P4593" t="s">
        <v>71</v>
      </c>
      <c r="Q4593" t="s">
        <v>6490</v>
      </c>
      <c r="R4593">
        <v>707.88</v>
      </c>
      <c r="S4593">
        <v>3</v>
      </c>
      <c r="T4593">
        <v>0.2</v>
      </c>
      <c r="U4593">
        <v>44.2425</v>
      </c>
      <c r="V4593" t="str">
        <f t="shared" si="71"/>
        <v>Jeremy Lonsdale</v>
      </c>
      <c r="W4593">
        <f>Table2[Profit]/Table2[Sales]</f>
        <v>6.25E-2</v>
      </c>
    </row>
    <row r="4594" spans="1:23" x14ac:dyDescent="0.25">
      <c r="A4594">
        <v>4593</v>
      </c>
      <c r="B4594" t="s">
        <v>10226</v>
      </c>
      <c r="C4594" s="1">
        <v>42237</v>
      </c>
      <c r="D4594" s="1">
        <v>42241</v>
      </c>
      <c r="E4594" t="s">
        <v>49</v>
      </c>
      <c r="F4594" t="s">
        <v>5146</v>
      </c>
      <c r="G4594" t="s">
        <v>5147</v>
      </c>
      <c r="H4594" t="s">
        <v>101</v>
      </c>
      <c r="I4594" t="s">
        <v>26</v>
      </c>
      <c r="J4594" t="s">
        <v>3977</v>
      </c>
      <c r="K4594" t="s">
        <v>144</v>
      </c>
      <c r="L4594">
        <v>18103</v>
      </c>
      <c r="M4594" t="s">
        <v>145</v>
      </c>
      <c r="N4594" t="s">
        <v>1842</v>
      </c>
      <c r="O4594" t="s">
        <v>45</v>
      </c>
      <c r="P4594" t="s">
        <v>572</v>
      </c>
      <c r="Q4594" t="s">
        <v>1285</v>
      </c>
      <c r="R4594">
        <v>3.488</v>
      </c>
      <c r="S4594">
        <v>2</v>
      </c>
      <c r="T4594">
        <v>0.2</v>
      </c>
      <c r="U4594">
        <v>-0.6976</v>
      </c>
      <c r="V4594" t="str">
        <f t="shared" si="71"/>
        <v>Sean Miller</v>
      </c>
      <c r="W4594">
        <f>Table2[Profit]/Table2[Sales]</f>
        <v>-0.2</v>
      </c>
    </row>
    <row r="4595" spans="1:23" x14ac:dyDescent="0.25">
      <c r="A4595">
        <v>4594</v>
      </c>
      <c r="B4595" t="s">
        <v>10227</v>
      </c>
      <c r="C4595" s="1">
        <v>42310</v>
      </c>
      <c r="D4595" s="1">
        <v>42315</v>
      </c>
      <c r="E4595" t="s">
        <v>49</v>
      </c>
      <c r="F4595" t="s">
        <v>1017</v>
      </c>
      <c r="G4595" t="s">
        <v>1018</v>
      </c>
      <c r="H4595" t="s">
        <v>40</v>
      </c>
      <c r="I4595" t="s">
        <v>26</v>
      </c>
      <c r="J4595" t="s">
        <v>671</v>
      </c>
      <c r="K4595" t="s">
        <v>103</v>
      </c>
      <c r="L4595">
        <v>78207</v>
      </c>
      <c r="M4595" t="s">
        <v>104</v>
      </c>
      <c r="N4595" t="s">
        <v>1187</v>
      </c>
      <c r="O4595" t="s">
        <v>45</v>
      </c>
      <c r="P4595" t="s">
        <v>74</v>
      </c>
      <c r="Q4595" t="s">
        <v>1188</v>
      </c>
      <c r="R4595">
        <v>29.372</v>
      </c>
      <c r="S4595">
        <v>7</v>
      </c>
      <c r="T4595">
        <v>0.8</v>
      </c>
      <c r="U4595">
        <v>-46.995199999999997</v>
      </c>
      <c r="V4595" t="str">
        <f t="shared" si="71"/>
        <v>Barry Blumstein</v>
      </c>
      <c r="W4595">
        <f>Table2[Profit]/Table2[Sales]</f>
        <v>-1.5999999999999999</v>
      </c>
    </row>
    <row r="4596" spans="1:23" x14ac:dyDescent="0.25">
      <c r="A4596">
        <v>4595</v>
      </c>
      <c r="B4596" t="s">
        <v>10228</v>
      </c>
      <c r="C4596" s="1">
        <v>41973</v>
      </c>
      <c r="D4596" s="1">
        <v>41979</v>
      </c>
      <c r="E4596" t="s">
        <v>49</v>
      </c>
      <c r="F4596" t="s">
        <v>1445</v>
      </c>
      <c r="G4596" t="s">
        <v>1446</v>
      </c>
      <c r="H4596" t="s">
        <v>25</v>
      </c>
      <c r="I4596" t="s">
        <v>26</v>
      </c>
      <c r="J4596" t="s">
        <v>7578</v>
      </c>
      <c r="K4596" t="s">
        <v>303</v>
      </c>
      <c r="L4596">
        <v>85323</v>
      </c>
      <c r="M4596" t="s">
        <v>43</v>
      </c>
      <c r="N4596" t="s">
        <v>4962</v>
      </c>
      <c r="O4596" t="s">
        <v>45</v>
      </c>
      <c r="P4596" t="s">
        <v>572</v>
      </c>
      <c r="Q4596" t="s">
        <v>4963</v>
      </c>
      <c r="R4596">
        <v>47.991999999999997</v>
      </c>
      <c r="S4596">
        <v>7</v>
      </c>
      <c r="T4596">
        <v>0.2</v>
      </c>
      <c r="U4596">
        <v>3.5994000000000002</v>
      </c>
      <c r="V4596" t="str">
        <f t="shared" si="71"/>
        <v>Philip Brown</v>
      </c>
      <c r="W4596">
        <f>Table2[Profit]/Table2[Sales]</f>
        <v>7.5000000000000011E-2</v>
      </c>
    </row>
    <row r="4597" spans="1:23" x14ac:dyDescent="0.25">
      <c r="A4597">
        <v>4596</v>
      </c>
      <c r="B4597" t="s">
        <v>10229</v>
      </c>
      <c r="C4597" s="1">
        <v>41769</v>
      </c>
      <c r="D4597" s="1">
        <v>41774</v>
      </c>
      <c r="E4597" t="s">
        <v>49</v>
      </c>
      <c r="F4597" t="s">
        <v>3398</v>
      </c>
      <c r="G4597" t="s">
        <v>3399</v>
      </c>
      <c r="H4597" t="s">
        <v>25</v>
      </c>
      <c r="I4597" t="s">
        <v>26</v>
      </c>
      <c r="J4597" t="s">
        <v>622</v>
      </c>
      <c r="K4597" t="s">
        <v>42</v>
      </c>
      <c r="L4597">
        <v>95123</v>
      </c>
      <c r="M4597" t="s">
        <v>43</v>
      </c>
      <c r="N4597" t="s">
        <v>7390</v>
      </c>
      <c r="O4597" t="s">
        <v>45</v>
      </c>
      <c r="P4597" t="s">
        <v>89</v>
      </c>
      <c r="Q4597" t="s">
        <v>7391</v>
      </c>
      <c r="R4597">
        <v>39.96</v>
      </c>
      <c r="S4597">
        <v>2</v>
      </c>
      <c r="T4597">
        <v>0</v>
      </c>
      <c r="U4597">
        <v>19.180800000000001</v>
      </c>
      <c r="V4597" t="str">
        <f t="shared" si="71"/>
        <v>Greg Matthias</v>
      </c>
      <c r="W4597">
        <f>Table2[Profit]/Table2[Sales]</f>
        <v>0.48000000000000004</v>
      </c>
    </row>
    <row r="4598" spans="1:23" x14ac:dyDescent="0.25">
      <c r="A4598">
        <v>4597</v>
      </c>
      <c r="B4598" t="s">
        <v>10230</v>
      </c>
      <c r="C4598" s="1">
        <v>42660</v>
      </c>
      <c r="D4598" s="1">
        <v>42663</v>
      </c>
      <c r="E4598" t="s">
        <v>185</v>
      </c>
      <c r="F4598" t="s">
        <v>7533</v>
      </c>
      <c r="G4598" t="s">
        <v>7534</v>
      </c>
      <c r="H4598" t="s">
        <v>25</v>
      </c>
      <c r="I4598" t="s">
        <v>26</v>
      </c>
      <c r="J4598" t="s">
        <v>4823</v>
      </c>
      <c r="K4598" t="s">
        <v>781</v>
      </c>
      <c r="L4598">
        <v>8861</v>
      </c>
      <c r="M4598" t="s">
        <v>145</v>
      </c>
      <c r="N4598" t="s">
        <v>1645</v>
      </c>
      <c r="O4598" t="s">
        <v>31</v>
      </c>
      <c r="P4598" t="s">
        <v>32</v>
      </c>
      <c r="Q4598" t="s">
        <v>1646</v>
      </c>
      <c r="R4598">
        <v>120.98</v>
      </c>
      <c r="S4598">
        <v>1</v>
      </c>
      <c r="T4598">
        <v>0</v>
      </c>
      <c r="U4598">
        <v>12.098000000000001</v>
      </c>
      <c r="V4598" t="str">
        <f t="shared" si="71"/>
        <v>Nick Radford</v>
      </c>
      <c r="W4598">
        <f>Table2[Profit]/Table2[Sales]</f>
        <v>0.1</v>
      </c>
    </row>
    <row r="4599" spans="1:23" x14ac:dyDescent="0.25">
      <c r="A4599">
        <v>4598</v>
      </c>
      <c r="B4599" t="s">
        <v>10231</v>
      </c>
      <c r="C4599" s="1">
        <v>42673</v>
      </c>
      <c r="D4599" s="1">
        <v>42677</v>
      </c>
      <c r="E4599" t="s">
        <v>49</v>
      </c>
      <c r="F4599" t="s">
        <v>4664</v>
      </c>
      <c r="G4599" t="s">
        <v>4665</v>
      </c>
      <c r="H4599" t="s">
        <v>40</v>
      </c>
      <c r="I4599" t="s">
        <v>26</v>
      </c>
      <c r="J4599" t="s">
        <v>263</v>
      </c>
      <c r="K4599" t="s">
        <v>264</v>
      </c>
      <c r="L4599">
        <v>10011</v>
      </c>
      <c r="M4599" t="s">
        <v>145</v>
      </c>
      <c r="N4599" t="s">
        <v>4816</v>
      </c>
      <c r="O4599" t="s">
        <v>45</v>
      </c>
      <c r="P4599" t="s">
        <v>74</v>
      </c>
      <c r="Q4599" t="s">
        <v>4817</v>
      </c>
      <c r="R4599">
        <v>28.751999999999999</v>
      </c>
      <c r="S4599">
        <v>3</v>
      </c>
      <c r="T4599">
        <v>0.2</v>
      </c>
      <c r="U4599">
        <v>10.0632</v>
      </c>
      <c r="V4599" t="str">
        <f t="shared" si="71"/>
        <v>Edward Hooks</v>
      </c>
      <c r="W4599">
        <f>Table2[Profit]/Table2[Sales]</f>
        <v>0.35000000000000003</v>
      </c>
    </row>
    <row r="4600" spans="1:23" x14ac:dyDescent="0.25">
      <c r="A4600">
        <v>4599</v>
      </c>
      <c r="B4600" t="s">
        <v>10232</v>
      </c>
      <c r="C4600" s="1">
        <v>42705</v>
      </c>
      <c r="D4600" s="1">
        <v>42709</v>
      </c>
      <c r="E4600" t="s">
        <v>49</v>
      </c>
      <c r="F4600" t="s">
        <v>785</v>
      </c>
      <c r="G4600" t="s">
        <v>786</v>
      </c>
      <c r="H4600" t="s">
        <v>40</v>
      </c>
      <c r="I4600" t="s">
        <v>26</v>
      </c>
      <c r="J4600" t="s">
        <v>41</v>
      </c>
      <c r="K4600" t="s">
        <v>42</v>
      </c>
      <c r="L4600">
        <v>90004</v>
      </c>
      <c r="M4600" t="s">
        <v>43</v>
      </c>
      <c r="N4600" t="s">
        <v>565</v>
      </c>
      <c r="O4600" t="s">
        <v>45</v>
      </c>
      <c r="P4600" t="s">
        <v>67</v>
      </c>
      <c r="Q4600" t="s">
        <v>566</v>
      </c>
      <c r="R4600">
        <v>23.04</v>
      </c>
      <c r="S4600">
        <v>8</v>
      </c>
      <c r="T4600">
        <v>0</v>
      </c>
      <c r="U4600">
        <v>6.9119999999999999</v>
      </c>
      <c r="V4600" t="str">
        <f t="shared" si="71"/>
        <v>Fred Hopkins</v>
      </c>
      <c r="W4600">
        <f>Table2[Profit]/Table2[Sales]</f>
        <v>0.3</v>
      </c>
    </row>
    <row r="4601" spans="1:23" x14ac:dyDescent="0.25">
      <c r="A4601">
        <v>4600</v>
      </c>
      <c r="B4601" t="s">
        <v>10233</v>
      </c>
      <c r="C4601" s="1">
        <v>42481</v>
      </c>
      <c r="D4601" s="1">
        <v>42481</v>
      </c>
      <c r="E4601" t="s">
        <v>1278</v>
      </c>
      <c r="F4601" t="s">
        <v>4464</v>
      </c>
      <c r="G4601" t="s">
        <v>4465</v>
      </c>
      <c r="H4601" t="s">
        <v>25</v>
      </c>
      <c r="I4601" t="s">
        <v>26</v>
      </c>
      <c r="J4601" t="s">
        <v>8241</v>
      </c>
      <c r="K4601" t="s">
        <v>740</v>
      </c>
      <c r="L4601">
        <v>6460</v>
      </c>
      <c r="M4601" t="s">
        <v>145</v>
      </c>
      <c r="N4601" t="s">
        <v>3510</v>
      </c>
      <c r="O4601" t="s">
        <v>45</v>
      </c>
      <c r="P4601" t="s">
        <v>67</v>
      </c>
      <c r="Q4601" t="s">
        <v>3511</v>
      </c>
      <c r="R4601">
        <v>15.48</v>
      </c>
      <c r="S4601">
        <v>3</v>
      </c>
      <c r="T4601">
        <v>0</v>
      </c>
      <c r="U4601">
        <v>4.4892000000000003</v>
      </c>
      <c r="V4601" t="str">
        <f t="shared" si="71"/>
        <v>Brian Thompson</v>
      </c>
      <c r="W4601">
        <f>Table2[Profit]/Table2[Sales]</f>
        <v>0.29000000000000004</v>
      </c>
    </row>
    <row r="4602" spans="1:23" x14ac:dyDescent="0.25">
      <c r="A4602">
        <v>4601</v>
      </c>
      <c r="B4602" t="s">
        <v>10234</v>
      </c>
      <c r="C4602" s="1">
        <v>42950</v>
      </c>
      <c r="D4602" s="1">
        <v>42954</v>
      </c>
      <c r="E4602" t="s">
        <v>49</v>
      </c>
      <c r="F4602" t="s">
        <v>3751</v>
      </c>
      <c r="G4602" t="s">
        <v>3752</v>
      </c>
      <c r="H4602" t="s">
        <v>25</v>
      </c>
      <c r="I4602" t="s">
        <v>26</v>
      </c>
      <c r="J4602" t="s">
        <v>531</v>
      </c>
      <c r="K4602" t="s">
        <v>208</v>
      </c>
      <c r="L4602">
        <v>61701</v>
      </c>
      <c r="M4602" t="s">
        <v>104</v>
      </c>
      <c r="N4602" t="s">
        <v>5425</v>
      </c>
      <c r="O4602" t="s">
        <v>70</v>
      </c>
      <c r="P4602" t="s">
        <v>158</v>
      </c>
      <c r="Q4602" t="s">
        <v>5426</v>
      </c>
      <c r="R4602">
        <v>39.816000000000003</v>
      </c>
      <c r="S4602">
        <v>3</v>
      </c>
      <c r="T4602">
        <v>0.2</v>
      </c>
      <c r="U4602">
        <v>7.4654999999999996</v>
      </c>
      <c r="V4602" t="str">
        <f t="shared" si="71"/>
        <v>Adrian Barton</v>
      </c>
      <c r="W4602">
        <f>Table2[Profit]/Table2[Sales]</f>
        <v>0.18749999999999997</v>
      </c>
    </row>
    <row r="4603" spans="1:23" x14ac:dyDescent="0.25">
      <c r="A4603">
        <v>4602</v>
      </c>
      <c r="B4603" t="s">
        <v>10235</v>
      </c>
      <c r="C4603" s="1">
        <v>42950</v>
      </c>
      <c r="D4603" s="1">
        <v>42955</v>
      </c>
      <c r="E4603" t="s">
        <v>22</v>
      </c>
      <c r="F4603" t="s">
        <v>4674</v>
      </c>
      <c r="G4603" t="s">
        <v>4675</v>
      </c>
      <c r="H4603" t="s">
        <v>40</v>
      </c>
      <c r="I4603" t="s">
        <v>26</v>
      </c>
      <c r="J4603" t="s">
        <v>94</v>
      </c>
      <c r="K4603" t="s">
        <v>95</v>
      </c>
      <c r="L4603">
        <v>98105</v>
      </c>
      <c r="M4603" t="s">
        <v>43</v>
      </c>
      <c r="N4603" t="s">
        <v>4835</v>
      </c>
      <c r="O4603" t="s">
        <v>45</v>
      </c>
      <c r="P4603" t="s">
        <v>58</v>
      </c>
      <c r="Q4603" t="s">
        <v>4836</v>
      </c>
      <c r="R4603">
        <v>16.059999999999999</v>
      </c>
      <c r="S4603">
        <v>1</v>
      </c>
      <c r="T4603">
        <v>0</v>
      </c>
      <c r="U4603">
        <v>4.1756000000000002</v>
      </c>
      <c r="V4603" t="str">
        <f t="shared" si="71"/>
        <v>Scot Coram</v>
      </c>
      <c r="W4603">
        <f>Table2[Profit]/Table2[Sales]</f>
        <v>0.26</v>
      </c>
    </row>
    <row r="4604" spans="1:23" x14ac:dyDescent="0.25">
      <c r="A4604">
        <v>4603</v>
      </c>
      <c r="B4604" t="s">
        <v>10236</v>
      </c>
      <c r="C4604" s="1">
        <v>43080</v>
      </c>
      <c r="D4604" s="1">
        <v>43083</v>
      </c>
      <c r="E4604" t="s">
        <v>22</v>
      </c>
      <c r="F4604" t="s">
        <v>10237</v>
      </c>
      <c r="G4604" t="s">
        <v>10238</v>
      </c>
      <c r="H4604" t="s">
        <v>101</v>
      </c>
      <c r="I4604" t="s">
        <v>26</v>
      </c>
      <c r="J4604" t="s">
        <v>2189</v>
      </c>
      <c r="K4604" t="s">
        <v>482</v>
      </c>
      <c r="L4604">
        <v>52601</v>
      </c>
      <c r="M4604" t="s">
        <v>104</v>
      </c>
      <c r="N4604" t="s">
        <v>4079</v>
      </c>
      <c r="O4604" t="s">
        <v>45</v>
      </c>
      <c r="P4604" t="s">
        <v>170</v>
      </c>
      <c r="Q4604" t="s">
        <v>4080</v>
      </c>
      <c r="R4604">
        <v>7.28</v>
      </c>
      <c r="S4604">
        <v>1</v>
      </c>
      <c r="T4604">
        <v>0</v>
      </c>
      <c r="U4604">
        <v>3.4944000000000002</v>
      </c>
      <c r="V4604" t="str">
        <f t="shared" si="71"/>
        <v>Roy Skaria</v>
      </c>
      <c r="W4604">
        <f>Table2[Profit]/Table2[Sales]</f>
        <v>0.48</v>
      </c>
    </row>
    <row r="4605" spans="1:23" x14ac:dyDescent="0.25">
      <c r="A4605">
        <v>4604</v>
      </c>
      <c r="B4605" t="s">
        <v>10239</v>
      </c>
      <c r="C4605" s="1">
        <v>42077</v>
      </c>
      <c r="D4605" s="1">
        <v>42082</v>
      </c>
      <c r="E4605" t="s">
        <v>49</v>
      </c>
      <c r="F4605" t="s">
        <v>3958</v>
      </c>
      <c r="G4605" t="s">
        <v>3959</v>
      </c>
      <c r="H4605" t="s">
        <v>25</v>
      </c>
      <c r="I4605" t="s">
        <v>26</v>
      </c>
      <c r="J4605" t="s">
        <v>560</v>
      </c>
      <c r="K4605" t="s">
        <v>42</v>
      </c>
      <c r="L4605">
        <v>95661</v>
      </c>
      <c r="M4605" t="s">
        <v>43</v>
      </c>
      <c r="N4605" t="s">
        <v>1086</v>
      </c>
      <c r="O4605" t="s">
        <v>45</v>
      </c>
      <c r="P4605" t="s">
        <v>89</v>
      </c>
      <c r="Q4605" t="s">
        <v>1087</v>
      </c>
      <c r="R4605">
        <v>19.440000000000001</v>
      </c>
      <c r="S4605">
        <v>3</v>
      </c>
      <c r="T4605">
        <v>0</v>
      </c>
      <c r="U4605">
        <v>9.3312000000000008</v>
      </c>
      <c r="V4605" t="str">
        <f t="shared" si="71"/>
        <v>Arianne Irving</v>
      </c>
      <c r="W4605">
        <f>Table2[Profit]/Table2[Sales]</f>
        <v>0.48000000000000004</v>
      </c>
    </row>
    <row r="4606" spans="1:23" x14ac:dyDescent="0.25">
      <c r="A4606">
        <v>4605</v>
      </c>
      <c r="B4606" t="s">
        <v>10240</v>
      </c>
      <c r="C4606" s="1">
        <v>41981</v>
      </c>
      <c r="D4606" s="1">
        <v>41988</v>
      </c>
      <c r="E4606" t="s">
        <v>49</v>
      </c>
      <c r="F4606" t="s">
        <v>2062</v>
      </c>
      <c r="G4606" t="s">
        <v>2063</v>
      </c>
      <c r="H4606" t="s">
        <v>40</v>
      </c>
      <c r="I4606" t="s">
        <v>26</v>
      </c>
      <c r="J4606" t="s">
        <v>126</v>
      </c>
      <c r="K4606" t="s">
        <v>42</v>
      </c>
      <c r="L4606">
        <v>94110</v>
      </c>
      <c r="M4606" t="s">
        <v>43</v>
      </c>
      <c r="N4606" t="s">
        <v>291</v>
      </c>
      <c r="O4606" t="s">
        <v>31</v>
      </c>
      <c r="P4606" t="s">
        <v>64</v>
      </c>
      <c r="Q4606" t="s">
        <v>292</v>
      </c>
      <c r="R4606">
        <v>39.880000000000003</v>
      </c>
      <c r="S4606">
        <v>2</v>
      </c>
      <c r="T4606">
        <v>0</v>
      </c>
      <c r="U4606">
        <v>11.166399999999999</v>
      </c>
      <c r="V4606" t="str">
        <f t="shared" si="71"/>
        <v>Denny Joy</v>
      </c>
      <c r="W4606">
        <f>Table2[Profit]/Table2[Sales]</f>
        <v>0.27999999999999997</v>
      </c>
    </row>
    <row r="4607" spans="1:23" x14ac:dyDescent="0.25">
      <c r="A4607">
        <v>4606</v>
      </c>
      <c r="B4607" t="s">
        <v>10241</v>
      </c>
      <c r="C4607" s="1">
        <v>43008</v>
      </c>
      <c r="D4607" s="1">
        <v>43010</v>
      </c>
      <c r="E4607" t="s">
        <v>185</v>
      </c>
      <c r="F4607" t="s">
        <v>4517</v>
      </c>
      <c r="G4607" t="s">
        <v>4518</v>
      </c>
      <c r="H4607" t="s">
        <v>40</v>
      </c>
      <c r="I4607" t="s">
        <v>26</v>
      </c>
      <c r="J4607" t="s">
        <v>143</v>
      </c>
      <c r="K4607" t="s">
        <v>144</v>
      </c>
      <c r="L4607">
        <v>19120</v>
      </c>
      <c r="M4607" t="s">
        <v>145</v>
      </c>
      <c r="N4607" t="s">
        <v>10242</v>
      </c>
      <c r="O4607" t="s">
        <v>45</v>
      </c>
      <c r="P4607" t="s">
        <v>46</v>
      </c>
      <c r="Q4607" t="s">
        <v>10243</v>
      </c>
      <c r="R4607">
        <v>20.664000000000001</v>
      </c>
      <c r="S4607">
        <v>7</v>
      </c>
      <c r="T4607">
        <v>0.2</v>
      </c>
      <c r="U4607">
        <v>6.9741</v>
      </c>
      <c r="V4607" t="str">
        <f t="shared" si="71"/>
        <v>Barbara Fisher</v>
      </c>
      <c r="W4607">
        <f>Table2[Profit]/Table2[Sales]</f>
        <v>0.33749999999999997</v>
      </c>
    </row>
    <row r="4608" spans="1:23" x14ac:dyDescent="0.25">
      <c r="A4608">
        <v>4607</v>
      </c>
      <c r="B4608" t="s">
        <v>10244</v>
      </c>
      <c r="C4608" s="1">
        <v>42695</v>
      </c>
      <c r="D4608" s="1">
        <v>42700</v>
      </c>
      <c r="E4608" t="s">
        <v>49</v>
      </c>
      <c r="F4608" t="s">
        <v>2139</v>
      </c>
      <c r="G4608" t="s">
        <v>2140</v>
      </c>
      <c r="H4608" t="s">
        <v>40</v>
      </c>
      <c r="I4608" t="s">
        <v>26</v>
      </c>
      <c r="J4608" t="s">
        <v>41</v>
      </c>
      <c r="K4608" t="s">
        <v>42</v>
      </c>
      <c r="L4608">
        <v>90049</v>
      </c>
      <c r="M4608" t="s">
        <v>43</v>
      </c>
      <c r="N4608" t="s">
        <v>1903</v>
      </c>
      <c r="O4608" t="s">
        <v>45</v>
      </c>
      <c r="P4608" t="s">
        <v>89</v>
      </c>
      <c r="Q4608" t="s">
        <v>1904</v>
      </c>
      <c r="R4608">
        <v>32.4</v>
      </c>
      <c r="S4608">
        <v>5</v>
      </c>
      <c r="T4608">
        <v>0</v>
      </c>
      <c r="U4608">
        <v>15.552</v>
      </c>
      <c r="V4608" t="str">
        <f t="shared" si="71"/>
        <v>Tiffany House</v>
      </c>
      <c r="W4608">
        <f>Table2[Profit]/Table2[Sales]</f>
        <v>0.48</v>
      </c>
    </row>
    <row r="4609" spans="1:23" x14ac:dyDescent="0.25">
      <c r="A4609">
        <v>4608</v>
      </c>
      <c r="B4609" t="s">
        <v>10245</v>
      </c>
      <c r="C4609" s="1">
        <v>43063</v>
      </c>
      <c r="D4609" s="1">
        <v>43069</v>
      </c>
      <c r="E4609" t="s">
        <v>49</v>
      </c>
      <c r="F4609" t="s">
        <v>6162</v>
      </c>
      <c r="G4609" t="s">
        <v>6163</v>
      </c>
      <c r="H4609" t="s">
        <v>40</v>
      </c>
      <c r="I4609" t="s">
        <v>26</v>
      </c>
      <c r="J4609" t="s">
        <v>6746</v>
      </c>
      <c r="K4609" t="s">
        <v>103</v>
      </c>
      <c r="L4609">
        <v>79762</v>
      </c>
      <c r="M4609" t="s">
        <v>104</v>
      </c>
      <c r="N4609" t="s">
        <v>105</v>
      </c>
      <c r="O4609" t="s">
        <v>45</v>
      </c>
      <c r="P4609" t="s">
        <v>77</v>
      </c>
      <c r="Q4609" t="s">
        <v>106</v>
      </c>
      <c r="R4609">
        <v>13.762</v>
      </c>
      <c r="S4609">
        <v>1</v>
      </c>
      <c r="T4609">
        <v>0.8</v>
      </c>
      <c r="U4609">
        <v>-24.771599999999999</v>
      </c>
      <c r="V4609" t="str">
        <f t="shared" si="71"/>
        <v>Jason Gross</v>
      </c>
      <c r="W4609">
        <f>Table2[Profit]/Table2[Sales]</f>
        <v>-1.7999999999999998</v>
      </c>
    </row>
    <row r="4610" spans="1:23" x14ac:dyDescent="0.25">
      <c r="A4610">
        <v>4609</v>
      </c>
      <c r="B4610" t="s">
        <v>10246</v>
      </c>
      <c r="C4610" s="1">
        <v>43053</v>
      </c>
      <c r="D4610" s="1">
        <v>43056</v>
      </c>
      <c r="E4610" t="s">
        <v>185</v>
      </c>
      <c r="F4610" t="s">
        <v>5046</v>
      </c>
      <c r="G4610" t="s">
        <v>5047</v>
      </c>
      <c r="H4610" t="s">
        <v>101</v>
      </c>
      <c r="I4610" t="s">
        <v>26</v>
      </c>
      <c r="J4610" t="s">
        <v>402</v>
      </c>
      <c r="K4610" t="s">
        <v>226</v>
      </c>
      <c r="L4610">
        <v>55407</v>
      </c>
      <c r="M4610" t="s">
        <v>104</v>
      </c>
      <c r="N4610" t="s">
        <v>2545</v>
      </c>
      <c r="O4610" t="s">
        <v>45</v>
      </c>
      <c r="P4610" t="s">
        <v>170</v>
      </c>
      <c r="Q4610" t="s">
        <v>2546</v>
      </c>
      <c r="R4610">
        <v>15.28</v>
      </c>
      <c r="S4610">
        <v>2</v>
      </c>
      <c r="T4610">
        <v>0</v>
      </c>
      <c r="U4610">
        <v>7.4871999999999996</v>
      </c>
      <c r="V4610" t="str">
        <f t="shared" si="71"/>
        <v>Arthur Wiediger</v>
      </c>
      <c r="W4610">
        <f>Table2[Profit]/Table2[Sales]</f>
        <v>0.49</v>
      </c>
    </row>
    <row r="4611" spans="1:23" x14ac:dyDescent="0.25">
      <c r="A4611">
        <v>4610</v>
      </c>
      <c r="B4611" t="s">
        <v>10247</v>
      </c>
      <c r="C4611" s="1">
        <v>42232</v>
      </c>
      <c r="D4611" s="1">
        <v>42236</v>
      </c>
      <c r="E4611" t="s">
        <v>49</v>
      </c>
      <c r="F4611" t="s">
        <v>4368</v>
      </c>
      <c r="G4611" t="s">
        <v>4369</v>
      </c>
      <c r="H4611" t="s">
        <v>25</v>
      </c>
      <c r="I4611" t="s">
        <v>26</v>
      </c>
      <c r="J4611" t="s">
        <v>143</v>
      </c>
      <c r="K4611" t="s">
        <v>144</v>
      </c>
      <c r="L4611">
        <v>19120</v>
      </c>
      <c r="M4611" t="s">
        <v>145</v>
      </c>
      <c r="N4611" t="s">
        <v>3291</v>
      </c>
      <c r="O4611" t="s">
        <v>45</v>
      </c>
      <c r="P4611" t="s">
        <v>58</v>
      </c>
      <c r="Q4611" t="s">
        <v>3292</v>
      </c>
      <c r="R4611">
        <v>44.688000000000002</v>
      </c>
      <c r="S4611">
        <v>7</v>
      </c>
      <c r="T4611">
        <v>0.2</v>
      </c>
      <c r="U4611">
        <v>3.3515999999999999</v>
      </c>
      <c r="V4611" t="str">
        <f t="shared" ref="V4611:V4674" si="72">TRIM(G4611)</f>
        <v>Joni Wasserman</v>
      </c>
      <c r="W4611">
        <f>Table2[Profit]/Table2[Sales]</f>
        <v>7.4999999999999997E-2</v>
      </c>
    </row>
    <row r="4612" spans="1:23" x14ac:dyDescent="0.25">
      <c r="A4612">
        <v>4611</v>
      </c>
      <c r="B4612" t="s">
        <v>10248</v>
      </c>
      <c r="C4612" s="1">
        <v>43021</v>
      </c>
      <c r="D4612" s="1">
        <v>43022</v>
      </c>
      <c r="E4612" t="s">
        <v>185</v>
      </c>
      <c r="F4612" t="s">
        <v>5857</v>
      </c>
      <c r="G4612" t="s">
        <v>5858</v>
      </c>
      <c r="H4612" t="s">
        <v>25</v>
      </c>
      <c r="I4612" t="s">
        <v>26</v>
      </c>
      <c r="J4612" t="s">
        <v>4182</v>
      </c>
      <c r="K4612" t="s">
        <v>729</v>
      </c>
      <c r="L4612">
        <v>70506</v>
      </c>
      <c r="M4612" t="s">
        <v>29</v>
      </c>
      <c r="N4612" t="s">
        <v>4873</v>
      </c>
      <c r="O4612" t="s">
        <v>45</v>
      </c>
      <c r="P4612" t="s">
        <v>46</v>
      </c>
      <c r="Q4612" t="s">
        <v>4874</v>
      </c>
      <c r="R4612">
        <v>11.07</v>
      </c>
      <c r="S4612">
        <v>3</v>
      </c>
      <c r="T4612">
        <v>0</v>
      </c>
      <c r="U4612">
        <v>5.2028999999999996</v>
      </c>
      <c r="V4612" t="str">
        <f t="shared" si="72"/>
        <v>Michelle Huthwaite</v>
      </c>
      <c r="W4612">
        <f>Table2[Profit]/Table2[Sales]</f>
        <v>0.47</v>
      </c>
    </row>
    <row r="4613" spans="1:23" x14ac:dyDescent="0.25">
      <c r="A4613">
        <v>4612</v>
      </c>
      <c r="B4613" t="s">
        <v>10249</v>
      </c>
      <c r="C4613" s="1">
        <v>43043</v>
      </c>
      <c r="D4613" s="1">
        <v>43043</v>
      </c>
      <c r="E4613" t="s">
        <v>1278</v>
      </c>
      <c r="F4613" t="s">
        <v>744</v>
      </c>
      <c r="G4613" t="s">
        <v>745</v>
      </c>
      <c r="H4613" t="s">
        <v>101</v>
      </c>
      <c r="I4613" t="s">
        <v>26</v>
      </c>
      <c r="J4613" t="s">
        <v>10250</v>
      </c>
      <c r="K4613" t="s">
        <v>103</v>
      </c>
      <c r="L4613">
        <v>77803</v>
      </c>
      <c r="M4613" t="s">
        <v>104</v>
      </c>
      <c r="N4613" t="s">
        <v>5554</v>
      </c>
      <c r="O4613" t="s">
        <v>45</v>
      </c>
      <c r="P4613" t="s">
        <v>74</v>
      </c>
      <c r="Q4613" t="s">
        <v>5555</v>
      </c>
      <c r="R4613">
        <v>7.5359999999999996</v>
      </c>
      <c r="S4613">
        <v>6</v>
      </c>
      <c r="T4613">
        <v>0.8</v>
      </c>
      <c r="U4613">
        <v>-13.188000000000001</v>
      </c>
      <c r="V4613" t="str">
        <f t="shared" si="72"/>
        <v>Frank Merwin</v>
      </c>
      <c r="W4613">
        <f>Table2[Profit]/Table2[Sales]</f>
        <v>-1.7500000000000002</v>
      </c>
    </row>
    <row r="4614" spans="1:23" x14ac:dyDescent="0.25">
      <c r="A4614">
        <v>4613</v>
      </c>
      <c r="B4614" t="s">
        <v>10251</v>
      </c>
      <c r="C4614" s="1">
        <v>42813</v>
      </c>
      <c r="D4614" s="1">
        <v>42818</v>
      </c>
      <c r="E4614" t="s">
        <v>49</v>
      </c>
      <c r="F4614" t="s">
        <v>3587</v>
      </c>
      <c r="G4614" t="s">
        <v>3588</v>
      </c>
      <c r="H4614" t="s">
        <v>40</v>
      </c>
      <c r="I4614" t="s">
        <v>26</v>
      </c>
      <c r="J4614" t="s">
        <v>41</v>
      </c>
      <c r="K4614" t="s">
        <v>42</v>
      </c>
      <c r="L4614">
        <v>90008</v>
      </c>
      <c r="M4614" t="s">
        <v>43</v>
      </c>
      <c r="N4614" t="s">
        <v>5257</v>
      </c>
      <c r="O4614" t="s">
        <v>45</v>
      </c>
      <c r="P4614" t="s">
        <v>77</v>
      </c>
      <c r="Q4614" t="s">
        <v>5258</v>
      </c>
      <c r="R4614">
        <v>381.36</v>
      </c>
      <c r="S4614">
        <v>7</v>
      </c>
      <c r="T4614">
        <v>0</v>
      </c>
      <c r="U4614">
        <v>106.7808</v>
      </c>
      <c r="V4614" t="str">
        <f t="shared" si="72"/>
        <v>George Zrebassa</v>
      </c>
      <c r="W4614">
        <f>Table2[Profit]/Table2[Sales]</f>
        <v>0.27999999999999997</v>
      </c>
    </row>
    <row r="4615" spans="1:23" x14ac:dyDescent="0.25">
      <c r="A4615">
        <v>4614</v>
      </c>
      <c r="B4615" t="s">
        <v>10252</v>
      </c>
      <c r="C4615" s="1">
        <v>41946</v>
      </c>
      <c r="D4615" s="1">
        <v>41946</v>
      </c>
      <c r="E4615" t="s">
        <v>1278</v>
      </c>
      <c r="F4615" t="s">
        <v>3535</v>
      </c>
      <c r="G4615" t="s">
        <v>3536</v>
      </c>
      <c r="H4615" t="s">
        <v>101</v>
      </c>
      <c r="I4615" t="s">
        <v>26</v>
      </c>
      <c r="J4615" t="s">
        <v>41</v>
      </c>
      <c r="K4615" t="s">
        <v>42</v>
      </c>
      <c r="L4615">
        <v>90049</v>
      </c>
      <c r="M4615" t="s">
        <v>43</v>
      </c>
      <c r="N4615" t="s">
        <v>280</v>
      </c>
      <c r="O4615" t="s">
        <v>45</v>
      </c>
      <c r="P4615" t="s">
        <v>67</v>
      </c>
      <c r="Q4615" t="s">
        <v>281</v>
      </c>
      <c r="R4615">
        <v>6.72</v>
      </c>
      <c r="S4615">
        <v>4</v>
      </c>
      <c r="T4615">
        <v>0</v>
      </c>
      <c r="U4615">
        <v>3.36</v>
      </c>
      <c r="V4615" t="str">
        <f t="shared" si="72"/>
        <v>Tracy Collins</v>
      </c>
      <c r="W4615">
        <f>Table2[Profit]/Table2[Sales]</f>
        <v>0.5</v>
      </c>
    </row>
    <row r="4616" spans="1:23" x14ac:dyDescent="0.25">
      <c r="A4616">
        <v>4615</v>
      </c>
      <c r="B4616" t="s">
        <v>10253</v>
      </c>
      <c r="C4616" s="1">
        <v>42939</v>
      </c>
      <c r="D4616" s="1">
        <v>42942</v>
      </c>
      <c r="E4616" t="s">
        <v>185</v>
      </c>
      <c r="F4616" t="s">
        <v>161</v>
      </c>
      <c r="G4616" t="s">
        <v>162</v>
      </c>
      <c r="H4616" t="s">
        <v>25</v>
      </c>
      <c r="I4616" t="s">
        <v>26</v>
      </c>
      <c r="J4616" t="s">
        <v>41</v>
      </c>
      <c r="K4616" t="s">
        <v>42</v>
      </c>
      <c r="L4616">
        <v>90045</v>
      </c>
      <c r="M4616" t="s">
        <v>43</v>
      </c>
      <c r="N4616" t="s">
        <v>3280</v>
      </c>
      <c r="O4616" t="s">
        <v>45</v>
      </c>
      <c r="P4616" t="s">
        <v>74</v>
      </c>
      <c r="Q4616" t="s">
        <v>3281</v>
      </c>
      <c r="R4616">
        <v>15.192</v>
      </c>
      <c r="S4616">
        <v>3</v>
      </c>
      <c r="T4616">
        <v>0.2</v>
      </c>
      <c r="U4616">
        <v>5.5071000000000003</v>
      </c>
      <c r="V4616" t="str">
        <f t="shared" si="72"/>
        <v>Tracy Blumstein</v>
      </c>
      <c r="W4616">
        <f>Table2[Profit]/Table2[Sales]</f>
        <v>0.36250000000000004</v>
      </c>
    </row>
    <row r="4617" spans="1:23" x14ac:dyDescent="0.25">
      <c r="A4617">
        <v>4616</v>
      </c>
      <c r="B4617" t="s">
        <v>10254</v>
      </c>
      <c r="C4617" s="1">
        <v>42000</v>
      </c>
      <c r="D4617" s="1">
        <v>42004</v>
      </c>
      <c r="E4617" t="s">
        <v>49</v>
      </c>
      <c r="F4617" t="s">
        <v>2146</v>
      </c>
      <c r="G4617" t="s">
        <v>2147</v>
      </c>
      <c r="H4617" t="s">
        <v>25</v>
      </c>
      <c r="I4617" t="s">
        <v>26</v>
      </c>
      <c r="J4617" t="s">
        <v>537</v>
      </c>
      <c r="K4617" t="s">
        <v>303</v>
      </c>
      <c r="L4617">
        <v>85023</v>
      </c>
      <c r="M4617" t="s">
        <v>43</v>
      </c>
      <c r="N4617" t="s">
        <v>509</v>
      </c>
      <c r="O4617" t="s">
        <v>45</v>
      </c>
      <c r="P4617" t="s">
        <v>74</v>
      </c>
      <c r="Q4617" t="s">
        <v>510</v>
      </c>
      <c r="R4617">
        <v>946.76400000000001</v>
      </c>
      <c r="S4617">
        <v>6</v>
      </c>
      <c r="T4617">
        <v>0.7</v>
      </c>
      <c r="U4617">
        <v>-694.29359999999997</v>
      </c>
      <c r="V4617" t="str">
        <f t="shared" si="72"/>
        <v>Resi Pölking</v>
      </c>
      <c r="W4617">
        <f>Table2[Profit]/Table2[Sales]</f>
        <v>-0.73333333333333328</v>
      </c>
    </row>
    <row r="4618" spans="1:23" x14ac:dyDescent="0.25">
      <c r="A4618">
        <v>4617</v>
      </c>
      <c r="B4618" t="s">
        <v>10255</v>
      </c>
      <c r="C4618" s="1">
        <v>42615</v>
      </c>
      <c r="D4618" s="1">
        <v>42619</v>
      </c>
      <c r="E4618" t="s">
        <v>49</v>
      </c>
      <c r="F4618" t="s">
        <v>1962</v>
      </c>
      <c r="G4618" t="s">
        <v>1963</v>
      </c>
      <c r="H4618" t="s">
        <v>25</v>
      </c>
      <c r="I4618" t="s">
        <v>26</v>
      </c>
      <c r="J4618" t="s">
        <v>41</v>
      </c>
      <c r="K4618" t="s">
        <v>42</v>
      </c>
      <c r="L4618">
        <v>90036</v>
      </c>
      <c r="M4618" t="s">
        <v>43</v>
      </c>
      <c r="N4618" t="s">
        <v>4596</v>
      </c>
      <c r="O4618" t="s">
        <v>31</v>
      </c>
      <c r="P4618" t="s">
        <v>64</v>
      </c>
      <c r="Q4618" t="s">
        <v>4597</v>
      </c>
      <c r="R4618">
        <v>94.68</v>
      </c>
      <c r="S4618">
        <v>9</v>
      </c>
      <c r="T4618">
        <v>0</v>
      </c>
      <c r="U4618">
        <v>31.244399999999999</v>
      </c>
      <c r="V4618" t="str">
        <f t="shared" si="72"/>
        <v>Lena Radford</v>
      </c>
      <c r="W4618">
        <f>Table2[Profit]/Table2[Sales]</f>
        <v>0.32999999999999996</v>
      </c>
    </row>
    <row r="4619" spans="1:23" x14ac:dyDescent="0.25">
      <c r="A4619">
        <v>4618</v>
      </c>
      <c r="B4619" t="s">
        <v>10256</v>
      </c>
      <c r="C4619" s="1">
        <v>42777</v>
      </c>
      <c r="D4619" s="1">
        <v>42780</v>
      </c>
      <c r="E4619" t="s">
        <v>185</v>
      </c>
      <c r="F4619" t="s">
        <v>4882</v>
      </c>
      <c r="G4619" t="s">
        <v>4883</v>
      </c>
      <c r="H4619" t="s">
        <v>25</v>
      </c>
      <c r="I4619" t="s">
        <v>26</v>
      </c>
      <c r="J4619" t="s">
        <v>490</v>
      </c>
      <c r="K4619" t="s">
        <v>491</v>
      </c>
      <c r="L4619">
        <v>43229</v>
      </c>
      <c r="M4619" t="s">
        <v>145</v>
      </c>
      <c r="N4619" t="s">
        <v>2840</v>
      </c>
      <c r="O4619" t="s">
        <v>31</v>
      </c>
      <c r="P4619" t="s">
        <v>64</v>
      </c>
      <c r="Q4619" t="s">
        <v>2841</v>
      </c>
      <c r="R4619">
        <v>147.56800000000001</v>
      </c>
      <c r="S4619">
        <v>2</v>
      </c>
      <c r="T4619">
        <v>0.2</v>
      </c>
      <c r="U4619">
        <v>-3.6892</v>
      </c>
      <c r="V4619" t="str">
        <f t="shared" si="72"/>
        <v>Magdelene Morse</v>
      </c>
      <c r="W4619">
        <f>Table2[Profit]/Table2[Sales]</f>
        <v>-2.4999999999999998E-2</v>
      </c>
    </row>
    <row r="4620" spans="1:23" x14ac:dyDescent="0.25">
      <c r="A4620">
        <v>4619</v>
      </c>
      <c r="B4620" t="s">
        <v>10257</v>
      </c>
      <c r="C4620" s="1">
        <v>43035</v>
      </c>
      <c r="D4620" s="1">
        <v>43041</v>
      </c>
      <c r="E4620" t="s">
        <v>49</v>
      </c>
      <c r="F4620" t="s">
        <v>1993</v>
      </c>
      <c r="G4620" t="s">
        <v>1994</v>
      </c>
      <c r="H4620" t="s">
        <v>40</v>
      </c>
      <c r="I4620" t="s">
        <v>26</v>
      </c>
      <c r="J4620" t="s">
        <v>5531</v>
      </c>
      <c r="K4620" t="s">
        <v>53</v>
      </c>
      <c r="L4620">
        <v>32303</v>
      </c>
      <c r="M4620" t="s">
        <v>29</v>
      </c>
      <c r="N4620" t="s">
        <v>3374</v>
      </c>
      <c r="O4620" t="s">
        <v>45</v>
      </c>
      <c r="P4620" t="s">
        <v>89</v>
      </c>
      <c r="Q4620" t="s">
        <v>183</v>
      </c>
      <c r="R4620">
        <v>56.783999999999999</v>
      </c>
      <c r="S4620">
        <v>7</v>
      </c>
      <c r="T4620">
        <v>0.2</v>
      </c>
      <c r="U4620">
        <v>20.584199999999999</v>
      </c>
      <c r="V4620" t="str">
        <f t="shared" si="72"/>
        <v>Nona Balk</v>
      </c>
      <c r="W4620">
        <f>Table2[Profit]/Table2[Sales]</f>
        <v>0.36249999999999999</v>
      </c>
    </row>
    <row r="4621" spans="1:23" x14ac:dyDescent="0.25">
      <c r="A4621">
        <v>4620</v>
      </c>
      <c r="B4621" t="s">
        <v>10258</v>
      </c>
      <c r="C4621" s="1">
        <v>41829</v>
      </c>
      <c r="D4621" s="1">
        <v>41834</v>
      </c>
      <c r="E4621" t="s">
        <v>49</v>
      </c>
      <c r="F4621" t="s">
        <v>2319</v>
      </c>
      <c r="G4621" t="s">
        <v>2320</v>
      </c>
      <c r="H4621" t="s">
        <v>101</v>
      </c>
      <c r="I4621" t="s">
        <v>26</v>
      </c>
      <c r="J4621" t="s">
        <v>126</v>
      </c>
      <c r="K4621" t="s">
        <v>42</v>
      </c>
      <c r="L4621">
        <v>94122</v>
      </c>
      <c r="M4621" t="s">
        <v>43</v>
      </c>
      <c r="N4621" t="s">
        <v>439</v>
      </c>
      <c r="O4621" t="s">
        <v>45</v>
      </c>
      <c r="P4621" t="s">
        <v>74</v>
      </c>
      <c r="Q4621" t="s">
        <v>440</v>
      </c>
      <c r="R4621">
        <v>14.304</v>
      </c>
      <c r="S4621">
        <v>6</v>
      </c>
      <c r="T4621">
        <v>0.2</v>
      </c>
      <c r="U4621">
        <v>4.6487999999999996</v>
      </c>
      <c r="V4621" t="str">
        <f t="shared" si="72"/>
        <v>Darrin Sayre</v>
      </c>
      <c r="W4621">
        <f>Table2[Profit]/Table2[Sales]</f>
        <v>0.32499999999999996</v>
      </c>
    </row>
    <row r="4622" spans="1:23" x14ac:dyDescent="0.25">
      <c r="A4622">
        <v>4621</v>
      </c>
      <c r="B4622" t="s">
        <v>10259</v>
      </c>
      <c r="C4622" s="1">
        <v>42877</v>
      </c>
      <c r="D4622" s="1">
        <v>42881</v>
      </c>
      <c r="E4622" t="s">
        <v>49</v>
      </c>
      <c r="F4622" t="s">
        <v>5906</v>
      </c>
      <c r="G4622" t="s">
        <v>5907</v>
      </c>
      <c r="H4622" t="s">
        <v>101</v>
      </c>
      <c r="I4622" t="s">
        <v>26</v>
      </c>
      <c r="J4622" t="s">
        <v>126</v>
      </c>
      <c r="K4622" t="s">
        <v>42</v>
      </c>
      <c r="L4622">
        <v>94109</v>
      </c>
      <c r="M4622" t="s">
        <v>43</v>
      </c>
      <c r="N4622" t="s">
        <v>1106</v>
      </c>
      <c r="O4622" t="s">
        <v>45</v>
      </c>
      <c r="P4622" t="s">
        <v>67</v>
      </c>
      <c r="Q4622" t="s">
        <v>1107</v>
      </c>
      <c r="R4622">
        <v>9.84</v>
      </c>
      <c r="S4622">
        <v>3</v>
      </c>
      <c r="T4622">
        <v>0</v>
      </c>
      <c r="U4622">
        <v>2.8536000000000001</v>
      </c>
      <c r="V4622" t="str">
        <f t="shared" si="72"/>
        <v>Vicky Freymann</v>
      </c>
      <c r="W4622">
        <f>Table2[Profit]/Table2[Sales]</f>
        <v>0.29000000000000004</v>
      </c>
    </row>
    <row r="4623" spans="1:23" x14ac:dyDescent="0.25">
      <c r="A4623">
        <v>4622</v>
      </c>
      <c r="B4623" t="s">
        <v>10260</v>
      </c>
      <c r="C4623" s="1">
        <v>42684</v>
      </c>
      <c r="D4623" s="1">
        <v>42688</v>
      </c>
      <c r="E4623" t="s">
        <v>49</v>
      </c>
      <c r="F4623" t="s">
        <v>2855</v>
      </c>
      <c r="G4623" t="s">
        <v>2856</v>
      </c>
      <c r="H4623" t="s">
        <v>25</v>
      </c>
      <c r="I4623" t="s">
        <v>26</v>
      </c>
      <c r="J4623" t="s">
        <v>263</v>
      </c>
      <c r="K4623" t="s">
        <v>264</v>
      </c>
      <c r="L4623">
        <v>10009</v>
      </c>
      <c r="M4623" t="s">
        <v>145</v>
      </c>
      <c r="N4623" t="s">
        <v>1014</v>
      </c>
      <c r="O4623" t="s">
        <v>45</v>
      </c>
      <c r="P4623" t="s">
        <v>74</v>
      </c>
      <c r="Q4623" t="s">
        <v>1015</v>
      </c>
      <c r="R4623">
        <v>3.64</v>
      </c>
      <c r="S4623">
        <v>1</v>
      </c>
      <c r="T4623">
        <v>0.2</v>
      </c>
      <c r="U4623">
        <v>1.365</v>
      </c>
      <c r="V4623" t="str">
        <f t="shared" si="72"/>
        <v>Scott Williamson</v>
      </c>
      <c r="W4623">
        <f>Table2[Profit]/Table2[Sales]</f>
        <v>0.375</v>
      </c>
    </row>
    <row r="4624" spans="1:23" x14ac:dyDescent="0.25">
      <c r="A4624">
        <v>4623</v>
      </c>
      <c r="B4624" t="s">
        <v>10261</v>
      </c>
      <c r="C4624" s="1">
        <v>42706</v>
      </c>
      <c r="D4624" s="1">
        <v>42710</v>
      </c>
      <c r="E4624" t="s">
        <v>49</v>
      </c>
      <c r="F4624" t="s">
        <v>3804</v>
      </c>
      <c r="G4624" t="s">
        <v>3805</v>
      </c>
      <c r="H4624" t="s">
        <v>40</v>
      </c>
      <c r="I4624" t="s">
        <v>26</v>
      </c>
      <c r="J4624" t="s">
        <v>5073</v>
      </c>
      <c r="K4624" t="s">
        <v>482</v>
      </c>
      <c r="L4624">
        <v>52302</v>
      </c>
      <c r="M4624" t="s">
        <v>104</v>
      </c>
      <c r="N4624" t="s">
        <v>1901</v>
      </c>
      <c r="O4624" t="s">
        <v>45</v>
      </c>
      <c r="P4624" t="s">
        <v>74</v>
      </c>
      <c r="Q4624" t="s">
        <v>1902</v>
      </c>
      <c r="R4624">
        <v>115.84</v>
      </c>
      <c r="S4624">
        <v>8</v>
      </c>
      <c r="T4624">
        <v>0</v>
      </c>
      <c r="U4624">
        <v>54.444800000000001</v>
      </c>
      <c r="V4624" t="str">
        <f t="shared" si="72"/>
        <v>Pauline Webber</v>
      </c>
      <c r="W4624">
        <f>Table2[Profit]/Table2[Sales]</f>
        <v>0.47</v>
      </c>
    </row>
    <row r="4625" spans="1:23" x14ac:dyDescent="0.25">
      <c r="A4625">
        <v>4624</v>
      </c>
      <c r="B4625" t="s">
        <v>10262</v>
      </c>
      <c r="C4625" s="1">
        <v>42796</v>
      </c>
      <c r="D4625" s="1">
        <v>42802</v>
      </c>
      <c r="E4625" t="s">
        <v>49</v>
      </c>
      <c r="F4625" t="s">
        <v>5516</v>
      </c>
      <c r="G4625" t="s">
        <v>5517</v>
      </c>
      <c r="H4625" t="s">
        <v>40</v>
      </c>
      <c r="I4625" t="s">
        <v>26</v>
      </c>
      <c r="J4625" t="s">
        <v>41</v>
      </c>
      <c r="K4625" t="s">
        <v>42</v>
      </c>
      <c r="L4625">
        <v>90008</v>
      </c>
      <c r="M4625" t="s">
        <v>43</v>
      </c>
      <c r="N4625" t="s">
        <v>4213</v>
      </c>
      <c r="O4625" t="s">
        <v>45</v>
      </c>
      <c r="P4625" t="s">
        <v>74</v>
      </c>
      <c r="Q4625" t="s">
        <v>4214</v>
      </c>
      <c r="R4625">
        <v>107.648</v>
      </c>
      <c r="S4625">
        <v>2</v>
      </c>
      <c r="T4625">
        <v>0.2</v>
      </c>
      <c r="U4625">
        <v>33.64</v>
      </c>
      <c r="V4625" t="str">
        <f t="shared" si="72"/>
        <v>Ken Dana</v>
      </c>
      <c r="W4625">
        <f>Table2[Profit]/Table2[Sales]</f>
        <v>0.3125</v>
      </c>
    </row>
    <row r="4626" spans="1:23" x14ac:dyDescent="0.25">
      <c r="A4626">
        <v>4625</v>
      </c>
      <c r="B4626" t="s">
        <v>10263</v>
      </c>
      <c r="C4626" s="1">
        <v>43001</v>
      </c>
      <c r="D4626" s="1">
        <v>43003</v>
      </c>
      <c r="E4626" t="s">
        <v>22</v>
      </c>
      <c r="F4626" t="s">
        <v>8310</v>
      </c>
      <c r="G4626" t="s">
        <v>8311</v>
      </c>
      <c r="H4626" t="s">
        <v>25</v>
      </c>
      <c r="I4626" t="s">
        <v>26</v>
      </c>
      <c r="J4626" t="s">
        <v>10264</v>
      </c>
      <c r="K4626" t="s">
        <v>1683</v>
      </c>
      <c r="L4626">
        <v>71603</v>
      </c>
      <c r="M4626" t="s">
        <v>29</v>
      </c>
      <c r="N4626" t="s">
        <v>4831</v>
      </c>
      <c r="O4626" t="s">
        <v>70</v>
      </c>
      <c r="P4626" t="s">
        <v>158</v>
      </c>
      <c r="Q4626" t="s">
        <v>4832</v>
      </c>
      <c r="R4626">
        <v>199.95</v>
      </c>
      <c r="S4626">
        <v>5</v>
      </c>
      <c r="T4626">
        <v>0</v>
      </c>
      <c r="U4626">
        <v>63.984000000000002</v>
      </c>
      <c r="V4626" t="str">
        <f t="shared" si="72"/>
        <v>Doug O'Connell</v>
      </c>
      <c r="W4626">
        <f>Table2[Profit]/Table2[Sales]</f>
        <v>0.32</v>
      </c>
    </row>
    <row r="4627" spans="1:23" x14ac:dyDescent="0.25">
      <c r="A4627">
        <v>4626</v>
      </c>
      <c r="B4627" t="s">
        <v>10265</v>
      </c>
      <c r="C4627" s="1">
        <v>41681</v>
      </c>
      <c r="D4627" s="1">
        <v>41685</v>
      </c>
      <c r="E4627" t="s">
        <v>22</v>
      </c>
      <c r="F4627" t="s">
        <v>2589</v>
      </c>
      <c r="G4627" t="s">
        <v>2590</v>
      </c>
      <c r="H4627" t="s">
        <v>25</v>
      </c>
      <c r="I4627" t="s">
        <v>26</v>
      </c>
      <c r="J4627" t="s">
        <v>375</v>
      </c>
      <c r="K4627" t="s">
        <v>590</v>
      </c>
      <c r="L4627">
        <v>65203</v>
      </c>
      <c r="M4627" t="s">
        <v>104</v>
      </c>
      <c r="N4627" t="s">
        <v>297</v>
      </c>
      <c r="O4627" t="s">
        <v>31</v>
      </c>
      <c r="P4627" t="s">
        <v>35</v>
      </c>
      <c r="Q4627" t="s">
        <v>298</v>
      </c>
      <c r="R4627">
        <v>60.89</v>
      </c>
      <c r="S4627">
        <v>1</v>
      </c>
      <c r="T4627">
        <v>0</v>
      </c>
      <c r="U4627">
        <v>15.2225</v>
      </c>
      <c r="V4627" t="str">
        <f t="shared" si="72"/>
        <v>Guy Armstrong</v>
      </c>
      <c r="W4627">
        <f>Table2[Profit]/Table2[Sales]</f>
        <v>0.25</v>
      </c>
    </row>
    <row r="4628" spans="1:23" x14ac:dyDescent="0.25">
      <c r="A4628">
        <v>4627</v>
      </c>
      <c r="B4628" t="s">
        <v>10266</v>
      </c>
      <c r="C4628" s="1">
        <v>43050</v>
      </c>
      <c r="D4628" s="1">
        <v>43053</v>
      </c>
      <c r="E4628" t="s">
        <v>22</v>
      </c>
      <c r="F4628" t="s">
        <v>1246</v>
      </c>
      <c r="G4628" t="s">
        <v>1247</v>
      </c>
      <c r="H4628" t="s">
        <v>25</v>
      </c>
      <c r="I4628" t="s">
        <v>26</v>
      </c>
      <c r="J4628" t="s">
        <v>10267</v>
      </c>
      <c r="K4628" t="s">
        <v>5216</v>
      </c>
      <c r="L4628">
        <v>57401</v>
      </c>
      <c r="M4628" t="s">
        <v>104</v>
      </c>
      <c r="N4628" t="s">
        <v>8366</v>
      </c>
      <c r="O4628" t="s">
        <v>45</v>
      </c>
      <c r="P4628" t="s">
        <v>572</v>
      </c>
      <c r="Q4628" t="s">
        <v>8367</v>
      </c>
      <c r="R4628">
        <v>25.5</v>
      </c>
      <c r="S4628">
        <v>3</v>
      </c>
      <c r="T4628">
        <v>0</v>
      </c>
      <c r="U4628">
        <v>6.63</v>
      </c>
      <c r="V4628" t="str">
        <f t="shared" si="72"/>
        <v>Jeremy Lonsdale</v>
      </c>
      <c r="W4628">
        <f>Table2[Profit]/Table2[Sales]</f>
        <v>0.26</v>
      </c>
    </row>
    <row r="4629" spans="1:23" x14ac:dyDescent="0.25">
      <c r="A4629">
        <v>4628</v>
      </c>
      <c r="B4629" t="s">
        <v>10268</v>
      </c>
      <c r="C4629" s="1">
        <v>42980</v>
      </c>
      <c r="D4629" s="1">
        <v>42980</v>
      </c>
      <c r="E4629" t="s">
        <v>1278</v>
      </c>
      <c r="F4629" t="s">
        <v>6558</v>
      </c>
      <c r="G4629" t="s">
        <v>6559</v>
      </c>
      <c r="H4629" t="s">
        <v>101</v>
      </c>
      <c r="I4629" t="s">
        <v>26</v>
      </c>
      <c r="J4629" t="s">
        <v>94</v>
      </c>
      <c r="K4629" t="s">
        <v>95</v>
      </c>
      <c r="L4629">
        <v>98103</v>
      </c>
      <c r="M4629" t="s">
        <v>43</v>
      </c>
      <c r="N4629" t="s">
        <v>258</v>
      </c>
      <c r="O4629" t="s">
        <v>31</v>
      </c>
      <c r="P4629" t="s">
        <v>35</v>
      </c>
      <c r="Q4629" t="s">
        <v>259</v>
      </c>
      <c r="R4629">
        <v>215.976</v>
      </c>
      <c r="S4629">
        <v>3</v>
      </c>
      <c r="T4629">
        <v>0.2</v>
      </c>
      <c r="U4629">
        <v>-2.6997</v>
      </c>
      <c r="V4629" t="str">
        <f t="shared" si="72"/>
        <v>Stephanie Ulpright</v>
      </c>
      <c r="W4629">
        <f>Table2[Profit]/Table2[Sales]</f>
        <v>-1.2500000000000001E-2</v>
      </c>
    </row>
    <row r="4630" spans="1:23" x14ac:dyDescent="0.25">
      <c r="A4630">
        <v>4629</v>
      </c>
      <c r="B4630" t="s">
        <v>10269</v>
      </c>
      <c r="C4630" s="1">
        <v>42286</v>
      </c>
      <c r="D4630" s="1">
        <v>42290</v>
      </c>
      <c r="E4630" t="s">
        <v>49</v>
      </c>
      <c r="F4630" t="s">
        <v>2050</v>
      </c>
      <c r="G4630" t="s">
        <v>2051</v>
      </c>
      <c r="H4630" t="s">
        <v>25</v>
      </c>
      <c r="I4630" t="s">
        <v>26</v>
      </c>
      <c r="J4630" t="s">
        <v>873</v>
      </c>
      <c r="K4630" t="s">
        <v>235</v>
      </c>
      <c r="L4630">
        <v>48227</v>
      </c>
      <c r="M4630" t="s">
        <v>104</v>
      </c>
      <c r="N4630" t="s">
        <v>329</v>
      </c>
      <c r="O4630" t="s">
        <v>31</v>
      </c>
      <c r="P4630" t="s">
        <v>35</v>
      </c>
      <c r="Q4630" t="s">
        <v>330</v>
      </c>
      <c r="R4630">
        <v>389.97</v>
      </c>
      <c r="S4630">
        <v>3</v>
      </c>
      <c r="T4630">
        <v>0</v>
      </c>
      <c r="U4630">
        <v>35.097299999999997</v>
      </c>
      <c r="V4630" t="str">
        <f t="shared" si="72"/>
        <v>Fred McMath</v>
      </c>
      <c r="W4630">
        <f>Table2[Profit]/Table2[Sales]</f>
        <v>8.9999999999999983E-2</v>
      </c>
    </row>
    <row r="4631" spans="1:23" x14ac:dyDescent="0.25">
      <c r="A4631">
        <v>4630</v>
      </c>
      <c r="B4631" t="s">
        <v>10270</v>
      </c>
      <c r="C4631" s="1">
        <v>43063</v>
      </c>
      <c r="D4631" s="1">
        <v>43070</v>
      </c>
      <c r="E4631" t="s">
        <v>49</v>
      </c>
      <c r="F4631" t="s">
        <v>1695</v>
      </c>
      <c r="G4631" t="s">
        <v>1696</v>
      </c>
      <c r="H4631" t="s">
        <v>40</v>
      </c>
      <c r="I4631" t="s">
        <v>26</v>
      </c>
      <c r="J4631" t="s">
        <v>327</v>
      </c>
      <c r="K4631" t="s">
        <v>328</v>
      </c>
      <c r="L4631">
        <v>38109</v>
      </c>
      <c r="M4631" t="s">
        <v>29</v>
      </c>
      <c r="N4631" t="s">
        <v>7191</v>
      </c>
      <c r="O4631" t="s">
        <v>45</v>
      </c>
      <c r="P4631" t="s">
        <v>74</v>
      </c>
      <c r="Q4631" t="s">
        <v>7192</v>
      </c>
      <c r="R4631">
        <v>11.673</v>
      </c>
      <c r="S4631">
        <v>3</v>
      </c>
      <c r="T4631">
        <v>0.7</v>
      </c>
      <c r="U4631">
        <v>-7.782</v>
      </c>
      <c r="V4631" t="str">
        <f t="shared" si="72"/>
        <v>Maribeth Yedwab</v>
      </c>
      <c r="W4631">
        <f>Table2[Profit]/Table2[Sales]</f>
        <v>-0.66666666666666663</v>
      </c>
    </row>
    <row r="4632" spans="1:23" x14ac:dyDescent="0.25">
      <c r="A4632">
        <v>4631</v>
      </c>
      <c r="B4632" t="s">
        <v>10271</v>
      </c>
      <c r="C4632" s="1">
        <v>41678</v>
      </c>
      <c r="D4632" s="1">
        <v>41679</v>
      </c>
      <c r="E4632" t="s">
        <v>185</v>
      </c>
      <c r="F4632" t="s">
        <v>1152</v>
      </c>
      <c r="G4632" t="s">
        <v>1153</v>
      </c>
      <c r="H4632" t="s">
        <v>101</v>
      </c>
      <c r="I4632" t="s">
        <v>26</v>
      </c>
      <c r="J4632" t="s">
        <v>3961</v>
      </c>
      <c r="K4632" t="s">
        <v>1381</v>
      </c>
      <c r="L4632">
        <v>89031</v>
      </c>
      <c r="M4632" t="s">
        <v>43</v>
      </c>
      <c r="N4632" t="s">
        <v>7420</v>
      </c>
      <c r="O4632" t="s">
        <v>31</v>
      </c>
      <c r="P4632" t="s">
        <v>64</v>
      </c>
      <c r="Q4632" t="s">
        <v>7421</v>
      </c>
      <c r="R4632">
        <v>14.56</v>
      </c>
      <c r="S4632">
        <v>2</v>
      </c>
      <c r="T4632">
        <v>0</v>
      </c>
      <c r="U4632">
        <v>5.5327999999999999</v>
      </c>
      <c r="V4632" t="str">
        <f t="shared" si="72"/>
        <v>Nathan Mautz</v>
      </c>
      <c r="W4632">
        <f>Table2[Profit]/Table2[Sales]</f>
        <v>0.38</v>
      </c>
    </row>
    <row r="4633" spans="1:23" x14ac:dyDescent="0.25">
      <c r="A4633">
        <v>4632</v>
      </c>
      <c r="B4633" t="s">
        <v>10272</v>
      </c>
      <c r="C4633" s="1">
        <v>42272</v>
      </c>
      <c r="D4633" s="1">
        <v>42272</v>
      </c>
      <c r="E4633" t="s">
        <v>1278</v>
      </c>
      <c r="F4633" t="s">
        <v>1924</v>
      </c>
      <c r="G4633" t="s">
        <v>1925</v>
      </c>
      <c r="H4633" t="s">
        <v>25</v>
      </c>
      <c r="I4633" t="s">
        <v>26</v>
      </c>
      <c r="J4633" t="s">
        <v>3637</v>
      </c>
      <c r="K4633" t="s">
        <v>264</v>
      </c>
      <c r="L4633">
        <v>11520</v>
      </c>
      <c r="M4633" t="s">
        <v>145</v>
      </c>
      <c r="N4633" t="s">
        <v>8175</v>
      </c>
      <c r="O4633" t="s">
        <v>31</v>
      </c>
      <c r="P4633" t="s">
        <v>35</v>
      </c>
      <c r="Q4633" t="s">
        <v>8176</v>
      </c>
      <c r="R4633">
        <v>102.58199999999999</v>
      </c>
      <c r="S4633">
        <v>1</v>
      </c>
      <c r="T4633">
        <v>0.1</v>
      </c>
      <c r="U4633">
        <v>6.8388</v>
      </c>
      <c r="V4633" t="str">
        <f t="shared" si="72"/>
        <v>Carlos Soltero</v>
      </c>
      <c r="W4633">
        <f>Table2[Profit]/Table2[Sales]</f>
        <v>6.6666666666666666E-2</v>
      </c>
    </row>
    <row r="4634" spans="1:23" x14ac:dyDescent="0.25">
      <c r="A4634">
        <v>4633</v>
      </c>
      <c r="B4634" t="s">
        <v>10273</v>
      </c>
      <c r="C4634" s="1">
        <v>42968</v>
      </c>
      <c r="D4634" s="1">
        <v>42975</v>
      </c>
      <c r="E4634" t="s">
        <v>49</v>
      </c>
      <c r="F4634" t="s">
        <v>110</v>
      </c>
      <c r="G4634" t="s">
        <v>111</v>
      </c>
      <c r="H4634" t="s">
        <v>25</v>
      </c>
      <c r="I4634" t="s">
        <v>26</v>
      </c>
      <c r="J4634" t="s">
        <v>263</v>
      </c>
      <c r="K4634" t="s">
        <v>264</v>
      </c>
      <c r="L4634">
        <v>10035</v>
      </c>
      <c r="M4634" t="s">
        <v>145</v>
      </c>
      <c r="N4634" t="s">
        <v>6560</v>
      </c>
      <c r="O4634" t="s">
        <v>45</v>
      </c>
      <c r="P4634" t="s">
        <v>74</v>
      </c>
      <c r="Q4634" t="s">
        <v>6561</v>
      </c>
      <c r="R4634">
        <v>32.088000000000001</v>
      </c>
      <c r="S4634">
        <v>7</v>
      </c>
      <c r="T4634">
        <v>0.2</v>
      </c>
      <c r="U4634">
        <v>11.2308</v>
      </c>
      <c r="V4634" t="str">
        <f t="shared" si="72"/>
        <v>Pete Kriz</v>
      </c>
      <c r="W4634">
        <f>Table2[Profit]/Table2[Sales]</f>
        <v>0.35</v>
      </c>
    </row>
    <row r="4635" spans="1:23" x14ac:dyDescent="0.25">
      <c r="A4635">
        <v>4634</v>
      </c>
      <c r="B4635" t="s">
        <v>10274</v>
      </c>
      <c r="C4635" s="1">
        <v>42502</v>
      </c>
      <c r="D4635" s="1">
        <v>42507</v>
      </c>
      <c r="E4635" t="s">
        <v>49</v>
      </c>
      <c r="F4635" t="s">
        <v>3673</v>
      </c>
      <c r="G4635" t="s">
        <v>3674</v>
      </c>
      <c r="H4635" t="s">
        <v>40</v>
      </c>
      <c r="I4635" t="s">
        <v>26</v>
      </c>
      <c r="J4635" t="s">
        <v>263</v>
      </c>
      <c r="K4635" t="s">
        <v>264</v>
      </c>
      <c r="L4635">
        <v>10024</v>
      </c>
      <c r="M4635" t="s">
        <v>145</v>
      </c>
      <c r="N4635" t="s">
        <v>6438</v>
      </c>
      <c r="O4635" t="s">
        <v>31</v>
      </c>
      <c r="P4635" t="s">
        <v>64</v>
      </c>
      <c r="Q4635" t="s">
        <v>6439</v>
      </c>
      <c r="R4635">
        <v>10.02</v>
      </c>
      <c r="S4635">
        <v>3</v>
      </c>
      <c r="T4635">
        <v>0</v>
      </c>
      <c r="U4635">
        <v>4.4088000000000003</v>
      </c>
      <c r="V4635" t="str">
        <f t="shared" si="72"/>
        <v>Harry Marie</v>
      </c>
      <c r="W4635">
        <f>Table2[Profit]/Table2[Sales]</f>
        <v>0.44000000000000006</v>
      </c>
    </row>
    <row r="4636" spans="1:23" x14ac:dyDescent="0.25">
      <c r="A4636">
        <v>4635</v>
      </c>
      <c r="B4636" t="s">
        <v>10275</v>
      </c>
      <c r="C4636" s="1">
        <v>42980</v>
      </c>
      <c r="D4636" s="1">
        <v>42984</v>
      </c>
      <c r="E4636" t="s">
        <v>49</v>
      </c>
      <c r="F4636" t="s">
        <v>981</v>
      </c>
      <c r="G4636" t="s">
        <v>982</v>
      </c>
      <c r="H4636" t="s">
        <v>25</v>
      </c>
      <c r="I4636" t="s">
        <v>26</v>
      </c>
      <c r="J4636" t="s">
        <v>27</v>
      </c>
      <c r="K4636" t="s">
        <v>28</v>
      </c>
      <c r="L4636">
        <v>42420</v>
      </c>
      <c r="M4636" t="s">
        <v>29</v>
      </c>
      <c r="N4636" t="s">
        <v>509</v>
      </c>
      <c r="O4636" t="s">
        <v>45</v>
      </c>
      <c r="P4636" t="s">
        <v>74</v>
      </c>
      <c r="Q4636" t="s">
        <v>510</v>
      </c>
      <c r="R4636">
        <v>1577.94</v>
      </c>
      <c r="S4636">
        <v>3</v>
      </c>
      <c r="T4636">
        <v>0</v>
      </c>
      <c r="U4636">
        <v>757.41120000000001</v>
      </c>
      <c r="V4636" t="str">
        <f t="shared" si="72"/>
        <v>Alan Hwang</v>
      </c>
      <c r="W4636">
        <f>Table2[Profit]/Table2[Sales]</f>
        <v>0.48</v>
      </c>
    </row>
    <row r="4637" spans="1:23" x14ac:dyDescent="0.25">
      <c r="A4637">
        <v>4636</v>
      </c>
      <c r="B4637" t="s">
        <v>10276</v>
      </c>
      <c r="C4637" s="1">
        <v>41922</v>
      </c>
      <c r="D4637" s="1">
        <v>41922</v>
      </c>
      <c r="E4637" t="s">
        <v>1278</v>
      </c>
      <c r="F4637" t="s">
        <v>6595</v>
      </c>
      <c r="G4637" t="s">
        <v>6596</v>
      </c>
      <c r="H4637" t="s">
        <v>40</v>
      </c>
      <c r="I4637" t="s">
        <v>26</v>
      </c>
      <c r="J4637" t="s">
        <v>5354</v>
      </c>
      <c r="K4637" t="s">
        <v>660</v>
      </c>
      <c r="L4637">
        <v>87105</v>
      </c>
      <c r="M4637" t="s">
        <v>43</v>
      </c>
      <c r="N4637" t="s">
        <v>9593</v>
      </c>
      <c r="O4637" t="s">
        <v>45</v>
      </c>
      <c r="P4637" t="s">
        <v>67</v>
      </c>
      <c r="Q4637" t="s">
        <v>9594</v>
      </c>
      <c r="R4637">
        <v>255.85</v>
      </c>
      <c r="S4637">
        <v>7</v>
      </c>
      <c r="T4637">
        <v>0</v>
      </c>
      <c r="U4637">
        <v>112.574</v>
      </c>
      <c r="V4637" t="str">
        <f t="shared" si="72"/>
        <v>Fred Chung</v>
      </c>
      <c r="W4637">
        <f>Table2[Profit]/Table2[Sales]</f>
        <v>0.44</v>
      </c>
    </row>
    <row r="4638" spans="1:23" x14ac:dyDescent="0.25">
      <c r="A4638">
        <v>4637</v>
      </c>
      <c r="B4638" t="s">
        <v>10277</v>
      </c>
      <c r="C4638" s="1">
        <v>42516</v>
      </c>
      <c r="D4638" s="1">
        <v>42519</v>
      </c>
      <c r="E4638" t="s">
        <v>22</v>
      </c>
      <c r="F4638" t="s">
        <v>3594</v>
      </c>
      <c r="G4638" t="s">
        <v>3595</v>
      </c>
      <c r="H4638" t="s">
        <v>40</v>
      </c>
      <c r="I4638" t="s">
        <v>26</v>
      </c>
      <c r="J4638" t="s">
        <v>8753</v>
      </c>
      <c r="K4638" t="s">
        <v>53</v>
      </c>
      <c r="L4638">
        <v>33445</v>
      </c>
      <c r="M4638" t="s">
        <v>29</v>
      </c>
      <c r="N4638" t="s">
        <v>5789</v>
      </c>
      <c r="O4638" t="s">
        <v>45</v>
      </c>
      <c r="P4638" t="s">
        <v>58</v>
      </c>
      <c r="Q4638" t="s">
        <v>5790</v>
      </c>
      <c r="R4638">
        <v>184.70400000000001</v>
      </c>
      <c r="S4638">
        <v>6</v>
      </c>
      <c r="T4638">
        <v>0.2</v>
      </c>
      <c r="U4638">
        <v>13.8528</v>
      </c>
      <c r="V4638" t="str">
        <f t="shared" si="72"/>
        <v>Cathy Prescott</v>
      </c>
      <c r="W4638">
        <f>Table2[Profit]/Table2[Sales]</f>
        <v>7.4999999999999997E-2</v>
      </c>
    </row>
    <row r="4639" spans="1:23" x14ac:dyDescent="0.25">
      <c r="A4639">
        <v>4638</v>
      </c>
      <c r="B4639" t="s">
        <v>10278</v>
      </c>
      <c r="C4639" s="1">
        <v>43070</v>
      </c>
      <c r="D4639" s="1">
        <v>43074</v>
      </c>
      <c r="E4639" t="s">
        <v>49</v>
      </c>
      <c r="F4639" t="s">
        <v>2092</v>
      </c>
      <c r="G4639" t="s">
        <v>2093</v>
      </c>
      <c r="H4639" t="s">
        <v>25</v>
      </c>
      <c r="I4639" t="s">
        <v>26</v>
      </c>
      <c r="J4639" t="s">
        <v>143</v>
      </c>
      <c r="K4639" t="s">
        <v>144</v>
      </c>
      <c r="L4639">
        <v>19140</v>
      </c>
      <c r="M4639" t="s">
        <v>145</v>
      </c>
      <c r="N4639" t="s">
        <v>2645</v>
      </c>
      <c r="O4639" t="s">
        <v>45</v>
      </c>
      <c r="P4639" t="s">
        <v>46</v>
      </c>
      <c r="Q4639" t="s">
        <v>2646</v>
      </c>
      <c r="R4639">
        <v>15.936</v>
      </c>
      <c r="S4639">
        <v>4</v>
      </c>
      <c r="T4639">
        <v>0.2</v>
      </c>
      <c r="U4639">
        <v>5.1791999999999998</v>
      </c>
      <c r="V4639" t="str">
        <f t="shared" si="72"/>
        <v>Sean Christensen</v>
      </c>
      <c r="W4639">
        <f>Table2[Profit]/Table2[Sales]</f>
        <v>0.32500000000000001</v>
      </c>
    </row>
    <row r="4640" spans="1:23" x14ac:dyDescent="0.25">
      <c r="A4640">
        <v>4639</v>
      </c>
      <c r="B4640" t="s">
        <v>10279</v>
      </c>
      <c r="C4640" s="1">
        <v>42633</v>
      </c>
      <c r="D4640" s="1">
        <v>42637</v>
      </c>
      <c r="E4640" t="s">
        <v>49</v>
      </c>
      <c r="F4640" t="s">
        <v>6502</v>
      </c>
      <c r="G4640" t="s">
        <v>6503</v>
      </c>
      <c r="H4640" t="s">
        <v>101</v>
      </c>
      <c r="I4640" t="s">
        <v>26</v>
      </c>
      <c r="J4640" t="s">
        <v>94</v>
      </c>
      <c r="K4640" t="s">
        <v>95</v>
      </c>
      <c r="L4640">
        <v>98105</v>
      </c>
      <c r="M4640" t="s">
        <v>43</v>
      </c>
      <c r="N4640" t="s">
        <v>7111</v>
      </c>
      <c r="O4640" t="s">
        <v>31</v>
      </c>
      <c r="P4640" t="s">
        <v>32</v>
      </c>
      <c r="Q4640" t="s">
        <v>7112</v>
      </c>
      <c r="R4640">
        <v>163.88</v>
      </c>
      <c r="S4640">
        <v>2</v>
      </c>
      <c r="T4640">
        <v>0</v>
      </c>
      <c r="U4640">
        <v>40.97</v>
      </c>
      <c r="V4640" t="str">
        <f t="shared" si="72"/>
        <v>Heather Jas</v>
      </c>
      <c r="W4640">
        <f>Table2[Profit]/Table2[Sales]</f>
        <v>0.25</v>
      </c>
    </row>
    <row r="4641" spans="1:23" x14ac:dyDescent="0.25">
      <c r="A4641">
        <v>4640</v>
      </c>
      <c r="B4641" t="s">
        <v>10280</v>
      </c>
      <c r="C4641" s="1">
        <v>42989</v>
      </c>
      <c r="D4641" s="1">
        <v>42993</v>
      </c>
      <c r="E4641" t="s">
        <v>49</v>
      </c>
      <c r="F4641" t="s">
        <v>770</v>
      </c>
      <c r="G4641" t="s">
        <v>771</v>
      </c>
      <c r="H4641" t="s">
        <v>25</v>
      </c>
      <c r="I4641" t="s">
        <v>26</v>
      </c>
      <c r="J4641" t="s">
        <v>1450</v>
      </c>
      <c r="K4641" t="s">
        <v>312</v>
      </c>
      <c r="L4641">
        <v>23223</v>
      </c>
      <c r="M4641" t="s">
        <v>29</v>
      </c>
      <c r="N4641" t="s">
        <v>9383</v>
      </c>
      <c r="O4641" t="s">
        <v>45</v>
      </c>
      <c r="P4641" t="s">
        <v>77</v>
      </c>
      <c r="Q4641" t="s">
        <v>9384</v>
      </c>
      <c r="R4641">
        <v>67.900000000000006</v>
      </c>
      <c r="S4641">
        <v>5</v>
      </c>
      <c r="T4641">
        <v>0</v>
      </c>
      <c r="U4641">
        <v>20.37</v>
      </c>
      <c r="V4641" t="str">
        <f t="shared" si="72"/>
        <v>Cassandra Brandow</v>
      </c>
      <c r="W4641">
        <f>Table2[Profit]/Table2[Sales]</f>
        <v>0.3</v>
      </c>
    </row>
    <row r="4642" spans="1:23" x14ac:dyDescent="0.25">
      <c r="A4642">
        <v>4641</v>
      </c>
      <c r="B4642" t="s">
        <v>10281</v>
      </c>
      <c r="C4642" s="1">
        <v>42734</v>
      </c>
      <c r="D4642" s="1">
        <v>42739</v>
      </c>
      <c r="E4642" t="s">
        <v>49</v>
      </c>
      <c r="F4642" t="s">
        <v>6337</v>
      </c>
      <c r="G4642" t="s">
        <v>6338</v>
      </c>
      <c r="H4642" t="s">
        <v>25</v>
      </c>
      <c r="I4642" t="s">
        <v>26</v>
      </c>
      <c r="J4642" t="s">
        <v>8939</v>
      </c>
      <c r="K4642" t="s">
        <v>53</v>
      </c>
      <c r="L4642">
        <v>33407</v>
      </c>
      <c r="M4642" t="s">
        <v>29</v>
      </c>
      <c r="N4642" t="s">
        <v>5876</v>
      </c>
      <c r="O4642" t="s">
        <v>45</v>
      </c>
      <c r="P4642" t="s">
        <v>89</v>
      </c>
      <c r="Q4642" t="s">
        <v>5877</v>
      </c>
      <c r="R4642">
        <v>72.224000000000004</v>
      </c>
      <c r="S4642">
        <v>4</v>
      </c>
      <c r="T4642">
        <v>0.2</v>
      </c>
      <c r="U4642">
        <v>25.278400000000001</v>
      </c>
      <c r="V4642" t="str">
        <f t="shared" si="72"/>
        <v>Evan Henry</v>
      </c>
      <c r="W4642">
        <f>Table2[Profit]/Table2[Sales]</f>
        <v>0.35</v>
      </c>
    </row>
    <row r="4643" spans="1:23" x14ac:dyDescent="0.25">
      <c r="A4643">
        <v>4642</v>
      </c>
      <c r="B4643" t="s">
        <v>10282</v>
      </c>
      <c r="C4643" s="1">
        <v>42980</v>
      </c>
      <c r="D4643" s="1">
        <v>42982</v>
      </c>
      <c r="E4643" t="s">
        <v>22</v>
      </c>
      <c r="F4643" t="s">
        <v>4773</v>
      </c>
      <c r="G4643" t="s">
        <v>4774</v>
      </c>
      <c r="H4643" t="s">
        <v>25</v>
      </c>
      <c r="I4643" t="s">
        <v>26</v>
      </c>
      <c r="J4643" t="s">
        <v>5230</v>
      </c>
      <c r="K4643" t="s">
        <v>450</v>
      </c>
      <c r="L4643">
        <v>80525</v>
      </c>
      <c r="M4643" t="s">
        <v>43</v>
      </c>
      <c r="N4643" t="s">
        <v>642</v>
      </c>
      <c r="O4643" t="s">
        <v>45</v>
      </c>
      <c r="P4643" t="s">
        <v>46</v>
      </c>
      <c r="Q4643" t="s">
        <v>643</v>
      </c>
      <c r="R4643">
        <v>11.696</v>
      </c>
      <c r="S4643">
        <v>2</v>
      </c>
      <c r="T4643">
        <v>0.2</v>
      </c>
      <c r="U4643">
        <v>3.9474</v>
      </c>
      <c r="V4643" t="str">
        <f t="shared" si="72"/>
        <v>Luke Weiss</v>
      </c>
      <c r="W4643">
        <f>Table2[Profit]/Table2[Sales]</f>
        <v>0.33750000000000002</v>
      </c>
    </row>
    <row r="4644" spans="1:23" x14ac:dyDescent="0.25">
      <c r="A4644">
        <v>4643</v>
      </c>
      <c r="B4644" t="s">
        <v>10283</v>
      </c>
      <c r="C4644" s="1">
        <v>41961</v>
      </c>
      <c r="D4644" s="1">
        <v>41966</v>
      </c>
      <c r="E4644" t="s">
        <v>49</v>
      </c>
      <c r="F4644" t="s">
        <v>1279</v>
      </c>
      <c r="G4644" t="s">
        <v>1280</v>
      </c>
      <c r="H4644" t="s">
        <v>40</v>
      </c>
      <c r="I4644" t="s">
        <v>26</v>
      </c>
      <c r="J4644" t="s">
        <v>606</v>
      </c>
      <c r="K4644" t="s">
        <v>113</v>
      </c>
      <c r="L4644">
        <v>53132</v>
      </c>
      <c r="M4644" t="s">
        <v>104</v>
      </c>
      <c r="N4644" t="s">
        <v>2065</v>
      </c>
      <c r="O4644" t="s">
        <v>31</v>
      </c>
      <c r="P4644" t="s">
        <v>35</v>
      </c>
      <c r="Q4644" t="s">
        <v>2066</v>
      </c>
      <c r="R4644">
        <v>392.94</v>
      </c>
      <c r="S4644">
        <v>3</v>
      </c>
      <c r="T4644">
        <v>0</v>
      </c>
      <c r="U4644">
        <v>43.223399999999998</v>
      </c>
      <c r="V4644" t="str">
        <f t="shared" si="72"/>
        <v>Michael Kennedy</v>
      </c>
      <c r="W4644">
        <f>Table2[Profit]/Table2[Sales]</f>
        <v>0.11</v>
      </c>
    </row>
    <row r="4645" spans="1:23" x14ac:dyDescent="0.25">
      <c r="A4645">
        <v>4644</v>
      </c>
      <c r="B4645" t="s">
        <v>10284</v>
      </c>
      <c r="C4645" s="1">
        <v>42329</v>
      </c>
      <c r="D4645" s="1">
        <v>42332</v>
      </c>
      <c r="E4645" t="s">
        <v>185</v>
      </c>
      <c r="F4645" t="s">
        <v>5002</v>
      </c>
      <c r="G4645" t="s">
        <v>5003</v>
      </c>
      <c r="H4645" t="s">
        <v>25</v>
      </c>
      <c r="I4645" t="s">
        <v>26</v>
      </c>
      <c r="J4645" t="s">
        <v>728</v>
      </c>
      <c r="K4645" t="s">
        <v>87</v>
      </c>
      <c r="L4645">
        <v>28110</v>
      </c>
      <c r="M4645" t="s">
        <v>29</v>
      </c>
      <c r="N4645" t="s">
        <v>864</v>
      </c>
      <c r="O4645" t="s">
        <v>31</v>
      </c>
      <c r="P4645" t="s">
        <v>64</v>
      </c>
      <c r="Q4645" t="s">
        <v>865</v>
      </c>
      <c r="R4645">
        <v>18.175999999999998</v>
      </c>
      <c r="S4645">
        <v>1</v>
      </c>
      <c r="T4645">
        <v>0.2</v>
      </c>
      <c r="U4645">
        <v>4.7712000000000003</v>
      </c>
      <c r="V4645" t="str">
        <f t="shared" si="72"/>
        <v>John Huston</v>
      </c>
      <c r="W4645">
        <f>Table2[Profit]/Table2[Sales]</f>
        <v>0.26250000000000007</v>
      </c>
    </row>
    <row r="4646" spans="1:23" x14ac:dyDescent="0.25">
      <c r="A4646">
        <v>4645</v>
      </c>
      <c r="B4646" t="s">
        <v>10285</v>
      </c>
      <c r="C4646" s="1">
        <v>42905</v>
      </c>
      <c r="D4646" s="1">
        <v>42912</v>
      </c>
      <c r="E4646" t="s">
        <v>49</v>
      </c>
      <c r="F4646" t="s">
        <v>4014</v>
      </c>
      <c r="G4646" t="s">
        <v>4015</v>
      </c>
      <c r="H4646" t="s">
        <v>101</v>
      </c>
      <c r="I4646" t="s">
        <v>26</v>
      </c>
      <c r="J4646" t="s">
        <v>808</v>
      </c>
      <c r="K4646" t="s">
        <v>103</v>
      </c>
      <c r="L4646">
        <v>75081</v>
      </c>
      <c r="M4646" t="s">
        <v>104</v>
      </c>
      <c r="N4646" t="s">
        <v>5806</v>
      </c>
      <c r="O4646" t="s">
        <v>45</v>
      </c>
      <c r="P4646" t="s">
        <v>74</v>
      </c>
      <c r="Q4646" t="s">
        <v>5807</v>
      </c>
      <c r="R4646">
        <v>6.8879999999999999</v>
      </c>
      <c r="S4646">
        <v>3</v>
      </c>
      <c r="T4646">
        <v>0.8</v>
      </c>
      <c r="U4646">
        <v>-11.020799999999999</v>
      </c>
      <c r="V4646" t="str">
        <f t="shared" si="72"/>
        <v>Deborah Brumfield</v>
      </c>
      <c r="W4646">
        <f>Table2[Profit]/Table2[Sales]</f>
        <v>-1.5999999999999999</v>
      </c>
    </row>
    <row r="4647" spans="1:23" x14ac:dyDescent="0.25">
      <c r="A4647">
        <v>4646</v>
      </c>
      <c r="B4647" t="s">
        <v>10286</v>
      </c>
      <c r="C4647" s="1">
        <v>43069</v>
      </c>
      <c r="D4647" s="1">
        <v>43072</v>
      </c>
      <c r="E4647" t="s">
        <v>185</v>
      </c>
      <c r="F4647" t="s">
        <v>4956</v>
      </c>
      <c r="G4647" t="s">
        <v>4957</v>
      </c>
      <c r="H4647" t="s">
        <v>25</v>
      </c>
      <c r="I4647" t="s">
        <v>26</v>
      </c>
      <c r="J4647" t="s">
        <v>143</v>
      </c>
      <c r="K4647" t="s">
        <v>144</v>
      </c>
      <c r="L4647">
        <v>19134</v>
      </c>
      <c r="M4647" t="s">
        <v>145</v>
      </c>
      <c r="N4647" t="s">
        <v>4668</v>
      </c>
      <c r="O4647" t="s">
        <v>31</v>
      </c>
      <c r="P4647" t="s">
        <v>35</v>
      </c>
      <c r="Q4647" t="s">
        <v>4669</v>
      </c>
      <c r="R4647">
        <v>1079.316</v>
      </c>
      <c r="S4647">
        <v>6</v>
      </c>
      <c r="T4647">
        <v>0.3</v>
      </c>
      <c r="U4647">
        <v>-15.418799999999999</v>
      </c>
      <c r="V4647" t="str">
        <f t="shared" si="72"/>
        <v>Trudy Brown</v>
      </c>
      <c r="W4647">
        <f>Table2[Profit]/Table2[Sales]</f>
        <v>-1.4285714285714285E-2</v>
      </c>
    </row>
    <row r="4648" spans="1:23" x14ac:dyDescent="0.25">
      <c r="A4648">
        <v>4647</v>
      </c>
      <c r="B4648" t="s">
        <v>10287</v>
      </c>
      <c r="C4648" s="1">
        <v>41752</v>
      </c>
      <c r="D4648" s="1">
        <v>41755</v>
      </c>
      <c r="E4648" t="s">
        <v>22</v>
      </c>
      <c r="F4648" t="s">
        <v>1152</v>
      </c>
      <c r="G4648" t="s">
        <v>1153</v>
      </c>
      <c r="H4648" t="s">
        <v>101</v>
      </c>
      <c r="I4648" t="s">
        <v>26</v>
      </c>
      <c r="J4648" t="s">
        <v>126</v>
      </c>
      <c r="K4648" t="s">
        <v>42</v>
      </c>
      <c r="L4648">
        <v>94109</v>
      </c>
      <c r="M4648" t="s">
        <v>43</v>
      </c>
      <c r="N4648" t="s">
        <v>4651</v>
      </c>
      <c r="O4648" t="s">
        <v>45</v>
      </c>
      <c r="P4648" t="s">
        <v>89</v>
      </c>
      <c r="Q4648" t="s">
        <v>4652</v>
      </c>
      <c r="R4648">
        <v>48.91</v>
      </c>
      <c r="S4648">
        <v>1</v>
      </c>
      <c r="T4648">
        <v>0</v>
      </c>
      <c r="U4648">
        <v>22.9877</v>
      </c>
      <c r="V4648" t="str">
        <f t="shared" si="72"/>
        <v>Nathan Mautz</v>
      </c>
      <c r="W4648">
        <f>Table2[Profit]/Table2[Sales]</f>
        <v>0.47000000000000003</v>
      </c>
    </row>
    <row r="4649" spans="1:23" x14ac:dyDescent="0.25">
      <c r="A4649">
        <v>4648</v>
      </c>
      <c r="B4649" t="s">
        <v>10288</v>
      </c>
      <c r="C4649" s="1">
        <v>41905</v>
      </c>
      <c r="D4649" s="1">
        <v>41907</v>
      </c>
      <c r="E4649" t="s">
        <v>185</v>
      </c>
      <c r="F4649" t="s">
        <v>5499</v>
      </c>
      <c r="G4649" t="s">
        <v>5500</v>
      </c>
      <c r="H4649" t="s">
        <v>25</v>
      </c>
      <c r="I4649" t="s">
        <v>26</v>
      </c>
      <c r="J4649" t="s">
        <v>241</v>
      </c>
      <c r="K4649" t="s">
        <v>242</v>
      </c>
      <c r="L4649">
        <v>19901</v>
      </c>
      <c r="M4649" t="s">
        <v>145</v>
      </c>
      <c r="N4649" t="s">
        <v>3210</v>
      </c>
      <c r="O4649" t="s">
        <v>45</v>
      </c>
      <c r="P4649" t="s">
        <v>67</v>
      </c>
      <c r="Q4649" t="s">
        <v>3211</v>
      </c>
      <c r="R4649">
        <v>9.84</v>
      </c>
      <c r="S4649">
        <v>3</v>
      </c>
      <c r="T4649">
        <v>0</v>
      </c>
      <c r="U4649">
        <v>2.8536000000000001</v>
      </c>
      <c r="V4649" t="str">
        <f t="shared" si="72"/>
        <v>Thomas Thornton</v>
      </c>
      <c r="W4649">
        <f>Table2[Profit]/Table2[Sales]</f>
        <v>0.29000000000000004</v>
      </c>
    </row>
    <row r="4650" spans="1:23" x14ac:dyDescent="0.25">
      <c r="A4650">
        <v>4649</v>
      </c>
      <c r="B4650" t="s">
        <v>10289</v>
      </c>
      <c r="C4650" s="1">
        <v>42796</v>
      </c>
      <c r="D4650" s="1">
        <v>42796</v>
      </c>
      <c r="E4650" t="s">
        <v>1278</v>
      </c>
      <c r="F4650" t="s">
        <v>2261</v>
      </c>
      <c r="G4650" t="s">
        <v>2262</v>
      </c>
      <c r="H4650" t="s">
        <v>40</v>
      </c>
      <c r="I4650" t="s">
        <v>26</v>
      </c>
      <c r="J4650" t="s">
        <v>7845</v>
      </c>
      <c r="K4650" t="s">
        <v>103</v>
      </c>
      <c r="L4650">
        <v>76706</v>
      </c>
      <c r="M4650" t="s">
        <v>104</v>
      </c>
      <c r="N4650" t="s">
        <v>2919</v>
      </c>
      <c r="O4650" t="s">
        <v>45</v>
      </c>
      <c r="P4650" t="s">
        <v>74</v>
      </c>
      <c r="Q4650" t="s">
        <v>2920</v>
      </c>
      <c r="R4650">
        <v>0.55600000000000005</v>
      </c>
      <c r="S4650">
        <v>1</v>
      </c>
      <c r="T4650">
        <v>0.8</v>
      </c>
      <c r="U4650">
        <v>-0.94520000000000004</v>
      </c>
      <c r="V4650" t="str">
        <f t="shared" si="72"/>
        <v>Roland Schwarz</v>
      </c>
      <c r="W4650">
        <f>Table2[Profit]/Table2[Sales]</f>
        <v>-1.7</v>
      </c>
    </row>
    <row r="4651" spans="1:23" x14ac:dyDescent="0.25">
      <c r="A4651">
        <v>4650</v>
      </c>
      <c r="B4651" t="s">
        <v>10290</v>
      </c>
      <c r="C4651" s="1">
        <v>43056</v>
      </c>
      <c r="D4651" s="1">
        <v>43060</v>
      </c>
      <c r="E4651" t="s">
        <v>22</v>
      </c>
      <c r="F4651" t="s">
        <v>4956</v>
      </c>
      <c r="G4651" t="s">
        <v>4957</v>
      </c>
      <c r="H4651" t="s">
        <v>25</v>
      </c>
      <c r="I4651" t="s">
        <v>26</v>
      </c>
      <c r="J4651" t="s">
        <v>10291</v>
      </c>
      <c r="K4651" t="s">
        <v>2699</v>
      </c>
      <c r="L4651">
        <v>21740</v>
      </c>
      <c r="M4651" t="s">
        <v>145</v>
      </c>
      <c r="N4651" t="s">
        <v>1361</v>
      </c>
      <c r="O4651" t="s">
        <v>45</v>
      </c>
      <c r="P4651" t="s">
        <v>74</v>
      </c>
      <c r="Q4651" t="s">
        <v>1362</v>
      </c>
      <c r="R4651">
        <v>43.8</v>
      </c>
      <c r="S4651">
        <v>6</v>
      </c>
      <c r="T4651">
        <v>0</v>
      </c>
      <c r="U4651">
        <v>20.585999999999999</v>
      </c>
      <c r="V4651" t="str">
        <f t="shared" si="72"/>
        <v>Trudy Brown</v>
      </c>
      <c r="W4651">
        <f>Table2[Profit]/Table2[Sales]</f>
        <v>0.47</v>
      </c>
    </row>
    <row r="4652" spans="1:23" x14ac:dyDescent="0.25">
      <c r="A4652">
        <v>4651</v>
      </c>
      <c r="B4652" t="s">
        <v>10292</v>
      </c>
      <c r="C4652" s="1">
        <v>42883</v>
      </c>
      <c r="D4652" s="1">
        <v>42887</v>
      </c>
      <c r="E4652" t="s">
        <v>49</v>
      </c>
      <c r="F4652" t="s">
        <v>749</v>
      </c>
      <c r="G4652" t="s">
        <v>750</v>
      </c>
      <c r="H4652" t="s">
        <v>40</v>
      </c>
      <c r="I4652" t="s">
        <v>26</v>
      </c>
      <c r="J4652" t="s">
        <v>2148</v>
      </c>
      <c r="K4652" t="s">
        <v>491</v>
      </c>
      <c r="L4652">
        <v>44105</v>
      </c>
      <c r="M4652" t="s">
        <v>145</v>
      </c>
      <c r="N4652" t="s">
        <v>3892</v>
      </c>
      <c r="O4652" t="s">
        <v>45</v>
      </c>
      <c r="P4652" t="s">
        <v>89</v>
      </c>
      <c r="Q4652" t="s">
        <v>3893</v>
      </c>
      <c r="R4652">
        <v>13.872</v>
      </c>
      <c r="S4652">
        <v>3</v>
      </c>
      <c r="T4652">
        <v>0.2</v>
      </c>
      <c r="U4652">
        <v>5.0286</v>
      </c>
      <c r="V4652" t="str">
        <f t="shared" si="72"/>
        <v>Alice McCarthy</v>
      </c>
      <c r="W4652">
        <f>Table2[Profit]/Table2[Sales]</f>
        <v>0.36249999999999999</v>
      </c>
    </row>
    <row r="4653" spans="1:23" x14ac:dyDescent="0.25">
      <c r="A4653">
        <v>4652</v>
      </c>
      <c r="B4653" t="s">
        <v>10293</v>
      </c>
      <c r="C4653" s="1">
        <v>42112</v>
      </c>
      <c r="D4653" s="1">
        <v>42116</v>
      </c>
      <c r="E4653" t="s">
        <v>22</v>
      </c>
      <c r="F4653" t="s">
        <v>1463</v>
      </c>
      <c r="G4653" t="s">
        <v>1464</v>
      </c>
      <c r="H4653" t="s">
        <v>40</v>
      </c>
      <c r="I4653" t="s">
        <v>26</v>
      </c>
      <c r="J4653" t="s">
        <v>7117</v>
      </c>
      <c r="K4653" t="s">
        <v>103</v>
      </c>
      <c r="L4653">
        <v>78501</v>
      </c>
      <c r="M4653" t="s">
        <v>104</v>
      </c>
      <c r="N4653" t="s">
        <v>4350</v>
      </c>
      <c r="O4653" t="s">
        <v>70</v>
      </c>
      <c r="P4653" t="s">
        <v>158</v>
      </c>
      <c r="Q4653" t="s">
        <v>4351</v>
      </c>
      <c r="R4653">
        <v>41.423999999999999</v>
      </c>
      <c r="S4653">
        <v>2</v>
      </c>
      <c r="T4653">
        <v>0.2</v>
      </c>
      <c r="U4653">
        <v>8.2848000000000006</v>
      </c>
      <c r="V4653" t="str">
        <f t="shared" si="72"/>
        <v>Michael Paige</v>
      </c>
      <c r="W4653">
        <f>Table2[Profit]/Table2[Sales]</f>
        <v>0.2</v>
      </c>
    </row>
    <row r="4654" spans="1:23" x14ac:dyDescent="0.25">
      <c r="A4654">
        <v>4653</v>
      </c>
      <c r="B4654" t="s">
        <v>10294</v>
      </c>
      <c r="C4654" s="1">
        <v>42266</v>
      </c>
      <c r="D4654" s="1">
        <v>42271</v>
      </c>
      <c r="E4654" t="s">
        <v>49</v>
      </c>
      <c r="F4654" t="s">
        <v>8025</v>
      </c>
      <c r="G4654" t="s">
        <v>8026</v>
      </c>
      <c r="H4654" t="s">
        <v>101</v>
      </c>
      <c r="I4654" t="s">
        <v>26</v>
      </c>
      <c r="J4654" t="s">
        <v>6516</v>
      </c>
      <c r="K4654" t="s">
        <v>660</v>
      </c>
      <c r="L4654">
        <v>87505</v>
      </c>
      <c r="M4654" t="s">
        <v>43</v>
      </c>
      <c r="N4654" t="s">
        <v>7167</v>
      </c>
      <c r="O4654" t="s">
        <v>45</v>
      </c>
      <c r="P4654" t="s">
        <v>67</v>
      </c>
      <c r="Q4654" t="s">
        <v>7168</v>
      </c>
      <c r="R4654">
        <v>8.4</v>
      </c>
      <c r="S4654">
        <v>5</v>
      </c>
      <c r="T4654">
        <v>0</v>
      </c>
      <c r="U4654">
        <v>2.1840000000000002</v>
      </c>
      <c r="V4654" t="str">
        <f t="shared" si="72"/>
        <v>Marc Harrigan</v>
      </c>
      <c r="W4654">
        <f>Table2[Profit]/Table2[Sales]</f>
        <v>0.26</v>
      </c>
    </row>
    <row r="4655" spans="1:23" x14ac:dyDescent="0.25">
      <c r="A4655">
        <v>4654</v>
      </c>
      <c r="B4655" t="s">
        <v>10295</v>
      </c>
      <c r="C4655" s="1">
        <v>41723</v>
      </c>
      <c r="D4655" s="1">
        <v>41728</v>
      </c>
      <c r="E4655" t="s">
        <v>49</v>
      </c>
      <c r="F4655" t="s">
        <v>2022</v>
      </c>
      <c r="G4655" t="s">
        <v>2023</v>
      </c>
      <c r="H4655" t="s">
        <v>25</v>
      </c>
      <c r="I4655" t="s">
        <v>26</v>
      </c>
      <c r="J4655" t="s">
        <v>126</v>
      </c>
      <c r="K4655" t="s">
        <v>42</v>
      </c>
      <c r="L4655">
        <v>94110</v>
      </c>
      <c r="M4655" t="s">
        <v>43</v>
      </c>
      <c r="N4655" t="s">
        <v>3645</v>
      </c>
      <c r="O4655" t="s">
        <v>45</v>
      </c>
      <c r="P4655" t="s">
        <v>67</v>
      </c>
      <c r="Q4655" t="s">
        <v>3646</v>
      </c>
      <c r="R4655">
        <v>6.56</v>
      </c>
      <c r="S4655">
        <v>2</v>
      </c>
      <c r="T4655">
        <v>0</v>
      </c>
      <c r="U4655">
        <v>1.9024000000000001</v>
      </c>
      <c r="V4655" t="str">
        <f t="shared" si="72"/>
        <v>Christina Anderson</v>
      </c>
      <c r="W4655">
        <f>Table2[Profit]/Table2[Sales]</f>
        <v>0.29000000000000004</v>
      </c>
    </row>
    <row r="4656" spans="1:23" x14ac:dyDescent="0.25">
      <c r="A4656">
        <v>4655</v>
      </c>
      <c r="B4656" t="s">
        <v>10296</v>
      </c>
      <c r="C4656" s="1">
        <v>42608</v>
      </c>
      <c r="D4656" s="1">
        <v>42613</v>
      </c>
      <c r="E4656" t="s">
        <v>49</v>
      </c>
      <c r="F4656" t="s">
        <v>5516</v>
      </c>
      <c r="G4656" t="s">
        <v>5517</v>
      </c>
      <c r="H4656" t="s">
        <v>40</v>
      </c>
      <c r="I4656" t="s">
        <v>26</v>
      </c>
      <c r="J4656" t="s">
        <v>263</v>
      </c>
      <c r="K4656" t="s">
        <v>264</v>
      </c>
      <c r="L4656">
        <v>10024</v>
      </c>
      <c r="M4656" t="s">
        <v>145</v>
      </c>
      <c r="N4656" t="s">
        <v>2737</v>
      </c>
      <c r="O4656" t="s">
        <v>45</v>
      </c>
      <c r="P4656" t="s">
        <v>74</v>
      </c>
      <c r="Q4656" t="s">
        <v>2738</v>
      </c>
      <c r="R4656">
        <v>146.68799999999999</v>
      </c>
      <c r="S4656">
        <v>8</v>
      </c>
      <c r="T4656">
        <v>0.2</v>
      </c>
      <c r="U4656">
        <v>45.84</v>
      </c>
      <c r="V4656" t="str">
        <f t="shared" si="72"/>
        <v>Ken Dana</v>
      </c>
      <c r="W4656">
        <f>Table2[Profit]/Table2[Sales]</f>
        <v>0.31250000000000006</v>
      </c>
    </row>
    <row r="4657" spans="1:23" x14ac:dyDescent="0.25">
      <c r="A4657">
        <v>4656</v>
      </c>
      <c r="B4657" t="s">
        <v>10297</v>
      </c>
      <c r="C4657" s="1">
        <v>42800</v>
      </c>
      <c r="D4657" s="1">
        <v>42806</v>
      </c>
      <c r="E4657" t="s">
        <v>49</v>
      </c>
      <c r="F4657" t="s">
        <v>3126</v>
      </c>
      <c r="G4657" t="s">
        <v>3127</v>
      </c>
      <c r="H4657" t="s">
        <v>25</v>
      </c>
      <c r="I4657" t="s">
        <v>26</v>
      </c>
      <c r="J4657" t="s">
        <v>808</v>
      </c>
      <c r="K4657" t="s">
        <v>103</v>
      </c>
      <c r="L4657">
        <v>75220</v>
      </c>
      <c r="M4657" t="s">
        <v>104</v>
      </c>
      <c r="N4657" t="s">
        <v>385</v>
      </c>
      <c r="O4657" t="s">
        <v>45</v>
      </c>
      <c r="P4657" t="s">
        <v>46</v>
      </c>
      <c r="Q4657" t="s">
        <v>386</v>
      </c>
      <c r="R4657">
        <v>4.9279999999999999</v>
      </c>
      <c r="S4657">
        <v>2</v>
      </c>
      <c r="T4657">
        <v>0.2</v>
      </c>
      <c r="U4657">
        <v>1.7248000000000001</v>
      </c>
      <c r="V4657" t="str">
        <f t="shared" si="72"/>
        <v>Don Weiss</v>
      </c>
      <c r="W4657">
        <f>Table2[Profit]/Table2[Sales]</f>
        <v>0.35000000000000003</v>
      </c>
    </row>
    <row r="4658" spans="1:23" x14ac:dyDescent="0.25">
      <c r="A4658">
        <v>4657</v>
      </c>
      <c r="B4658" t="s">
        <v>10298</v>
      </c>
      <c r="C4658" s="1">
        <v>42319</v>
      </c>
      <c r="D4658" s="1">
        <v>42319</v>
      </c>
      <c r="E4658" t="s">
        <v>1278</v>
      </c>
      <c r="F4658" t="s">
        <v>1025</v>
      </c>
      <c r="G4658" t="s">
        <v>1026</v>
      </c>
      <c r="H4658" t="s">
        <v>40</v>
      </c>
      <c r="I4658" t="s">
        <v>26</v>
      </c>
      <c r="J4658" t="s">
        <v>873</v>
      </c>
      <c r="K4658" t="s">
        <v>235</v>
      </c>
      <c r="L4658">
        <v>48234</v>
      </c>
      <c r="M4658" t="s">
        <v>104</v>
      </c>
      <c r="N4658" t="s">
        <v>220</v>
      </c>
      <c r="O4658" t="s">
        <v>45</v>
      </c>
      <c r="P4658" t="s">
        <v>58</v>
      </c>
      <c r="Q4658" t="s">
        <v>221</v>
      </c>
      <c r="R4658">
        <v>418.32</v>
      </c>
      <c r="S4658">
        <v>7</v>
      </c>
      <c r="T4658">
        <v>0</v>
      </c>
      <c r="U4658">
        <v>117.1296</v>
      </c>
      <c r="V4658" t="str">
        <f t="shared" si="72"/>
        <v>Andrew Gjertsen</v>
      </c>
      <c r="W4658">
        <f>Table2[Profit]/Table2[Sales]</f>
        <v>0.27999999999999997</v>
      </c>
    </row>
    <row r="4659" spans="1:23" x14ac:dyDescent="0.25">
      <c r="A4659">
        <v>4658</v>
      </c>
      <c r="B4659" t="s">
        <v>10299</v>
      </c>
      <c r="C4659" s="1">
        <v>42465</v>
      </c>
      <c r="D4659" s="1">
        <v>42469</v>
      </c>
      <c r="E4659" t="s">
        <v>49</v>
      </c>
      <c r="F4659" t="s">
        <v>3522</v>
      </c>
      <c r="G4659" t="s">
        <v>3523</v>
      </c>
      <c r="H4659" t="s">
        <v>25</v>
      </c>
      <c r="I4659" t="s">
        <v>26</v>
      </c>
      <c r="J4659" t="s">
        <v>143</v>
      </c>
      <c r="K4659" t="s">
        <v>144</v>
      </c>
      <c r="L4659">
        <v>19140</v>
      </c>
      <c r="M4659" t="s">
        <v>145</v>
      </c>
      <c r="N4659" t="s">
        <v>5310</v>
      </c>
      <c r="O4659" t="s">
        <v>70</v>
      </c>
      <c r="P4659" t="s">
        <v>71</v>
      </c>
      <c r="Q4659" t="s">
        <v>5311</v>
      </c>
      <c r="R4659">
        <v>118.782</v>
      </c>
      <c r="S4659">
        <v>3</v>
      </c>
      <c r="T4659">
        <v>0.4</v>
      </c>
      <c r="U4659">
        <v>-27.715800000000002</v>
      </c>
      <c r="V4659" t="str">
        <f t="shared" si="72"/>
        <v>Justin Hirsh</v>
      </c>
      <c r="W4659">
        <f>Table2[Profit]/Table2[Sales]</f>
        <v>-0.23333333333333336</v>
      </c>
    </row>
    <row r="4660" spans="1:23" x14ac:dyDescent="0.25">
      <c r="A4660">
        <v>4659</v>
      </c>
      <c r="B4660" t="s">
        <v>10300</v>
      </c>
      <c r="C4660" s="1">
        <v>42787</v>
      </c>
      <c r="D4660" s="1">
        <v>42792</v>
      </c>
      <c r="E4660" t="s">
        <v>49</v>
      </c>
      <c r="F4660" t="s">
        <v>501</v>
      </c>
      <c r="G4660" t="s">
        <v>502</v>
      </c>
      <c r="H4660" t="s">
        <v>25</v>
      </c>
      <c r="I4660" t="s">
        <v>26</v>
      </c>
      <c r="J4660" t="s">
        <v>4128</v>
      </c>
      <c r="K4660" t="s">
        <v>103</v>
      </c>
      <c r="L4660">
        <v>75007</v>
      </c>
      <c r="M4660" t="s">
        <v>104</v>
      </c>
      <c r="N4660" t="s">
        <v>1304</v>
      </c>
      <c r="O4660" t="s">
        <v>70</v>
      </c>
      <c r="P4660" t="s">
        <v>158</v>
      </c>
      <c r="Q4660" t="s">
        <v>1305</v>
      </c>
      <c r="R4660">
        <v>47.904000000000003</v>
      </c>
      <c r="S4660">
        <v>1</v>
      </c>
      <c r="T4660">
        <v>0.2</v>
      </c>
      <c r="U4660">
        <v>-2.9940000000000002</v>
      </c>
      <c r="V4660" t="str">
        <f t="shared" si="72"/>
        <v>Dave Kipp</v>
      </c>
      <c r="W4660">
        <f>Table2[Profit]/Table2[Sales]</f>
        <v>-6.25E-2</v>
      </c>
    </row>
    <row r="4661" spans="1:23" x14ac:dyDescent="0.25">
      <c r="A4661">
        <v>4660</v>
      </c>
      <c r="B4661" t="s">
        <v>10301</v>
      </c>
      <c r="C4661" s="1">
        <v>42936</v>
      </c>
      <c r="D4661" s="1">
        <v>42941</v>
      </c>
      <c r="E4661" t="s">
        <v>49</v>
      </c>
      <c r="F4661" t="s">
        <v>2110</v>
      </c>
      <c r="G4661" t="s">
        <v>2111</v>
      </c>
      <c r="H4661" t="s">
        <v>40</v>
      </c>
      <c r="I4661" t="s">
        <v>26</v>
      </c>
      <c r="J4661" t="s">
        <v>263</v>
      </c>
      <c r="K4661" t="s">
        <v>264</v>
      </c>
      <c r="L4661">
        <v>10009</v>
      </c>
      <c r="M4661" t="s">
        <v>145</v>
      </c>
      <c r="N4661" t="s">
        <v>2215</v>
      </c>
      <c r="O4661" t="s">
        <v>45</v>
      </c>
      <c r="P4661" t="s">
        <v>89</v>
      </c>
      <c r="Q4661" t="s">
        <v>2216</v>
      </c>
      <c r="R4661">
        <v>13.36</v>
      </c>
      <c r="S4661">
        <v>2</v>
      </c>
      <c r="T4661">
        <v>0</v>
      </c>
      <c r="U4661">
        <v>6.4127999999999998</v>
      </c>
      <c r="V4661" t="str">
        <f t="shared" si="72"/>
        <v>Anthony Rawles</v>
      </c>
      <c r="W4661">
        <f>Table2[Profit]/Table2[Sales]</f>
        <v>0.48</v>
      </c>
    </row>
    <row r="4662" spans="1:23" x14ac:dyDescent="0.25">
      <c r="A4662">
        <v>4661</v>
      </c>
      <c r="B4662" t="s">
        <v>10302</v>
      </c>
      <c r="C4662" s="1">
        <v>42678</v>
      </c>
      <c r="D4662" s="1">
        <v>42682</v>
      </c>
      <c r="E4662" t="s">
        <v>49</v>
      </c>
      <c r="F4662" t="s">
        <v>2662</v>
      </c>
      <c r="G4662" t="s">
        <v>2663</v>
      </c>
      <c r="H4662" t="s">
        <v>25</v>
      </c>
      <c r="I4662" t="s">
        <v>26</v>
      </c>
      <c r="J4662" t="s">
        <v>181</v>
      </c>
      <c r="K4662" t="s">
        <v>103</v>
      </c>
      <c r="L4662">
        <v>77041</v>
      </c>
      <c r="M4662" t="s">
        <v>104</v>
      </c>
      <c r="N4662" t="s">
        <v>6023</v>
      </c>
      <c r="O4662" t="s">
        <v>31</v>
      </c>
      <c r="P4662" t="s">
        <v>64</v>
      </c>
      <c r="Q4662" t="s">
        <v>6024</v>
      </c>
      <c r="R4662">
        <v>11.375999999999999</v>
      </c>
      <c r="S4662">
        <v>3</v>
      </c>
      <c r="T4662">
        <v>0.6</v>
      </c>
      <c r="U4662">
        <v>-5.6879999999999997</v>
      </c>
      <c r="V4662" t="str">
        <f t="shared" si="72"/>
        <v>Sally Matthias</v>
      </c>
      <c r="W4662">
        <f>Table2[Profit]/Table2[Sales]</f>
        <v>-0.5</v>
      </c>
    </row>
    <row r="4663" spans="1:23" x14ac:dyDescent="0.25">
      <c r="A4663">
        <v>4662</v>
      </c>
      <c r="B4663" t="s">
        <v>10303</v>
      </c>
      <c r="C4663" s="1">
        <v>43001</v>
      </c>
      <c r="D4663" s="1">
        <v>43007</v>
      </c>
      <c r="E4663" t="s">
        <v>49</v>
      </c>
      <c r="F4663" t="s">
        <v>4645</v>
      </c>
      <c r="G4663" t="s">
        <v>4646</v>
      </c>
      <c r="H4663" t="s">
        <v>25</v>
      </c>
      <c r="I4663" t="s">
        <v>26</v>
      </c>
      <c r="J4663" t="s">
        <v>41</v>
      </c>
      <c r="K4663" t="s">
        <v>42</v>
      </c>
      <c r="L4663">
        <v>90036</v>
      </c>
      <c r="M4663" t="s">
        <v>43</v>
      </c>
      <c r="N4663" t="s">
        <v>3662</v>
      </c>
      <c r="O4663" t="s">
        <v>45</v>
      </c>
      <c r="P4663" t="s">
        <v>89</v>
      </c>
      <c r="Q4663" t="s">
        <v>3663</v>
      </c>
      <c r="R4663">
        <v>211.04</v>
      </c>
      <c r="S4663">
        <v>8</v>
      </c>
      <c r="T4663">
        <v>0</v>
      </c>
      <c r="U4663">
        <v>97.078400000000002</v>
      </c>
      <c r="V4663" t="str">
        <f t="shared" si="72"/>
        <v>Duane Benoit</v>
      </c>
      <c r="W4663">
        <f>Table2[Profit]/Table2[Sales]</f>
        <v>0.46</v>
      </c>
    </row>
    <row r="4664" spans="1:23" x14ac:dyDescent="0.25">
      <c r="A4664">
        <v>4663</v>
      </c>
      <c r="B4664" t="s">
        <v>10304</v>
      </c>
      <c r="C4664" s="1">
        <v>42985</v>
      </c>
      <c r="D4664" s="1">
        <v>42988</v>
      </c>
      <c r="E4664" t="s">
        <v>185</v>
      </c>
      <c r="F4664" t="s">
        <v>3459</v>
      </c>
      <c r="G4664" t="s">
        <v>3460</v>
      </c>
      <c r="H4664" t="s">
        <v>25</v>
      </c>
      <c r="I4664" t="s">
        <v>26</v>
      </c>
      <c r="J4664" t="s">
        <v>2503</v>
      </c>
      <c r="K4664" t="s">
        <v>95</v>
      </c>
      <c r="L4664">
        <v>98026</v>
      </c>
      <c r="M4664" t="s">
        <v>43</v>
      </c>
      <c r="N4664" t="s">
        <v>7258</v>
      </c>
      <c r="O4664" t="s">
        <v>31</v>
      </c>
      <c r="P4664" t="s">
        <v>64</v>
      </c>
      <c r="Q4664" t="s">
        <v>7259</v>
      </c>
      <c r="R4664">
        <v>80.959999999999994</v>
      </c>
      <c r="S4664">
        <v>4</v>
      </c>
      <c r="T4664">
        <v>0</v>
      </c>
      <c r="U4664">
        <v>34.812800000000003</v>
      </c>
      <c r="V4664" t="str">
        <f t="shared" si="72"/>
        <v>Phillip Flathmann</v>
      </c>
      <c r="W4664">
        <f>Table2[Profit]/Table2[Sales]</f>
        <v>0.43000000000000005</v>
      </c>
    </row>
    <row r="4665" spans="1:23" x14ac:dyDescent="0.25">
      <c r="A4665">
        <v>4664</v>
      </c>
      <c r="B4665" t="s">
        <v>10305</v>
      </c>
      <c r="C4665" s="1">
        <v>42336</v>
      </c>
      <c r="D4665" s="1">
        <v>42338</v>
      </c>
      <c r="E4665" t="s">
        <v>185</v>
      </c>
      <c r="F4665" t="s">
        <v>1861</v>
      </c>
      <c r="G4665" t="s">
        <v>1862</v>
      </c>
      <c r="H4665" t="s">
        <v>25</v>
      </c>
      <c r="I4665" t="s">
        <v>26</v>
      </c>
      <c r="J4665" t="s">
        <v>126</v>
      </c>
      <c r="K4665" t="s">
        <v>42</v>
      </c>
      <c r="L4665">
        <v>94110</v>
      </c>
      <c r="M4665" t="s">
        <v>43</v>
      </c>
      <c r="N4665" t="s">
        <v>7045</v>
      </c>
      <c r="O4665" t="s">
        <v>45</v>
      </c>
      <c r="P4665" t="s">
        <v>77</v>
      </c>
      <c r="Q4665" t="s">
        <v>7046</v>
      </c>
      <c r="R4665">
        <v>45.28</v>
      </c>
      <c r="S4665">
        <v>4</v>
      </c>
      <c r="T4665">
        <v>0</v>
      </c>
      <c r="U4665">
        <v>15.395200000000001</v>
      </c>
      <c r="V4665" t="str">
        <f t="shared" si="72"/>
        <v>Ashley Jarboe</v>
      </c>
      <c r="W4665">
        <f>Table2[Profit]/Table2[Sales]</f>
        <v>0.34</v>
      </c>
    </row>
    <row r="4666" spans="1:23" x14ac:dyDescent="0.25">
      <c r="A4666">
        <v>4665</v>
      </c>
      <c r="B4666" t="s">
        <v>10306</v>
      </c>
      <c r="C4666" s="1">
        <v>42320</v>
      </c>
      <c r="D4666" s="1">
        <v>42326</v>
      </c>
      <c r="E4666" t="s">
        <v>49</v>
      </c>
      <c r="F4666" t="s">
        <v>6186</v>
      </c>
      <c r="G4666" t="s">
        <v>6187</v>
      </c>
      <c r="H4666" t="s">
        <v>25</v>
      </c>
      <c r="I4666" t="s">
        <v>26</v>
      </c>
      <c r="J4666" t="s">
        <v>263</v>
      </c>
      <c r="K4666" t="s">
        <v>264</v>
      </c>
      <c r="L4666">
        <v>10035</v>
      </c>
      <c r="M4666" t="s">
        <v>145</v>
      </c>
      <c r="N4666" t="s">
        <v>3212</v>
      </c>
      <c r="O4666" t="s">
        <v>45</v>
      </c>
      <c r="P4666" t="s">
        <v>170</v>
      </c>
      <c r="Q4666" t="s">
        <v>662</v>
      </c>
      <c r="R4666">
        <v>15.56</v>
      </c>
      <c r="S4666">
        <v>2</v>
      </c>
      <c r="T4666">
        <v>0</v>
      </c>
      <c r="U4666">
        <v>7.3132000000000001</v>
      </c>
      <c r="V4666" t="str">
        <f t="shared" si="72"/>
        <v>Eugene Barchas</v>
      </c>
      <c r="W4666">
        <f>Table2[Profit]/Table2[Sales]</f>
        <v>0.47</v>
      </c>
    </row>
    <row r="4667" spans="1:23" x14ac:dyDescent="0.25">
      <c r="A4667">
        <v>4666</v>
      </c>
      <c r="B4667" t="s">
        <v>10307</v>
      </c>
      <c r="C4667" s="1">
        <v>42642</v>
      </c>
      <c r="D4667" s="1">
        <v>42646</v>
      </c>
      <c r="E4667" t="s">
        <v>49</v>
      </c>
      <c r="F4667" t="s">
        <v>217</v>
      </c>
      <c r="G4667" t="s">
        <v>218</v>
      </c>
      <c r="H4667" t="s">
        <v>40</v>
      </c>
      <c r="I4667" t="s">
        <v>26</v>
      </c>
      <c r="J4667" t="s">
        <v>311</v>
      </c>
      <c r="K4667" t="s">
        <v>413</v>
      </c>
      <c r="L4667">
        <v>97477</v>
      </c>
      <c r="M4667" t="s">
        <v>43</v>
      </c>
      <c r="N4667" t="s">
        <v>4374</v>
      </c>
      <c r="O4667" t="s">
        <v>70</v>
      </c>
      <c r="P4667" t="s">
        <v>71</v>
      </c>
      <c r="Q4667" t="s">
        <v>4375</v>
      </c>
      <c r="R4667">
        <v>859.2</v>
      </c>
      <c r="S4667">
        <v>3</v>
      </c>
      <c r="T4667">
        <v>0.2</v>
      </c>
      <c r="U4667">
        <v>75.180000000000007</v>
      </c>
      <c r="V4667" t="str">
        <f t="shared" si="72"/>
        <v>Erin Smith</v>
      </c>
      <c r="W4667">
        <f>Table2[Profit]/Table2[Sales]</f>
        <v>8.7500000000000008E-2</v>
      </c>
    </row>
    <row r="4668" spans="1:23" x14ac:dyDescent="0.25">
      <c r="A4668">
        <v>4667</v>
      </c>
      <c r="B4668" t="s">
        <v>10308</v>
      </c>
      <c r="C4668" s="1">
        <v>42989</v>
      </c>
      <c r="D4668" s="1">
        <v>42991</v>
      </c>
      <c r="E4668" t="s">
        <v>22</v>
      </c>
      <c r="F4668" t="s">
        <v>7747</v>
      </c>
      <c r="G4668" t="s">
        <v>7748</v>
      </c>
      <c r="H4668" t="s">
        <v>25</v>
      </c>
      <c r="I4668" t="s">
        <v>26</v>
      </c>
      <c r="J4668" t="s">
        <v>7771</v>
      </c>
      <c r="K4668" t="s">
        <v>28</v>
      </c>
      <c r="L4668">
        <v>40324</v>
      </c>
      <c r="M4668" t="s">
        <v>29</v>
      </c>
      <c r="N4668" t="s">
        <v>1583</v>
      </c>
      <c r="O4668" t="s">
        <v>45</v>
      </c>
      <c r="P4668" t="s">
        <v>77</v>
      </c>
      <c r="Q4668" t="s">
        <v>1584</v>
      </c>
      <c r="R4668">
        <v>195.68</v>
      </c>
      <c r="S4668">
        <v>4</v>
      </c>
      <c r="T4668">
        <v>0</v>
      </c>
      <c r="U4668">
        <v>50.876800000000003</v>
      </c>
      <c r="V4668" t="str">
        <f t="shared" si="72"/>
        <v>Shahid Shariari</v>
      </c>
      <c r="W4668">
        <f>Table2[Profit]/Table2[Sales]</f>
        <v>0.26</v>
      </c>
    </row>
    <row r="4669" spans="1:23" x14ac:dyDescent="0.25">
      <c r="A4669">
        <v>4668</v>
      </c>
      <c r="B4669" t="s">
        <v>10309</v>
      </c>
      <c r="C4669" s="1">
        <v>42856</v>
      </c>
      <c r="D4669" s="1">
        <v>42857</v>
      </c>
      <c r="E4669" t="s">
        <v>185</v>
      </c>
      <c r="F4669" t="s">
        <v>1297</v>
      </c>
      <c r="G4669" t="s">
        <v>1298</v>
      </c>
      <c r="H4669" t="s">
        <v>25</v>
      </c>
      <c r="I4669" t="s">
        <v>26</v>
      </c>
      <c r="J4669" t="s">
        <v>3340</v>
      </c>
      <c r="K4669" t="s">
        <v>53</v>
      </c>
      <c r="L4669">
        <v>33065</v>
      </c>
      <c r="M4669" t="s">
        <v>29</v>
      </c>
      <c r="N4669" t="s">
        <v>30</v>
      </c>
      <c r="O4669" t="s">
        <v>31</v>
      </c>
      <c r="P4669" t="s">
        <v>32</v>
      </c>
      <c r="Q4669" t="s">
        <v>33</v>
      </c>
      <c r="R4669">
        <v>314.35199999999998</v>
      </c>
      <c r="S4669">
        <v>3</v>
      </c>
      <c r="T4669">
        <v>0.2</v>
      </c>
      <c r="U4669">
        <v>-15.717599999999999</v>
      </c>
      <c r="V4669" t="str">
        <f t="shared" si="72"/>
        <v>Arthur Gainer</v>
      </c>
      <c r="W4669">
        <f>Table2[Profit]/Table2[Sales]</f>
        <v>-0.05</v>
      </c>
    </row>
    <row r="4670" spans="1:23" x14ac:dyDescent="0.25">
      <c r="A4670">
        <v>4669</v>
      </c>
      <c r="B4670" t="s">
        <v>10310</v>
      </c>
      <c r="C4670" s="1">
        <v>42994</v>
      </c>
      <c r="D4670" s="1">
        <v>42998</v>
      </c>
      <c r="E4670" t="s">
        <v>49</v>
      </c>
      <c r="F4670" t="s">
        <v>3143</v>
      </c>
      <c r="G4670" t="s">
        <v>3144</v>
      </c>
      <c r="H4670" t="s">
        <v>40</v>
      </c>
      <c r="I4670" t="s">
        <v>26</v>
      </c>
      <c r="J4670" t="s">
        <v>126</v>
      </c>
      <c r="K4670" t="s">
        <v>42</v>
      </c>
      <c r="L4670">
        <v>94110</v>
      </c>
      <c r="M4670" t="s">
        <v>43</v>
      </c>
      <c r="N4670" t="s">
        <v>492</v>
      </c>
      <c r="O4670" t="s">
        <v>45</v>
      </c>
      <c r="P4670" t="s">
        <v>266</v>
      </c>
      <c r="Q4670" t="s">
        <v>493</v>
      </c>
      <c r="R4670">
        <v>17.899999999999999</v>
      </c>
      <c r="S4670">
        <v>5</v>
      </c>
      <c r="T4670">
        <v>0</v>
      </c>
      <c r="U4670">
        <v>8.7710000000000008</v>
      </c>
      <c r="V4670" t="str">
        <f t="shared" si="72"/>
        <v>Craig Yedwab</v>
      </c>
      <c r="W4670">
        <f>Table2[Profit]/Table2[Sales]</f>
        <v>0.4900000000000001</v>
      </c>
    </row>
    <row r="4671" spans="1:23" x14ac:dyDescent="0.25">
      <c r="A4671">
        <v>4670</v>
      </c>
      <c r="B4671" t="s">
        <v>10311</v>
      </c>
      <c r="C4671" s="1">
        <v>41931</v>
      </c>
      <c r="D4671" s="1">
        <v>41934</v>
      </c>
      <c r="E4671" t="s">
        <v>22</v>
      </c>
      <c r="F4671" t="s">
        <v>2815</v>
      </c>
      <c r="G4671" t="s">
        <v>2816</v>
      </c>
      <c r="H4671" t="s">
        <v>40</v>
      </c>
      <c r="I4671" t="s">
        <v>26</v>
      </c>
      <c r="J4671" t="s">
        <v>126</v>
      </c>
      <c r="K4671" t="s">
        <v>42</v>
      </c>
      <c r="L4671">
        <v>94110</v>
      </c>
      <c r="M4671" t="s">
        <v>43</v>
      </c>
      <c r="N4671" t="s">
        <v>5624</v>
      </c>
      <c r="O4671" t="s">
        <v>45</v>
      </c>
      <c r="P4671" t="s">
        <v>74</v>
      </c>
      <c r="Q4671" t="s">
        <v>5625</v>
      </c>
      <c r="R4671">
        <v>2.992</v>
      </c>
      <c r="S4671">
        <v>1</v>
      </c>
      <c r="T4671">
        <v>0.2</v>
      </c>
      <c r="U4671">
        <v>1.1220000000000001</v>
      </c>
      <c r="V4671" t="str">
        <f t="shared" si="72"/>
        <v>Rachel Payne</v>
      </c>
      <c r="W4671">
        <f>Table2[Profit]/Table2[Sales]</f>
        <v>0.37500000000000006</v>
      </c>
    </row>
    <row r="4672" spans="1:23" x14ac:dyDescent="0.25">
      <c r="A4672">
        <v>4671</v>
      </c>
      <c r="B4672" t="s">
        <v>10312</v>
      </c>
      <c r="C4672" s="1">
        <v>42442</v>
      </c>
      <c r="D4672" s="1">
        <v>42447</v>
      </c>
      <c r="E4672" t="s">
        <v>49</v>
      </c>
      <c r="F4672" t="s">
        <v>7488</v>
      </c>
      <c r="G4672" t="s">
        <v>7489</v>
      </c>
      <c r="H4672" t="s">
        <v>101</v>
      </c>
      <c r="I4672" t="s">
        <v>26</v>
      </c>
      <c r="J4672" t="s">
        <v>2817</v>
      </c>
      <c r="K4672" t="s">
        <v>42</v>
      </c>
      <c r="L4672">
        <v>92503</v>
      </c>
      <c r="M4672" t="s">
        <v>43</v>
      </c>
      <c r="N4672" t="s">
        <v>2410</v>
      </c>
      <c r="O4672" t="s">
        <v>45</v>
      </c>
      <c r="P4672" t="s">
        <v>74</v>
      </c>
      <c r="Q4672" t="s">
        <v>2411</v>
      </c>
      <c r="R4672">
        <v>51.183999999999997</v>
      </c>
      <c r="S4672">
        <v>7</v>
      </c>
      <c r="T4672">
        <v>0.2</v>
      </c>
      <c r="U4672">
        <v>19.193999999999999</v>
      </c>
      <c r="V4672" t="str">
        <f t="shared" si="72"/>
        <v>Dennis Bolton</v>
      </c>
      <c r="W4672">
        <f>Table2[Profit]/Table2[Sales]</f>
        <v>0.375</v>
      </c>
    </row>
    <row r="4673" spans="1:23" x14ac:dyDescent="0.25">
      <c r="A4673">
        <v>4672</v>
      </c>
      <c r="B4673" t="s">
        <v>10313</v>
      </c>
      <c r="C4673" s="1">
        <v>42783</v>
      </c>
      <c r="D4673" s="1">
        <v>42786</v>
      </c>
      <c r="E4673" t="s">
        <v>185</v>
      </c>
      <c r="F4673" t="s">
        <v>2278</v>
      </c>
      <c r="G4673" t="s">
        <v>2279</v>
      </c>
      <c r="H4673" t="s">
        <v>101</v>
      </c>
      <c r="I4673" t="s">
        <v>26</v>
      </c>
      <c r="J4673" t="s">
        <v>271</v>
      </c>
      <c r="K4673" t="s">
        <v>491</v>
      </c>
      <c r="L4673">
        <v>45373</v>
      </c>
      <c r="M4673" t="s">
        <v>145</v>
      </c>
      <c r="N4673" t="s">
        <v>8113</v>
      </c>
      <c r="O4673" t="s">
        <v>31</v>
      </c>
      <c r="P4673" t="s">
        <v>55</v>
      </c>
      <c r="Q4673" t="s">
        <v>8114</v>
      </c>
      <c r="R4673">
        <v>455.97</v>
      </c>
      <c r="S4673">
        <v>5</v>
      </c>
      <c r="T4673">
        <v>0.4</v>
      </c>
      <c r="U4673">
        <v>-106.393</v>
      </c>
      <c r="V4673" t="str">
        <f t="shared" si="72"/>
        <v>Christine Kargatis</v>
      </c>
      <c r="W4673">
        <f>Table2[Profit]/Table2[Sales]</f>
        <v>-0.23333333333333331</v>
      </c>
    </row>
    <row r="4674" spans="1:23" x14ac:dyDescent="0.25">
      <c r="A4674">
        <v>4673</v>
      </c>
      <c r="B4674" t="s">
        <v>10314</v>
      </c>
      <c r="C4674" s="1">
        <v>42726</v>
      </c>
      <c r="D4674" s="1">
        <v>42732</v>
      </c>
      <c r="E4674" t="s">
        <v>49</v>
      </c>
      <c r="F4674" t="s">
        <v>357</v>
      </c>
      <c r="G4674" t="s">
        <v>358</v>
      </c>
      <c r="H4674" t="s">
        <v>25</v>
      </c>
      <c r="I4674" t="s">
        <v>26</v>
      </c>
      <c r="J4674" t="s">
        <v>7768</v>
      </c>
      <c r="K4674" t="s">
        <v>42</v>
      </c>
      <c r="L4674">
        <v>92553</v>
      </c>
      <c r="M4674" t="s">
        <v>43</v>
      </c>
      <c r="N4674" t="s">
        <v>8955</v>
      </c>
      <c r="O4674" t="s">
        <v>31</v>
      </c>
      <c r="P4674" t="s">
        <v>64</v>
      </c>
      <c r="Q4674" t="s">
        <v>8956</v>
      </c>
      <c r="R4674">
        <v>842.72</v>
      </c>
      <c r="S4674">
        <v>8</v>
      </c>
      <c r="T4674">
        <v>0</v>
      </c>
      <c r="U4674">
        <v>202.25280000000001</v>
      </c>
      <c r="V4674" t="str">
        <f t="shared" si="72"/>
        <v>Duane Noonan</v>
      </c>
      <c r="W4674">
        <f>Table2[Profit]/Table2[Sales]</f>
        <v>0.24</v>
      </c>
    </row>
    <row r="4675" spans="1:23" x14ac:dyDescent="0.25">
      <c r="A4675">
        <v>4674</v>
      </c>
      <c r="B4675" t="s">
        <v>10315</v>
      </c>
      <c r="C4675" s="1">
        <v>42636</v>
      </c>
      <c r="D4675" s="1">
        <v>42640</v>
      </c>
      <c r="E4675" t="s">
        <v>49</v>
      </c>
      <c r="F4675" t="s">
        <v>2601</v>
      </c>
      <c r="G4675" t="s">
        <v>2602</v>
      </c>
      <c r="H4675" t="s">
        <v>40</v>
      </c>
      <c r="I4675" t="s">
        <v>26</v>
      </c>
      <c r="J4675" t="s">
        <v>94</v>
      </c>
      <c r="K4675" t="s">
        <v>95</v>
      </c>
      <c r="L4675">
        <v>98115</v>
      </c>
      <c r="M4675" t="s">
        <v>43</v>
      </c>
      <c r="N4675" t="s">
        <v>3518</v>
      </c>
      <c r="O4675" t="s">
        <v>45</v>
      </c>
      <c r="P4675" t="s">
        <v>74</v>
      </c>
      <c r="Q4675" t="s">
        <v>3519</v>
      </c>
      <c r="R4675">
        <v>13.215999999999999</v>
      </c>
      <c r="S4675">
        <v>4</v>
      </c>
      <c r="T4675">
        <v>0.2</v>
      </c>
      <c r="U4675">
        <v>4.4603999999999999</v>
      </c>
      <c r="V4675" t="str">
        <f t="shared" ref="V4675:V4738" si="73">TRIM(G4675)</f>
        <v>Dave Poirier</v>
      </c>
      <c r="W4675">
        <f>Table2[Profit]/Table2[Sales]</f>
        <v>0.33750000000000002</v>
      </c>
    </row>
    <row r="4676" spans="1:23" x14ac:dyDescent="0.25">
      <c r="A4676">
        <v>4675</v>
      </c>
      <c r="B4676" t="s">
        <v>10316</v>
      </c>
      <c r="C4676" s="1">
        <v>43002</v>
      </c>
      <c r="D4676" s="1">
        <v>43004</v>
      </c>
      <c r="E4676" t="s">
        <v>185</v>
      </c>
      <c r="F4676" t="s">
        <v>1675</v>
      </c>
      <c r="G4676" t="s">
        <v>1676</v>
      </c>
      <c r="H4676" t="s">
        <v>25</v>
      </c>
      <c r="I4676" t="s">
        <v>26</v>
      </c>
      <c r="J4676" t="s">
        <v>296</v>
      </c>
      <c r="K4676" t="s">
        <v>208</v>
      </c>
      <c r="L4676">
        <v>60623</v>
      </c>
      <c r="M4676" t="s">
        <v>104</v>
      </c>
      <c r="N4676" t="s">
        <v>3337</v>
      </c>
      <c r="O4676" t="s">
        <v>31</v>
      </c>
      <c r="P4676" t="s">
        <v>35</v>
      </c>
      <c r="Q4676" t="s">
        <v>3338</v>
      </c>
      <c r="R4676">
        <v>520.46400000000006</v>
      </c>
      <c r="S4676">
        <v>2</v>
      </c>
      <c r="T4676">
        <v>0.3</v>
      </c>
      <c r="U4676">
        <v>-14.8704</v>
      </c>
      <c r="V4676" t="str">
        <f t="shared" si="73"/>
        <v>Rose O'Brian</v>
      </c>
      <c r="W4676">
        <f>Table2[Profit]/Table2[Sales]</f>
        <v>-2.8571428571428567E-2</v>
      </c>
    </row>
    <row r="4677" spans="1:23" x14ac:dyDescent="0.25">
      <c r="A4677">
        <v>4676</v>
      </c>
      <c r="B4677" t="s">
        <v>10317</v>
      </c>
      <c r="C4677" s="1">
        <v>42339</v>
      </c>
      <c r="D4677" s="1">
        <v>42343</v>
      </c>
      <c r="E4677" t="s">
        <v>49</v>
      </c>
      <c r="F4677" t="s">
        <v>179</v>
      </c>
      <c r="G4677" t="s">
        <v>180</v>
      </c>
      <c r="H4677" t="s">
        <v>101</v>
      </c>
      <c r="I4677" t="s">
        <v>26</v>
      </c>
      <c r="J4677" t="s">
        <v>321</v>
      </c>
      <c r="K4677" t="s">
        <v>235</v>
      </c>
      <c r="L4677">
        <v>49201</v>
      </c>
      <c r="M4677" t="s">
        <v>104</v>
      </c>
      <c r="N4677" t="s">
        <v>8384</v>
      </c>
      <c r="O4677" t="s">
        <v>45</v>
      </c>
      <c r="P4677" t="s">
        <v>89</v>
      </c>
      <c r="Q4677" t="s">
        <v>8385</v>
      </c>
      <c r="R4677">
        <v>19.440000000000001</v>
      </c>
      <c r="S4677">
        <v>3</v>
      </c>
      <c r="T4677">
        <v>0</v>
      </c>
      <c r="U4677">
        <v>9.3312000000000008</v>
      </c>
      <c r="V4677" t="str">
        <f t="shared" si="73"/>
        <v>Matt Abelman</v>
      </c>
      <c r="W4677">
        <f>Table2[Profit]/Table2[Sales]</f>
        <v>0.48000000000000004</v>
      </c>
    </row>
    <row r="4678" spans="1:23" x14ac:dyDescent="0.25">
      <c r="A4678">
        <v>4677</v>
      </c>
      <c r="B4678" t="s">
        <v>10318</v>
      </c>
      <c r="C4678" s="1">
        <v>42394</v>
      </c>
      <c r="D4678" s="1">
        <v>42397</v>
      </c>
      <c r="E4678" t="s">
        <v>22</v>
      </c>
      <c r="F4678" t="s">
        <v>575</v>
      </c>
      <c r="G4678" t="s">
        <v>576</v>
      </c>
      <c r="H4678" t="s">
        <v>40</v>
      </c>
      <c r="I4678" t="s">
        <v>26</v>
      </c>
      <c r="J4678" t="s">
        <v>263</v>
      </c>
      <c r="K4678" t="s">
        <v>264</v>
      </c>
      <c r="L4678">
        <v>10024</v>
      </c>
      <c r="M4678" t="s">
        <v>145</v>
      </c>
      <c r="N4678" t="s">
        <v>3188</v>
      </c>
      <c r="O4678" t="s">
        <v>45</v>
      </c>
      <c r="P4678" t="s">
        <v>74</v>
      </c>
      <c r="Q4678" t="s">
        <v>3189</v>
      </c>
      <c r="R4678">
        <v>43.12</v>
      </c>
      <c r="S4678">
        <v>5</v>
      </c>
      <c r="T4678">
        <v>0.2</v>
      </c>
      <c r="U4678">
        <v>15.092000000000001</v>
      </c>
      <c r="V4678" t="str">
        <f t="shared" si="73"/>
        <v>Jonathan Doherty</v>
      </c>
      <c r="W4678">
        <f>Table2[Profit]/Table2[Sales]</f>
        <v>0.35000000000000003</v>
      </c>
    </row>
    <row r="4679" spans="1:23" x14ac:dyDescent="0.25">
      <c r="A4679">
        <v>4678</v>
      </c>
      <c r="B4679" t="s">
        <v>10319</v>
      </c>
      <c r="C4679" s="1">
        <v>42815</v>
      </c>
      <c r="D4679" s="1">
        <v>42819</v>
      </c>
      <c r="E4679" t="s">
        <v>49</v>
      </c>
      <c r="F4679" t="s">
        <v>294</v>
      </c>
      <c r="G4679" t="s">
        <v>295</v>
      </c>
      <c r="H4679" t="s">
        <v>101</v>
      </c>
      <c r="I4679" t="s">
        <v>26</v>
      </c>
      <c r="J4679" t="s">
        <v>94</v>
      </c>
      <c r="K4679" t="s">
        <v>95</v>
      </c>
      <c r="L4679">
        <v>98105</v>
      </c>
      <c r="M4679" t="s">
        <v>43</v>
      </c>
      <c r="N4679" t="s">
        <v>252</v>
      </c>
      <c r="O4679" t="s">
        <v>45</v>
      </c>
      <c r="P4679" t="s">
        <v>74</v>
      </c>
      <c r="Q4679" t="s">
        <v>253</v>
      </c>
      <c r="R4679">
        <v>30.576000000000001</v>
      </c>
      <c r="S4679">
        <v>6</v>
      </c>
      <c r="T4679">
        <v>0.2</v>
      </c>
      <c r="U4679">
        <v>10.3194</v>
      </c>
      <c r="V4679" t="str">
        <f t="shared" si="73"/>
        <v>Paul Stevenson</v>
      </c>
      <c r="W4679">
        <f>Table2[Profit]/Table2[Sales]</f>
        <v>0.33749999999999997</v>
      </c>
    </row>
    <row r="4680" spans="1:23" x14ac:dyDescent="0.25">
      <c r="A4680">
        <v>4679</v>
      </c>
      <c r="B4680" t="s">
        <v>10320</v>
      </c>
      <c r="C4680" s="1">
        <v>41873</v>
      </c>
      <c r="D4680" s="1">
        <v>41876</v>
      </c>
      <c r="E4680" t="s">
        <v>185</v>
      </c>
      <c r="F4680" t="s">
        <v>1908</v>
      </c>
      <c r="G4680" t="s">
        <v>1909</v>
      </c>
      <c r="H4680" t="s">
        <v>25</v>
      </c>
      <c r="I4680" t="s">
        <v>26</v>
      </c>
      <c r="J4680" t="s">
        <v>9072</v>
      </c>
      <c r="K4680" t="s">
        <v>590</v>
      </c>
      <c r="L4680">
        <v>63301</v>
      </c>
      <c r="M4680" t="s">
        <v>104</v>
      </c>
      <c r="N4680" t="s">
        <v>9469</v>
      </c>
      <c r="O4680" t="s">
        <v>45</v>
      </c>
      <c r="P4680" t="s">
        <v>89</v>
      </c>
      <c r="Q4680" t="s">
        <v>9470</v>
      </c>
      <c r="R4680">
        <v>11.56</v>
      </c>
      <c r="S4680">
        <v>2</v>
      </c>
      <c r="T4680">
        <v>0</v>
      </c>
      <c r="U4680">
        <v>5.6643999999999997</v>
      </c>
      <c r="V4680" t="str">
        <f t="shared" si="73"/>
        <v>Jennifer Ferguson</v>
      </c>
      <c r="W4680">
        <f>Table2[Profit]/Table2[Sales]</f>
        <v>0.48999999999999994</v>
      </c>
    </row>
    <row r="4681" spans="1:23" x14ac:dyDescent="0.25">
      <c r="A4681">
        <v>4680</v>
      </c>
      <c r="B4681" t="s">
        <v>10321</v>
      </c>
      <c r="C4681" s="1">
        <v>41798</v>
      </c>
      <c r="D4681" s="1">
        <v>41803</v>
      </c>
      <c r="E4681" t="s">
        <v>49</v>
      </c>
      <c r="F4681" t="s">
        <v>4113</v>
      </c>
      <c r="G4681" t="s">
        <v>4114</v>
      </c>
      <c r="H4681" t="s">
        <v>25</v>
      </c>
      <c r="I4681" t="s">
        <v>26</v>
      </c>
      <c r="J4681" t="s">
        <v>1161</v>
      </c>
      <c r="K4681" t="s">
        <v>264</v>
      </c>
      <c r="L4681">
        <v>11561</v>
      </c>
      <c r="M4681" t="s">
        <v>145</v>
      </c>
      <c r="N4681" t="s">
        <v>7142</v>
      </c>
      <c r="O4681" t="s">
        <v>45</v>
      </c>
      <c r="P4681" t="s">
        <v>74</v>
      </c>
      <c r="Q4681" t="s">
        <v>7143</v>
      </c>
      <c r="R4681">
        <v>68.48</v>
      </c>
      <c r="S4681">
        <v>2</v>
      </c>
      <c r="T4681">
        <v>0.2</v>
      </c>
      <c r="U4681">
        <v>25.68</v>
      </c>
      <c r="V4681" t="str">
        <f t="shared" si="73"/>
        <v>Rick Duston</v>
      </c>
      <c r="W4681">
        <f>Table2[Profit]/Table2[Sales]</f>
        <v>0.375</v>
      </c>
    </row>
    <row r="4682" spans="1:23" x14ac:dyDescent="0.25">
      <c r="A4682">
        <v>4681</v>
      </c>
      <c r="B4682" t="s">
        <v>10322</v>
      </c>
      <c r="C4682" s="1">
        <v>42467</v>
      </c>
      <c r="D4682" s="1">
        <v>42469</v>
      </c>
      <c r="E4682" t="s">
        <v>185</v>
      </c>
      <c r="F4682" t="s">
        <v>217</v>
      </c>
      <c r="G4682" t="s">
        <v>218</v>
      </c>
      <c r="H4682" t="s">
        <v>40</v>
      </c>
      <c r="I4682" t="s">
        <v>26</v>
      </c>
      <c r="J4682" t="s">
        <v>1111</v>
      </c>
      <c r="K4682" t="s">
        <v>781</v>
      </c>
      <c r="L4682">
        <v>8701</v>
      </c>
      <c r="M4682" t="s">
        <v>145</v>
      </c>
      <c r="N4682" t="s">
        <v>1090</v>
      </c>
      <c r="O4682" t="s">
        <v>45</v>
      </c>
      <c r="P4682" t="s">
        <v>89</v>
      </c>
      <c r="Q4682" t="s">
        <v>1091</v>
      </c>
      <c r="R4682">
        <v>37.94</v>
      </c>
      <c r="S4682">
        <v>2</v>
      </c>
      <c r="T4682">
        <v>0</v>
      </c>
      <c r="U4682">
        <v>18.211200000000002</v>
      </c>
      <c r="V4682" t="str">
        <f t="shared" si="73"/>
        <v>Erin Smith</v>
      </c>
      <c r="W4682">
        <f>Table2[Profit]/Table2[Sales]</f>
        <v>0.48000000000000009</v>
      </c>
    </row>
    <row r="4683" spans="1:23" x14ac:dyDescent="0.25">
      <c r="A4683">
        <v>4682</v>
      </c>
      <c r="B4683" t="s">
        <v>10323</v>
      </c>
      <c r="C4683" s="1">
        <v>43046</v>
      </c>
      <c r="D4683" s="1">
        <v>43048</v>
      </c>
      <c r="E4683" t="s">
        <v>22</v>
      </c>
      <c r="F4683" t="s">
        <v>3869</v>
      </c>
      <c r="G4683" t="s">
        <v>3870</v>
      </c>
      <c r="H4683" t="s">
        <v>40</v>
      </c>
      <c r="I4683" t="s">
        <v>26</v>
      </c>
      <c r="J4683" t="s">
        <v>3159</v>
      </c>
      <c r="K4683" t="s">
        <v>2699</v>
      </c>
      <c r="L4683">
        <v>20735</v>
      </c>
      <c r="M4683" t="s">
        <v>145</v>
      </c>
      <c r="N4683" t="s">
        <v>5995</v>
      </c>
      <c r="O4683" t="s">
        <v>31</v>
      </c>
      <c r="P4683" t="s">
        <v>35</v>
      </c>
      <c r="Q4683" t="s">
        <v>5996</v>
      </c>
      <c r="R4683">
        <v>272.97000000000003</v>
      </c>
      <c r="S4683">
        <v>3</v>
      </c>
      <c r="T4683">
        <v>0</v>
      </c>
      <c r="U4683">
        <v>43.675199999999997</v>
      </c>
      <c r="V4683" t="str">
        <f t="shared" si="73"/>
        <v>Katherine Nockton</v>
      </c>
      <c r="W4683">
        <f>Table2[Profit]/Table2[Sales]</f>
        <v>0.15999999999999998</v>
      </c>
    </row>
    <row r="4684" spans="1:23" x14ac:dyDescent="0.25">
      <c r="A4684">
        <v>4683</v>
      </c>
      <c r="B4684" t="s">
        <v>10324</v>
      </c>
      <c r="C4684" s="1">
        <v>42153</v>
      </c>
      <c r="D4684" s="1">
        <v>42155</v>
      </c>
      <c r="E4684" t="s">
        <v>185</v>
      </c>
      <c r="F4684" t="s">
        <v>8769</v>
      </c>
      <c r="G4684" t="s">
        <v>8770</v>
      </c>
      <c r="H4684" t="s">
        <v>40</v>
      </c>
      <c r="I4684" t="s">
        <v>26</v>
      </c>
      <c r="J4684" t="s">
        <v>490</v>
      </c>
      <c r="K4684" t="s">
        <v>491</v>
      </c>
      <c r="L4684">
        <v>43229</v>
      </c>
      <c r="M4684" t="s">
        <v>145</v>
      </c>
      <c r="N4684" t="s">
        <v>9357</v>
      </c>
      <c r="O4684" t="s">
        <v>31</v>
      </c>
      <c r="P4684" t="s">
        <v>64</v>
      </c>
      <c r="Q4684" t="s">
        <v>9358</v>
      </c>
      <c r="R4684">
        <v>41.567999999999998</v>
      </c>
      <c r="S4684">
        <v>4</v>
      </c>
      <c r="T4684">
        <v>0.2</v>
      </c>
      <c r="U4684">
        <v>-4.1567999999999996</v>
      </c>
      <c r="V4684" t="str">
        <f t="shared" si="73"/>
        <v>Victoria Pisteka</v>
      </c>
      <c r="W4684">
        <f>Table2[Profit]/Table2[Sales]</f>
        <v>-9.9999999999999992E-2</v>
      </c>
    </row>
    <row r="4685" spans="1:23" x14ac:dyDescent="0.25">
      <c r="A4685">
        <v>4684</v>
      </c>
      <c r="B4685" t="s">
        <v>10325</v>
      </c>
      <c r="C4685" s="1">
        <v>42862</v>
      </c>
      <c r="D4685" s="1">
        <v>42866</v>
      </c>
      <c r="E4685" t="s">
        <v>49</v>
      </c>
      <c r="F4685" t="s">
        <v>1924</v>
      </c>
      <c r="G4685" t="s">
        <v>1925</v>
      </c>
      <c r="H4685" t="s">
        <v>25</v>
      </c>
      <c r="I4685" t="s">
        <v>26</v>
      </c>
      <c r="J4685" t="s">
        <v>596</v>
      </c>
      <c r="K4685" t="s">
        <v>42</v>
      </c>
      <c r="L4685">
        <v>91104</v>
      </c>
      <c r="M4685" t="s">
        <v>43</v>
      </c>
      <c r="N4685" t="s">
        <v>3545</v>
      </c>
      <c r="O4685" t="s">
        <v>70</v>
      </c>
      <c r="P4685" t="s">
        <v>71</v>
      </c>
      <c r="Q4685" t="s">
        <v>3546</v>
      </c>
      <c r="R4685">
        <v>419.94400000000002</v>
      </c>
      <c r="S4685">
        <v>7</v>
      </c>
      <c r="T4685">
        <v>0.2</v>
      </c>
      <c r="U4685">
        <v>52.493000000000002</v>
      </c>
      <c r="V4685" t="str">
        <f t="shared" si="73"/>
        <v>Carlos Soltero</v>
      </c>
      <c r="W4685">
        <f>Table2[Profit]/Table2[Sales]</f>
        <v>0.125</v>
      </c>
    </row>
    <row r="4686" spans="1:23" x14ac:dyDescent="0.25">
      <c r="A4686">
        <v>4685</v>
      </c>
      <c r="B4686" t="s">
        <v>10326</v>
      </c>
      <c r="C4686" s="1">
        <v>42526</v>
      </c>
      <c r="D4686" s="1">
        <v>42530</v>
      </c>
      <c r="E4686" t="s">
        <v>49</v>
      </c>
      <c r="F4686" t="s">
        <v>336</v>
      </c>
      <c r="G4686" t="s">
        <v>337</v>
      </c>
      <c r="H4686" t="s">
        <v>40</v>
      </c>
      <c r="I4686" t="s">
        <v>26</v>
      </c>
      <c r="J4686" t="s">
        <v>94</v>
      </c>
      <c r="K4686" t="s">
        <v>95</v>
      </c>
      <c r="L4686">
        <v>98105</v>
      </c>
      <c r="M4686" t="s">
        <v>43</v>
      </c>
      <c r="N4686" t="s">
        <v>2615</v>
      </c>
      <c r="O4686" t="s">
        <v>45</v>
      </c>
      <c r="P4686" t="s">
        <v>572</v>
      </c>
      <c r="Q4686" t="s">
        <v>2616</v>
      </c>
      <c r="R4686">
        <v>61.38</v>
      </c>
      <c r="S4686">
        <v>6</v>
      </c>
      <c r="T4686">
        <v>0</v>
      </c>
      <c r="U4686">
        <v>15.9588</v>
      </c>
      <c r="V4686" t="str">
        <f t="shared" si="73"/>
        <v>Ken Brennan</v>
      </c>
      <c r="W4686">
        <f>Table2[Profit]/Table2[Sales]</f>
        <v>0.26</v>
      </c>
    </row>
    <row r="4687" spans="1:23" x14ac:dyDescent="0.25">
      <c r="A4687">
        <v>4686</v>
      </c>
      <c r="B4687" t="s">
        <v>10327</v>
      </c>
      <c r="C4687" s="1">
        <v>42352</v>
      </c>
      <c r="D4687" s="1">
        <v>42357</v>
      </c>
      <c r="E4687" t="s">
        <v>22</v>
      </c>
      <c r="F4687" t="s">
        <v>1861</v>
      </c>
      <c r="G4687" t="s">
        <v>1862</v>
      </c>
      <c r="H4687" t="s">
        <v>25</v>
      </c>
      <c r="I4687" t="s">
        <v>26</v>
      </c>
      <c r="J4687" t="s">
        <v>41</v>
      </c>
      <c r="K4687" t="s">
        <v>42</v>
      </c>
      <c r="L4687">
        <v>90045</v>
      </c>
      <c r="M4687" t="s">
        <v>43</v>
      </c>
      <c r="N4687" t="s">
        <v>4172</v>
      </c>
      <c r="O4687" t="s">
        <v>70</v>
      </c>
      <c r="P4687" t="s">
        <v>158</v>
      </c>
      <c r="Q4687" t="s">
        <v>4173</v>
      </c>
      <c r="R4687">
        <v>50</v>
      </c>
      <c r="S4687">
        <v>2</v>
      </c>
      <c r="T4687">
        <v>0</v>
      </c>
      <c r="U4687">
        <v>10.5</v>
      </c>
      <c r="V4687" t="str">
        <f t="shared" si="73"/>
        <v>Ashley Jarboe</v>
      </c>
      <c r="W4687">
        <f>Table2[Profit]/Table2[Sales]</f>
        <v>0.21</v>
      </c>
    </row>
    <row r="4688" spans="1:23" x14ac:dyDescent="0.25">
      <c r="A4688">
        <v>4687</v>
      </c>
      <c r="B4688" t="s">
        <v>10328</v>
      </c>
      <c r="C4688" s="1">
        <v>43094</v>
      </c>
      <c r="D4688" s="1">
        <v>43098</v>
      </c>
      <c r="E4688" t="s">
        <v>49</v>
      </c>
      <c r="F4688" t="s">
        <v>232</v>
      </c>
      <c r="G4688" t="s">
        <v>233</v>
      </c>
      <c r="H4688" t="s">
        <v>25</v>
      </c>
      <c r="I4688" t="s">
        <v>26</v>
      </c>
      <c r="J4688" t="s">
        <v>10329</v>
      </c>
      <c r="K4688" t="s">
        <v>781</v>
      </c>
      <c r="L4688">
        <v>7017</v>
      </c>
      <c r="M4688" t="s">
        <v>145</v>
      </c>
      <c r="N4688" t="s">
        <v>7245</v>
      </c>
      <c r="O4688" t="s">
        <v>70</v>
      </c>
      <c r="P4688" t="s">
        <v>158</v>
      </c>
      <c r="Q4688" t="s">
        <v>7246</v>
      </c>
      <c r="R4688">
        <v>31.8</v>
      </c>
      <c r="S4688">
        <v>3</v>
      </c>
      <c r="T4688">
        <v>0</v>
      </c>
      <c r="U4688">
        <v>13.673999999999999</v>
      </c>
      <c r="V4688" t="str">
        <f t="shared" si="73"/>
        <v>Patrick O'Donnell</v>
      </c>
      <c r="W4688">
        <f>Table2[Profit]/Table2[Sales]</f>
        <v>0.43</v>
      </c>
    </row>
    <row r="4689" spans="1:23" x14ac:dyDescent="0.25">
      <c r="A4689">
        <v>4688</v>
      </c>
      <c r="B4689" t="s">
        <v>10330</v>
      </c>
      <c r="C4689" s="1">
        <v>43086</v>
      </c>
      <c r="D4689" s="1">
        <v>43090</v>
      </c>
      <c r="E4689" t="s">
        <v>49</v>
      </c>
      <c r="F4689" t="s">
        <v>2601</v>
      </c>
      <c r="G4689" t="s">
        <v>2602</v>
      </c>
      <c r="H4689" t="s">
        <v>40</v>
      </c>
      <c r="I4689" t="s">
        <v>26</v>
      </c>
      <c r="J4689" t="s">
        <v>6067</v>
      </c>
      <c r="K4689" t="s">
        <v>113</v>
      </c>
      <c r="L4689">
        <v>54703</v>
      </c>
      <c r="M4689" t="s">
        <v>104</v>
      </c>
      <c r="N4689" t="s">
        <v>6682</v>
      </c>
      <c r="O4689" t="s">
        <v>45</v>
      </c>
      <c r="P4689" t="s">
        <v>58</v>
      </c>
      <c r="Q4689" t="s">
        <v>6683</v>
      </c>
      <c r="R4689">
        <v>32.56</v>
      </c>
      <c r="S4689">
        <v>2</v>
      </c>
      <c r="T4689">
        <v>0</v>
      </c>
      <c r="U4689">
        <v>8.4656000000000002</v>
      </c>
      <c r="V4689" t="str">
        <f t="shared" si="73"/>
        <v>Dave Poirier</v>
      </c>
      <c r="W4689">
        <f>Table2[Profit]/Table2[Sales]</f>
        <v>0.26</v>
      </c>
    </row>
    <row r="4690" spans="1:23" x14ac:dyDescent="0.25">
      <c r="A4690">
        <v>4689</v>
      </c>
      <c r="B4690" t="s">
        <v>10331</v>
      </c>
      <c r="C4690" s="1">
        <v>42500</v>
      </c>
      <c r="D4690" s="1">
        <v>42505</v>
      </c>
      <c r="E4690" t="s">
        <v>49</v>
      </c>
      <c r="F4690" t="s">
        <v>3506</v>
      </c>
      <c r="G4690" t="s">
        <v>3507</v>
      </c>
      <c r="H4690" t="s">
        <v>25</v>
      </c>
      <c r="I4690" t="s">
        <v>26</v>
      </c>
      <c r="J4690" t="s">
        <v>296</v>
      </c>
      <c r="K4690" t="s">
        <v>208</v>
      </c>
      <c r="L4690">
        <v>60610</v>
      </c>
      <c r="M4690" t="s">
        <v>104</v>
      </c>
      <c r="N4690" t="s">
        <v>10332</v>
      </c>
      <c r="O4690" t="s">
        <v>45</v>
      </c>
      <c r="P4690" t="s">
        <v>170</v>
      </c>
      <c r="Q4690" t="s">
        <v>10333</v>
      </c>
      <c r="R4690">
        <v>7.0720000000000001</v>
      </c>
      <c r="S4690">
        <v>2</v>
      </c>
      <c r="T4690">
        <v>0.2</v>
      </c>
      <c r="U4690">
        <v>2.3868</v>
      </c>
      <c r="V4690" t="str">
        <f t="shared" si="73"/>
        <v>Gene McClure</v>
      </c>
      <c r="W4690">
        <f>Table2[Profit]/Table2[Sales]</f>
        <v>0.33750000000000002</v>
      </c>
    </row>
    <row r="4691" spans="1:23" x14ac:dyDescent="0.25">
      <c r="A4691">
        <v>4690</v>
      </c>
      <c r="B4691" t="s">
        <v>10334</v>
      </c>
      <c r="C4691" s="1">
        <v>41996</v>
      </c>
      <c r="D4691" s="1">
        <v>42000</v>
      </c>
      <c r="E4691" t="s">
        <v>22</v>
      </c>
      <c r="F4691" t="s">
        <v>959</v>
      </c>
      <c r="G4691" t="s">
        <v>960</v>
      </c>
      <c r="H4691" t="s">
        <v>25</v>
      </c>
      <c r="I4691" t="s">
        <v>26</v>
      </c>
      <c r="J4691" t="s">
        <v>893</v>
      </c>
      <c r="K4691" t="s">
        <v>53</v>
      </c>
      <c r="L4691">
        <v>33614</v>
      </c>
      <c r="M4691" t="s">
        <v>29</v>
      </c>
      <c r="N4691" t="s">
        <v>4868</v>
      </c>
      <c r="O4691" t="s">
        <v>45</v>
      </c>
      <c r="P4691" t="s">
        <v>89</v>
      </c>
      <c r="Q4691" t="s">
        <v>4869</v>
      </c>
      <c r="R4691">
        <v>45.527999999999999</v>
      </c>
      <c r="S4691">
        <v>3</v>
      </c>
      <c r="T4691">
        <v>0.2</v>
      </c>
      <c r="U4691">
        <v>15.934799999999999</v>
      </c>
      <c r="V4691" t="str">
        <f t="shared" si="73"/>
        <v>Craig Carreira</v>
      </c>
      <c r="W4691">
        <f>Table2[Profit]/Table2[Sales]</f>
        <v>0.35</v>
      </c>
    </row>
    <row r="4692" spans="1:23" x14ac:dyDescent="0.25">
      <c r="A4692">
        <v>4691</v>
      </c>
      <c r="B4692" t="s">
        <v>10335</v>
      </c>
      <c r="C4692" s="1">
        <v>42958</v>
      </c>
      <c r="D4692" s="1">
        <v>42963</v>
      </c>
      <c r="E4692" t="s">
        <v>49</v>
      </c>
      <c r="F4692" t="s">
        <v>2620</v>
      </c>
      <c r="G4692" t="s">
        <v>2621</v>
      </c>
      <c r="H4692" t="s">
        <v>101</v>
      </c>
      <c r="I4692" t="s">
        <v>26</v>
      </c>
      <c r="J4692" t="s">
        <v>263</v>
      </c>
      <c r="K4692" t="s">
        <v>264</v>
      </c>
      <c r="L4692">
        <v>10009</v>
      </c>
      <c r="M4692" t="s">
        <v>145</v>
      </c>
      <c r="N4692" t="s">
        <v>1872</v>
      </c>
      <c r="O4692" t="s">
        <v>45</v>
      </c>
      <c r="P4692" t="s">
        <v>89</v>
      </c>
      <c r="Q4692" t="s">
        <v>1873</v>
      </c>
      <c r="R4692">
        <v>25.92</v>
      </c>
      <c r="S4692">
        <v>4</v>
      </c>
      <c r="T4692">
        <v>0</v>
      </c>
      <c r="U4692">
        <v>12.441599999999999</v>
      </c>
      <c r="V4692" t="str">
        <f t="shared" si="73"/>
        <v>Sanjit Jacobs</v>
      </c>
      <c r="W4692">
        <f>Table2[Profit]/Table2[Sales]</f>
        <v>0.47999999999999993</v>
      </c>
    </row>
    <row r="4693" spans="1:23" x14ac:dyDescent="0.25">
      <c r="A4693">
        <v>4692</v>
      </c>
      <c r="B4693" t="s">
        <v>10336</v>
      </c>
      <c r="C4693" s="1">
        <v>42974</v>
      </c>
      <c r="D4693" s="1">
        <v>42978</v>
      </c>
      <c r="E4693" t="s">
        <v>49</v>
      </c>
      <c r="F4693" t="s">
        <v>1913</v>
      </c>
      <c r="G4693" t="s">
        <v>1914</v>
      </c>
      <c r="H4693" t="s">
        <v>25</v>
      </c>
      <c r="I4693" t="s">
        <v>26</v>
      </c>
      <c r="J4693" t="s">
        <v>1799</v>
      </c>
      <c r="K4693" t="s">
        <v>303</v>
      </c>
      <c r="L4693">
        <v>85204</v>
      </c>
      <c r="M4693" t="s">
        <v>43</v>
      </c>
      <c r="N4693" t="s">
        <v>4534</v>
      </c>
      <c r="O4693" t="s">
        <v>31</v>
      </c>
      <c r="P4693" t="s">
        <v>64</v>
      </c>
      <c r="Q4693" t="s">
        <v>4535</v>
      </c>
      <c r="R4693">
        <v>120.57599999999999</v>
      </c>
      <c r="S4693">
        <v>8</v>
      </c>
      <c r="T4693">
        <v>0.2</v>
      </c>
      <c r="U4693">
        <v>33.1584</v>
      </c>
      <c r="V4693" t="str">
        <f t="shared" si="73"/>
        <v>Sarah Foster</v>
      </c>
      <c r="W4693">
        <f>Table2[Profit]/Table2[Sales]</f>
        <v>0.27500000000000002</v>
      </c>
    </row>
    <row r="4694" spans="1:23" x14ac:dyDescent="0.25">
      <c r="A4694">
        <v>4693</v>
      </c>
      <c r="B4694" t="s">
        <v>10337</v>
      </c>
      <c r="C4694" s="1">
        <v>42754</v>
      </c>
      <c r="D4694" s="1">
        <v>42758</v>
      </c>
      <c r="E4694" t="s">
        <v>49</v>
      </c>
      <c r="F4694" t="s">
        <v>4378</v>
      </c>
      <c r="G4694" t="s">
        <v>4379</v>
      </c>
      <c r="H4694" t="s">
        <v>25</v>
      </c>
      <c r="I4694" t="s">
        <v>26</v>
      </c>
      <c r="J4694" t="s">
        <v>2189</v>
      </c>
      <c r="K4694" t="s">
        <v>5098</v>
      </c>
      <c r="L4694">
        <v>5408</v>
      </c>
      <c r="M4694" t="s">
        <v>145</v>
      </c>
      <c r="N4694" t="s">
        <v>1436</v>
      </c>
      <c r="O4694" t="s">
        <v>45</v>
      </c>
      <c r="P4694" t="s">
        <v>89</v>
      </c>
      <c r="Q4694" t="s">
        <v>1437</v>
      </c>
      <c r="R4694">
        <v>79.92</v>
      </c>
      <c r="S4694">
        <v>4</v>
      </c>
      <c r="T4694">
        <v>0</v>
      </c>
      <c r="U4694">
        <v>37.562399999999997</v>
      </c>
      <c r="V4694" t="str">
        <f t="shared" si="73"/>
        <v>Raymond Messe</v>
      </c>
      <c r="W4694">
        <f>Table2[Profit]/Table2[Sales]</f>
        <v>0.47</v>
      </c>
    </row>
    <row r="4695" spans="1:23" x14ac:dyDescent="0.25">
      <c r="A4695">
        <v>4694</v>
      </c>
      <c r="B4695" t="s">
        <v>10338</v>
      </c>
      <c r="C4695" s="1">
        <v>42174</v>
      </c>
      <c r="D4695" s="1">
        <v>42179</v>
      </c>
      <c r="E4695" t="s">
        <v>49</v>
      </c>
      <c r="F4695" t="s">
        <v>3738</v>
      </c>
      <c r="G4695" t="s">
        <v>3739</v>
      </c>
      <c r="H4695" t="s">
        <v>101</v>
      </c>
      <c r="I4695" t="s">
        <v>26</v>
      </c>
      <c r="J4695" t="s">
        <v>181</v>
      </c>
      <c r="K4695" t="s">
        <v>103</v>
      </c>
      <c r="L4695">
        <v>77070</v>
      </c>
      <c r="M4695" t="s">
        <v>104</v>
      </c>
      <c r="N4695" t="s">
        <v>5092</v>
      </c>
      <c r="O4695" t="s">
        <v>45</v>
      </c>
      <c r="P4695" t="s">
        <v>58</v>
      </c>
      <c r="Q4695" t="s">
        <v>5093</v>
      </c>
      <c r="R4695">
        <v>228.92</v>
      </c>
      <c r="S4695">
        <v>5</v>
      </c>
      <c r="T4695">
        <v>0.2</v>
      </c>
      <c r="U4695">
        <v>14.307499999999999</v>
      </c>
      <c r="V4695" t="str">
        <f t="shared" si="73"/>
        <v>Katherine Murray</v>
      </c>
      <c r="W4695">
        <f>Table2[Profit]/Table2[Sales]</f>
        <v>6.25E-2</v>
      </c>
    </row>
    <row r="4696" spans="1:23" x14ac:dyDescent="0.25">
      <c r="A4696">
        <v>4695</v>
      </c>
      <c r="B4696" t="s">
        <v>10339</v>
      </c>
      <c r="C4696" s="1">
        <v>42807</v>
      </c>
      <c r="D4696" s="1">
        <v>42810</v>
      </c>
      <c r="E4696" t="s">
        <v>185</v>
      </c>
      <c r="F4696" t="s">
        <v>3227</v>
      </c>
      <c r="G4696" t="s">
        <v>3228</v>
      </c>
      <c r="H4696" t="s">
        <v>40</v>
      </c>
      <c r="I4696" t="s">
        <v>26</v>
      </c>
      <c r="J4696" t="s">
        <v>449</v>
      </c>
      <c r="K4696" t="s">
        <v>208</v>
      </c>
      <c r="L4696">
        <v>60505</v>
      </c>
      <c r="M4696" t="s">
        <v>104</v>
      </c>
      <c r="N4696" t="s">
        <v>3278</v>
      </c>
      <c r="O4696" t="s">
        <v>70</v>
      </c>
      <c r="P4696" t="s">
        <v>71</v>
      </c>
      <c r="Q4696" t="s">
        <v>3279</v>
      </c>
      <c r="R4696">
        <v>7.992</v>
      </c>
      <c r="S4696">
        <v>1</v>
      </c>
      <c r="T4696">
        <v>0.2</v>
      </c>
      <c r="U4696">
        <v>2.5973999999999999</v>
      </c>
      <c r="V4696" t="str">
        <f t="shared" si="73"/>
        <v>Frank Hawley</v>
      </c>
      <c r="W4696">
        <f>Table2[Profit]/Table2[Sales]</f>
        <v>0.32500000000000001</v>
      </c>
    </row>
    <row r="4697" spans="1:23" x14ac:dyDescent="0.25">
      <c r="A4697">
        <v>4696</v>
      </c>
      <c r="B4697" t="s">
        <v>10340</v>
      </c>
      <c r="C4697" s="1">
        <v>42302</v>
      </c>
      <c r="D4697" s="1">
        <v>42302</v>
      </c>
      <c r="E4697" t="s">
        <v>1278</v>
      </c>
      <c r="F4697" t="s">
        <v>3055</v>
      </c>
      <c r="G4697" t="s">
        <v>3056</v>
      </c>
      <c r="H4697" t="s">
        <v>40</v>
      </c>
      <c r="I4697" t="s">
        <v>26</v>
      </c>
      <c r="J4697" t="s">
        <v>800</v>
      </c>
      <c r="K4697" t="s">
        <v>450</v>
      </c>
      <c r="L4697">
        <v>80219</v>
      </c>
      <c r="M4697" t="s">
        <v>43</v>
      </c>
      <c r="N4697" t="s">
        <v>5995</v>
      </c>
      <c r="O4697" t="s">
        <v>31</v>
      </c>
      <c r="P4697" t="s">
        <v>35</v>
      </c>
      <c r="Q4697" t="s">
        <v>5996</v>
      </c>
      <c r="R4697">
        <v>582.33600000000001</v>
      </c>
      <c r="S4697">
        <v>8</v>
      </c>
      <c r="T4697">
        <v>0.2</v>
      </c>
      <c r="U4697">
        <v>-29.116800000000001</v>
      </c>
      <c r="V4697" t="str">
        <f t="shared" si="73"/>
        <v>Deirdre Greer</v>
      </c>
      <c r="W4697">
        <f>Table2[Profit]/Table2[Sales]</f>
        <v>-0.05</v>
      </c>
    </row>
    <row r="4698" spans="1:23" x14ac:dyDescent="0.25">
      <c r="A4698">
        <v>4697</v>
      </c>
      <c r="B4698" t="s">
        <v>10341</v>
      </c>
      <c r="C4698" s="1">
        <v>41902</v>
      </c>
      <c r="D4698" s="1">
        <v>41905</v>
      </c>
      <c r="E4698" t="s">
        <v>185</v>
      </c>
      <c r="F4698" t="s">
        <v>5137</v>
      </c>
      <c r="G4698" t="s">
        <v>5138</v>
      </c>
      <c r="H4698" t="s">
        <v>25</v>
      </c>
      <c r="I4698" t="s">
        <v>26</v>
      </c>
      <c r="J4698" t="s">
        <v>263</v>
      </c>
      <c r="K4698" t="s">
        <v>264</v>
      </c>
      <c r="L4698">
        <v>10011</v>
      </c>
      <c r="M4698" t="s">
        <v>145</v>
      </c>
      <c r="N4698" t="s">
        <v>6581</v>
      </c>
      <c r="O4698" t="s">
        <v>70</v>
      </c>
      <c r="P4698" t="s">
        <v>71</v>
      </c>
      <c r="Q4698" t="s">
        <v>6582</v>
      </c>
      <c r="R4698">
        <v>629.95000000000005</v>
      </c>
      <c r="S4698">
        <v>5</v>
      </c>
      <c r="T4698">
        <v>0</v>
      </c>
      <c r="U4698">
        <v>157.48750000000001</v>
      </c>
      <c r="V4698" t="str">
        <f t="shared" si="73"/>
        <v>Mitch Webber</v>
      </c>
      <c r="W4698">
        <f>Table2[Profit]/Table2[Sales]</f>
        <v>0.25</v>
      </c>
    </row>
    <row r="4699" spans="1:23" x14ac:dyDescent="0.25">
      <c r="A4699">
        <v>4698</v>
      </c>
      <c r="B4699" t="s">
        <v>10342</v>
      </c>
      <c r="C4699" s="1">
        <v>42685</v>
      </c>
      <c r="D4699" s="1">
        <v>42689</v>
      </c>
      <c r="E4699" t="s">
        <v>49</v>
      </c>
      <c r="F4699" t="s">
        <v>10343</v>
      </c>
      <c r="G4699" t="s">
        <v>10344</v>
      </c>
      <c r="H4699" t="s">
        <v>25</v>
      </c>
      <c r="I4699" t="s">
        <v>26</v>
      </c>
      <c r="J4699" t="s">
        <v>10345</v>
      </c>
      <c r="K4699" t="s">
        <v>208</v>
      </c>
      <c r="L4699">
        <v>60004</v>
      </c>
      <c r="M4699" t="s">
        <v>104</v>
      </c>
      <c r="N4699" t="s">
        <v>1916</v>
      </c>
      <c r="O4699" t="s">
        <v>45</v>
      </c>
      <c r="P4699" t="s">
        <v>67</v>
      </c>
      <c r="Q4699" t="s">
        <v>1917</v>
      </c>
      <c r="R4699">
        <v>14.112</v>
      </c>
      <c r="S4699">
        <v>6</v>
      </c>
      <c r="T4699">
        <v>0.2</v>
      </c>
      <c r="U4699">
        <v>1.2347999999999999</v>
      </c>
      <c r="V4699" t="str">
        <f t="shared" si="73"/>
        <v>Sung Chung</v>
      </c>
      <c r="W4699">
        <f>Table2[Profit]/Table2[Sales]</f>
        <v>8.7499999999999994E-2</v>
      </c>
    </row>
    <row r="4700" spans="1:23" x14ac:dyDescent="0.25">
      <c r="A4700">
        <v>4699</v>
      </c>
      <c r="B4700" t="s">
        <v>10346</v>
      </c>
      <c r="C4700" s="1">
        <v>42263</v>
      </c>
      <c r="D4700" s="1">
        <v>42268</v>
      </c>
      <c r="E4700" t="s">
        <v>49</v>
      </c>
      <c r="F4700" t="s">
        <v>1818</v>
      </c>
      <c r="G4700" t="s">
        <v>1819</v>
      </c>
      <c r="H4700" t="s">
        <v>25</v>
      </c>
      <c r="I4700" t="s">
        <v>26</v>
      </c>
      <c r="J4700" t="s">
        <v>5411</v>
      </c>
      <c r="K4700" t="s">
        <v>312</v>
      </c>
      <c r="L4700">
        <v>23602</v>
      </c>
      <c r="M4700" t="s">
        <v>29</v>
      </c>
      <c r="N4700" t="s">
        <v>3212</v>
      </c>
      <c r="O4700" t="s">
        <v>45</v>
      </c>
      <c r="P4700" t="s">
        <v>170</v>
      </c>
      <c r="Q4700" t="s">
        <v>662</v>
      </c>
      <c r="R4700">
        <v>31.12</v>
      </c>
      <c r="S4700">
        <v>4</v>
      </c>
      <c r="T4700">
        <v>0</v>
      </c>
      <c r="U4700">
        <v>14.6264</v>
      </c>
      <c r="V4700" t="str">
        <f t="shared" si="73"/>
        <v>Bradley Drucker</v>
      </c>
      <c r="W4700">
        <f>Table2[Profit]/Table2[Sales]</f>
        <v>0.47</v>
      </c>
    </row>
    <row r="4701" spans="1:23" x14ac:dyDescent="0.25">
      <c r="A4701">
        <v>4700</v>
      </c>
      <c r="B4701" t="s">
        <v>10347</v>
      </c>
      <c r="C4701" s="1">
        <v>41814</v>
      </c>
      <c r="D4701" s="1">
        <v>41818</v>
      </c>
      <c r="E4701" t="s">
        <v>49</v>
      </c>
      <c r="F4701" t="s">
        <v>1875</v>
      </c>
      <c r="G4701" t="s">
        <v>1876</v>
      </c>
      <c r="H4701" t="s">
        <v>25</v>
      </c>
      <c r="I4701" t="s">
        <v>26</v>
      </c>
      <c r="J4701" t="s">
        <v>1299</v>
      </c>
      <c r="K4701" t="s">
        <v>303</v>
      </c>
      <c r="L4701">
        <v>85705</v>
      </c>
      <c r="M4701" t="s">
        <v>43</v>
      </c>
      <c r="N4701" t="s">
        <v>6670</v>
      </c>
      <c r="O4701" t="s">
        <v>31</v>
      </c>
      <c r="P4701" t="s">
        <v>64</v>
      </c>
      <c r="Q4701" t="s">
        <v>6671</v>
      </c>
      <c r="R4701">
        <v>4.2720000000000002</v>
      </c>
      <c r="S4701">
        <v>2</v>
      </c>
      <c r="T4701">
        <v>0.2</v>
      </c>
      <c r="U4701">
        <v>0.96120000000000005</v>
      </c>
      <c r="V4701" t="str">
        <f t="shared" si="73"/>
        <v>Liz Pelletier</v>
      </c>
      <c r="W4701">
        <f>Table2[Profit]/Table2[Sales]</f>
        <v>0.22500000000000001</v>
      </c>
    </row>
    <row r="4702" spans="1:23" x14ac:dyDescent="0.25">
      <c r="A4702">
        <v>4701</v>
      </c>
      <c r="B4702" t="s">
        <v>10348</v>
      </c>
      <c r="C4702" s="1">
        <v>42594</v>
      </c>
      <c r="D4702" s="1">
        <v>42599</v>
      </c>
      <c r="E4702" t="s">
        <v>22</v>
      </c>
      <c r="F4702" t="s">
        <v>3417</v>
      </c>
      <c r="G4702" t="s">
        <v>3418</v>
      </c>
      <c r="H4702" t="s">
        <v>25</v>
      </c>
      <c r="I4702" t="s">
        <v>26</v>
      </c>
      <c r="J4702" t="s">
        <v>263</v>
      </c>
      <c r="K4702" t="s">
        <v>264</v>
      </c>
      <c r="L4702">
        <v>10024</v>
      </c>
      <c r="M4702" t="s">
        <v>145</v>
      </c>
      <c r="N4702" t="s">
        <v>2368</v>
      </c>
      <c r="O4702" t="s">
        <v>31</v>
      </c>
      <c r="P4702" t="s">
        <v>55</v>
      </c>
      <c r="Q4702" t="s">
        <v>2369</v>
      </c>
      <c r="R4702">
        <v>209.148</v>
      </c>
      <c r="S4702">
        <v>2</v>
      </c>
      <c r="T4702">
        <v>0.4</v>
      </c>
      <c r="U4702">
        <v>-66.230199999999996</v>
      </c>
      <c r="V4702" t="str">
        <f t="shared" si="73"/>
        <v>Nora Preis</v>
      </c>
      <c r="W4702">
        <f>Table2[Profit]/Table2[Sales]</f>
        <v>-0.31666666666666665</v>
      </c>
    </row>
    <row r="4703" spans="1:23" x14ac:dyDescent="0.25">
      <c r="A4703">
        <v>4702</v>
      </c>
      <c r="B4703" t="s">
        <v>10349</v>
      </c>
      <c r="C4703" s="1">
        <v>42838</v>
      </c>
      <c r="D4703" s="1">
        <v>42842</v>
      </c>
      <c r="E4703" t="s">
        <v>49</v>
      </c>
      <c r="F4703" t="s">
        <v>2601</v>
      </c>
      <c r="G4703" t="s">
        <v>2602</v>
      </c>
      <c r="H4703" t="s">
        <v>40</v>
      </c>
      <c r="I4703" t="s">
        <v>26</v>
      </c>
      <c r="J4703" t="s">
        <v>143</v>
      </c>
      <c r="K4703" t="s">
        <v>144</v>
      </c>
      <c r="L4703">
        <v>19134</v>
      </c>
      <c r="M4703" t="s">
        <v>145</v>
      </c>
      <c r="N4703" t="s">
        <v>4875</v>
      </c>
      <c r="O4703" t="s">
        <v>45</v>
      </c>
      <c r="P4703" t="s">
        <v>266</v>
      </c>
      <c r="Q4703" t="s">
        <v>4876</v>
      </c>
      <c r="R4703">
        <v>7.92</v>
      </c>
      <c r="S4703">
        <v>5</v>
      </c>
      <c r="T4703">
        <v>0.2</v>
      </c>
      <c r="U4703">
        <v>1.6830000000000001</v>
      </c>
      <c r="V4703" t="str">
        <f t="shared" si="73"/>
        <v>Dave Poirier</v>
      </c>
      <c r="W4703">
        <f>Table2[Profit]/Table2[Sales]</f>
        <v>0.21250000000000002</v>
      </c>
    </row>
    <row r="4704" spans="1:23" x14ac:dyDescent="0.25">
      <c r="A4704">
        <v>4703</v>
      </c>
      <c r="B4704" t="s">
        <v>10350</v>
      </c>
      <c r="C4704" s="1">
        <v>41712</v>
      </c>
      <c r="D4704" s="1">
        <v>41715</v>
      </c>
      <c r="E4704" t="s">
        <v>185</v>
      </c>
      <c r="F4704" t="s">
        <v>433</v>
      </c>
      <c r="G4704" t="s">
        <v>434</v>
      </c>
      <c r="H4704" t="s">
        <v>101</v>
      </c>
      <c r="I4704" t="s">
        <v>26</v>
      </c>
      <c r="J4704" t="s">
        <v>296</v>
      </c>
      <c r="K4704" t="s">
        <v>208</v>
      </c>
      <c r="L4704">
        <v>60653</v>
      </c>
      <c r="M4704" t="s">
        <v>104</v>
      </c>
      <c r="N4704" t="s">
        <v>5715</v>
      </c>
      <c r="O4704" t="s">
        <v>70</v>
      </c>
      <c r="P4704" t="s">
        <v>675</v>
      </c>
      <c r="Q4704" t="s">
        <v>5716</v>
      </c>
      <c r="R4704">
        <v>574.91</v>
      </c>
      <c r="S4704">
        <v>2</v>
      </c>
      <c r="T4704">
        <v>0.3</v>
      </c>
      <c r="U4704">
        <v>156.047</v>
      </c>
      <c r="V4704" t="str">
        <f t="shared" si="73"/>
        <v>Rick Bensley</v>
      </c>
      <c r="W4704">
        <f>Table2[Profit]/Table2[Sales]</f>
        <v>0.27142857142857146</v>
      </c>
    </row>
    <row r="4705" spans="1:23" x14ac:dyDescent="0.25">
      <c r="A4705">
        <v>4704</v>
      </c>
      <c r="B4705" t="s">
        <v>10351</v>
      </c>
      <c r="C4705" s="1">
        <v>43000</v>
      </c>
      <c r="D4705" s="1">
        <v>43002</v>
      </c>
      <c r="E4705" t="s">
        <v>22</v>
      </c>
      <c r="F4705" t="s">
        <v>806</v>
      </c>
      <c r="G4705" t="s">
        <v>807</v>
      </c>
      <c r="H4705" t="s">
        <v>25</v>
      </c>
      <c r="I4705" t="s">
        <v>26</v>
      </c>
      <c r="J4705" t="s">
        <v>263</v>
      </c>
      <c r="K4705" t="s">
        <v>264</v>
      </c>
      <c r="L4705">
        <v>10035</v>
      </c>
      <c r="M4705" t="s">
        <v>145</v>
      </c>
      <c r="N4705" t="s">
        <v>4712</v>
      </c>
      <c r="O4705" t="s">
        <v>70</v>
      </c>
      <c r="P4705" t="s">
        <v>158</v>
      </c>
      <c r="Q4705" t="s">
        <v>4713</v>
      </c>
      <c r="R4705">
        <v>1071</v>
      </c>
      <c r="S4705">
        <v>9</v>
      </c>
      <c r="T4705">
        <v>0</v>
      </c>
      <c r="U4705">
        <v>171.36</v>
      </c>
      <c r="V4705" t="str">
        <f t="shared" si="73"/>
        <v>Logan Currie</v>
      </c>
      <c r="W4705">
        <f>Table2[Profit]/Table2[Sales]</f>
        <v>0.16</v>
      </c>
    </row>
    <row r="4706" spans="1:23" x14ac:dyDescent="0.25">
      <c r="A4706">
        <v>4705</v>
      </c>
      <c r="B4706" t="s">
        <v>10352</v>
      </c>
      <c r="C4706" s="1">
        <v>43079</v>
      </c>
      <c r="D4706" s="1">
        <v>43082</v>
      </c>
      <c r="E4706" t="s">
        <v>185</v>
      </c>
      <c r="F4706" t="s">
        <v>4951</v>
      </c>
      <c r="G4706" t="s">
        <v>4952</v>
      </c>
      <c r="H4706" t="s">
        <v>25</v>
      </c>
      <c r="I4706" t="s">
        <v>26</v>
      </c>
      <c r="J4706" t="s">
        <v>143</v>
      </c>
      <c r="K4706" t="s">
        <v>144</v>
      </c>
      <c r="L4706">
        <v>19143</v>
      </c>
      <c r="M4706" t="s">
        <v>145</v>
      </c>
      <c r="N4706" t="s">
        <v>2440</v>
      </c>
      <c r="O4706" t="s">
        <v>45</v>
      </c>
      <c r="P4706" t="s">
        <v>74</v>
      </c>
      <c r="Q4706" t="s">
        <v>2441</v>
      </c>
      <c r="R4706">
        <v>3.2730000000000001</v>
      </c>
      <c r="S4706">
        <v>1</v>
      </c>
      <c r="T4706">
        <v>0.7</v>
      </c>
      <c r="U4706">
        <v>-2.5093000000000001</v>
      </c>
      <c r="V4706" t="str">
        <f t="shared" si="73"/>
        <v>William Brown</v>
      </c>
      <c r="W4706">
        <f>Table2[Profit]/Table2[Sales]</f>
        <v>-0.76666666666666661</v>
      </c>
    </row>
    <row r="4707" spans="1:23" x14ac:dyDescent="0.25">
      <c r="A4707">
        <v>4706</v>
      </c>
      <c r="B4707" t="s">
        <v>10353</v>
      </c>
      <c r="C4707" s="1">
        <v>42439</v>
      </c>
      <c r="D4707" s="1">
        <v>42443</v>
      </c>
      <c r="E4707" t="s">
        <v>22</v>
      </c>
      <c r="F4707" t="s">
        <v>1597</v>
      </c>
      <c r="G4707" t="s">
        <v>1598</v>
      </c>
      <c r="H4707" t="s">
        <v>40</v>
      </c>
      <c r="I4707" t="s">
        <v>26</v>
      </c>
      <c r="J4707" t="s">
        <v>3860</v>
      </c>
      <c r="K4707" t="s">
        <v>303</v>
      </c>
      <c r="L4707">
        <v>85301</v>
      </c>
      <c r="M4707" t="s">
        <v>43</v>
      </c>
      <c r="N4707" t="s">
        <v>2034</v>
      </c>
      <c r="O4707" t="s">
        <v>45</v>
      </c>
      <c r="P4707" t="s">
        <v>58</v>
      </c>
      <c r="Q4707" t="s">
        <v>2035</v>
      </c>
      <c r="R4707">
        <v>104.696</v>
      </c>
      <c r="S4707">
        <v>1</v>
      </c>
      <c r="T4707">
        <v>0.2</v>
      </c>
      <c r="U4707">
        <v>6.5434999999999999</v>
      </c>
      <c r="V4707" t="str">
        <f t="shared" si="73"/>
        <v>Maya Herman</v>
      </c>
      <c r="W4707">
        <f>Table2[Profit]/Table2[Sales]</f>
        <v>6.25E-2</v>
      </c>
    </row>
    <row r="4708" spans="1:23" x14ac:dyDescent="0.25">
      <c r="A4708">
        <v>4707</v>
      </c>
      <c r="B4708" t="s">
        <v>10354</v>
      </c>
      <c r="C4708" s="1">
        <v>42031</v>
      </c>
      <c r="D4708" s="1">
        <v>42033</v>
      </c>
      <c r="E4708" t="s">
        <v>185</v>
      </c>
      <c r="F4708" t="s">
        <v>2092</v>
      </c>
      <c r="G4708" t="s">
        <v>2093</v>
      </c>
      <c r="H4708" t="s">
        <v>25</v>
      </c>
      <c r="I4708" t="s">
        <v>26</v>
      </c>
      <c r="J4708" t="s">
        <v>41</v>
      </c>
      <c r="K4708" t="s">
        <v>42</v>
      </c>
      <c r="L4708">
        <v>90036</v>
      </c>
      <c r="M4708" t="s">
        <v>43</v>
      </c>
      <c r="N4708" t="s">
        <v>1846</v>
      </c>
      <c r="O4708" t="s">
        <v>31</v>
      </c>
      <c r="P4708" t="s">
        <v>35</v>
      </c>
      <c r="Q4708" t="s">
        <v>1847</v>
      </c>
      <c r="R4708">
        <v>2803.92</v>
      </c>
      <c r="S4708">
        <v>5</v>
      </c>
      <c r="T4708">
        <v>0.2</v>
      </c>
      <c r="U4708">
        <v>0</v>
      </c>
      <c r="V4708" t="str">
        <f t="shared" si="73"/>
        <v>Sean Christensen</v>
      </c>
      <c r="W4708">
        <f>Table2[Profit]/Table2[Sales]</f>
        <v>0</v>
      </c>
    </row>
    <row r="4709" spans="1:23" x14ac:dyDescent="0.25">
      <c r="A4709">
        <v>4708</v>
      </c>
      <c r="B4709" t="s">
        <v>10355</v>
      </c>
      <c r="C4709" s="1">
        <v>42639</v>
      </c>
      <c r="D4709" s="1">
        <v>42640</v>
      </c>
      <c r="E4709" t="s">
        <v>185</v>
      </c>
      <c r="F4709" t="s">
        <v>5068</v>
      </c>
      <c r="G4709" t="s">
        <v>5069</v>
      </c>
      <c r="H4709" t="s">
        <v>40</v>
      </c>
      <c r="I4709" t="s">
        <v>26</v>
      </c>
      <c r="J4709" t="s">
        <v>181</v>
      </c>
      <c r="K4709" t="s">
        <v>103</v>
      </c>
      <c r="L4709">
        <v>77041</v>
      </c>
      <c r="M4709" t="s">
        <v>104</v>
      </c>
      <c r="N4709" t="s">
        <v>3167</v>
      </c>
      <c r="O4709" t="s">
        <v>45</v>
      </c>
      <c r="P4709" t="s">
        <v>74</v>
      </c>
      <c r="Q4709" t="s">
        <v>3168</v>
      </c>
      <c r="R4709">
        <v>6.8159999999999998</v>
      </c>
      <c r="S4709">
        <v>2</v>
      </c>
      <c r="T4709">
        <v>0.8</v>
      </c>
      <c r="U4709">
        <v>-11.587199999999999</v>
      </c>
      <c r="V4709" t="str">
        <f t="shared" si="73"/>
        <v>Matt Hagelstein</v>
      </c>
      <c r="W4709">
        <f>Table2[Profit]/Table2[Sales]</f>
        <v>-1.7</v>
      </c>
    </row>
    <row r="4710" spans="1:23" x14ac:dyDescent="0.25">
      <c r="A4710">
        <v>4709</v>
      </c>
      <c r="B4710" t="s">
        <v>10356</v>
      </c>
      <c r="C4710" s="1">
        <v>42295</v>
      </c>
      <c r="D4710" s="1">
        <v>42299</v>
      </c>
      <c r="E4710" t="s">
        <v>49</v>
      </c>
      <c r="F4710" t="s">
        <v>4584</v>
      </c>
      <c r="G4710" t="s">
        <v>4585</v>
      </c>
      <c r="H4710" t="s">
        <v>25</v>
      </c>
      <c r="I4710" t="s">
        <v>26</v>
      </c>
      <c r="J4710" t="s">
        <v>94</v>
      </c>
      <c r="K4710" t="s">
        <v>95</v>
      </c>
      <c r="L4710">
        <v>98115</v>
      </c>
      <c r="M4710" t="s">
        <v>43</v>
      </c>
      <c r="N4710" t="s">
        <v>8963</v>
      </c>
      <c r="O4710" t="s">
        <v>70</v>
      </c>
      <c r="P4710" t="s">
        <v>71</v>
      </c>
      <c r="Q4710" t="s">
        <v>8964</v>
      </c>
      <c r="R4710">
        <v>249.584</v>
      </c>
      <c r="S4710">
        <v>2</v>
      </c>
      <c r="T4710">
        <v>0.2</v>
      </c>
      <c r="U4710">
        <v>15.599</v>
      </c>
      <c r="V4710" t="str">
        <f t="shared" si="73"/>
        <v>John Castell</v>
      </c>
      <c r="W4710">
        <f>Table2[Profit]/Table2[Sales]</f>
        <v>6.25E-2</v>
      </c>
    </row>
    <row r="4711" spans="1:23" x14ac:dyDescent="0.25">
      <c r="A4711">
        <v>4710</v>
      </c>
      <c r="B4711" t="s">
        <v>10357</v>
      </c>
      <c r="C4711" s="1">
        <v>41939</v>
      </c>
      <c r="D4711" s="1">
        <v>41944</v>
      </c>
      <c r="E4711" t="s">
        <v>49</v>
      </c>
      <c r="F4711" t="s">
        <v>2281</v>
      </c>
      <c r="G4711" t="s">
        <v>2282</v>
      </c>
      <c r="H4711" t="s">
        <v>101</v>
      </c>
      <c r="I4711" t="s">
        <v>26</v>
      </c>
      <c r="J4711" t="s">
        <v>1682</v>
      </c>
      <c r="K4711" t="s">
        <v>87</v>
      </c>
      <c r="L4711">
        <v>28314</v>
      </c>
      <c r="M4711" t="s">
        <v>29</v>
      </c>
      <c r="N4711" t="s">
        <v>3002</v>
      </c>
      <c r="O4711" t="s">
        <v>45</v>
      </c>
      <c r="P4711" t="s">
        <v>89</v>
      </c>
      <c r="Q4711" t="s">
        <v>3003</v>
      </c>
      <c r="R4711">
        <v>10.368</v>
      </c>
      <c r="S4711">
        <v>2</v>
      </c>
      <c r="T4711">
        <v>0.2</v>
      </c>
      <c r="U4711">
        <v>3.6288</v>
      </c>
      <c r="V4711" t="str">
        <f t="shared" si="73"/>
        <v>Ross DeVincentis</v>
      </c>
      <c r="W4711">
        <f>Table2[Profit]/Table2[Sales]</f>
        <v>0.35</v>
      </c>
    </row>
    <row r="4712" spans="1:23" x14ac:dyDescent="0.25">
      <c r="A4712">
        <v>4711</v>
      </c>
      <c r="B4712" t="s">
        <v>10358</v>
      </c>
      <c r="C4712" s="1">
        <v>43010</v>
      </c>
      <c r="D4712" s="1">
        <v>43012</v>
      </c>
      <c r="E4712" t="s">
        <v>22</v>
      </c>
      <c r="F4712" t="s">
        <v>2296</v>
      </c>
      <c r="G4712" t="s">
        <v>2297</v>
      </c>
      <c r="H4712" t="s">
        <v>40</v>
      </c>
      <c r="I4712" t="s">
        <v>26</v>
      </c>
      <c r="J4712" t="s">
        <v>181</v>
      </c>
      <c r="K4712" t="s">
        <v>103</v>
      </c>
      <c r="L4712">
        <v>77041</v>
      </c>
      <c r="M4712" t="s">
        <v>104</v>
      </c>
      <c r="N4712" t="s">
        <v>1964</v>
      </c>
      <c r="O4712" t="s">
        <v>45</v>
      </c>
      <c r="P4712" t="s">
        <v>77</v>
      </c>
      <c r="Q4712" t="s">
        <v>1965</v>
      </c>
      <c r="R4712">
        <v>15.224</v>
      </c>
      <c r="S4712">
        <v>2</v>
      </c>
      <c r="T4712">
        <v>0.8</v>
      </c>
      <c r="U4712">
        <v>-38.821199999999997</v>
      </c>
      <c r="V4712" t="str">
        <f t="shared" si="73"/>
        <v>Steve Chapman</v>
      </c>
      <c r="W4712">
        <f>Table2[Profit]/Table2[Sales]</f>
        <v>-2.5499999999999998</v>
      </c>
    </row>
    <row r="4713" spans="1:23" x14ac:dyDescent="0.25">
      <c r="A4713">
        <v>4712</v>
      </c>
      <c r="B4713" t="s">
        <v>10359</v>
      </c>
      <c r="C4713" s="1">
        <v>41843</v>
      </c>
      <c r="D4713" s="1">
        <v>41847</v>
      </c>
      <c r="E4713" t="s">
        <v>49</v>
      </c>
      <c r="F4713" t="s">
        <v>6628</v>
      </c>
      <c r="G4713" t="s">
        <v>6629</v>
      </c>
      <c r="H4713" t="s">
        <v>40</v>
      </c>
      <c r="I4713" t="s">
        <v>26</v>
      </c>
      <c r="J4713" t="s">
        <v>126</v>
      </c>
      <c r="K4713" t="s">
        <v>42</v>
      </c>
      <c r="L4713">
        <v>94122</v>
      </c>
      <c r="M4713" t="s">
        <v>43</v>
      </c>
      <c r="N4713" t="s">
        <v>4152</v>
      </c>
      <c r="O4713" t="s">
        <v>70</v>
      </c>
      <c r="P4713" t="s">
        <v>71</v>
      </c>
      <c r="Q4713" t="s">
        <v>4153</v>
      </c>
      <c r="R4713">
        <v>604.75199999999995</v>
      </c>
      <c r="S4713">
        <v>6</v>
      </c>
      <c r="T4713">
        <v>0.2</v>
      </c>
      <c r="U4713">
        <v>60.475200000000001</v>
      </c>
      <c r="V4713" t="str">
        <f t="shared" si="73"/>
        <v>Nick Crebassa</v>
      </c>
      <c r="W4713">
        <f>Table2[Profit]/Table2[Sales]</f>
        <v>0.1</v>
      </c>
    </row>
    <row r="4714" spans="1:23" x14ac:dyDescent="0.25">
      <c r="A4714">
        <v>4713</v>
      </c>
      <c r="B4714" t="s">
        <v>10360</v>
      </c>
      <c r="C4714" s="1">
        <v>41894</v>
      </c>
      <c r="D4714" s="1">
        <v>41899</v>
      </c>
      <c r="E4714" t="s">
        <v>22</v>
      </c>
      <c r="F4714" t="s">
        <v>4773</v>
      </c>
      <c r="G4714" t="s">
        <v>4774</v>
      </c>
      <c r="H4714" t="s">
        <v>25</v>
      </c>
      <c r="I4714" t="s">
        <v>26</v>
      </c>
      <c r="J4714" t="s">
        <v>263</v>
      </c>
      <c r="K4714" t="s">
        <v>264</v>
      </c>
      <c r="L4714">
        <v>10035</v>
      </c>
      <c r="M4714" t="s">
        <v>145</v>
      </c>
      <c r="N4714" t="s">
        <v>1846</v>
      </c>
      <c r="O4714" t="s">
        <v>31</v>
      </c>
      <c r="P4714" t="s">
        <v>35</v>
      </c>
      <c r="Q4714" t="s">
        <v>1847</v>
      </c>
      <c r="R4714">
        <v>3785.2919999999999</v>
      </c>
      <c r="S4714">
        <v>6</v>
      </c>
      <c r="T4714">
        <v>0.1</v>
      </c>
      <c r="U4714">
        <v>420.58800000000002</v>
      </c>
      <c r="V4714" t="str">
        <f t="shared" si="73"/>
        <v>Luke Weiss</v>
      </c>
      <c r="W4714">
        <f>Table2[Profit]/Table2[Sales]</f>
        <v>0.11111111111111112</v>
      </c>
    </row>
    <row r="4715" spans="1:23" x14ac:dyDescent="0.25">
      <c r="A4715">
        <v>4714</v>
      </c>
      <c r="B4715" t="s">
        <v>10361</v>
      </c>
      <c r="C4715" s="1">
        <v>42628</v>
      </c>
      <c r="D4715" s="1">
        <v>42633</v>
      </c>
      <c r="E4715" t="s">
        <v>49</v>
      </c>
      <c r="F4715" t="s">
        <v>7136</v>
      </c>
      <c r="G4715" t="s">
        <v>7137</v>
      </c>
      <c r="H4715" t="s">
        <v>25</v>
      </c>
      <c r="I4715" t="s">
        <v>26</v>
      </c>
      <c r="J4715" t="s">
        <v>94</v>
      </c>
      <c r="K4715" t="s">
        <v>95</v>
      </c>
      <c r="L4715">
        <v>98105</v>
      </c>
      <c r="M4715" t="s">
        <v>43</v>
      </c>
      <c r="N4715" t="s">
        <v>7298</v>
      </c>
      <c r="O4715" t="s">
        <v>45</v>
      </c>
      <c r="P4715" t="s">
        <v>67</v>
      </c>
      <c r="Q4715" t="s">
        <v>7299</v>
      </c>
      <c r="R4715">
        <v>35.4</v>
      </c>
      <c r="S4715">
        <v>5</v>
      </c>
      <c r="T4715">
        <v>0</v>
      </c>
      <c r="U4715">
        <v>13.452</v>
      </c>
      <c r="V4715" t="str">
        <f t="shared" si="73"/>
        <v>Angele Hood</v>
      </c>
      <c r="W4715">
        <f>Table2[Profit]/Table2[Sales]</f>
        <v>0.38</v>
      </c>
    </row>
    <row r="4716" spans="1:23" x14ac:dyDescent="0.25">
      <c r="A4716">
        <v>4715</v>
      </c>
      <c r="B4716" t="s">
        <v>10362</v>
      </c>
      <c r="C4716" s="1">
        <v>41970</v>
      </c>
      <c r="D4716" s="1">
        <v>41974</v>
      </c>
      <c r="E4716" t="s">
        <v>49</v>
      </c>
      <c r="F4716" t="s">
        <v>6479</v>
      </c>
      <c r="G4716" t="s">
        <v>6480</v>
      </c>
      <c r="H4716" t="s">
        <v>40</v>
      </c>
      <c r="I4716" t="s">
        <v>26</v>
      </c>
      <c r="J4716" t="s">
        <v>3383</v>
      </c>
      <c r="K4716" t="s">
        <v>264</v>
      </c>
      <c r="L4716">
        <v>14215</v>
      </c>
      <c r="M4716" t="s">
        <v>145</v>
      </c>
      <c r="N4716" t="s">
        <v>3395</v>
      </c>
      <c r="O4716" t="s">
        <v>31</v>
      </c>
      <c r="P4716" t="s">
        <v>64</v>
      </c>
      <c r="Q4716" t="s">
        <v>3396</v>
      </c>
      <c r="R4716">
        <v>199.9</v>
      </c>
      <c r="S4716">
        <v>5</v>
      </c>
      <c r="T4716">
        <v>0</v>
      </c>
      <c r="U4716">
        <v>39.979999999999997</v>
      </c>
      <c r="V4716" t="str">
        <f t="shared" si="73"/>
        <v>Jack O'Briant</v>
      </c>
      <c r="W4716">
        <f>Table2[Profit]/Table2[Sales]</f>
        <v>0.19999999999999998</v>
      </c>
    </row>
    <row r="4717" spans="1:23" x14ac:dyDescent="0.25">
      <c r="A4717">
        <v>4716</v>
      </c>
      <c r="B4717" t="s">
        <v>10363</v>
      </c>
      <c r="C4717" s="1">
        <v>41770</v>
      </c>
      <c r="D4717" s="1">
        <v>41775</v>
      </c>
      <c r="E4717" t="s">
        <v>49</v>
      </c>
      <c r="F4717" t="s">
        <v>840</v>
      </c>
      <c r="G4717" t="s">
        <v>841</v>
      </c>
      <c r="H4717" t="s">
        <v>40</v>
      </c>
      <c r="I4717" t="s">
        <v>26</v>
      </c>
      <c r="J4717" t="s">
        <v>1657</v>
      </c>
      <c r="K4717" t="s">
        <v>103</v>
      </c>
      <c r="L4717">
        <v>77340</v>
      </c>
      <c r="M4717" t="s">
        <v>104</v>
      </c>
      <c r="N4717" t="s">
        <v>1474</v>
      </c>
      <c r="O4717" t="s">
        <v>31</v>
      </c>
      <c r="P4717" t="s">
        <v>35</v>
      </c>
      <c r="Q4717" t="s">
        <v>1475</v>
      </c>
      <c r="R4717">
        <v>1212.96</v>
      </c>
      <c r="S4717">
        <v>8</v>
      </c>
      <c r="T4717">
        <v>0.3</v>
      </c>
      <c r="U4717">
        <v>-69.311999999999998</v>
      </c>
      <c r="V4717" t="str">
        <f t="shared" si="73"/>
        <v>Victoria Wilson</v>
      </c>
      <c r="W4717">
        <f>Table2[Profit]/Table2[Sales]</f>
        <v>-5.7142857142857141E-2</v>
      </c>
    </row>
    <row r="4718" spans="1:23" x14ac:dyDescent="0.25">
      <c r="A4718">
        <v>4717</v>
      </c>
      <c r="B4718" t="s">
        <v>10364</v>
      </c>
      <c r="C4718" s="1">
        <v>42244</v>
      </c>
      <c r="D4718" s="1">
        <v>42248</v>
      </c>
      <c r="E4718" t="s">
        <v>49</v>
      </c>
      <c r="F4718" t="s">
        <v>1123</v>
      </c>
      <c r="G4718" t="s">
        <v>1124</v>
      </c>
      <c r="H4718" t="s">
        <v>40</v>
      </c>
      <c r="I4718" t="s">
        <v>26</v>
      </c>
      <c r="J4718" t="s">
        <v>808</v>
      </c>
      <c r="K4718" t="s">
        <v>103</v>
      </c>
      <c r="L4718">
        <v>75081</v>
      </c>
      <c r="M4718" t="s">
        <v>104</v>
      </c>
      <c r="N4718" t="s">
        <v>3431</v>
      </c>
      <c r="O4718" t="s">
        <v>70</v>
      </c>
      <c r="P4718" t="s">
        <v>71</v>
      </c>
      <c r="Q4718" t="s">
        <v>3432</v>
      </c>
      <c r="R4718">
        <v>1099.96</v>
      </c>
      <c r="S4718">
        <v>5</v>
      </c>
      <c r="T4718">
        <v>0.2</v>
      </c>
      <c r="U4718">
        <v>82.497</v>
      </c>
      <c r="V4718" t="str">
        <f t="shared" si="73"/>
        <v>Ben Peterman</v>
      </c>
      <c r="W4718">
        <f>Table2[Profit]/Table2[Sales]</f>
        <v>7.4999999999999997E-2</v>
      </c>
    </row>
    <row r="4719" spans="1:23" x14ac:dyDescent="0.25">
      <c r="A4719">
        <v>4718</v>
      </c>
      <c r="B4719" t="s">
        <v>10365</v>
      </c>
      <c r="C4719" s="1">
        <v>42174</v>
      </c>
      <c r="D4719" s="1">
        <v>42174</v>
      </c>
      <c r="E4719" t="s">
        <v>1278</v>
      </c>
      <c r="F4719" t="s">
        <v>3714</v>
      </c>
      <c r="G4719" t="s">
        <v>3715</v>
      </c>
      <c r="H4719" t="s">
        <v>101</v>
      </c>
      <c r="I4719" t="s">
        <v>26</v>
      </c>
      <c r="J4719" t="s">
        <v>143</v>
      </c>
      <c r="K4719" t="s">
        <v>144</v>
      </c>
      <c r="L4719">
        <v>19134</v>
      </c>
      <c r="M4719" t="s">
        <v>145</v>
      </c>
      <c r="N4719" t="s">
        <v>10242</v>
      </c>
      <c r="O4719" t="s">
        <v>45</v>
      </c>
      <c r="P4719" t="s">
        <v>46</v>
      </c>
      <c r="Q4719" t="s">
        <v>10243</v>
      </c>
      <c r="R4719">
        <v>5.9039999999999999</v>
      </c>
      <c r="S4719">
        <v>2</v>
      </c>
      <c r="T4719">
        <v>0.2</v>
      </c>
      <c r="U4719">
        <v>1.9925999999999999</v>
      </c>
      <c r="V4719" t="str">
        <f t="shared" si="73"/>
        <v>Paul Prost</v>
      </c>
      <c r="W4719">
        <f>Table2[Profit]/Table2[Sales]</f>
        <v>0.33749999999999997</v>
      </c>
    </row>
    <row r="4720" spans="1:23" x14ac:dyDescent="0.25">
      <c r="A4720">
        <v>4719</v>
      </c>
      <c r="B4720" t="s">
        <v>10366</v>
      </c>
      <c r="C4720" s="1">
        <v>42233</v>
      </c>
      <c r="D4720" s="1">
        <v>42239</v>
      </c>
      <c r="E4720" t="s">
        <v>49</v>
      </c>
      <c r="F4720" t="s">
        <v>512</v>
      </c>
      <c r="G4720" t="s">
        <v>513</v>
      </c>
      <c r="H4720" t="s">
        <v>25</v>
      </c>
      <c r="I4720" t="s">
        <v>26</v>
      </c>
      <c r="J4720" t="s">
        <v>1374</v>
      </c>
      <c r="K4720" t="s">
        <v>303</v>
      </c>
      <c r="L4720">
        <v>85345</v>
      </c>
      <c r="M4720" t="s">
        <v>43</v>
      </c>
      <c r="N4720" t="s">
        <v>4717</v>
      </c>
      <c r="O4720" t="s">
        <v>70</v>
      </c>
      <c r="P4720" t="s">
        <v>158</v>
      </c>
      <c r="Q4720" t="s">
        <v>4718</v>
      </c>
      <c r="R4720">
        <v>30.08</v>
      </c>
      <c r="S4720">
        <v>2</v>
      </c>
      <c r="T4720">
        <v>0.2</v>
      </c>
      <c r="U4720">
        <v>-5.2640000000000002</v>
      </c>
      <c r="V4720" t="str">
        <f t="shared" si="73"/>
        <v>Steven Cartwright</v>
      </c>
      <c r="W4720">
        <f>Table2[Profit]/Table2[Sales]</f>
        <v>-0.17500000000000002</v>
      </c>
    </row>
    <row r="4721" spans="1:23" x14ac:dyDescent="0.25">
      <c r="A4721">
        <v>4720</v>
      </c>
      <c r="B4721" t="s">
        <v>10367</v>
      </c>
      <c r="C4721" s="1">
        <v>42272</v>
      </c>
      <c r="D4721" s="1">
        <v>42272</v>
      </c>
      <c r="E4721" t="s">
        <v>1278</v>
      </c>
      <c r="F4721" t="s">
        <v>2429</v>
      </c>
      <c r="G4721" t="s">
        <v>2430</v>
      </c>
      <c r="H4721" t="s">
        <v>25</v>
      </c>
      <c r="I4721" t="s">
        <v>26</v>
      </c>
      <c r="J4721" t="s">
        <v>143</v>
      </c>
      <c r="K4721" t="s">
        <v>144</v>
      </c>
      <c r="L4721">
        <v>19143</v>
      </c>
      <c r="M4721" t="s">
        <v>145</v>
      </c>
      <c r="N4721" t="s">
        <v>2673</v>
      </c>
      <c r="O4721" t="s">
        <v>45</v>
      </c>
      <c r="P4721" t="s">
        <v>74</v>
      </c>
      <c r="Q4721" t="s">
        <v>2674</v>
      </c>
      <c r="R4721">
        <v>2.9460000000000002</v>
      </c>
      <c r="S4721">
        <v>2</v>
      </c>
      <c r="T4721">
        <v>0.7</v>
      </c>
      <c r="U4721">
        <v>-2.0621999999999998</v>
      </c>
      <c r="V4721" t="str">
        <f t="shared" si="73"/>
        <v>Bryan Mills</v>
      </c>
      <c r="W4721">
        <f>Table2[Profit]/Table2[Sales]</f>
        <v>-0.69999999999999984</v>
      </c>
    </row>
    <row r="4722" spans="1:23" x14ac:dyDescent="0.25">
      <c r="A4722">
        <v>4721</v>
      </c>
      <c r="B4722" t="s">
        <v>10368</v>
      </c>
      <c r="C4722" s="1">
        <v>42881</v>
      </c>
      <c r="D4722" s="1">
        <v>42886</v>
      </c>
      <c r="E4722" t="s">
        <v>49</v>
      </c>
      <c r="F4722" t="s">
        <v>2472</v>
      </c>
      <c r="G4722" t="s">
        <v>2473</v>
      </c>
      <c r="H4722" t="s">
        <v>25</v>
      </c>
      <c r="I4722" t="s">
        <v>26</v>
      </c>
      <c r="J4722" t="s">
        <v>2311</v>
      </c>
      <c r="K4722" t="s">
        <v>42</v>
      </c>
      <c r="L4722">
        <v>92054</v>
      </c>
      <c r="M4722" t="s">
        <v>43</v>
      </c>
      <c r="N4722" t="s">
        <v>5885</v>
      </c>
      <c r="O4722" t="s">
        <v>45</v>
      </c>
      <c r="P4722" t="s">
        <v>89</v>
      </c>
      <c r="Q4722" t="s">
        <v>5886</v>
      </c>
      <c r="R4722">
        <v>12.96</v>
      </c>
      <c r="S4722">
        <v>2</v>
      </c>
      <c r="T4722">
        <v>0</v>
      </c>
      <c r="U4722">
        <v>6.2207999999999997</v>
      </c>
      <c r="V4722" t="str">
        <f t="shared" si="73"/>
        <v>Carlos Daly</v>
      </c>
      <c r="W4722">
        <f>Table2[Profit]/Table2[Sales]</f>
        <v>0.47999999999999993</v>
      </c>
    </row>
    <row r="4723" spans="1:23" x14ac:dyDescent="0.25">
      <c r="A4723">
        <v>4722</v>
      </c>
      <c r="B4723" t="s">
        <v>10369</v>
      </c>
      <c r="C4723" s="1">
        <v>42947</v>
      </c>
      <c r="D4723" s="1">
        <v>42952</v>
      </c>
      <c r="E4723" t="s">
        <v>49</v>
      </c>
      <c r="F4723" t="s">
        <v>3398</v>
      </c>
      <c r="G4723" t="s">
        <v>3399</v>
      </c>
      <c r="H4723" t="s">
        <v>25</v>
      </c>
      <c r="I4723" t="s">
        <v>26</v>
      </c>
      <c r="J4723" t="s">
        <v>143</v>
      </c>
      <c r="K4723" t="s">
        <v>144</v>
      </c>
      <c r="L4723">
        <v>19134</v>
      </c>
      <c r="M4723" t="s">
        <v>145</v>
      </c>
      <c r="N4723" t="s">
        <v>5052</v>
      </c>
      <c r="O4723" t="s">
        <v>70</v>
      </c>
      <c r="P4723" t="s">
        <v>71</v>
      </c>
      <c r="Q4723" t="s">
        <v>5053</v>
      </c>
      <c r="R4723">
        <v>285.57600000000002</v>
      </c>
      <c r="S4723">
        <v>4</v>
      </c>
      <c r="T4723">
        <v>0.4</v>
      </c>
      <c r="U4723">
        <v>-57.115200000000002</v>
      </c>
      <c r="V4723" t="str">
        <f t="shared" si="73"/>
        <v>Greg Matthias</v>
      </c>
      <c r="W4723">
        <f>Table2[Profit]/Table2[Sales]</f>
        <v>-0.19999999999999998</v>
      </c>
    </row>
    <row r="4724" spans="1:23" x14ac:dyDescent="0.25">
      <c r="A4724">
        <v>4723</v>
      </c>
      <c r="B4724" t="s">
        <v>10370</v>
      </c>
      <c r="C4724" s="1">
        <v>41924</v>
      </c>
      <c r="D4724" s="1">
        <v>41929</v>
      </c>
      <c r="E4724" t="s">
        <v>49</v>
      </c>
      <c r="F4724" t="s">
        <v>8347</v>
      </c>
      <c r="G4724" t="s">
        <v>8348</v>
      </c>
      <c r="H4724" t="s">
        <v>40</v>
      </c>
      <c r="I4724" t="s">
        <v>26</v>
      </c>
      <c r="J4724" t="s">
        <v>296</v>
      </c>
      <c r="K4724" t="s">
        <v>208</v>
      </c>
      <c r="L4724">
        <v>60623</v>
      </c>
      <c r="M4724" t="s">
        <v>104</v>
      </c>
      <c r="N4724" t="s">
        <v>4725</v>
      </c>
      <c r="O4724" t="s">
        <v>45</v>
      </c>
      <c r="P4724" t="s">
        <v>572</v>
      </c>
      <c r="Q4724" t="s">
        <v>4726</v>
      </c>
      <c r="R4724">
        <v>22.24</v>
      </c>
      <c r="S4724">
        <v>2</v>
      </c>
      <c r="T4724">
        <v>0.2</v>
      </c>
      <c r="U4724">
        <v>2.5019999999999998</v>
      </c>
      <c r="V4724" t="str">
        <f t="shared" si="73"/>
        <v>Barry Pond</v>
      </c>
      <c r="W4724">
        <f>Table2[Profit]/Table2[Sales]</f>
        <v>0.1125</v>
      </c>
    </row>
    <row r="4725" spans="1:23" x14ac:dyDescent="0.25">
      <c r="A4725">
        <v>4724</v>
      </c>
      <c r="B4725" t="s">
        <v>10371</v>
      </c>
      <c r="C4725" s="1">
        <v>41784</v>
      </c>
      <c r="D4725" s="1">
        <v>41788</v>
      </c>
      <c r="E4725" t="s">
        <v>49</v>
      </c>
      <c r="F4725" t="s">
        <v>8257</v>
      </c>
      <c r="G4725" t="s">
        <v>8258</v>
      </c>
      <c r="H4725" t="s">
        <v>25</v>
      </c>
      <c r="I4725" t="s">
        <v>26</v>
      </c>
      <c r="J4725" t="s">
        <v>263</v>
      </c>
      <c r="K4725" t="s">
        <v>264</v>
      </c>
      <c r="L4725">
        <v>10035</v>
      </c>
      <c r="M4725" t="s">
        <v>145</v>
      </c>
      <c r="N4725" t="s">
        <v>6177</v>
      </c>
      <c r="O4725" t="s">
        <v>45</v>
      </c>
      <c r="P4725" t="s">
        <v>89</v>
      </c>
      <c r="Q4725" t="s">
        <v>6178</v>
      </c>
      <c r="R4725">
        <v>14.62</v>
      </c>
      <c r="S4725">
        <v>2</v>
      </c>
      <c r="T4725">
        <v>0</v>
      </c>
      <c r="U4725">
        <v>6.7252000000000001</v>
      </c>
      <c r="V4725" t="str">
        <f t="shared" si="73"/>
        <v>Barry Weirich</v>
      </c>
      <c r="W4725">
        <f>Table2[Profit]/Table2[Sales]</f>
        <v>0.46</v>
      </c>
    </row>
    <row r="4726" spans="1:23" x14ac:dyDescent="0.25">
      <c r="A4726">
        <v>4725</v>
      </c>
      <c r="B4726" t="s">
        <v>10372</v>
      </c>
      <c r="C4726" s="1">
        <v>42002</v>
      </c>
      <c r="D4726" s="1">
        <v>42004</v>
      </c>
      <c r="E4726" t="s">
        <v>22</v>
      </c>
      <c r="F4726" t="s">
        <v>10373</v>
      </c>
      <c r="G4726" t="s">
        <v>10374</v>
      </c>
      <c r="H4726" t="s">
        <v>25</v>
      </c>
      <c r="I4726" t="s">
        <v>26</v>
      </c>
      <c r="J4726" t="s">
        <v>4169</v>
      </c>
      <c r="K4726" t="s">
        <v>491</v>
      </c>
      <c r="L4726">
        <v>44240</v>
      </c>
      <c r="M4726" t="s">
        <v>145</v>
      </c>
      <c r="N4726" t="s">
        <v>4721</v>
      </c>
      <c r="O4726" t="s">
        <v>45</v>
      </c>
      <c r="P4726" t="s">
        <v>77</v>
      </c>
      <c r="Q4726" t="s">
        <v>4722</v>
      </c>
      <c r="R4726">
        <v>48.36</v>
      </c>
      <c r="S4726">
        <v>5</v>
      </c>
      <c r="T4726">
        <v>0.2</v>
      </c>
      <c r="U4726">
        <v>6.0449999999999999</v>
      </c>
      <c r="V4726" t="str">
        <f t="shared" si="73"/>
        <v>Ricardo Emerson</v>
      </c>
      <c r="W4726">
        <f>Table2[Profit]/Table2[Sales]</f>
        <v>0.125</v>
      </c>
    </row>
    <row r="4727" spans="1:23" x14ac:dyDescent="0.25">
      <c r="A4727">
        <v>4726</v>
      </c>
      <c r="B4727" t="s">
        <v>10375</v>
      </c>
      <c r="C4727" s="1">
        <v>42832</v>
      </c>
      <c r="D4727" s="1">
        <v>42836</v>
      </c>
      <c r="E4727" t="s">
        <v>49</v>
      </c>
      <c r="F4727" t="s">
        <v>2995</v>
      </c>
      <c r="G4727" t="s">
        <v>2996</v>
      </c>
      <c r="H4727" t="s">
        <v>101</v>
      </c>
      <c r="I4727" t="s">
        <v>26</v>
      </c>
      <c r="J4727" t="s">
        <v>1507</v>
      </c>
      <c r="K4727" t="s">
        <v>53</v>
      </c>
      <c r="L4727">
        <v>32216</v>
      </c>
      <c r="M4727" t="s">
        <v>29</v>
      </c>
      <c r="N4727" t="s">
        <v>1547</v>
      </c>
      <c r="O4727" t="s">
        <v>45</v>
      </c>
      <c r="P4727" t="s">
        <v>67</v>
      </c>
      <c r="Q4727" t="s">
        <v>1548</v>
      </c>
      <c r="R4727">
        <v>16.256</v>
      </c>
      <c r="S4727">
        <v>2</v>
      </c>
      <c r="T4727">
        <v>0.2</v>
      </c>
      <c r="U4727">
        <v>1.2192000000000001</v>
      </c>
      <c r="V4727" t="str">
        <f t="shared" si="73"/>
        <v>Hallie Redmond</v>
      </c>
      <c r="W4727">
        <f>Table2[Profit]/Table2[Sales]</f>
        <v>7.4999999999999997E-2</v>
      </c>
    </row>
    <row r="4728" spans="1:23" x14ac:dyDescent="0.25">
      <c r="A4728">
        <v>4727</v>
      </c>
      <c r="B4728" t="s">
        <v>10376</v>
      </c>
      <c r="C4728" s="1">
        <v>42064</v>
      </c>
      <c r="D4728" s="1">
        <v>42065</v>
      </c>
      <c r="E4728" t="s">
        <v>185</v>
      </c>
      <c r="F4728" t="s">
        <v>7093</v>
      </c>
      <c r="G4728" t="s">
        <v>7094</v>
      </c>
      <c r="H4728" t="s">
        <v>40</v>
      </c>
      <c r="I4728" t="s">
        <v>26</v>
      </c>
      <c r="J4728" t="s">
        <v>3929</v>
      </c>
      <c r="K4728" t="s">
        <v>103</v>
      </c>
      <c r="L4728">
        <v>75019</v>
      </c>
      <c r="M4728" t="s">
        <v>104</v>
      </c>
      <c r="N4728" t="s">
        <v>6995</v>
      </c>
      <c r="O4728" t="s">
        <v>70</v>
      </c>
      <c r="P4728" t="s">
        <v>71</v>
      </c>
      <c r="Q4728" t="s">
        <v>6996</v>
      </c>
      <c r="R4728">
        <v>95.84</v>
      </c>
      <c r="S4728">
        <v>4</v>
      </c>
      <c r="T4728">
        <v>0.2</v>
      </c>
      <c r="U4728">
        <v>34.741999999999997</v>
      </c>
      <c r="V4728" t="str">
        <f t="shared" si="73"/>
        <v>Tracy Poddar</v>
      </c>
      <c r="W4728">
        <f>Table2[Profit]/Table2[Sales]</f>
        <v>0.36249999999999993</v>
      </c>
    </row>
    <row r="4729" spans="1:23" x14ac:dyDescent="0.25">
      <c r="A4729">
        <v>4728</v>
      </c>
      <c r="B4729" t="s">
        <v>10377</v>
      </c>
      <c r="C4729" s="1">
        <v>42153</v>
      </c>
      <c r="D4729" s="1">
        <v>42158</v>
      </c>
      <c r="E4729" t="s">
        <v>49</v>
      </c>
      <c r="F4729" t="s">
        <v>400</v>
      </c>
      <c r="G4729" t="s">
        <v>401</v>
      </c>
      <c r="H4729" t="s">
        <v>25</v>
      </c>
      <c r="I4729" t="s">
        <v>26</v>
      </c>
      <c r="J4729" t="s">
        <v>4288</v>
      </c>
      <c r="K4729" t="s">
        <v>251</v>
      </c>
      <c r="L4729">
        <v>46203</v>
      </c>
      <c r="M4729" t="s">
        <v>104</v>
      </c>
      <c r="N4729" t="s">
        <v>2382</v>
      </c>
      <c r="O4729" t="s">
        <v>45</v>
      </c>
      <c r="P4729" t="s">
        <v>46</v>
      </c>
      <c r="Q4729" t="s">
        <v>2383</v>
      </c>
      <c r="R4729">
        <v>12.39</v>
      </c>
      <c r="S4729">
        <v>3</v>
      </c>
      <c r="T4729">
        <v>0</v>
      </c>
      <c r="U4729">
        <v>5.6993999999999998</v>
      </c>
      <c r="V4729" t="str">
        <f t="shared" si="73"/>
        <v>Karl Braun</v>
      </c>
      <c r="W4729">
        <f>Table2[Profit]/Table2[Sales]</f>
        <v>0.45999999999999996</v>
      </c>
    </row>
    <row r="4730" spans="1:23" x14ac:dyDescent="0.25">
      <c r="A4730">
        <v>4729</v>
      </c>
      <c r="B4730" t="s">
        <v>10378</v>
      </c>
      <c r="C4730" s="1">
        <v>42635</v>
      </c>
      <c r="D4730" s="1">
        <v>42641</v>
      </c>
      <c r="E4730" t="s">
        <v>49</v>
      </c>
      <c r="F4730" t="s">
        <v>5892</v>
      </c>
      <c r="G4730" t="s">
        <v>5893</v>
      </c>
      <c r="H4730" t="s">
        <v>25</v>
      </c>
      <c r="I4730" t="s">
        <v>26</v>
      </c>
      <c r="J4730" t="s">
        <v>1465</v>
      </c>
      <c r="K4730" t="s">
        <v>251</v>
      </c>
      <c r="L4730">
        <v>46226</v>
      </c>
      <c r="M4730" t="s">
        <v>104</v>
      </c>
      <c r="N4730" t="s">
        <v>5450</v>
      </c>
      <c r="O4730" t="s">
        <v>45</v>
      </c>
      <c r="P4730" t="s">
        <v>89</v>
      </c>
      <c r="Q4730" t="s">
        <v>5451</v>
      </c>
      <c r="R4730">
        <v>35.880000000000003</v>
      </c>
      <c r="S4730">
        <v>6</v>
      </c>
      <c r="T4730">
        <v>0</v>
      </c>
      <c r="U4730">
        <v>16.146000000000001</v>
      </c>
      <c r="V4730" t="str">
        <f t="shared" si="73"/>
        <v>Anna Chung</v>
      </c>
      <c r="W4730">
        <f>Table2[Profit]/Table2[Sales]</f>
        <v>0.45</v>
      </c>
    </row>
    <row r="4731" spans="1:23" x14ac:dyDescent="0.25">
      <c r="A4731">
        <v>4730</v>
      </c>
      <c r="B4731" t="s">
        <v>10379</v>
      </c>
      <c r="C4731" s="1">
        <v>42882</v>
      </c>
      <c r="D4731" s="1">
        <v>42889</v>
      </c>
      <c r="E4731" t="s">
        <v>49</v>
      </c>
      <c r="F4731" t="s">
        <v>357</v>
      </c>
      <c r="G4731" t="s">
        <v>358</v>
      </c>
      <c r="H4731" t="s">
        <v>25</v>
      </c>
      <c r="I4731" t="s">
        <v>26</v>
      </c>
      <c r="J4731" t="s">
        <v>4454</v>
      </c>
      <c r="K4731" t="s">
        <v>641</v>
      </c>
      <c r="L4731">
        <v>74133</v>
      </c>
      <c r="M4731" t="s">
        <v>104</v>
      </c>
      <c r="N4731" t="s">
        <v>191</v>
      </c>
      <c r="O4731" t="s">
        <v>31</v>
      </c>
      <c r="P4731" t="s">
        <v>64</v>
      </c>
      <c r="Q4731" t="s">
        <v>192</v>
      </c>
      <c r="R4731">
        <v>477.3</v>
      </c>
      <c r="S4731">
        <v>5</v>
      </c>
      <c r="T4731">
        <v>0</v>
      </c>
      <c r="U4731">
        <v>138.417</v>
      </c>
      <c r="V4731" t="str">
        <f t="shared" si="73"/>
        <v>Duane Noonan</v>
      </c>
      <c r="W4731">
        <f>Table2[Profit]/Table2[Sales]</f>
        <v>0.28999999999999998</v>
      </c>
    </row>
    <row r="4732" spans="1:23" x14ac:dyDescent="0.25">
      <c r="A4732">
        <v>4731</v>
      </c>
      <c r="B4732" t="s">
        <v>10380</v>
      </c>
      <c r="C4732" s="1">
        <v>42630</v>
      </c>
      <c r="D4732" s="1">
        <v>42636</v>
      </c>
      <c r="E4732" t="s">
        <v>49</v>
      </c>
      <c r="F4732" t="s">
        <v>2100</v>
      </c>
      <c r="G4732" t="s">
        <v>2101</v>
      </c>
      <c r="H4732" t="s">
        <v>101</v>
      </c>
      <c r="I4732" t="s">
        <v>26</v>
      </c>
      <c r="J4732" t="s">
        <v>4488</v>
      </c>
      <c r="K4732" t="s">
        <v>95</v>
      </c>
      <c r="L4732">
        <v>98052</v>
      </c>
      <c r="M4732" t="s">
        <v>43</v>
      </c>
      <c r="N4732" t="s">
        <v>4030</v>
      </c>
      <c r="O4732" t="s">
        <v>45</v>
      </c>
      <c r="P4732" t="s">
        <v>46</v>
      </c>
      <c r="Q4732" t="s">
        <v>4031</v>
      </c>
      <c r="R4732">
        <v>12.32</v>
      </c>
      <c r="S4732">
        <v>4</v>
      </c>
      <c r="T4732">
        <v>0</v>
      </c>
      <c r="U4732">
        <v>5.9135999999999997</v>
      </c>
      <c r="V4732" t="str">
        <f t="shared" si="73"/>
        <v>Chuck Clark</v>
      </c>
      <c r="W4732">
        <f>Table2[Profit]/Table2[Sales]</f>
        <v>0.48</v>
      </c>
    </row>
    <row r="4733" spans="1:23" x14ac:dyDescent="0.25">
      <c r="A4733">
        <v>4732</v>
      </c>
      <c r="B4733" t="s">
        <v>10381</v>
      </c>
      <c r="C4733" s="1">
        <v>41890</v>
      </c>
      <c r="D4733" s="1">
        <v>41895</v>
      </c>
      <c r="E4733" t="s">
        <v>49</v>
      </c>
      <c r="F4733" t="s">
        <v>2917</v>
      </c>
      <c r="G4733" t="s">
        <v>2918</v>
      </c>
      <c r="H4733" t="s">
        <v>25</v>
      </c>
      <c r="I4733" t="s">
        <v>26</v>
      </c>
      <c r="J4733" t="s">
        <v>126</v>
      </c>
      <c r="K4733" t="s">
        <v>42</v>
      </c>
      <c r="L4733">
        <v>94109</v>
      </c>
      <c r="M4733" t="s">
        <v>43</v>
      </c>
      <c r="N4733" t="s">
        <v>3733</v>
      </c>
      <c r="O4733" t="s">
        <v>45</v>
      </c>
      <c r="P4733" t="s">
        <v>74</v>
      </c>
      <c r="Q4733" t="s">
        <v>3734</v>
      </c>
      <c r="R4733">
        <v>8.6080000000000005</v>
      </c>
      <c r="S4733">
        <v>2</v>
      </c>
      <c r="T4733">
        <v>0.2</v>
      </c>
      <c r="U4733">
        <v>3.0127999999999999</v>
      </c>
      <c r="V4733" t="str">
        <f t="shared" si="73"/>
        <v>Toby Swindell</v>
      </c>
      <c r="W4733">
        <f>Table2[Profit]/Table2[Sales]</f>
        <v>0.35</v>
      </c>
    </row>
    <row r="4734" spans="1:23" x14ac:dyDescent="0.25">
      <c r="A4734">
        <v>4733</v>
      </c>
      <c r="B4734" t="s">
        <v>10382</v>
      </c>
      <c r="C4734" s="1">
        <v>42889</v>
      </c>
      <c r="D4734" s="1">
        <v>42893</v>
      </c>
      <c r="E4734" t="s">
        <v>49</v>
      </c>
      <c r="F4734" t="s">
        <v>2037</v>
      </c>
      <c r="G4734" t="s">
        <v>2038</v>
      </c>
      <c r="H4734" t="s">
        <v>101</v>
      </c>
      <c r="I4734" t="s">
        <v>26</v>
      </c>
      <c r="J4734" t="s">
        <v>4578</v>
      </c>
      <c r="K4734" t="s">
        <v>95</v>
      </c>
      <c r="L4734">
        <v>99207</v>
      </c>
      <c r="M4734" t="s">
        <v>43</v>
      </c>
      <c r="N4734" t="s">
        <v>1774</v>
      </c>
      <c r="O4734" t="s">
        <v>45</v>
      </c>
      <c r="P4734" t="s">
        <v>58</v>
      </c>
      <c r="Q4734" t="s">
        <v>1775</v>
      </c>
      <c r="R4734">
        <v>136.26</v>
      </c>
      <c r="S4734">
        <v>9</v>
      </c>
      <c r="T4734">
        <v>0</v>
      </c>
      <c r="U4734">
        <v>5.4504000000000001</v>
      </c>
      <c r="V4734" t="str">
        <f t="shared" si="73"/>
        <v>Meg O'Connel</v>
      </c>
      <c r="W4734">
        <f>Table2[Profit]/Table2[Sales]</f>
        <v>0.04</v>
      </c>
    </row>
    <row r="4735" spans="1:23" x14ac:dyDescent="0.25">
      <c r="A4735">
        <v>4734</v>
      </c>
      <c r="B4735" t="s">
        <v>10383</v>
      </c>
      <c r="C4735" s="1">
        <v>42275</v>
      </c>
      <c r="D4735" s="1">
        <v>42282</v>
      </c>
      <c r="E4735" t="s">
        <v>49</v>
      </c>
      <c r="F4735" t="s">
        <v>4420</v>
      </c>
      <c r="G4735" t="s">
        <v>4421</v>
      </c>
      <c r="H4735" t="s">
        <v>40</v>
      </c>
      <c r="I4735" t="s">
        <v>26</v>
      </c>
      <c r="J4735" t="s">
        <v>41</v>
      </c>
      <c r="K4735" t="s">
        <v>42</v>
      </c>
      <c r="L4735">
        <v>90032</v>
      </c>
      <c r="M4735" t="s">
        <v>43</v>
      </c>
      <c r="N4735" t="s">
        <v>4279</v>
      </c>
      <c r="O4735" t="s">
        <v>45</v>
      </c>
      <c r="P4735" t="s">
        <v>77</v>
      </c>
      <c r="Q4735" t="s">
        <v>4280</v>
      </c>
      <c r="R4735">
        <v>186.15</v>
      </c>
      <c r="S4735">
        <v>3</v>
      </c>
      <c r="T4735">
        <v>0</v>
      </c>
      <c r="U4735">
        <v>55.844999999999999</v>
      </c>
      <c r="V4735" t="str">
        <f t="shared" si="73"/>
        <v>Roy Phan</v>
      </c>
      <c r="W4735">
        <f>Table2[Profit]/Table2[Sales]</f>
        <v>0.3</v>
      </c>
    </row>
    <row r="4736" spans="1:23" x14ac:dyDescent="0.25">
      <c r="A4736">
        <v>4735</v>
      </c>
      <c r="B4736" t="s">
        <v>10384</v>
      </c>
      <c r="C4736" s="1">
        <v>42537</v>
      </c>
      <c r="D4736" s="1">
        <v>42540</v>
      </c>
      <c r="E4736" t="s">
        <v>22</v>
      </c>
      <c r="F4736" t="s">
        <v>2564</v>
      </c>
      <c r="G4736" t="s">
        <v>2565</v>
      </c>
      <c r="H4736" t="s">
        <v>101</v>
      </c>
      <c r="I4736" t="s">
        <v>26</v>
      </c>
      <c r="J4736" t="s">
        <v>6103</v>
      </c>
      <c r="K4736" t="s">
        <v>328</v>
      </c>
      <c r="L4736">
        <v>37421</v>
      </c>
      <c r="M4736" t="s">
        <v>29</v>
      </c>
      <c r="N4736" t="s">
        <v>10385</v>
      </c>
      <c r="O4736" t="s">
        <v>70</v>
      </c>
      <c r="P4736" t="s">
        <v>675</v>
      </c>
      <c r="Q4736" t="s">
        <v>10386</v>
      </c>
      <c r="R4736">
        <v>91.474999999999994</v>
      </c>
      <c r="S4736">
        <v>1</v>
      </c>
      <c r="T4736">
        <v>0.5</v>
      </c>
      <c r="U4736">
        <v>-1.8294999999999999</v>
      </c>
      <c r="V4736" t="str">
        <f t="shared" si="73"/>
        <v>James Lanier</v>
      </c>
      <c r="W4736">
        <f>Table2[Profit]/Table2[Sales]</f>
        <v>-0.02</v>
      </c>
    </row>
    <row r="4737" spans="1:23" x14ac:dyDescent="0.25">
      <c r="A4737">
        <v>4736</v>
      </c>
      <c r="B4737" t="s">
        <v>10387</v>
      </c>
      <c r="C4737" s="1">
        <v>42882</v>
      </c>
      <c r="D4737" s="1">
        <v>42889</v>
      </c>
      <c r="E4737" t="s">
        <v>49</v>
      </c>
      <c r="F4737" t="s">
        <v>2515</v>
      </c>
      <c r="G4737" t="s">
        <v>2516</v>
      </c>
      <c r="H4737" t="s">
        <v>40</v>
      </c>
      <c r="I4737" t="s">
        <v>26</v>
      </c>
      <c r="J4737" t="s">
        <v>4396</v>
      </c>
      <c r="K4737" t="s">
        <v>87</v>
      </c>
      <c r="L4737">
        <v>27405</v>
      </c>
      <c r="M4737" t="s">
        <v>29</v>
      </c>
      <c r="N4737" t="s">
        <v>10388</v>
      </c>
      <c r="O4737" t="s">
        <v>70</v>
      </c>
      <c r="P4737" t="s">
        <v>158</v>
      </c>
      <c r="Q4737" t="s">
        <v>10389</v>
      </c>
      <c r="R4737">
        <v>27.192</v>
      </c>
      <c r="S4737">
        <v>3</v>
      </c>
      <c r="T4737">
        <v>0.2</v>
      </c>
      <c r="U4737">
        <v>0.33989999999999998</v>
      </c>
      <c r="V4737" t="str">
        <f t="shared" si="73"/>
        <v>Bart Watters</v>
      </c>
      <c r="W4737">
        <f>Table2[Profit]/Table2[Sales]</f>
        <v>1.2499999999999999E-2</v>
      </c>
    </row>
    <row r="4738" spans="1:23" x14ac:dyDescent="0.25">
      <c r="A4738">
        <v>4737</v>
      </c>
      <c r="B4738" t="s">
        <v>10390</v>
      </c>
      <c r="C4738" s="1">
        <v>41921</v>
      </c>
      <c r="D4738" s="1">
        <v>41926</v>
      </c>
      <c r="E4738" t="s">
        <v>49</v>
      </c>
      <c r="F4738" t="s">
        <v>704</v>
      </c>
      <c r="G4738" t="s">
        <v>705</v>
      </c>
      <c r="H4738" t="s">
        <v>25</v>
      </c>
      <c r="I4738" t="s">
        <v>26</v>
      </c>
      <c r="J4738" t="s">
        <v>126</v>
      </c>
      <c r="K4738" t="s">
        <v>42</v>
      </c>
      <c r="L4738">
        <v>94122</v>
      </c>
      <c r="M4738" t="s">
        <v>43</v>
      </c>
      <c r="N4738" t="s">
        <v>1114</v>
      </c>
      <c r="O4738" t="s">
        <v>45</v>
      </c>
      <c r="P4738" t="s">
        <v>67</v>
      </c>
      <c r="Q4738" t="s">
        <v>1115</v>
      </c>
      <c r="R4738">
        <v>144.6</v>
      </c>
      <c r="S4738">
        <v>3</v>
      </c>
      <c r="T4738">
        <v>0</v>
      </c>
      <c r="U4738">
        <v>41.933999999999997</v>
      </c>
      <c r="V4738" t="str">
        <f t="shared" si="73"/>
        <v>Shirley Jackson</v>
      </c>
      <c r="W4738">
        <f>Table2[Profit]/Table2[Sales]</f>
        <v>0.28999999999999998</v>
      </c>
    </row>
    <row r="4739" spans="1:23" x14ac:dyDescent="0.25">
      <c r="A4739">
        <v>4738</v>
      </c>
      <c r="B4739" t="s">
        <v>10391</v>
      </c>
      <c r="C4739" s="1">
        <v>41960</v>
      </c>
      <c r="D4739" s="1">
        <v>41965</v>
      </c>
      <c r="E4739" t="s">
        <v>22</v>
      </c>
      <c r="F4739" t="s">
        <v>3597</v>
      </c>
      <c r="G4739" t="s">
        <v>3598</v>
      </c>
      <c r="H4739" t="s">
        <v>101</v>
      </c>
      <c r="I4739" t="s">
        <v>26</v>
      </c>
      <c r="J4739" t="s">
        <v>263</v>
      </c>
      <c r="K4739" t="s">
        <v>264</v>
      </c>
      <c r="L4739">
        <v>10024</v>
      </c>
      <c r="M4739" t="s">
        <v>145</v>
      </c>
      <c r="N4739" t="s">
        <v>2659</v>
      </c>
      <c r="O4739" t="s">
        <v>45</v>
      </c>
      <c r="P4739" t="s">
        <v>89</v>
      </c>
      <c r="Q4739" t="s">
        <v>2660</v>
      </c>
      <c r="R4739">
        <v>34.44</v>
      </c>
      <c r="S4739">
        <v>3</v>
      </c>
      <c r="T4739">
        <v>0</v>
      </c>
      <c r="U4739">
        <v>17.22</v>
      </c>
      <c r="V4739" t="str">
        <f t="shared" ref="V4739:V4802" si="74">TRIM(G4739)</f>
        <v>Frank Gastineau</v>
      </c>
      <c r="W4739">
        <f>Table2[Profit]/Table2[Sales]</f>
        <v>0.5</v>
      </c>
    </row>
    <row r="4740" spans="1:23" x14ac:dyDescent="0.25">
      <c r="A4740">
        <v>4739</v>
      </c>
      <c r="B4740" t="s">
        <v>10392</v>
      </c>
      <c r="C4740" s="1">
        <v>41931</v>
      </c>
      <c r="D4740" s="1">
        <v>41936</v>
      </c>
      <c r="E4740" t="s">
        <v>49</v>
      </c>
      <c r="F4740" t="s">
        <v>2129</v>
      </c>
      <c r="G4740" t="s">
        <v>2130</v>
      </c>
      <c r="H4740" t="s">
        <v>101</v>
      </c>
      <c r="I4740" t="s">
        <v>26</v>
      </c>
      <c r="J4740" t="s">
        <v>1111</v>
      </c>
      <c r="K4740" t="s">
        <v>42</v>
      </c>
      <c r="L4740">
        <v>90712</v>
      </c>
      <c r="M4740" t="s">
        <v>43</v>
      </c>
      <c r="N4740" t="s">
        <v>4235</v>
      </c>
      <c r="O4740" t="s">
        <v>70</v>
      </c>
      <c r="P4740" t="s">
        <v>71</v>
      </c>
      <c r="Q4740" t="s">
        <v>4236</v>
      </c>
      <c r="R4740">
        <v>321.55200000000002</v>
      </c>
      <c r="S4740">
        <v>6</v>
      </c>
      <c r="T4740">
        <v>0.2</v>
      </c>
      <c r="U4740">
        <v>20.097000000000001</v>
      </c>
      <c r="V4740" t="str">
        <f t="shared" si="74"/>
        <v>Eugene Hildebrand</v>
      </c>
      <c r="W4740">
        <f>Table2[Profit]/Table2[Sales]</f>
        <v>6.25E-2</v>
      </c>
    </row>
    <row r="4741" spans="1:23" x14ac:dyDescent="0.25">
      <c r="A4741">
        <v>4740</v>
      </c>
      <c r="B4741" t="s">
        <v>10393</v>
      </c>
      <c r="C4741" s="1">
        <v>43064</v>
      </c>
      <c r="D4741" s="1">
        <v>43069</v>
      </c>
      <c r="E4741" t="s">
        <v>22</v>
      </c>
      <c r="F4741" t="s">
        <v>300</v>
      </c>
      <c r="G4741" t="s">
        <v>301</v>
      </c>
      <c r="H4741" t="s">
        <v>40</v>
      </c>
      <c r="I4741" t="s">
        <v>26</v>
      </c>
      <c r="J4741" t="s">
        <v>1459</v>
      </c>
      <c r="K4741" t="s">
        <v>28</v>
      </c>
      <c r="L4741">
        <v>40214</v>
      </c>
      <c r="M4741" t="s">
        <v>29</v>
      </c>
      <c r="N4741" t="s">
        <v>4427</v>
      </c>
      <c r="O4741" t="s">
        <v>31</v>
      </c>
      <c r="P4741" t="s">
        <v>35</v>
      </c>
      <c r="Q4741" t="s">
        <v>4428</v>
      </c>
      <c r="R4741">
        <v>701.96</v>
      </c>
      <c r="S4741">
        <v>2</v>
      </c>
      <c r="T4741">
        <v>0</v>
      </c>
      <c r="U4741">
        <v>168.47040000000001</v>
      </c>
      <c r="V4741" t="str">
        <f t="shared" si="74"/>
        <v>Brendan Sweed</v>
      </c>
      <c r="W4741">
        <f>Table2[Profit]/Table2[Sales]</f>
        <v>0.24</v>
      </c>
    </row>
    <row r="4742" spans="1:23" x14ac:dyDescent="0.25">
      <c r="A4742">
        <v>4741</v>
      </c>
      <c r="B4742" t="s">
        <v>10394</v>
      </c>
      <c r="C4742" s="1">
        <v>41697</v>
      </c>
      <c r="D4742" s="1">
        <v>41701</v>
      </c>
      <c r="E4742" t="s">
        <v>185</v>
      </c>
      <c r="F4742" t="s">
        <v>4766</v>
      </c>
      <c r="G4742" t="s">
        <v>4767</v>
      </c>
      <c r="H4742" t="s">
        <v>25</v>
      </c>
      <c r="I4742" t="s">
        <v>26</v>
      </c>
      <c r="J4742" t="s">
        <v>490</v>
      </c>
      <c r="K4742" t="s">
        <v>491</v>
      </c>
      <c r="L4742">
        <v>43229</v>
      </c>
      <c r="M4742" t="s">
        <v>145</v>
      </c>
      <c r="N4742" t="s">
        <v>1863</v>
      </c>
      <c r="O4742" t="s">
        <v>45</v>
      </c>
      <c r="P4742" t="s">
        <v>67</v>
      </c>
      <c r="Q4742" t="s">
        <v>1864</v>
      </c>
      <c r="R4742">
        <v>19.456</v>
      </c>
      <c r="S4742">
        <v>4</v>
      </c>
      <c r="T4742">
        <v>0.2</v>
      </c>
      <c r="U4742">
        <v>3.4047999999999998</v>
      </c>
      <c r="V4742" t="str">
        <f t="shared" si="74"/>
        <v>Joy Smith</v>
      </c>
      <c r="W4742">
        <f>Table2[Profit]/Table2[Sales]</f>
        <v>0.17499999999999999</v>
      </c>
    </row>
    <row r="4743" spans="1:23" x14ac:dyDescent="0.25">
      <c r="A4743">
        <v>4742</v>
      </c>
      <c r="B4743" t="s">
        <v>10395</v>
      </c>
      <c r="C4743" s="1">
        <v>41994</v>
      </c>
      <c r="D4743" s="1">
        <v>41998</v>
      </c>
      <c r="E4743" t="s">
        <v>49</v>
      </c>
      <c r="F4743" t="s">
        <v>4584</v>
      </c>
      <c r="G4743" t="s">
        <v>4585</v>
      </c>
      <c r="H4743" t="s">
        <v>25</v>
      </c>
      <c r="I4743" t="s">
        <v>26</v>
      </c>
      <c r="J4743" t="s">
        <v>600</v>
      </c>
      <c r="K4743" t="s">
        <v>242</v>
      </c>
      <c r="L4743">
        <v>19711</v>
      </c>
      <c r="M4743" t="s">
        <v>145</v>
      </c>
      <c r="N4743" t="s">
        <v>6680</v>
      </c>
      <c r="O4743" t="s">
        <v>45</v>
      </c>
      <c r="P4743" t="s">
        <v>46</v>
      </c>
      <c r="Q4743" t="s">
        <v>6681</v>
      </c>
      <c r="R4743">
        <v>17.28</v>
      </c>
      <c r="S4743">
        <v>6</v>
      </c>
      <c r="T4743">
        <v>0</v>
      </c>
      <c r="U4743">
        <v>7.9488000000000003</v>
      </c>
      <c r="V4743" t="str">
        <f t="shared" si="74"/>
        <v>John Castell</v>
      </c>
      <c r="W4743">
        <f>Table2[Profit]/Table2[Sales]</f>
        <v>0.45999999999999996</v>
      </c>
    </row>
    <row r="4744" spans="1:23" x14ac:dyDescent="0.25">
      <c r="A4744">
        <v>4743</v>
      </c>
      <c r="B4744" t="s">
        <v>10396</v>
      </c>
      <c r="C4744" s="1">
        <v>42693</v>
      </c>
      <c r="D4744" s="1">
        <v>42697</v>
      </c>
      <c r="E4744" t="s">
        <v>49</v>
      </c>
      <c r="F4744" t="s">
        <v>261</v>
      </c>
      <c r="G4744" t="s">
        <v>262</v>
      </c>
      <c r="H4744" t="s">
        <v>40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1788</v>
      </c>
      <c r="O4744" t="s">
        <v>31</v>
      </c>
      <c r="P4744" t="s">
        <v>64</v>
      </c>
      <c r="Q4744" t="s">
        <v>1789</v>
      </c>
      <c r="R4744">
        <v>31.96</v>
      </c>
      <c r="S4744">
        <v>2</v>
      </c>
      <c r="T4744">
        <v>0</v>
      </c>
      <c r="U4744">
        <v>1.5980000000000001</v>
      </c>
      <c r="V4744" t="str">
        <f t="shared" si="74"/>
        <v>Janet Molinari</v>
      </c>
      <c r="W4744">
        <f>Table2[Profit]/Table2[Sales]</f>
        <v>0.05</v>
      </c>
    </row>
    <row r="4745" spans="1:23" x14ac:dyDescent="0.25">
      <c r="A4745">
        <v>4744</v>
      </c>
      <c r="B4745" t="s">
        <v>10397</v>
      </c>
      <c r="C4745" s="1">
        <v>43044</v>
      </c>
      <c r="D4745" s="1">
        <v>43049</v>
      </c>
      <c r="E4745" t="s">
        <v>22</v>
      </c>
      <c r="F4745" t="s">
        <v>4225</v>
      </c>
      <c r="G4745" t="s">
        <v>4226</v>
      </c>
      <c r="H4745" t="s">
        <v>25</v>
      </c>
      <c r="I4745" t="s">
        <v>26</v>
      </c>
      <c r="J4745" t="s">
        <v>263</v>
      </c>
      <c r="K4745" t="s">
        <v>264</v>
      </c>
      <c r="L4745">
        <v>10024</v>
      </c>
      <c r="M4745" t="s">
        <v>145</v>
      </c>
      <c r="N4745" t="s">
        <v>611</v>
      </c>
      <c r="O4745" t="s">
        <v>45</v>
      </c>
      <c r="P4745" t="s">
        <v>74</v>
      </c>
      <c r="Q4745" t="s">
        <v>612</v>
      </c>
      <c r="R4745">
        <v>164.68799999999999</v>
      </c>
      <c r="S4745">
        <v>6</v>
      </c>
      <c r="T4745">
        <v>0.2</v>
      </c>
      <c r="U4745">
        <v>55.5822</v>
      </c>
      <c r="V4745" t="str">
        <f t="shared" si="74"/>
        <v>Christina DeMoss</v>
      </c>
      <c r="W4745">
        <f>Table2[Profit]/Table2[Sales]</f>
        <v>0.33750000000000002</v>
      </c>
    </row>
    <row r="4746" spans="1:23" x14ac:dyDescent="0.25">
      <c r="A4746">
        <v>4745</v>
      </c>
      <c r="B4746" t="s">
        <v>10398</v>
      </c>
      <c r="C4746" s="1">
        <v>42155</v>
      </c>
      <c r="D4746" s="1">
        <v>42160</v>
      </c>
      <c r="E4746" t="s">
        <v>22</v>
      </c>
      <c r="F4746" t="s">
        <v>261</v>
      </c>
      <c r="G4746" t="s">
        <v>262</v>
      </c>
      <c r="H4746" t="s">
        <v>40</v>
      </c>
      <c r="I4746" t="s">
        <v>26</v>
      </c>
      <c r="J4746" t="s">
        <v>296</v>
      </c>
      <c r="K4746" t="s">
        <v>208</v>
      </c>
      <c r="L4746">
        <v>60653</v>
      </c>
      <c r="M4746" t="s">
        <v>104</v>
      </c>
      <c r="N4746" t="s">
        <v>4468</v>
      </c>
      <c r="O4746" t="s">
        <v>45</v>
      </c>
      <c r="P4746" t="s">
        <v>46</v>
      </c>
      <c r="Q4746" t="s">
        <v>4469</v>
      </c>
      <c r="R4746">
        <v>5.9039999999999999</v>
      </c>
      <c r="S4746">
        <v>2</v>
      </c>
      <c r="T4746">
        <v>0.2</v>
      </c>
      <c r="U4746">
        <v>1.9925999999999999</v>
      </c>
      <c r="V4746" t="str">
        <f t="shared" si="74"/>
        <v>Janet Molinari</v>
      </c>
      <c r="W4746">
        <f>Table2[Profit]/Table2[Sales]</f>
        <v>0.33749999999999997</v>
      </c>
    </row>
    <row r="4747" spans="1:23" x14ac:dyDescent="0.25">
      <c r="A4747">
        <v>4746</v>
      </c>
      <c r="B4747" t="s">
        <v>10399</v>
      </c>
      <c r="C4747" s="1">
        <v>41889</v>
      </c>
      <c r="D4747" s="1">
        <v>41896</v>
      </c>
      <c r="E4747" t="s">
        <v>49</v>
      </c>
      <c r="F4747" t="s">
        <v>7747</v>
      </c>
      <c r="G4747" t="s">
        <v>7748</v>
      </c>
      <c r="H4747" t="s">
        <v>25</v>
      </c>
      <c r="I4747" t="s">
        <v>26</v>
      </c>
      <c r="J4747" t="s">
        <v>10400</v>
      </c>
      <c r="K4747" t="s">
        <v>208</v>
      </c>
      <c r="L4747">
        <v>60543</v>
      </c>
      <c r="M4747" t="s">
        <v>104</v>
      </c>
      <c r="N4747" t="s">
        <v>5292</v>
      </c>
      <c r="O4747" t="s">
        <v>45</v>
      </c>
      <c r="P4747" t="s">
        <v>266</v>
      </c>
      <c r="Q4747" t="s">
        <v>5293</v>
      </c>
      <c r="R4747">
        <v>13.16</v>
      </c>
      <c r="S4747">
        <v>5</v>
      </c>
      <c r="T4747">
        <v>0.2</v>
      </c>
      <c r="U4747">
        <v>4.1124999999999998</v>
      </c>
      <c r="V4747" t="str">
        <f t="shared" si="74"/>
        <v>Shahid Shariari</v>
      </c>
      <c r="W4747">
        <f>Table2[Profit]/Table2[Sales]</f>
        <v>0.3125</v>
      </c>
    </row>
    <row r="4748" spans="1:23" x14ac:dyDescent="0.25">
      <c r="A4748">
        <v>4747</v>
      </c>
      <c r="B4748" t="s">
        <v>10401</v>
      </c>
      <c r="C4748" s="1">
        <v>43045</v>
      </c>
      <c r="D4748" s="1">
        <v>43051</v>
      </c>
      <c r="E4748" t="s">
        <v>49</v>
      </c>
      <c r="F4748" t="s">
        <v>5946</v>
      </c>
      <c r="G4748" t="s">
        <v>5947</v>
      </c>
      <c r="H4748" t="s">
        <v>25</v>
      </c>
      <c r="I4748" t="s">
        <v>26</v>
      </c>
      <c r="J4748" t="s">
        <v>808</v>
      </c>
      <c r="K4748" t="s">
        <v>103</v>
      </c>
      <c r="L4748">
        <v>75220</v>
      </c>
      <c r="M4748" t="s">
        <v>104</v>
      </c>
      <c r="N4748" t="s">
        <v>342</v>
      </c>
      <c r="O4748" t="s">
        <v>45</v>
      </c>
      <c r="P4748" t="s">
        <v>58</v>
      </c>
      <c r="Q4748" t="s">
        <v>343</v>
      </c>
      <c r="R4748">
        <v>18.16</v>
      </c>
      <c r="S4748">
        <v>2</v>
      </c>
      <c r="T4748">
        <v>0.2</v>
      </c>
      <c r="U4748">
        <v>1.8160000000000001</v>
      </c>
      <c r="V4748" t="str">
        <f t="shared" si="74"/>
        <v>Harry Greene</v>
      </c>
      <c r="W4748">
        <f>Table2[Profit]/Table2[Sales]</f>
        <v>0.1</v>
      </c>
    </row>
    <row r="4749" spans="1:23" x14ac:dyDescent="0.25">
      <c r="A4749">
        <v>4748</v>
      </c>
      <c r="B4749" t="s">
        <v>10402</v>
      </c>
      <c r="C4749" s="1">
        <v>42175</v>
      </c>
      <c r="D4749" s="1">
        <v>42179</v>
      </c>
      <c r="E4749" t="s">
        <v>22</v>
      </c>
      <c r="F4749" t="s">
        <v>5210</v>
      </c>
      <c r="G4749" t="s">
        <v>5211</v>
      </c>
      <c r="H4749" t="s">
        <v>101</v>
      </c>
      <c r="I4749" t="s">
        <v>26</v>
      </c>
      <c r="J4749" t="s">
        <v>143</v>
      </c>
      <c r="K4749" t="s">
        <v>144</v>
      </c>
      <c r="L4749">
        <v>19134</v>
      </c>
      <c r="M4749" t="s">
        <v>145</v>
      </c>
      <c r="N4749" t="s">
        <v>2512</v>
      </c>
      <c r="O4749" t="s">
        <v>70</v>
      </c>
      <c r="P4749" t="s">
        <v>158</v>
      </c>
      <c r="Q4749" t="s">
        <v>2513</v>
      </c>
      <c r="R4749">
        <v>319.98399999999998</v>
      </c>
      <c r="S4749">
        <v>2</v>
      </c>
      <c r="T4749">
        <v>0.2</v>
      </c>
      <c r="U4749">
        <v>91.995400000000004</v>
      </c>
      <c r="V4749" t="str">
        <f t="shared" si="74"/>
        <v>Becky Castell</v>
      </c>
      <c r="W4749">
        <f>Table2[Profit]/Table2[Sales]</f>
        <v>0.28750000000000003</v>
      </c>
    </row>
    <row r="4750" spans="1:23" x14ac:dyDescent="0.25">
      <c r="A4750">
        <v>4749</v>
      </c>
      <c r="B4750" t="s">
        <v>10403</v>
      </c>
      <c r="C4750" s="1">
        <v>41842</v>
      </c>
      <c r="D4750" s="1">
        <v>41848</v>
      </c>
      <c r="E4750" t="s">
        <v>49</v>
      </c>
      <c r="F4750" t="s">
        <v>3605</v>
      </c>
      <c r="G4750" t="s">
        <v>3606</v>
      </c>
      <c r="H4750" t="s">
        <v>101</v>
      </c>
      <c r="I4750" t="s">
        <v>26</v>
      </c>
      <c r="J4750" t="s">
        <v>41</v>
      </c>
      <c r="K4750" t="s">
        <v>42</v>
      </c>
      <c r="L4750">
        <v>90008</v>
      </c>
      <c r="M4750" t="s">
        <v>43</v>
      </c>
      <c r="N4750" t="s">
        <v>1356</v>
      </c>
      <c r="O4750" t="s">
        <v>45</v>
      </c>
      <c r="P4750" t="s">
        <v>67</v>
      </c>
      <c r="Q4750" t="s">
        <v>1357</v>
      </c>
      <c r="R4750">
        <v>19.68</v>
      </c>
      <c r="S4750">
        <v>6</v>
      </c>
      <c r="T4750">
        <v>0</v>
      </c>
      <c r="U4750">
        <v>6.4943999999999997</v>
      </c>
      <c r="V4750" t="str">
        <f t="shared" si="74"/>
        <v>Alejandro Ballentine</v>
      </c>
      <c r="W4750">
        <f>Table2[Profit]/Table2[Sales]</f>
        <v>0.33</v>
      </c>
    </row>
    <row r="4751" spans="1:23" x14ac:dyDescent="0.25">
      <c r="A4751">
        <v>4750</v>
      </c>
      <c r="B4751" t="s">
        <v>10404</v>
      </c>
      <c r="C4751" s="1">
        <v>42706</v>
      </c>
      <c r="D4751" s="1">
        <v>42708</v>
      </c>
      <c r="E4751" t="s">
        <v>22</v>
      </c>
      <c r="F4751" t="s">
        <v>4107</v>
      </c>
      <c r="G4751" t="s">
        <v>4108</v>
      </c>
      <c r="H4751" t="s">
        <v>40</v>
      </c>
      <c r="I4751" t="s">
        <v>26</v>
      </c>
      <c r="J4751" t="s">
        <v>181</v>
      </c>
      <c r="K4751" t="s">
        <v>103</v>
      </c>
      <c r="L4751">
        <v>77036</v>
      </c>
      <c r="M4751" t="s">
        <v>104</v>
      </c>
      <c r="N4751" t="s">
        <v>7476</v>
      </c>
      <c r="O4751" t="s">
        <v>31</v>
      </c>
      <c r="P4751" t="s">
        <v>32</v>
      </c>
      <c r="Q4751" t="s">
        <v>7477</v>
      </c>
      <c r="R4751">
        <v>781.86400000000003</v>
      </c>
      <c r="S4751">
        <v>10</v>
      </c>
      <c r="T4751">
        <v>0.32</v>
      </c>
      <c r="U4751">
        <v>-137.976</v>
      </c>
      <c r="V4751" t="str">
        <f t="shared" si="74"/>
        <v>Muhammed Yedwab</v>
      </c>
      <c r="W4751">
        <f>Table2[Profit]/Table2[Sales]</f>
        <v>-0.1764705882352941</v>
      </c>
    </row>
    <row r="4752" spans="1:23" x14ac:dyDescent="0.25">
      <c r="A4752">
        <v>4751</v>
      </c>
      <c r="B4752" t="s">
        <v>10405</v>
      </c>
      <c r="C4752" s="1">
        <v>43020</v>
      </c>
      <c r="D4752" s="1">
        <v>43020</v>
      </c>
      <c r="E4752" t="s">
        <v>1278</v>
      </c>
      <c r="F4752" t="s">
        <v>1471</v>
      </c>
      <c r="G4752" t="s">
        <v>1472</v>
      </c>
      <c r="H4752" t="s">
        <v>25</v>
      </c>
      <c r="I4752" t="s">
        <v>26</v>
      </c>
      <c r="J4752" t="s">
        <v>5579</v>
      </c>
      <c r="K4752" t="s">
        <v>9486</v>
      </c>
      <c r="L4752">
        <v>26003</v>
      </c>
      <c r="M4752" t="s">
        <v>145</v>
      </c>
      <c r="N4752" t="s">
        <v>3262</v>
      </c>
      <c r="O4752" t="s">
        <v>31</v>
      </c>
      <c r="P4752" t="s">
        <v>55</v>
      </c>
      <c r="Q4752" t="s">
        <v>3263</v>
      </c>
      <c r="R4752">
        <v>673.34400000000005</v>
      </c>
      <c r="S4752">
        <v>3</v>
      </c>
      <c r="T4752">
        <v>0.3</v>
      </c>
      <c r="U4752">
        <v>-76.953599999999994</v>
      </c>
      <c r="V4752" t="str">
        <f t="shared" si="74"/>
        <v>Natalie Fritzler</v>
      </c>
      <c r="W4752">
        <f>Table2[Profit]/Table2[Sales]</f>
        <v>-0.11428571428571427</v>
      </c>
    </row>
    <row r="4753" spans="1:23" x14ac:dyDescent="0.25">
      <c r="A4753">
        <v>4752</v>
      </c>
      <c r="B4753" t="s">
        <v>10406</v>
      </c>
      <c r="C4753" s="1">
        <v>43080</v>
      </c>
      <c r="D4753" s="1">
        <v>43082</v>
      </c>
      <c r="E4753" t="s">
        <v>185</v>
      </c>
      <c r="F4753" t="s">
        <v>1993</v>
      </c>
      <c r="G4753" t="s">
        <v>1994</v>
      </c>
      <c r="H4753" t="s">
        <v>40</v>
      </c>
      <c r="I4753" t="s">
        <v>26</v>
      </c>
      <c r="J4753" t="s">
        <v>4724</v>
      </c>
      <c r="K4753" t="s">
        <v>781</v>
      </c>
      <c r="L4753">
        <v>7501</v>
      </c>
      <c r="M4753" t="s">
        <v>145</v>
      </c>
      <c r="N4753" t="s">
        <v>3235</v>
      </c>
      <c r="O4753" t="s">
        <v>45</v>
      </c>
      <c r="P4753" t="s">
        <v>266</v>
      </c>
      <c r="Q4753" t="s">
        <v>3236</v>
      </c>
      <c r="R4753">
        <v>6.54</v>
      </c>
      <c r="S4753">
        <v>3</v>
      </c>
      <c r="T4753">
        <v>0</v>
      </c>
      <c r="U4753">
        <v>2.1581999999999999</v>
      </c>
      <c r="V4753" t="str">
        <f t="shared" si="74"/>
        <v>Nona Balk</v>
      </c>
      <c r="W4753">
        <f>Table2[Profit]/Table2[Sales]</f>
        <v>0.32999999999999996</v>
      </c>
    </row>
    <row r="4754" spans="1:23" x14ac:dyDescent="0.25">
      <c r="A4754">
        <v>4753</v>
      </c>
      <c r="B4754" t="s">
        <v>10407</v>
      </c>
      <c r="C4754" s="1">
        <v>42278</v>
      </c>
      <c r="D4754" s="1">
        <v>42281</v>
      </c>
      <c r="E4754" t="s">
        <v>185</v>
      </c>
      <c r="F4754" t="s">
        <v>652</v>
      </c>
      <c r="G4754" t="s">
        <v>653</v>
      </c>
      <c r="H4754" t="s">
        <v>25</v>
      </c>
      <c r="I4754" t="s">
        <v>26</v>
      </c>
      <c r="J4754" t="s">
        <v>412</v>
      </c>
      <c r="K4754" t="s">
        <v>413</v>
      </c>
      <c r="L4754">
        <v>97206</v>
      </c>
      <c r="M4754" t="s">
        <v>43</v>
      </c>
      <c r="N4754" t="s">
        <v>4374</v>
      </c>
      <c r="O4754" t="s">
        <v>70</v>
      </c>
      <c r="P4754" t="s">
        <v>71</v>
      </c>
      <c r="Q4754" t="s">
        <v>4375</v>
      </c>
      <c r="R4754">
        <v>572.79999999999995</v>
      </c>
      <c r="S4754">
        <v>2</v>
      </c>
      <c r="T4754">
        <v>0.2</v>
      </c>
      <c r="U4754">
        <v>50.12</v>
      </c>
      <c r="V4754" t="str">
        <f t="shared" si="74"/>
        <v>Eric Murdock</v>
      </c>
      <c r="W4754">
        <f>Table2[Profit]/Table2[Sales]</f>
        <v>8.7500000000000008E-2</v>
      </c>
    </row>
    <row r="4755" spans="1:23" x14ac:dyDescent="0.25">
      <c r="A4755">
        <v>4754</v>
      </c>
      <c r="B4755" t="s">
        <v>10408</v>
      </c>
      <c r="C4755" s="1">
        <v>42587</v>
      </c>
      <c r="D4755" s="1">
        <v>42593</v>
      </c>
      <c r="E4755" t="s">
        <v>49</v>
      </c>
      <c r="F4755" t="s">
        <v>6709</v>
      </c>
      <c r="G4755" t="s">
        <v>6710</v>
      </c>
      <c r="H4755" t="s">
        <v>40</v>
      </c>
      <c r="I4755" t="s">
        <v>26</v>
      </c>
      <c r="J4755" t="s">
        <v>1657</v>
      </c>
      <c r="K4755" t="s">
        <v>351</v>
      </c>
      <c r="L4755">
        <v>35810</v>
      </c>
      <c r="M4755" t="s">
        <v>29</v>
      </c>
      <c r="N4755" t="s">
        <v>5043</v>
      </c>
      <c r="O4755" t="s">
        <v>45</v>
      </c>
      <c r="P4755" t="s">
        <v>67</v>
      </c>
      <c r="Q4755" t="s">
        <v>5044</v>
      </c>
      <c r="R4755">
        <v>197.05</v>
      </c>
      <c r="S4755">
        <v>7</v>
      </c>
      <c r="T4755">
        <v>0</v>
      </c>
      <c r="U4755">
        <v>59.115000000000002</v>
      </c>
      <c r="V4755" t="str">
        <f t="shared" si="74"/>
        <v>Maureen Fritzler</v>
      </c>
      <c r="W4755">
        <f>Table2[Profit]/Table2[Sales]</f>
        <v>0.3</v>
      </c>
    </row>
    <row r="4756" spans="1:23" x14ac:dyDescent="0.25">
      <c r="A4756">
        <v>4755</v>
      </c>
      <c r="B4756" t="s">
        <v>10409</v>
      </c>
      <c r="C4756" s="1">
        <v>42738</v>
      </c>
      <c r="D4756" s="1">
        <v>42742</v>
      </c>
      <c r="E4756" t="s">
        <v>49</v>
      </c>
      <c r="F4756" t="s">
        <v>1710</v>
      </c>
      <c r="G4756" t="s">
        <v>1711</v>
      </c>
      <c r="H4756" t="s">
        <v>25</v>
      </c>
      <c r="I4756" t="s">
        <v>26</v>
      </c>
      <c r="J4756" t="s">
        <v>126</v>
      </c>
      <c r="K4756" t="s">
        <v>42</v>
      </c>
      <c r="L4756">
        <v>94110</v>
      </c>
      <c r="M4756" t="s">
        <v>43</v>
      </c>
      <c r="N4756" t="s">
        <v>1497</v>
      </c>
      <c r="O4756" t="s">
        <v>45</v>
      </c>
      <c r="P4756" t="s">
        <v>74</v>
      </c>
      <c r="Q4756" t="s">
        <v>1498</v>
      </c>
      <c r="R4756">
        <v>2022.2719999999999</v>
      </c>
      <c r="S4756">
        <v>8</v>
      </c>
      <c r="T4756">
        <v>0.2</v>
      </c>
      <c r="U4756">
        <v>682.51679999999999</v>
      </c>
      <c r="V4756" t="str">
        <f t="shared" si="74"/>
        <v>Christopher Martinez</v>
      </c>
      <c r="W4756">
        <f>Table2[Profit]/Table2[Sales]</f>
        <v>0.33750000000000002</v>
      </c>
    </row>
    <row r="4757" spans="1:23" x14ac:dyDescent="0.25">
      <c r="A4757">
        <v>4756</v>
      </c>
      <c r="B4757" t="s">
        <v>10410</v>
      </c>
      <c r="C4757" s="1">
        <v>43046</v>
      </c>
      <c r="D4757" s="1">
        <v>43046</v>
      </c>
      <c r="E4757" t="s">
        <v>1278</v>
      </c>
      <c r="F4757" t="s">
        <v>6170</v>
      </c>
      <c r="G4757" t="s">
        <v>6171</v>
      </c>
      <c r="H4757" t="s">
        <v>25</v>
      </c>
      <c r="I4757" t="s">
        <v>26</v>
      </c>
      <c r="J4757" t="s">
        <v>4745</v>
      </c>
      <c r="K4757" t="s">
        <v>641</v>
      </c>
      <c r="L4757">
        <v>73120</v>
      </c>
      <c r="M4757" t="s">
        <v>104</v>
      </c>
      <c r="N4757" t="s">
        <v>107</v>
      </c>
      <c r="O4757" t="s">
        <v>45</v>
      </c>
      <c r="P4757" t="s">
        <v>74</v>
      </c>
      <c r="Q4757" t="s">
        <v>108</v>
      </c>
      <c r="R4757">
        <v>38.159999999999997</v>
      </c>
      <c r="S4757">
        <v>9</v>
      </c>
      <c r="T4757">
        <v>0</v>
      </c>
      <c r="U4757">
        <v>19.079999999999998</v>
      </c>
      <c r="V4757" t="str">
        <f t="shared" si="74"/>
        <v>Erin Creighton</v>
      </c>
      <c r="W4757">
        <f>Table2[Profit]/Table2[Sales]</f>
        <v>0.5</v>
      </c>
    </row>
    <row r="4758" spans="1:23" x14ac:dyDescent="0.25">
      <c r="A4758">
        <v>4757</v>
      </c>
      <c r="B4758" t="s">
        <v>10411</v>
      </c>
      <c r="C4758" s="1">
        <v>42372</v>
      </c>
      <c r="D4758" s="1">
        <v>42377</v>
      </c>
      <c r="E4758" t="s">
        <v>49</v>
      </c>
      <c r="F4758" t="s">
        <v>5604</v>
      </c>
      <c r="G4758" t="s">
        <v>5605</v>
      </c>
      <c r="H4758" t="s">
        <v>40</v>
      </c>
      <c r="I4758" t="s">
        <v>26</v>
      </c>
      <c r="J4758" t="s">
        <v>7026</v>
      </c>
      <c r="K4758" t="s">
        <v>641</v>
      </c>
      <c r="L4758">
        <v>74012</v>
      </c>
      <c r="M4758" t="s">
        <v>104</v>
      </c>
      <c r="N4758" t="s">
        <v>1342</v>
      </c>
      <c r="O4758" t="s">
        <v>31</v>
      </c>
      <c r="P4758" t="s">
        <v>55</v>
      </c>
      <c r="Q4758" t="s">
        <v>1343</v>
      </c>
      <c r="R4758">
        <v>1592.85</v>
      </c>
      <c r="S4758">
        <v>7</v>
      </c>
      <c r="T4758">
        <v>0</v>
      </c>
      <c r="U4758">
        <v>350.42700000000002</v>
      </c>
      <c r="V4758" t="str">
        <f t="shared" si="74"/>
        <v>Bill Overfelt</v>
      </c>
      <c r="W4758">
        <f>Table2[Profit]/Table2[Sales]</f>
        <v>0.22000000000000003</v>
      </c>
    </row>
    <row r="4759" spans="1:23" x14ac:dyDescent="0.25">
      <c r="A4759">
        <v>4758</v>
      </c>
      <c r="B4759" t="s">
        <v>10412</v>
      </c>
      <c r="C4759" s="1">
        <v>42502</v>
      </c>
      <c r="D4759" s="1">
        <v>42506</v>
      </c>
      <c r="E4759" t="s">
        <v>49</v>
      </c>
      <c r="F4759" t="s">
        <v>6737</v>
      </c>
      <c r="G4759" t="s">
        <v>6738</v>
      </c>
      <c r="H4759" t="s">
        <v>25</v>
      </c>
      <c r="I4759" t="s">
        <v>26</v>
      </c>
      <c r="J4759" t="s">
        <v>2086</v>
      </c>
      <c r="K4759" t="s">
        <v>42</v>
      </c>
      <c r="L4759">
        <v>92691</v>
      </c>
      <c r="M4759" t="s">
        <v>43</v>
      </c>
      <c r="N4759" t="s">
        <v>9365</v>
      </c>
      <c r="O4759" t="s">
        <v>70</v>
      </c>
      <c r="P4759" t="s">
        <v>158</v>
      </c>
      <c r="Q4759" t="s">
        <v>9366</v>
      </c>
      <c r="R4759">
        <v>120</v>
      </c>
      <c r="S4759">
        <v>6</v>
      </c>
      <c r="T4759">
        <v>0</v>
      </c>
      <c r="U4759">
        <v>46.8</v>
      </c>
      <c r="V4759" t="str">
        <f t="shared" si="74"/>
        <v>Vivian Mathis</v>
      </c>
      <c r="W4759">
        <f>Table2[Profit]/Table2[Sales]</f>
        <v>0.38999999999999996</v>
      </c>
    </row>
    <row r="4760" spans="1:23" x14ac:dyDescent="0.25">
      <c r="A4760">
        <v>4759</v>
      </c>
      <c r="B4760" t="s">
        <v>10413</v>
      </c>
      <c r="C4760" s="1">
        <v>43044</v>
      </c>
      <c r="D4760" s="1">
        <v>43046</v>
      </c>
      <c r="E4760" t="s">
        <v>185</v>
      </c>
      <c r="F4760" t="s">
        <v>1237</v>
      </c>
      <c r="G4760" t="s">
        <v>1238</v>
      </c>
      <c r="H4760" t="s">
        <v>101</v>
      </c>
      <c r="I4760" t="s">
        <v>26</v>
      </c>
      <c r="J4760" t="s">
        <v>6915</v>
      </c>
      <c r="K4760" t="s">
        <v>251</v>
      </c>
      <c r="L4760">
        <v>46142</v>
      </c>
      <c r="M4760" t="s">
        <v>104</v>
      </c>
      <c r="N4760" t="s">
        <v>1020</v>
      </c>
      <c r="O4760" t="s">
        <v>45</v>
      </c>
      <c r="P4760" t="s">
        <v>89</v>
      </c>
      <c r="Q4760" t="s">
        <v>1021</v>
      </c>
      <c r="R4760">
        <v>4.41</v>
      </c>
      <c r="S4760">
        <v>1</v>
      </c>
      <c r="T4760">
        <v>0</v>
      </c>
      <c r="U4760">
        <v>2.0286</v>
      </c>
      <c r="V4760" t="str">
        <f t="shared" si="74"/>
        <v>Adam Bellavance</v>
      </c>
      <c r="W4760">
        <f>Table2[Profit]/Table2[Sales]</f>
        <v>0.45999999999999996</v>
      </c>
    </row>
    <row r="4761" spans="1:23" x14ac:dyDescent="0.25">
      <c r="A4761">
        <v>4760</v>
      </c>
      <c r="B4761" t="s">
        <v>10414</v>
      </c>
      <c r="C4761" s="1">
        <v>42516</v>
      </c>
      <c r="D4761" s="1">
        <v>42520</v>
      </c>
      <c r="E4761" t="s">
        <v>49</v>
      </c>
      <c r="F4761" t="s">
        <v>5561</v>
      </c>
      <c r="G4761" t="s">
        <v>5562</v>
      </c>
      <c r="H4761" t="s">
        <v>25</v>
      </c>
      <c r="I4761" t="s">
        <v>26</v>
      </c>
      <c r="J4761" t="s">
        <v>2517</v>
      </c>
      <c r="K4761" t="s">
        <v>113</v>
      </c>
      <c r="L4761">
        <v>53209</v>
      </c>
      <c r="M4761" t="s">
        <v>104</v>
      </c>
      <c r="N4761" t="s">
        <v>4324</v>
      </c>
      <c r="O4761" t="s">
        <v>31</v>
      </c>
      <c r="P4761" t="s">
        <v>64</v>
      </c>
      <c r="Q4761" t="s">
        <v>4325</v>
      </c>
      <c r="R4761">
        <v>26.94</v>
      </c>
      <c r="S4761">
        <v>3</v>
      </c>
      <c r="T4761">
        <v>0</v>
      </c>
      <c r="U4761">
        <v>11.3148</v>
      </c>
      <c r="V4761" t="str">
        <f t="shared" si="74"/>
        <v>Chris McAfee</v>
      </c>
      <c r="W4761">
        <f>Table2[Profit]/Table2[Sales]</f>
        <v>0.42</v>
      </c>
    </row>
    <row r="4762" spans="1:23" x14ac:dyDescent="0.25">
      <c r="A4762">
        <v>4761</v>
      </c>
      <c r="B4762" t="s">
        <v>10415</v>
      </c>
      <c r="C4762" s="1">
        <v>42328</v>
      </c>
      <c r="D4762" s="1">
        <v>42332</v>
      </c>
      <c r="E4762" t="s">
        <v>49</v>
      </c>
      <c r="F4762" t="s">
        <v>5241</v>
      </c>
      <c r="G4762" t="s">
        <v>5242</v>
      </c>
      <c r="H4762" t="s">
        <v>25</v>
      </c>
      <c r="I4762" t="s">
        <v>26</v>
      </c>
      <c r="J4762" t="s">
        <v>126</v>
      </c>
      <c r="K4762" t="s">
        <v>42</v>
      </c>
      <c r="L4762">
        <v>94109</v>
      </c>
      <c r="M4762" t="s">
        <v>43</v>
      </c>
      <c r="N4762" t="s">
        <v>5925</v>
      </c>
      <c r="O4762" t="s">
        <v>31</v>
      </c>
      <c r="P4762" t="s">
        <v>64</v>
      </c>
      <c r="Q4762" t="s">
        <v>5926</v>
      </c>
      <c r="R4762">
        <v>32.04</v>
      </c>
      <c r="S4762">
        <v>3</v>
      </c>
      <c r="T4762">
        <v>0</v>
      </c>
      <c r="U4762">
        <v>8.01</v>
      </c>
      <c r="V4762" t="str">
        <f t="shared" si="74"/>
        <v>Kelly Williams</v>
      </c>
      <c r="W4762">
        <f>Table2[Profit]/Table2[Sales]</f>
        <v>0.25</v>
      </c>
    </row>
    <row r="4763" spans="1:23" x14ac:dyDescent="0.25">
      <c r="A4763">
        <v>4762</v>
      </c>
      <c r="B4763" t="s">
        <v>10416</v>
      </c>
      <c r="C4763" s="1">
        <v>42482</v>
      </c>
      <c r="D4763" s="1">
        <v>42489</v>
      </c>
      <c r="E4763" t="s">
        <v>49</v>
      </c>
      <c r="F4763" t="s">
        <v>3801</v>
      </c>
      <c r="G4763" t="s">
        <v>3802</v>
      </c>
      <c r="H4763" t="s">
        <v>25</v>
      </c>
      <c r="I4763" t="s">
        <v>26</v>
      </c>
      <c r="J4763" t="s">
        <v>7389</v>
      </c>
      <c r="K4763" t="s">
        <v>264</v>
      </c>
      <c r="L4763">
        <v>13440</v>
      </c>
      <c r="M4763" t="s">
        <v>145</v>
      </c>
      <c r="N4763" t="s">
        <v>8046</v>
      </c>
      <c r="O4763" t="s">
        <v>45</v>
      </c>
      <c r="P4763" t="s">
        <v>67</v>
      </c>
      <c r="Q4763" t="s">
        <v>8047</v>
      </c>
      <c r="R4763">
        <v>32.130000000000003</v>
      </c>
      <c r="S4763">
        <v>9</v>
      </c>
      <c r="T4763">
        <v>0</v>
      </c>
      <c r="U4763">
        <v>8.3537999999999997</v>
      </c>
      <c r="V4763" t="str">
        <f t="shared" si="74"/>
        <v>Michael Moore</v>
      </c>
      <c r="W4763">
        <f>Table2[Profit]/Table2[Sales]</f>
        <v>0.25999999999999995</v>
      </c>
    </row>
    <row r="4764" spans="1:23" x14ac:dyDescent="0.25">
      <c r="A4764">
        <v>4763</v>
      </c>
      <c r="B4764" t="s">
        <v>10417</v>
      </c>
      <c r="C4764" s="1">
        <v>42657</v>
      </c>
      <c r="D4764" s="1">
        <v>42661</v>
      </c>
      <c r="E4764" t="s">
        <v>49</v>
      </c>
      <c r="F4764" t="s">
        <v>3804</v>
      </c>
      <c r="G4764" t="s">
        <v>3805</v>
      </c>
      <c r="H4764" t="s">
        <v>40</v>
      </c>
      <c r="I4764" t="s">
        <v>26</v>
      </c>
      <c r="J4764" t="s">
        <v>263</v>
      </c>
      <c r="K4764" t="s">
        <v>264</v>
      </c>
      <c r="L4764">
        <v>10009</v>
      </c>
      <c r="M4764" t="s">
        <v>145</v>
      </c>
      <c r="N4764" t="s">
        <v>8963</v>
      </c>
      <c r="O4764" t="s">
        <v>70</v>
      </c>
      <c r="P4764" t="s">
        <v>71</v>
      </c>
      <c r="Q4764" t="s">
        <v>8964</v>
      </c>
      <c r="R4764">
        <v>1091.93</v>
      </c>
      <c r="S4764">
        <v>7</v>
      </c>
      <c r="T4764">
        <v>0</v>
      </c>
      <c r="U4764">
        <v>272.98250000000002</v>
      </c>
      <c r="V4764" t="str">
        <f t="shared" si="74"/>
        <v>Pauline Webber</v>
      </c>
      <c r="W4764">
        <f>Table2[Profit]/Table2[Sales]</f>
        <v>0.25</v>
      </c>
    </row>
    <row r="4765" spans="1:23" x14ac:dyDescent="0.25">
      <c r="A4765">
        <v>4764</v>
      </c>
      <c r="B4765" t="s">
        <v>10418</v>
      </c>
      <c r="C4765" s="1">
        <v>41734</v>
      </c>
      <c r="D4765" s="1">
        <v>41736</v>
      </c>
      <c r="E4765" t="s">
        <v>22</v>
      </c>
      <c r="F4765" t="s">
        <v>657</v>
      </c>
      <c r="G4765" t="s">
        <v>658</v>
      </c>
      <c r="H4765" t="s">
        <v>25</v>
      </c>
      <c r="I4765" t="s">
        <v>26</v>
      </c>
      <c r="J4765" t="s">
        <v>6513</v>
      </c>
      <c r="K4765" t="s">
        <v>235</v>
      </c>
      <c r="L4765">
        <v>48127</v>
      </c>
      <c r="M4765" t="s">
        <v>104</v>
      </c>
      <c r="N4765" t="s">
        <v>3152</v>
      </c>
      <c r="O4765" t="s">
        <v>45</v>
      </c>
      <c r="P4765" t="s">
        <v>67</v>
      </c>
      <c r="Q4765" t="s">
        <v>3153</v>
      </c>
      <c r="R4765">
        <v>26.7</v>
      </c>
      <c r="S4765">
        <v>2</v>
      </c>
      <c r="T4765">
        <v>0</v>
      </c>
      <c r="U4765">
        <v>7.476</v>
      </c>
      <c r="V4765" t="str">
        <f t="shared" si="74"/>
        <v>Ruben Dartt</v>
      </c>
      <c r="W4765">
        <f>Table2[Profit]/Table2[Sales]</f>
        <v>0.28000000000000003</v>
      </c>
    </row>
    <row r="4766" spans="1:23" x14ac:dyDescent="0.25">
      <c r="A4766">
        <v>4765</v>
      </c>
      <c r="B4766" t="s">
        <v>10419</v>
      </c>
      <c r="C4766" s="1">
        <v>42588</v>
      </c>
      <c r="D4766" s="1">
        <v>42593</v>
      </c>
      <c r="E4766" t="s">
        <v>49</v>
      </c>
      <c r="F4766" t="s">
        <v>1827</v>
      </c>
      <c r="G4766" t="s">
        <v>1828</v>
      </c>
      <c r="H4766" t="s">
        <v>25</v>
      </c>
      <c r="I4766" t="s">
        <v>26</v>
      </c>
      <c r="J4766" t="s">
        <v>263</v>
      </c>
      <c r="K4766" t="s">
        <v>264</v>
      </c>
      <c r="L4766">
        <v>10024</v>
      </c>
      <c r="M4766" t="s">
        <v>145</v>
      </c>
      <c r="N4766" t="s">
        <v>1252</v>
      </c>
      <c r="O4766" t="s">
        <v>45</v>
      </c>
      <c r="P4766" t="s">
        <v>67</v>
      </c>
      <c r="Q4766" t="s">
        <v>1253</v>
      </c>
      <c r="R4766">
        <v>38.340000000000003</v>
      </c>
      <c r="S4766">
        <v>9</v>
      </c>
      <c r="T4766">
        <v>0</v>
      </c>
      <c r="U4766">
        <v>15.7194</v>
      </c>
      <c r="V4766" t="str">
        <f t="shared" si="74"/>
        <v>Liz MacKendrick</v>
      </c>
      <c r="W4766">
        <f>Table2[Profit]/Table2[Sales]</f>
        <v>0.41</v>
      </c>
    </row>
    <row r="4767" spans="1:23" x14ac:dyDescent="0.25">
      <c r="A4767">
        <v>4766</v>
      </c>
      <c r="B4767" t="s">
        <v>10420</v>
      </c>
      <c r="C4767" s="1">
        <v>41987</v>
      </c>
      <c r="D4767" s="1">
        <v>41989</v>
      </c>
      <c r="E4767" t="s">
        <v>185</v>
      </c>
      <c r="F4767" t="s">
        <v>6206</v>
      </c>
      <c r="G4767" t="s">
        <v>6207</v>
      </c>
      <c r="H4767" t="s">
        <v>40</v>
      </c>
      <c r="I4767" t="s">
        <v>26</v>
      </c>
      <c r="J4767" t="s">
        <v>296</v>
      </c>
      <c r="K4767" t="s">
        <v>208</v>
      </c>
      <c r="L4767">
        <v>60623</v>
      </c>
      <c r="M4767" t="s">
        <v>104</v>
      </c>
      <c r="N4767" t="s">
        <v>4241</v>
      </c>
      <c r="O4767" t="s">
        <v>45</v>
      </c>
      <c r="P4767" t="s">
        <v>74</v>
      </c>
      <c r="Q4767" t="s">
        <v>4242</v>
      </c>
      <c r="R4767">
        <v>9.2639999999999993</v>
      </c>
      <c r="S4767">
        <v>3</v>
      </c>
      <c r="T4767">
        <v>0.8</v>
      </c>
      <c r="U4767">
        <v>-13.896000000000001</v>
      </c>
      <c r="V4767" t="str">
        <f t="shared" si="74"/>
        <v>Cari Sayre</v>
      </c>
      <c r="W4767">
        <f>Table2[Profit]/Table2[Sales]</f>
        <v>-1.5000000000000002</v>
      </c>
    </row>
    <row r="4768" spans="1:23" x14ac:dyDescent="0.25">
      <c r="A4768">
        <v>4767</v>
      </c>
      <c r="B4768" t="s">
        <v>10421</v>
      </c>
      <c r="C4768" s="1">
        <v>42885</v>
      </c>
      <c r="D4768" s="1">
        <v>42889</v>
      </c>
      <c r="E4768" t="s">
        <v>22</v>
      </c>
      <c r="F4768" t="s">
        <v>3381</v>
      </c>
      <c r="G4768" t="s">
        <v>3382</v>
      </c>
      <c r="H4768" t="s">
        <v>25</v>
      </c>
      <c r="I4768" t="s">
        <v>26</v>
      </c>
      <c r="J4768" t="s">
        <v>808</v>
      </c>
      <c r="K4768" t="s">
        <v>103</v>
      </c>
      <c r="L4768">
        <v>75217</v>
      </c>
      <c r="M4768" t="s">
        <v>104</v>
      </c>
      <c r="N4768" t="s">
        <v>3041</v>
      </c>
      <c r="O4768" t="s">
        <v>31</v>
      </c>
      <c r="P4768" t="s">
        <v>32</v>
      </c>
      <c r="Q4768" t="s">
        <v>3042</v>
      </c>
      <c r="R4768">
        <v>204.66640000000001</v>
      </c>
      <c r="S4768">
        <v>1</v>
      </c>
      <c r="T4768">
        <v>0.32</v>
      </c>
      <c r="U4768">
        <v>-6.0195999999999996</v>
      </c>
      <c r="V4768" t="str">
        <f t="shared" si="74"/>
        <v>Kean Thornton</v>
      </c>
      <c r="W4768">
        <f>Table2[Profit]/Table2[Sales]</f>
        <v>-2.9411764705882349E-2</v>
      </c>
    </row>
    <row r="4769" spans="1:23" x14ac:dyDescent="0.25">
      <c r="A4769">
        <v>4768</v>
      </c>
      <c r="B4769" t="s">
        <v>10422</v>
      </c>
      <c r="C4769" s="1">
        <v>42657</v>
      </c>
      <c r="D4769" s="1">
        <v>42662</v>
      </c>
      <c r="E4769" t="s">
        <v>49</v>
      </c>
      <c r="F4769" t="s">
        <v>5712</v>
      </c>
      <c r="G4769" t="s">
        <v>5713</v>
      </c>
      <c r="H4769" t="s">
        <v>25</v>
      </c>
      <c r="I4769" t="s">
        <v>26</v>
      </c>
      <c r="J4769" t="s">
        <v>4029</v>
      </c>
      <c r="K4769" t="s">
        <v>113</v>
      </c>
      <c r="L4769">
        <v>54915</v>
      </c>
      <c r="M4769" t="s">
        <v>104</v>
      </c>
      <c r="N4769" t="s">
        <v>2945</v>
      </c>
      <c r="O4769" t="s">
        <v>70</v>
      </c>
      <c r="P4769" t="s">
        <v>158</v>
      </c>
      <c r="Q4769" t="s">
        <v>2946</v>
      </c>
      <c r="R4769">
        <v>1649.75</v>
      </c>
      <c r="S4769">
        <v>5</v>
      </c>
      <c r="T4769">
        <v>0</v>
      </c>
      <c r="U4769">
        <v>544.41750000000002</v>
      </c>
      <c r="V4769" t="str">
        <f t="shared" si="74"/>
        <v>Bobby Elias</v>
      </c>
      <c r="W4769">
        <f>Table2[Profit]/Table2[Sales]</f>
        <v>0.33</v>
      </c>
    </row>
    <row r="4770" spans="1:23" x14ac:dyDescent="0.25">
      <c r="A4770">
        <v>4769</v>
      </c>
      <c r="B4770" t="s">
        <v>10423</v>
      </c>
      <c r="C4770" s="1">
        <v>41712</v>
      </c>
      <c r="D4770" s="1">
        <v>41716</v>
      </c>
      <c r="E4770" t="s">
        <v>49</v>
      </c>
      <c r="F4770" t="s">
        <v>7164</v>
      </c>
      <c r="G4770" t="s">
        <v>7165</v>
      </c>
      <c r="H4770" t="s">
        <v>101</v>
      </c>
      <c r="I4770" t="s">
        <v>26</v>
      </c>
      <c r="J4770" t="s">
        <v>1507</v>
      </c>
      <c r="K4770" t="s">
        <v>53</v>
      </c>
      <c r="L4770">
        <v>32216</v>
      </c>
      <c r="M4770" t="s">
        <v>29</v>
      </c>
      <c r="N4770" t="s">
        <v>2467</v>
      </c>
      <c r="O4770" t="s">
        <v>45</v>
      </c>
      <c r="P4770" t="s">
        <v>89</v>
      </c>
      <c r="Q4770" t="s">
        <v>2468</v>
      </c>
      <c r="R4770">
        <v>91.055999999999997</v>
      </c>
      <c r="S4770">
        <v>6</v>
      </c>
      <c r="T4770">
        <v>0.2</v>
      </c>
      <c r="U4770">
        <v>31.869599999999998</v>
      </c>
      <c r="V4770" t="str">
        <f t="shared" si="74"/>
        <v>Neil Französisch</v>
      </c>
      <c r="W4770">
        <f>Table2[Profit]/Table2[Sales]</f>
        <v>0.35</v>
      </c>
    </row>
    <row r="4771" spans="1:23" x14ac:dyDescent="0.25">
      <c r="A4771">
        <v>4770</v>
      </c>
      <c r="B4771" t="s">
        <v>10424</v>
      </c>
      <c r="C4771" s="1">
        <v>41687</v>
      </c>
      <c r="D4771" s="1">
        <v>41694</v>
      </c>
      <c r="E4771" t="s">
        <v>49</v>
      </c>
      <c r="F4771" t="s">
        <v>945</v>
      </c>
      <c r="G4771" t="s">
        <v>946</v>
      </c>
      <c r="H4771" t="s">
        <v>25</v>
      </c>
      <c r="I4771" t="s">
        <v>26</v>
      </c>
      <c r="J4771" t="s">
        <v>296</v>
      </c>
      <c r="K4771" t="s">
        <v>208</v>
      </c>
      <c r="L4771">
        <v>60653</v>
      </c>
      <c r="M4771" t="s">
        <v>104</v>
      </c>
      <c r="N4771" t="s">
        <v>4546</v>
      </c>
      <c r="O4771" t="s">
        <v>45</v>
      </c>
      <c r="P4771" t="s">
        <v>67</v>
      </c>
      <c r="Q4771" t="s">
        <v>2988</v>
      </c>
      <c r="R4771">
        <v>54.207999999999998</v>
      </c>
      <c r="S4771">
        <v>14</v>
      </c>
      <c r="T4771">
        <v>0.2</v>
      </c>
      <c r="U4771">
        <v>8.8087999999999997</v>
      </c>
      <c r="V4771" t="str">
        <f t="shared" si="74"/>
        <v>Delfina Latchford</v>
      </c>
      <c r="W4771">
        <f>Table2[Profit]/Table2[Sales]</f>
        <v>0.16250000000000001</v>
      </c>
    </row>
    <row r="4772" spans="1:23" x14ac:dyDescent="0.25">
      <c r="A4772">
        <v>4771</v>
      </c>
      <c r="B4772" t="s">
        <v>10425</v>
      </c>
      <c r="C4772" s="1">
        <v>42240</v>
      </c>
      <c r="D4772" s="1">
        <v>42242</v>
      </c>
      <c r="E4772" t="s">
        <v>22</v>
      </c>
      <c r="F4772" t="s">
        <v>3114</v>
      </c>
      <c r="G4772" t="s">
        <v>3115</v>
      </c>
      <c r="H4772" t="s">
        <v>25</v>
      </c>
      <c r="I4772" t="s">
        <v>26</v>
      </c>
      <c r="J4772" t="s">
        <v>4524</v>
      </c>
      <c r="K4772" t="s">
        <v>491</v>
      </c>
      <c r="L4772">
        <v>43402</v>
      </c>
      <c r="M4772" t="s">
        <v>145</v>
      </c>
      <c r="N4772" t="s">
        <v>4932</v>
      </c>
      <c r="O4772" t="s">
        <v>70</v>
      </c>
      <c r="P4772" t="s">
        <v>71</v>
      </c>
      <c r="Q4772" t="s">
        <v>4933</v>
      </c>
      <c r="R4772">
        <v>26.981999999999999</v>
      </c>
      <c r="S4772">
        <v>3</v>
      </c>
      <c r="T4772">
        <v>0.4</v>
      </c>
      <c r="U4772">
        <v>4.0472999999999999</v>
      </c>
      <c r="V4772" t="str">
        <f t="shared" si="74"/>
        <v>Maurice Satty</v>
      </c>
      <c r="W4772">
        <f>Table2[Profit]/Table2[Sales]</f>
        <v>0.15</v>
      </c>
    </row>
    <row r="4773" spans="1:23" x14ac:dyDescent="0.25">
      <c r="A4773">
        <v>4772</v>
      </c>
      <c r="B4773" t="s">
        <v>10426</v>
      </c>
      <c r="C4773" s="1">
        <v>42863</v>
      </c>
      <c r="D4773" s="1">
        <v>42867</v>
      </c>
      <c r="E4773" t="s">
        <v>22</v>
      </c>
      <c r="F4773" t="s">
        <v>4238</v>
      </c>
      <c r="G4773" t="s">
        <v>4239</v>
      </c>
      <c r="H4773" t="s">
        <v>25</v>
      </c>
      <c r="I4773" t="s">
        <v>26</v>
      </c>
      <c r="J4773" t="s">
        <v>126</v>
      </c>
      <c r="K4773" t="s">
        <v>42</v>
      </c>
      <c r="L4773">
        <v>94110</v>
      </c>
      <c r="M4773" t="s">
        <v>43</v>
      </c>
      <c r="N4773" t="s">
        <v>5026</v>
      </c>
      <c r="O4773" t="s">
        <v>45</v>
      </c>
      <c r="P4773" t="s">
        <v>77</v>
      </c>
      <c r="Q4773" t="s">
        <v>5027</v>
      </c>
      <c r="R4773">
        <v>81.08</v>
      </c>
      <c r="S4773">
        <v>4</v>
      </c>
      <c r="T4773">
        <v>0</v>
      </c>
      <c r="U4773">
        <v>22.702400000000001</v>
      </c>
      <c r="V4773" t="str">
        <f t="shared" si="74"/>
        <v>Michelle Moray</v>
      </c>
      <c r="W4773">
        <f>Table2[Profit]/Table2[Sales]</f>
        <v>0.28000000000000003</v>
      </c>
    </row>
    <row r="4774" spans="1:23" x14ac:dyDescent="0.25">
      <c r="A4774">
        <v>4773</v>
      </c>
      <c r="B4774" t="s">
        <v>10427</v>
      </c>
      <c r="C4774" s="1">
        <v>42404</v>
      </c>
      <c r="D4774" s="1">
        <v>42409</v>
      </c>
      <c r="E4774" t="s">
        <v>49</v>
      </c>
      <c r="F4774" t="s">
        <v>697</v>
      </c>
      <c r="G4774" t="s">
        <v>698</v>
      </c>
      <c r="H4774" t="s">
        <v>40</v>
      </c>
      <c r="I4774" t="s">
        <v>26</v>
      </c>
      <c r="J4774" t="s">
        <v>41</v>
      </c>
      <c r="K4774" t="s">
        <v>42</v>
      </c>
      <c r="L4774">
        <v>90049</v>
      </c>
      <c r="M4774" t="s">
        <v>43</v>
      </c>
      <c r="N4774" t="s">
        <v>1000</v>
      </c>
      <c r="O4774" t="s">
        <v>45</v>
      </c>
      <c r="P4774" t="s">
        <v>58</v>
      </c>
      <c r="Q4774" t="s">
        <v>1001</v>
      </c>
      <c r="R4774">
        <v>93.02</v>
      </c>
      <c r="S4774">
        <v>2</v>
      </c>
      <c r="T4774">
        <v>0</v>
      </c>
      <c r="U4774">
        <v>3.7208000000000001</v>
      </c>
      <c r="V4774" t="str">
        <f t="shared" si="74"/>
        <v>Jennifer Braxton</v>
      </c>
      <c r="W4774">
        <f>Table2[Profit]/Table2[Sales]</f>
        <v>0.04</v>
      </c>
    </row>
    <row r="4775" spans="1:23" x14ac:dyDescent="0.25">
      <c r="A4775">
        <v>4774</v>
      </c>
      <c r="B4775" t="s">
        <v>10428</v>
      </c>
      <c r="C4775" s="1">
        <v>41992</v>
      </c>
      <c r="D4775" s="1">
        <v>41998</v>
      </c>
      <c r="E4775" t="s">
        <v>49</v>
      </c>
      <c r="F4775" t="s">
        <v>5319</v>
      </c>
      <c r="G4775" t="s">
        <v>5320</v>
      </c>
      <c r="H4775" t="s">
        <v>25</v>
      </c>
      <c r="I4775" t="s">
        <v>26</v>
      </c>
      <c r="J4775" t="s">
        <v>296</v>
      </c>
      <c r="K4775" t="s">
        <v>208</v>
      </c>
      <c r="L4775">
        <v>60623</v>
      </c>
      <c r="M4775" t="s">
        <v>104</v>
      </c>
      <c r="N4775" t="s">
        <v>10429</v>
      </c>
      <c r="O4775" t="s">
        <v>70</v>
      </c>
      <c r="P4775" t="s">
        <v>71</v>
      </c>
      <c r="Q4775" t="s">
        <v>10430</v>
      </c>
      <c r="R4775">
        <v>323.976</v>
      </c>
      <c r="S4775">
        <v>3</v>
      </c>
      <c r="T4775">
        <v>0.2</v>
      </c>
      <c r="U4775">
        <v>36.447299999999998</v>
      </c>
      <c r="V4775" t="str">
        <f t="shared" si="74"/>
        <v>Speros Goranitis</v>
      </c>
      <c r="W4775">
        <f>Table2[Profit]/Table2[Sales]</f>
        <v>0.11249999999999999</v>
      </c>
    </row>
    <row r="4776" spans="1:23" x14ac:dyDescent="0.25">
      <c r="A4776">
        <v>4775</v>
      </c>
      <c r="B4776" t="s">
        <v>10431</v>
      </c>
      <c r="C4776" s="1">
        <v>43074</v>
      </c>
      <c r="D4776" s="1">
        <v>43075</v>
      </c>
      <c r="E4776" t="s">
        <v>185</v>
      </c>
      <c r="F4776" t="s">
        <v>5014</v>
      </c>
      <c r="G4776" t="s">
        <v>5015</v>
      </c>
      <c r="H4776" t="s">
        <v>101</v>
      </c>
      <c r="I4776" t="s">
        <v>26</v>
      </c>
      <c r="J4776" t="s">
        <v>94</v>
      </c>
      <c r="K4776" t="s">
        <v>95</v>
      </c>
      <c r="L4776">
        <v>98115</v>
      </c>
      <c r="M4776" t="s">
        <v>43</v>
      </c>
      <c r="N4776" t="s">
        <v>1187</v>
      </c>
      <c r="O4776" t="s">
        <v>45</v>
      </c>
      <c r="P4776" t="s">
        <v>74</v>
      </c>
      <c r="Q4776" t="s">
        <v>1188</v>
      </c>
      <c r="R4776">
        <v>83.92</v>
      </c>
      <c r="S4776">
        <v>5</v>
      </c>
      <c r="T4776">
        <v>0.2</v>
      </c>
      <c r="U4776">
        <v>29.372</v>
      </c>
      <c r="V4776" t="str">
        <f t="shared" si="74"/>
        <v>Patrick Bzostek</v>
      </c>
      <c r="W4776">
        <f>Table2[Profit]/Table2[Sales]</f>
        <v>0.35</v>
      </c>
    </row>
    <row r="4777" spans="1:23" x14ac:dyDescent="0.25">
      <c r="A4777">
        <v>4776</v>
      </c>
      <c r="B4777" t="s">
        <v>10432</v>
      </c>
      <c r="C4777" s="1">
        <v>42818</v>
      </c>
      <c r="D4777" s="1">
        <v>42819</v>
      </c>
      <c r="E4777" t="s">
        <v>1278</v>
      </c>
      <c r="F4777" t="s">
        <v>4708</v>
      </c>
      <c r="G4777" t="s">
        <v>4709</v>
      </c>
      <c r="H4777" t="s">
        <v>40</v>
      </c>
      <c r="I4777" t="s">
        <v>26</v>
      </c>
      <c r="J4777" t="s">
        <v>8915</v>
      </c>
      <c r="K4777" t="s">
        <v>103</v>
      </c>
      <c r="L4777">
        <v>77705</v>
      </c>
      <c r="M4777" t="s">
        <v>104</v>
      </c>
      <c r="N4777" t="s">
        <v>3291</v>
      </c>
      <c r="O4777" t="s">
        <v>45</v>
      </c>
      <c r="P4777" t="s">
        <v>58</v>
      </c>
      <c r="Q4777" t="s">
        <v>3292</v>
      </c>
      <c r="R4777">
        <v>12.768000000000001</v>
      </c>
      <c r="S4777">
        <v>2</v>
      </c>
      <c r="T4777">
        <v>0.2</v>
      </c>
      <c r="U4777">
        <v>0.95760000000000001</v>
      </c>
      <c r="V4777" t="str">
        <f t="shared" si="74"/>
        <v>Ann Chong</v>
      </c>
      <c r="W4777">
        <f>Table2[Profit]/Table2[Sales]</f>
        <v>7.4999999999999997E-2</v>
      </c>
    </row>
    <row r="4778" spans="1:23" x14ac:dyDescent="0.25">
      <c r="A4778">
        <v>4777</v>
      </c>
      <c r="B4778" t="s">
        <v>10433</v>
      </c>
      <c r="C4778" s="1">
        <v>42924</v>
      </c>
      <c r="D4778" s="1">
        <v>42928</v>
      </c>
      <c r="E4778" t="s">
        <v>49</v>
      </c>
      <c r="F4778" t="s">
        <v>2291</v>
      </c>
      <c r="G4778" t="s">
        <v>2292</v>
      </c>
      <c r="H4778" t="s">
        <v>101</v>
      </c>
      <c r="I4778" t="s">
        <v>26</v>
      </c>
      <c r="J4778" t="s">
        <v>94</v>
      </c>
      <c r="K4778" t="s">
        <v>95</v>
      </c>
      <c r="L4778">
        <v>98103</v>
      </c>
      <c r="M4778" t="s">
        <v>43</v>
      </c>
      <c r="N4778" t="s">
        <v>3138</v>
      </c>
      <c r="O4778" t="s">
        <v>45</v>
      </c>
      <c r="P4778" t="s">
        <v>89</v>
      </c>
      <c r="Q4778" t="s">
        <v>183</v>
      </c>
      <c r="R4778">
        <v>52.76</v>
      </c>
      <c r="S4778">
        <v>2</v>
      </c>
      <c r="T4778">
        <v>0</v>
      </c>
      <c r="U4778">
        <v>24.269600000000001</v>
      </c>
      <c r="V4778" t="str">
        <f t="shared" si="74"/>
        <v>Mathew Reese</v>
      </c>
      <c r="W4778">
        <f>Table2[Profit]/Table2[Sales]</f>
        <v>0.46</v>
      </c>
    </row>
    <row r="4779" spans="1:23" x14ac:dyDescent="0.25">
      <c r="A4779">
        <v>4778</v>
      </c>
      <c r="B4779" t="s">
        <v>10434</v>
      </c>
      <c r="C4779" s="1">
        <v>43034</v>
      </c>
      <c r="D4779" s="1">
        <v>43039</v>
      </c>
      <c r="E4779" t="s">
        <v>49</v>
      </c>
      <c r="F4779" t="s">
        <v>6135</v>
      </c>
      <c r="G4779" t="s">
        <v>6136</v>
      </c>
      <c r="H4779" t="s">
        <v>101</v>
      </c>
      <c r="I4779" t="s">
        <v>26</v>
      </c>
      <c r="J4779" t="s">
        <v>808</v>
      </c>
      <c r="K4779" t="s">
        <v>103</v>
      </c>
      <c r="L4779">
        <v>75217</v>
      </c>
      <c r="M4779" t="s">
        <v>104</v>
      </c>
      <c r="N4779" t="s">
        <v>4539</v>
      </c>
      <c r="O4779" t="s">
        <v>45</v>
      </c>
      <c r="P4779" t="s">
        <v>58</v>
      </c>
      <c r="Q4779" t="s">
        <v>4540</v>
      </c>
      <c r="R4779">
        <v>55.616</v>
      </c>
      <c r="S4779">
        <v>2</v>
      </c>
      <c r="T4779">
        <v>0.2</v>
      </c>
      <c r="U4779">
        <v>5.5616000000000003</v>
      </c>
      <c r="V4779" t="str">
        <f t="shared" si="74"/>
        <v>Benjamin Farhat</v>
      </c>
      <c r="W4779">
        <f>Table2[Profit]/Table2[Sales]</f>
        <v>0.1</v>
      </c>
    </row>
    <row r="4780" spans="1:23" x14ac:dyDescent="0.25">
      <c r="A4780">
        <v>4779</v>
      </c>
      <c r="B4780" t="s">
        <v>10435</v>
      </c>
      <c r="C4780" s="1">
        <v>42670</v>
      </c>
      <c r="D4780" s="1">
        <v>42674</v>
      </c>
      <c r="E4780" t="s">
        <v>49</v>
      </c>
      <c r="F4780" t="s">
        <v>4905</v>
      </c>
      <c r="G4780" t="s">
        <v>4906</v>
      </c>
      <c r="H4780" t="s">
        <v>25</v>
      </c>
      <c r="I4780" t="s">
        <v>26</v>
      </c>
      <c r="J4780" t="s">
        <v>263</v>
      </c>
      <c r="K4780" t="s">
        <v>264</v>
      </c>
      <c r="L4780">
        <v>10011</v>
      </c>
      <c r="M4780" t="s">
        <v>145</v>
      </c>
      <c r="N4780" t="s">
        <v>5060</v>
      </c>
      <c r="O4780" t="s">
        <v>31</v>
      </c>
      <c r="P4780" t="s">
        <v>35</v>
      </c>
      <c r="Q4780" t="s">
        <v>5061</v>
      </c>
      <c r="R4780">
        <v>427.64400000000001</v>
      </c>
      <c r="S4780">
        <v>14</v>
      </c>
      <c r="T4780">
        <v>0.1</v>
      </c>
      <c r="U4780">
        <v>80.777199999999993</v>
      </c>
      <c r="V4780" t="str">
        <f t="shared" si="74"/>
        <v>Ben Wallace</v>
      </c>
      <c r="W4780">
        <f>Table2[Profit]/Table2[Sales]</f>
        <v>0.18888888888888888</v>
      </c>
    </row>
    <row r="4781" spans="1:23" x14ac:dyDescent="0.25">
      <c r="A4781">
        <v>4780</v>
      </c>
      <c r="B4781" t="s">
        <v>10436</v>
      </c>
      <c r="C4781" s="1">
        <v>42898</v>
      </c>
      <c r="D4781" s="1">
        <v>42900</v>
      </c>
      <c r="E4781" t="s">
        <v>22</v>
      </c>
      <c r="F4781" t="s">
        <v>535</v>
      </c>
      <c r="G4781" t="s">
        <v>536</v>
      </c>
      <c r="H4781" t="s">
        <v>25</v>
      </c>
      <c r="I4781" t="s">
        <v>26</v>
      </c>
      <c r="J4781" t="s">
        <v>296</v>
      </c>
      <c r="K4781" t="s">
        <v>208</v>
      </c>
      <c r="L4781">
        <v>60610</v>
      </c>
      <c r="M4781" t="s">
        <v>104</v>
      </c>
      <c r="N4781" t="s">
        <v>4958</v>
      </c>
      <c r="O4781" t="s">
        <v>31</v>
      </c>
      <c r="P4781" t="s">
        <v>64</v>
      </c>
      <c r="Q4781" t="s">
        <v>4959</v>
      </c>
      <c r="R4781">
        <v>8.8559999999999999</v>
      </c>
      <c r="S4781">
        <v>3</v>
      </c>
      <c r="T4781">
        <v>0.6</v>
      </c>
      <c r="U4781">
        <v>-6.8634000000000004</v>
      </c>
      <c r="V4781" t="str">
        <f t="shared" si="74"/>
        <v>Troy Staebel</v>
      </c>
      <c r="W4781">
        <f>Table2[Profit]/Table2[Sales]</f>
        <v>-0.77500000000000002</v>
      </c>
    </row>
    <row r="4782" spans="1:23" x14ac:dyDescent="0.25">
      <c r="A4782">
        <v>4781</v>
      </c>
      <c r="B4782" t="s">
        <v>10437</v>
      </c>
      <c r="C4782" s="1">
        <v>42638</v>
      </c>
      <c r="D4782" s="1">
        <v>42640</v>
      </c>
      <c r="E4782" t="s">
        <v>185</v>
      </c>
      <c r="F4782" t="s">
        <v>3632</v>
      </c>
      <c r="G4782" t="s">
        <v>3633</v>
      </c>
      <c r="H4782" t="s">
        <v>40</v>
      </c>
      <c r="I4782" t="s">
        <v>26</v>
      </c>
      <c r="J4782" t="s">
        <v>126</v>
      </c>
      <c r="K4782" t="s">
        <v>42</v>
      </c>
      <c r="L4782">
        <v>94110</v>
      </c>
      <c r="M4782" t="s">
        <v>43</v>
      </c>
      <c r="N4782" t="s">
        <v>757</v>
      </c>
      <c r="O4782" t="s">
        <v>31</v>
      </c>
      <c r="P4782" t="s">
        <v>32</v>
      </c>
      <c r="Q4782" t="s">
        <v>758</v>
      </c>
      <c r="R4782">
        <v>477.666</v>
      </c>
      <c r="S4782">
        <v>2</v>
      </c>
      <c r="T4782">
        <v>0.15</v>
      </c>
      <c r="U4782">
        <v>84.293999999999997</v>
      </c>
      <c r="V4782" t="str">
        <f t="shared" si="74"/>
        <v>Aaron Smayling</v>
      </c>
      <c r="W4782">
        <f>Table2[Profit]/Table2[Sales]</f>
        <v>0.1764705882352941</v>
      </c>
    </row>
    <row r="4783" spans="1:23" x14ac:dyDescent="0.25">
      <c r="A4783">
        <v>4782</v>
      </c>
      <c r="B4783" t="s">
        <v>10438</v>
      </c>
      <c r="C4783" s="1">
        <v>42985</v>
      </c>
      <c r="D4783" s="1">
        <v>42987</v>
      </c>
      <c r="E4783" t="s">
        <v>185</v>
      </c>
      <c r="F4783" t="s">
        <v>1797</v>
      </c>
      <c r="G4783" t="s">
        <v>1798</v>
      </c>
      <c r="H4783" t="s">
        <v>25</v>
      </c>
      <c r="I4783" t="s">
        <v>26</v>
      </c>
      <c r="J4783" t="s">
        <v>3508</v>
      </c>
      <c r="K4783" t="s">
        <v>1388</v>
      </c>
      <c r="L4783">
        <v>2908</v>
      </c>
      <c r="M4783" t="s">
        <v>145</v>
      </c>
      <c r="N4783" t="s">
        <v>3584</v>
      </c>
      <c r="O4783" t="s">
        <v>45</v>
      </c>
      <c r="P4783" t="s">
        <v>89</v>
      </c>
      <c r="Q4783" t="s">
        <v>3585</v>
      </c>
      <c r="R4783">
        <v>16.899999999999999</v>
      </c>
      <c r="S4783">
        <v>5</v>
      </c>
      <c r="T4783">
        <v>0</v>
      </c>
      <c r="U4783">
        <v>7.774</v>
      </c>
      <c r="V4783" t="str">
        <f t="shared" si="74"/>
        <v>Allen Armold</v>
      </c>
      <c r="W4783">
        <f>Table2[Profit]/Table2[Sales]</f>
        <v>0.46</v>
      </c>
    </row>
    <row r="4784" spans="1:23" x14ac:dyDescent="0.25">
      <c r="A4784">
        <v>4783</v>
      </c>
      <c r="B4784" t="s">
        <v>10439</v>
      </c>
      <c r="C4784" s="1">
        <v>42135</v>
      </c>
      <c r="D4784" s="1">
        <v>42140</v>
      </c>
      <c r="E4784" t="s">
        <v>22</v>
      </c>
      <c r="F4784" t="s">
        <v>294</v>
      </c>
      <c r="G4784" t="s">
        <v>295</v>
      </c>
      <c r="H4784" t="s">
        <v>101</v>
      </c>
      <c r="I4784" t="s">
        <v>26</v>
      </c>
      <c r="J4784" t="s">
        <v>537</v>
      </c>
      <c r="K4784" t="s">
        <v>303</v>
      </c>
      <c r="L4784">
        <v>85023</v>
      </c>
      <c r="M4784" t="s">
        <v>43</v>
      </c>
      <c r="N4784" t="s">
        <v>3346</v>
      </c>
      <c r="O4784" t="s">
        <v>31</v>
      </c>
      <c r="P4784" t="s">
        <v>35</v>
      </c>
      <c r="Q4784" t="s">
        <v>3347</v>
      </c>
      <c r="R4784">
        <v>191.96799999999999</v>
      </c>
      <c r="S4784">
        <v>7</v>
      </c>
      <c r="T4784">
        <v>0.2</v>
      </c>
      <c r="U4784">
        <v>16.7972</v>
      </c>
      <c r="V4784" t="str">
        <f t="shared" si="74"/>
        <v>Paul Stevenson</v>
      </c>
      <c r="W4784">
        <f>Table2[Profit]/Table2[Sales]</f>
        <v>8.7500000000000008E-2</v>
      </c>
    </row>
    <row r="4785" spans="1:23" x14ac:dyDescent="0.25">
      <c r="A4785">
        <v>4784</v>
      </c>
      <c r="B4785" t="s">
        <v>10440</v>
      </c>
      <c r="C4785" s="1">
        <v>42222</v>
      </c>
      <c r="D4785" s="1">
        <v>42226</v>
      </c>
      <c r="E4785" t="s">
        <v>49</v>
      </c>
      <c r="F4785" t="s">
        <v>2815</v>
      </c>
      <c r="G4785" t="s">
        <v>2816</v>
      </c>
      <c r="H4785" t="s">
        <v>40</v>
      </c>
      <c r="I4785" t="s">
        <v>26</v>
      </c>
      <c r="J4785" t="s">
        <v>181</v>
      </c>
      <c r="K4785" t="s">
        <v>103</v>
      </c>
      <c r="L4785">
        <v>77095</v>
      </c>
      <c r="M4785" t="s">
        <v>104</v>
      </c>
      <c r="N4785" t="s">
        <v>843</v>
      </c>
      <c r="O4785" t="s">
        <v>45</v>
      </c>
      <c r="P4785" t="s">
        <v>46</v>
      </c>
      <c r="Q4785" t="s">
        <v>844</v>
      </c>
      <c r="R4785">
        <v>35.520000000000003</v>
      </c>
      <c r="S4785">
        <v>3</v>
      </c>
      <c r="T4785">
        <v>0.2</v>
      </c>
      <c r="U4785">
        <v>13.32</v>
      </c>
      <c r="V4785" t="str">
        <f t="shared" si="74"/>
        <v>Rachel Payne</v>
      </c>
      <c r="W4785">
        <f>Table2[Profit]/Table2[Sales]</f>
        <v>0.375</v>
      </c>
    </row>
    <row r="4786" spans="1:23" x14ac:dyDescent="0.25">
      <c r="A4786">
        <v>4785</v>
      </c>
      <c r="B4786" t="s">
        <v>10441</v>
      </c>
      <c r="C4786" s="1">
        <v>41941</v>
      </c>
      <c r="D4786" s="1">
        <v>41945</v>
      </c>
      <c r="E4786" t="s">
        <v>49</v>
      </c>
      <c r="F4786" t="s">
        <v>4556</v>
      </c>
      <c r="G4786" t="s">
        <v>4557</v>
      </c>
      <c r="H4786" t="s">
        <v>40</v>
      </c>
      <c r="I4786" t="s">
        <v>26</v>
      </c>
      <c r="J4786" t="s">
        <v>490</v>
      </c>
      <c r="K4786" t="s">
        <v>251</v>
      </c>
      <c r="L4786">
        <v>47201</v>
      </c>
      <c r="M4786" t="s">
        <v>104</v>
      </c>
      <c r="N4786" t="s">
        <v>5829</v>
      </c>
      <c r="O4786" t="s">
        <v>70</v>
      </c>
      <c r="P4786" t="s">
        <v>158</v>
      </c>
      <c r="Q4786" t="s">
        <v>5830</v>
      </c>
      <c r="R4786">
        <v>1.98</v>
      </c>
      <c r="S4786">
        <v>2</v>
      </c>
      <c r="T4786">
        <v>0</v>
      </c>
      <c r="U4786">
        <v>0.89100000000000001</v>
      </c>
      <c r="V4786" t="str">
        <f t="shared" si="74"/>
        <v>Noah Childs</v>
      </c>
      <c r="W4786">
        <f>Table2[Profit]/Table2[Sales]</f>
        <v>0.45</v>
      </c>
    </row>
    <row r="4787" spans="1:23" x14ac:dyDescent="0.25">
      <c r="A4787">
        <v>4786</v>
      </c>
      <c r="B4787" t="s">
        <v>10442</v>
      </c>
      <c r="C4787" s="1">
        <v>42539</v>
      </c>
      <c r="D4787" s="1">
        <v>42541</v>
      </c>
      <c r="E4787" t="s">
        <v>22</v>
      </c>
      <c r="F4787" t="s">
        <v>348</v>
      </c>
      <c r="G4787" t="s">
        <v>349</v>
      </c>
      <c r="H4787" t="s">
        <v>40</v>
      </c>
      <c r="I4787" t="s">
        <v>26</v>
      </c>
      <c r="J4787" t="s">
        <v>143</v>
      </c>
      <c r="K4787" t="s">
        <v>144</v>
      </c>
      <c r="L4787">
        <v>19134</v>
      </c>
      <c r="M4787" t="s">
        <v>145</v>
      </c>
      <c r="N4787" t="s">
        <v>6435</v>
      </c>
      <c r="O4787" t="s">
        <v>45</v>
      </c>
      <c r="P4787" t="s">
        <v>89</v>
      </c>
      <c r="Q4787" t="s">
        <v>6436</v>
      </c>
      <c r="R4787">
        <v>6.8479999999999999</v>
      </c>
      <c r="S4787">
        <v>2</v>
      </c>
      <c r="T4787">
        <v>0.2</v>
      </c>
      <c r="U4787">
        <v>2.14</v>
      </c>
      <c r="V4787" t="str">
        <f t="shared" si="74"/>
        <v>Stewart Carmichael</v>
      </c>
      <c r="W4787">
        <f>Table2[Profit]/Table2[Sales]</f>
        <v>0.3125</v>
      </c>
    </row>
    <row r="4788" spans="1:23" x14ac:dyDescent="0.25">
      <c r="A4788">
        <v>4787</v>
      </c>
      <c r="B4788" t="s">
        <v>10443</v>
      </c>
      <c r="C4788" s="1">
        <v>42127</v>
      </c>
      <c r="D4788" s="1">
        <v>42130</v>
      </c>
      <c r="E4788" t="s">
        <v>185</v>
      </c>
      <c r="F4788" t="s">
        <v>3064</v>
      </c>
      <c r="G4788" t="s">
        <v>3065</v>
      </c>
      <c r="H4788" t="s">
        <v>101</v>
      </c>
      <c r="I4788" t="s">
        <v>26</v>
      </c>
      <c r="J4788" t="s">
        <v>622</v>
      </c>
      <c r="K4788" t="s">
        <v>42</v>
      </c>
      <c r="L4788">
        <v>95123</v>
      </c>
      <c r="M4788" t="s">
        <v>43</v>
      </c>
      <c r="N4788" t="s">
        <v>318</v>
      </c>
      <c r="O4788" t="s">
        <v>45</v>
      </c>
      <c r="P4788" t="s">
        <v>74</v>
      </c>
      <c r="Q4788" t="s">
        <v>319</v>
      </c>
      <c r="R4788">
        <v>13.848000000000001</v>
      </c>
      <c r="S4788">
        <v>3</v>
      </c>
      <c r="T4788">
        <v>0.2</v>
      </c>
      <c r="U4788">
        <v>5.1929999999999996</v>
      </c>
      <c r="V4788" t="str">
        <f t="shared" si="74"/>
        <v>Nicole Fjeld</v>
      </c>
      <c r="W4788">
        <f>Table2[Profit]/Table2[Sales]</f>
        <v>0.37499999999999994</v>
      </c>
    </row>
    <row r="4789" spans="1:23" x14ac:dyDescent="0.25">
      <c r="A4789">
        <v>4788</v>
      </c>
      <c r="B4789" t="s">
        <v>10444</v>
      </c>
      <c r="C4789" s="1">
        <v>42318</v>
      </c>
      <c r="D4789" s="1">
        <v>42322</v>
      </c>
      <c r="E4789" t="s">
        <v>49</v>
      </c>
      <c r="F4789" t="s">
        <v>6541</v>
      </c>
      <c r="G4789" t="s">
        <v>6542</v>
      </c>
      <c r="H4789" t="s">
        <v>25</v>
      </c>
      <c r="I4789" t="s">
        <v>26</v>
      </c>
      <c r="J4789" t="s">
        <v>143</v>
      </c>
      <c r="K4789" t="s">
        <v>144</v>
      </c>
      <c r="L4789">
        <v>19140</v>
      </c>
      <c r="M4789" t="s">
        <v>145</v>
      </c>
      <c r="N4789" t="s">
        <v>2983</v>
      </c>
      <c r="O4789" t="s">
        <v>45</v>
      </c>
      <c r="P4789" t="s">
        <v>58</v>
      </c>
      <c r="Q4789" t="s">
        <v>2984</v>
      </c>
      <c r="R4789">
        <v>577.58399999999995</v>
      </c>
      <c r="S4789">
        <v>6</v>
      </c>
      <c r="T4789">
        <v>0.2</v>
      </c>
      <c r="U4789">
        <v>43.318800000000003</v>
      </c>
      <c r="V4789" t="str">
        <f t="shared" si="74"/>
        <v>Sam Craven</v>
      </c>
      <c r="W4789">
        <f>Table2[Profit]/Table2[Sales]</f>
        <v>7.5000000000000011E-2</v>
      </c>
    </row>
    <row r="4790" spans="1:23" x14ac:dyDescent="0.25">
      <c r="A4790">
        <v>4789</v>
      </c>
      <c r="B4790" t="s">
        <v>10445</v>
      </c>
      <c r="C4790" s="1">
        <v>42154</v>
      </c>
      <c r="D4790" s="1">
        <v>42158</v>
      </c>
      <c r="E4790" t="s">
        <v>49</v>
      </c>
      <c r="F4790" t="s">
        <v>9824</v>
      </c>
      <c r="G4790" t="s">
        <v>9825</v>
      </c>
      <c r="H4790" t="s">
        <v>101</v>
      </c>
      <c r="I4790" t="s">
        <v>26</v>
      </c>
      <c r="J4790" t="s">
        <v>311</v>
      </c>
      <c r="K4790" t="s">
        <v>312</v>
      </c>
      <c r="L4790">
        <v>22153</v>
      </c>
      <c r="M4790" t="s">
        <v>29</v>
      </c>
      <c r="N4790" t="s">
        <v>5221</v>
      </c>
      <c r="O4790" t="s">
        <v>70</v>
      </c>
      <c r="P4790" t="s">
        <v>158</v>
      </c>
      <c r="Q4790" t="s">
        <v>5222</v>
      </c>
      <c r="R4790">
        <v>151.96</v>
      </c>
      <c r="S4790">
        <v>4</v>
      </c>
      <c r="T4790">
        <v>0</v>
      </c>
      <c r="U4790">
        <v>36.470399999999998</v>
      </c>
      <c r="V4790" t="str">
        <f t="shared" si="74"/>
        <v>Brendan Dodson</v>
      </c>
      <c r="W4790">
        <f>Table2[Profit]/Table2[Sales]</f>
        <v>0.23999999999999996</v>
      </c>
    </row>
    <row r="4791" spans="1:23" x14ac:dyDescent="0.25">
      <c r="A4791">
        <v>4790</v>
      </c>
      <c r="B4791" t="s">
        <v>10446</v>
      </c>
      <c r="C4791" s="1">
        <v>42635</v>
      </c>
      <c r="D4791" s="1">
        <v>42640</v>
      </c>
      <c r="E4791" t="s">
        <v>49</v>
      </c>
      <c r="F4791" t="s">
        <v>3449</v>
      </c>
      <c r="G4791" t="s">
        <v>3450</v>
      </c>
      <c r="H4791" t="s">
        <v>40</v>
      </c>
      <c r="I4791" t="s">
        <v>26</v>
      </c>
      <c r="J4791" t="s">
        <v>4700</v>
      </c>
      <c r="K4791" t="s">
        <v>450</v>
      </c>
      <c r="L4791">
        <v>80020</v>
      </c>
      <c r="M4791" t="s">
        <v>43</v>
      </c>
      <c r="N4791" t="s">
        <v>1524</v>
      </c>
      <c r="O4791" t="s">
        <v>31</v>
      </c>
      <c r="P4791" t="s">
        <v>64</v>
      </c>
      <c r="Q4791" t="s">
        <v>1525</v>
      </c>
      <c r="R4791">
        <v>68.432000000000002</v>
      </c>
      <c r="S4791">
        <v>7</v>
      </c>
      <c r="T4791">
        <v>0.2</v>
      </c>
      <c r="U4791">
        <v>8.5540000000000003</v>
      </c>
      <c r="V4791" t="str">
        <f t="shared" si="74"/>
        <v>Suzanne McNair</v>
      </c>
      <c r="W4791">
        <f>Table2[Profit]/Table2[Sales]</f>
        <v>0.125</v>
      </c>
    </row>
    <row r="4792" spans="1:23" x14ac:dyDescent="0.25">
      <c r="A4792">
        <v>4791</v>
      </c>
      <c r="B4792" t="s">
        <v>10447</v>
      </c>
      <c r="C4792" s="1">
        <v>42336</v>
      </c>
      <c r="D4792" s="1">
        <v>42340</v>
      </c>
      <c r="E4792" t="s">
        <v>49</v>
      </c>
      <c r="F4792" t="s">
        <v>6186</v>
      </c>
      <c r="G4792" t="s">
        <v>6187</v>
      </c>
      <c r="H4792" t="s">
        <v>25</v>
      </c>
      <c r="I4792" t="s">
        <v>26</v>
      </c>
      <c r="J4792" t="s">
        <v>490</v>
      </c>
      <c r="K4792" t="s">
        <v>491</v>
      </c>
      <c r="L4792">
        <v>43229</v>
      </c>
      <c r="M4792" t="s">
        <v>145</v>
      </c>
      <c r="N4792" t="s">
        <v>405</v>
      </c>
      <c r="O4792" t="s">
        <v>31</v>
      </c>
      <c r="P4792" t="s">
        <v>64</v>
      </c>
      <c r="Q4792" t="s">
        <v>406</v>
      </c>
      <c r="R4792">
        <v>71.12</v>
      </c>
      <c r="S4792">
        <v>5</v>
      </c>
      <c r="T4792">
        <v>0.2</v>
      </c>
      <c r="U4792">
        <v>9.7789999999999999</v>
      </c>
      <c r="V4792" t="str">
        <f t="shared" si="74"/>
        <v>Eugene Barchas</v>
      </c>
      <c r="W4792">
        <f>Table2[Profit]/Table2[Sales]</f>
        <v>0.13749999999999998</v>
      </c>
    </row>
    <row r="4793" spans="1:23" x14ac:dyDescent="0.25">
      <c r="A4793">
        <v>4792</v>
      </c>
      <c r="B4793" t="s">
        <v>10448</v>
      </c>
      <c r="C4793" s="1">
        <v>42341</v>
      </c>
      <c r="D4793" s="1">
        <v>42343</v>
      </c>
      <c r="E4793" t="s">
        <v>22</v>
      </c>
      <c r="F4793" t="s">
        <v>99</v>
      </c>
      <c r="G4793" t="s">
        <v>100</v>
      </c>
      <c r="H4793" t="s">
        <v>101</v>
      </c>
      <c r="I4793" t="s">
        <v>26</v>
      </c>
      <c r="J4793" t="s">
        <v>86</v>
      </c>
      <c r="K4793" t="s">
        <v>2658</v>
      </c>
      <c r="L4793">
        <v>3301</v>
      </c>
      <c r="M4793" t="s">
        <v>145</v>
      </c>
      <c r="N4793" t="s">
        <v>3004</v>
      </c>
      <c r="O4793" t="s">
        <v>45</v>
      </c>
      <c r="P4793" t="s">
        <v>89</v>
      </c>
      <c r="Q4793" t="s">
        <v>3005</v>
      </c>
      <c r="R4793">
        <v>184.66</v>
      </c>
      <c r="S4793">
        <v>7</v>
      </c>
      <c r="T4793">
        <v>0</v>
      </c>
      <c r="U4793">
        <v>84.943600000000004</v>
      </c>
      <c r="V4793" t="str">
        <f t="shared" si="74"/>
        <v>Harold Pawlan</v>
      </c>
      <c r="W4793">
        <f>Table2[Profit]/Table2[Sales]</f>
        <v>0.46</v>
      </c>
    </row>
    <row r="4794" spans="1:23" x14ac:dyDescent="0.25">
      <c r="A4794">
        <v>4793</v>
      </c>
      <c r="B4794" t="s">
        <v>10449</v>
      </c>
      <c r="C4794" s="1">
        <v>41929</v>
      </c>
      <c r="D4794" s="1">
        <v>41931</v>
      </c>
      <c r="E4794" t="s">
        <v>22</v>
      </c>
      <c r="F4794" t="s">
        <v>3582</v>
      </c>
      <c r="G4794" t="s">
        <v>3583</v>
      </c>
      <c r="H4794" t="s">
        <v>25</v>
      </c>
      <c r="I4794" t="s">
        <v>26</v>
      </c>
      <c r="J4794" t="s">
        <v>181</v>
      </c>
      <c r="K4794" t="s">
        <v>103</v>
      </c>
      <c r="L4794">
        <v>77095</v>
      </c>
      <c r="M4794" t="s">
        <v>104</v>
      </c>
      <c r="N4794" t="s">
        <v>6196</v>
      </c>
      <c r="O4794" t="s">
        <v>31</v>
      </c>
      <c r="P4794" t="s">
        <v>64</v>
      </c>
      <c r="Q4794" t="s">
        <v>6197</v>
      </c>
      <c r="R4794">
        <v>5.3120000000000003</v>
      </c>
      <c r="S4794">
        <v>2</v>
      </c>
      <c r="T4794">
        <v>0.6</v>
      </c>
      <c r="U4794">
        <v>-1.5935999999999999</v>
      </c>
      <c r="V4794" t="str">
        <f t="shared" si="74"/>
        <v>Evan Bailliet</v>
      </c>
      <c r="W4794">
        <f>Table2[Profit]/Table2[Sales]</f>
        <v>-0.3</v>
      </c>
    </row>
    <row r="4795" spans="1:23" x14ac:dyDescent="0.25">
      <c r="A4795">
        <v>4794</v>
      </c>
      <c r="B4795" t="s">
        <v>10450</v>
      </c>
      <c r="C4795" s="1">
        <v>42493</v>
      </c>
      <c r="D4795" s="1">
        <v>42495</v>
      </c>
      <c r="E4795" t="s">
        <v>185</v>
      </c>
      <c r="F4795" t="s">
        <v>10451</v>
      </c>
      <c r="G4795" t="s">
        <v>10452</v>
      </c>
      <c r="H4795" t="s">
        <v>25</v>
      </c>
      <c r="I4795" t="s">
        <v>26</v>
      </c>
      <c r="J4795" t="s">
        <v>600</v>
      </c>
      <c r="K4795" t="s">
        <v>491</v>
      </c>
      <c r="L4795">
        <v>43055</v>
      </c>
      <c r="M4795" t="s">
        <v>145</v>
      </c>
      <c r="N4795" t="s">
        <v>900</v>
      </c>
      <c r="O4795" t="s">
        <v>70</v>
      </c>
      <c r="P4795" t="s">
        <v>158</v>
      </c>
      <c r="Q4795" t="s">
        <v>1760</v>
      </c>
      <c r="R4795">
        <v>132.52000000000001</v>
      </c>
      <c r="S4795">
        <v>5</v>
      </c>
      <c r="T4795">
        <v>0.2</v>
      </c>
      <c r="U4795">
        <v>34.786499999999997</v>
      </c>
      <c r="V4795" t="str">
        <f t="shared" si="74"/>
        <v>Susan MacKendrick</v>
      </c>
      <c r="W4795">
        <f>Table2[Profit]/Table2[Sales]</f>
        <v>0.26249999999999996</v>
      </c>
    </row>
    <row r="4796" spans="1:23" x14ac:dyDescent="0.25">
      <c r="A4796">
        <v>4795</v>
      </c>
      <c r="B4796" t="s">
        <v>10453</v>
      </c>
      <c r="C4796" s="1">
        <v>42156</v>
      </c>
      <c r="D4796" s="1">
        <v>42163</v>
      </c>
      <c r="E4796" t="s">
        <v>49</v>
      </c>
      <c r="F4796" t="s">
        <v>2806</v>
      </c>
      <c r="G4796" t="s">
        <v>2807</v>
      </c>
      <c r="H4796" t="s">
        <v>101</v>
      </c>
      <c r="I4796" t="s">
        <v>26</v>
      </c>
      <c r="J4796" t="s">
        <v>41</v>
      </c>
      <c r="K4796" t="s">
        <v>42</v>
      </c>
      <c r="L4796">
        <v>90045</v>
      </c>
      <c r="M4796" t="s">
        <v>43</v>
      </c>
      <c r="N4796" t="s">
        <v>3920</v>
      </c>
      <c r="O4796" t="s">
        <v>45</v>
      </c>
      <c r="P4796" t="s">
        <v>89</v>
      </c>
      <c r="Q4796" t="s">
        <v>3921</v>
      </c>
      <c r="R4796">
        <v>11.76</v>
      </c>
      <c r="S4796">
        <v>2</v>
      </c>
      <c r="T4796">
        <v>0</v>
      </c>
      <c r="U4796">
        <v>5.7624000000000004</v>
      </c>
      <c r="V4796" t="str">
        <f t="shared" si="74"/>
        <v>Catherine Glotzbach</v>
      </c>
      <c r="W4796">
        <f>Table2[Profit]/Table2[Sales]</f>
        <v>0.49000000000000005</v>
      </c>
    </row>
    <row r="4797" spans="1:23" x14ac:dyDescent="0.25">
      <c r="A4797">
        <v>4796</v>
      </c>
      <c r="B4797" t="s">
        <v>10454</v>
      </c>
      <c r="C4797" s="1">
        <v>41729</v>
      </c>
      <c r="D4797" s="1">
        <v>41729</v>
      </c>
      <c r="E4797" t="s">
        <v>1278</v>
      </c>
      <c r="F4797" t="s">
        <v>1919</v>
      </c>
      <c r="G4797" t="s">
        <v>1920</v>
      </c>
      <c r="H4797" t="s">
        <v>25</v>
      </c>
      <c r="I4797" t="s">
        <v>26</v>
      </c>
      <c r="J4797" t="s">
        <v>893</v>
      </c>
      <c r="K4797" t="s">
        <v>53</v>
      </c>
      <c r="L4797">
        <v>33614</v>
      </c>
      <c r="M4797" t="s">
        <v>29</v>
      </c>
      <c r="N4797" t="s">
        <v>936</v>
      </c>
      <c r="O4797" t="s">
        <v>31</v>
      </c>
      <c r="P4797" t="s">
        <v>35</v>
      </c>
      <c r="Q4797" t="s">
        <v>937</v>
      </c>
      <c r="R4797">
        <v>1125.4880000000001</v>
      </c>
      <c r="S4797">
        <v>7</v>
      </c>
      <c r="T4797">
        <v>0.2</v>
      </c>
      <c r="U4797">
        <v>98.480199999999996</v>
      </c>
      <c r="V4797" t="str">
        <f t="shared" si="74"/>
        <v>Trudy Glocke</v>
      </c>
      <c r="W4797">
        <f>Table2[Profit]/Table2[Sales]</f>
        <v>8.7499999999999994E-2</v>
      </c>
    </row>
    <row r="4798" spans="1:23" x14ac:dyDescent="0.25">
      <c r="A4798">
        <v>4797</v>
      </c>
      <c r="B4798" t="s">
        <v>10455</v>
      </c>
      <c r="C4798" s="1">
        <v>42921</v>
      </c>
      <c r="D4798" s="1">
        <v>42923</v>
      </c>
      <c r="E4798" t="s">
        <v>185</v>
      </c>
      <c r="F4798" t="s">
        <v>3778</v>
      </c>
      <c r="G4798" t="s">
        <v>3779</v>
      </c>
      <c r="H4798" t="s">
        <v>40</v>
      </c>
      <c r="I4798" t="s">
        <v>26</v>
      </c>
      <c r="J4798" t="s">
        <v>134</v>
      </c>
      <c r="K4798" t="s">
        <v>135</v>
      </c>
      <c r="L4798">
        <v>68025</v>
      </c>
      <c r="M4798" t="s">
        <v>104</v>
      </c>
      <c r="N4798" t="s">
        <v>551</v>
      </c>
      <c r="O4798" t="s">
        <v>70</v>
      </c>
      <c r="P4798" t="s">
        <v>71</v>
      </c>
      <c r="Q4798" t="s">
        <v>552</v>
      </c>
      <c r="R4798">
        <v>79.959999999999994</v>
      </c>
      <c r="S4798">
        <v>4</v>
      </c>
      <c r="T4798">
        <v>0</v>
      </c>
      <c r="U4798">
        <v>22.3888</v>
      </c>
      <c r="V4798" t="str">
        <f t="shared" si="74"/>
        <v>Damala Kotsonis</v>
      </c>
      <c r="W4798">
        <f>Table2[Profit]/Table2[Sales]</f>
        <v>0.28000000000000003</v>
      </c>
    </row>
    <row r="4799" spans="1:23" x14ac:dyDescent="0.25">
      <c r="A4799">
        <v>4798</v>
      </c>
      <c r="B4799" t="s">
        <v>10456</v>
      </c>
      <c r="C4799" s="1">
        <v>42271</v>
      </c>
      <c r="D4799" s="1">
        <v>42271</v>
      </c>
      <c r="E4799" t="s">
        <v>1278</v>
      </c>
      <c r="F4799" t="s">
        <v>792</v>
      </c>
      <c r="G4799" t="s">
        <v>793</v>
      </c>
      <c r="H4799" t="s">
        <v>25</v>
      </c>
      <c r="I4799" t="s">
        <v>26</v>
      </c>
      <c r="J4799" t="s">
        <v>490</v>
      </c>
      <c r="K4799" t="s">
        <v>491</v>
      </c>
      <c r="L4799">
        <v>43229</v>
      </c>
      <c r="M4799" t="s">
        <v>145</v>
      </c>
      <c r="N4799" t="s">
        <v>5624</v>
      </c>
      <c r="O4799" t="s">
        <v>45</v>
      </c>
      <c r="P4799" t="s">
        <v>74</v>
      </c>
      <c r="Q4799" t="s">
        <v>5625</v>
      </c>
      <c r="R4799">
        <v>6.7320000000000002</v>
      </c>
      <c r="S4799">
        <v>6</v>
      </c>
      <c r="T4799">
        <v>0.7</v>
      </c>
      <c r="U4799">
        <v>-4.4880000000000004</v>
      </c>
      <c r="V4799" t="str">
        <f t="shared" si="74"/>
        <v>Maria Bertelson</v>
      </c>
      <c r="W4799">
        <f>Table2[Profit]/Table2[Sales]</f>
        <v>-0.66666666666666674</v>
      </c>
    </row>
    <row r="4800" spans="1:23" x14ac:dyDescent="0.25">
      <c r="A4800">
        <v>4799</v>
      </c>
      <c r="B4800" t="s">
        <v>10457</v>
      </c>
      <c r="C4800" s="1">
        <v>42229</v>
      </c>
      <c r="D4800" s="1">
        <v>42229</v>
      </c>
      <c r="E4800" t="s">
        <v>1278</v>
      </c>
      <c r="F4800" t="s">
        <v>141</v>
      </c>
      <c r="G4800" t="s">
        <v>142</v>
      </c>
      <c r="H4800" t="s">
        <v>25</v>
      </c>
      <c r="I4800" t="s">
        <v>26</v>
      </c>
      <c r="J4800" t="s">
        <v>3955</v>
      </c>
      <c r="K4800" t="s">
        <v>42</v>
      </c>
      <c r="L4800">
        <v>91767</v>
      </c>
      <c r="M4800" t="s">
        <v>43</v>
      </c>
      <c r="N4800" t="s">
        <v>4596</v>
      </c>
      <c r="O4800" t="s">
        <v>31</v>
      </c>
      <c r="P4800" t="s">
        <v>64</v>
      </c>
      <c r="Q4800" t="s">
        <v>4597</v>
      </c>
      <c r="R4800">
        <v>31.56</v>
      </c>
      <c r="S4800">
        <v>3</v>
      </c>
      <c r="T4800">
        <v>0</v>
      </c>
      <c r="U4800">
        <v>10.4148</v>
      </c>
      <c r="V4800" t="str">
        <f t="shared" si="74"/>
        <v>Sandra Flanagan</v>
      </c>
      <c r="W4800">
        <f>Table2[Profit]/Table2[Sales]</f>
        <v>0.33</v>
      </c>
    </row>
    <row r="4801" spans="1:23" x14ac:dyDescent="0.25">
      <c r="A4801">
        <v>4800</v>
      </c>
      <c r="B4801" t="s">
        <v>10458</v>
      </c>
      <c r="C4801" s="1">
        <v>42150</v>
      </c>
      <c r="D4801" s="1">
        <v>42152</v>
      </c>
      <c r="E4801" t="s">
        <v>22</v>
      </c>
      <c r="F4801" t="s">
        <v>4275</v>
      </c>
      <c r="G4801" t="s">
        <v>4276</v>
      </c>
      <c r="H4801" t="s">
        <v>25</v>
      </c>
      <c r="I4801" t="s">
        <v>26</v>
      </c>
      <c r="J4801" t="s">
        <v>671</v>
      </c>
      <c r="K4801" t="s">
        <v>103</v>
      </c>
      <c r="L4801">
        <v>78207</v>
      </c>
      <c r="M4801" t="s">
        <v>104</v>
      </c>
      <c r="N4801" t="s">
        <v>377</v>
      </c>
      <c r="O4801" t="s">
        <v>31</v>
      </c>
      <c r="P4801" t="s">
        <v>35</v>
      </c>
      <c r="Q4801" t="s">
        <v>378</v>
      </c>
      <c r="R4801">
        <v>105.68600000000001</v>
      </c>
      <c r="S4801">
        <v>1</v>
      </c>
      <c r="T4801">
        <v>0.3</v>
      </c>
      <c r="U4801">
        <v>-28.686199999999999</v>
      </c>
      <c r="V4801" t="str">
        <f t="shared" si="74"/>
        <v>Pamela Stobb</v>
      </c>
      <c r="W4801">
        <f>Table2[Profit]/Table2[Sales]</f>
        <v>-0.27142857142857141</v>
      </c>
    </row>
    <row r="4802" spans="1:23" x14ac:dyDescent="0.25">
      <c r="A4802">
        <v>4801</v>
      </c>
      <c r="B4802" t="s">
        <v>10459</v>
      </c>
      <c r="C4802" s="1">
        <v>42992</v>
      </c>
      <c r="D4802" s="1">
        <v>42994</v>
      </c>
      <c r="E4802" t="s">
        <v>185</v>
      </c>
      <c r="F4802" t="s">
        <v>410</v>
      </c>
      <c r="G4802" t="s">
        <v>411</v>
      </c>
      <c r="H4802" t="s">
        <v>101</v>
      </c>
      <c r="I4802" t="s">
        <v>26</v>
      </c>
      <c r="J4802" t="s">
        <v>263</v>
      </c>
      <c r="K4802" t="s">
        <v>264</v>
      </c>
      <c r="L4802">
        <v>10035</v>
      </c>
      <c r="M4802" t="s">
        <v>145</v>
      </c>
      <c r="N4802" t="s">
        <v>3446</v>
      </c>
      <c r="O4802" t="s">
        <v>70</v>
      </c>
      <c r="P4802" t="s">
        <v>71</v>
      </c>
      <c r="Q4802" t="s">
        <v>3447</v>
      </c>
      <c r="R4802">
        <v>1079.8499999999999</v>
      </c>
      <c r="S4802">
        <v>3</v>
      </c>
      <c r="T4802">
        <v>0</v>
      </c>
      <c r="U4802">
        <v>323.95499999999998</v>
      </c>
      <c r="V4802" t="str">
        <f t="shared" si="74"/>
        <v>Roger Barcio</v>
      </c>
      <c r="W4802">
        <f>Table2[Profit]/Table2[Sales]</f>
        <v>0.3</v>
      </c>
    </row>
    <row r="4803" spans="1:23" x14ac:dyDescent="0.25">
      <c r="A4803">
        <v>4802</v>
      </c>
      <c r="B4803" t="s">
        <v>10460</v>
      </c>
      <c r="C4803" s="1">
        <v>42528</v>
      </c>
      <c r="D4803" s="1">
        <v>42532</v>
      </c>
      <c r="E4803" t="s">
        <v>49</v>
      </c>
      <c r="F4803" t="s">
        <v>10237</v>
      </c>
      <c r="G4803" t="s">
        <v>10238</v>
      </c>
      <c r="H4803" t="s">
        <v>101</v>
      </c>
      <c r="I4803" t="s">
        <v>26</v>
      </c>
      <c r="J4803" t="s">
        <v>143</v>
      </c>
      <c r="K4803" t="s">
        <v>144</v>
      </c>
      <c r="L4803">
        <v>19120</v>
      </c>
      <c r="M4803" t="s">
        <v>145</v>
      </c>
      <c r="N4803" t="s">
        <v>567</v>
      </c>
      <c r="O4803" t="s">
        <v>45</v>
      </c>
      <c r="P4803" t="s">
        <v>266</v>
      </c>
      <c r="Q4803" t="s">
        <v>568</v>
      </c>
      <c r="R4803">
        <v>9.6479999999999997</v>
      </c>
      <c r="S4803">
        <v>6</v>
      </c>
      <c r="T4803">
        <v>0.2</v>
      </c>
      <c r="U4803">
        <v>3.4973999999999998</v>
      </c>
      <c r="V4803" t="str">
        <f t="shared" ref="V4803:V4866" si="75">TRIM(G4803)</f>
        <v>Roy Skaria</v>
      </c>
      <c r="W4803">
        <f>Table2[Profit]/Table2[Sales]</f>
        <v>0.36249999999999999</v>
      </c>
    </row>
    <row r="4804" spans="1:23" x14ac:dyDescent="0.25">
      <c r="A4804">
        <v>4803</v>
      </c>
      <c r="B4804" t="s">
        <v>10461</v>
      </c>
      <c r="C4804" s="1">
        <v>42911</v>
      </c>
      <c r="D4804" s="1">
        <v>42913</v>
      </c>
      <c r="E4804" t="s">
        <v>22</v>
      </c>
      <c r="F4804" t="s">
        <v>8147</v>
      </c>
      <c r="G4804" t="s">
        <v>8148</v>
      </c>
      <c r="H4804" t="s">
        <v>25</v>
      </c>
      <c r="I4804" t="s">
        <v>26</v>
      </c>
      <c r="J4804" t="s">
        <v>263</v>
      </c>
      <c r="K4804" t="s">
        <v>264</v>
      </c>
      <c r="L4804">
        <v>10024</v>
      </c>
      <c r="M4804" t="s">
        <v>145</v>
      </c>
      <c r="N4804" t="s">
        <v>4916</v>
      </c>
      <c r="O4804" t="s">
        <v>31</v>
      </c>
      <c r="P4804" t="s">
        <v>32</v>
      </c>
      <c r="Q4804" t="s">
        <v>4917</v>
      </c>
      <c r="R4804">
        <v>400.78399999999999</v>
      </c>
      <c r="S4804">
        <v>1</v>
      </c>
      <c r="T4804">
        <v>0.2</v>
      </c>
      <c r="U4804">
        <v>-5.0098000000000003</v>
      </c>
      <c r="V4804" t="str">
        <f t="shared" si="75"/>
        <v>Sarah Brown</v>
      </c>
      <c r="W4804">
        <f>Table2[Profit]/Table2[Sales]</f>
        <v>-1.2500000000000001E-2</v>
      </c>
    </row>
    <row r="4805" spans="1:23" x14ac:dyDescent="0.25">
      <c r="A4805">
        <v>4804</v>
      </c>
      <c r="B4805" t="s">
        <v>10462</v>
      </c>
      <c r="C4805" s="1">
        <v>42973</v>
      </c>
      <c r="D4805" s="1">
        <v>42974</v>
      </c>
      <c r="E4805" t="s">
        <v>185</v>
      </c>
      <c r="F4805" t="s">
        <v>6502</v>
      </c>
      <c r="G4805" t="s">
        <v>6503</v>
      </c>
      <c r="H4805" t="s">
        <v>101</v>
      </c>
      <c r="I4805" t="s">
        <v>26</v>
      </c>
      <c r="J4805" t="s">
        <v>873</v>
      </c>
      <c r="K4805" t="s">
        <v>235</v>
      </c>
      <c r="L4805">
        <v>48234</v>
      </c>
      <c r="M4805" t="s">
        <v>104</v>
      </c>
      <c r="N4805" t="s">
        <v>3990</v>
      </c>
      <c r="O4805" t="s">
        <v>45</v>
      </c>
      <c r="P4805" t="s">
        <v>58</v>
      </c>
      <c r="Q4805" t="s">
        <v>3991</v>
      </c>
      <c r="R4805">
        <v>53.72</v>
      </c>
      <c r="S4805">
        <v>4</v>
      </c>
      <c r="T4805">
        <v>0</v>
      </c>
      <c r="U4805">
        <v>13.9672</v>
      </c>
      <c r="V4805" t="str">
        <f t="shared" si="75"/>
        <v>Heather Jas</v>
      </c>
      <c r="W4805">
        <f>Table2[Profit]/Table2[Sales]</f>
        <v>0.26</v>
      </c>
    </row>
    <row r="4806" spans="1:23" x14ac:dyDescent="0.25">
      <c r="A4806">
        <v>4805</v>
      </c>
      <c r="B4806" t="s">
        <v>10463</v>
      </c>
      <c r="C4806" s="1">
        <v>42608</v>
      </c>
      <c r="D4806" s="1">
        <v>42610</v>
      </c>
      <c r="E4806" t="s">
        <v>185</v>
      </c>
      <c r="F4806" t="s">
        <v>3764</v>
      </c>
      <c r="G4806" t="s">
        <v>3765</v>
      </c>
      <c r="H4806" t="s">
        <v>40</v>
      </c>
      <c r="I4806" t="s">
        <v>26</v>
      </c>
      <c r="J4806" t="s">
        <v>1406</v>
      </c>
      <c r="K4806" t="s">
        <v>53</v>
      </c>
      <c r="L4806">
        <v>33142</v>
      </c>
      <c r="M4806" t="s">
        <v>29</v>
      </c>
      <c r="N4806" t="s">
        <v>5720</v>
      </c>
      <c r="O4806" t="s">
        <v>45</v>
      </c>
      <c r="P4806" t="s">
        <v>89</v>
      </c>
      <c r="Q4806" t="s">
        <v>5721</v>
      </c>
      <c r="R4806">
        <v>31.007999999999999</v>
      </c>
      <c r="S4806">
        <v>1</v>
      </c>
      <c r="T4806">
        <v>0.2</v>
      </c>
      <c r="U4806">
        <v>11.240399999999999</v>
      </c>
      <c r="V4806" t="str">
        <f t="shared" si="75"/>
        <v>Stuart Van</v>
      </c>
      <c r="W4806">
        <f>Table2[Profit]/Table2[Sales]</f>
        <v>0.36249999999999999</v>
      </c>
    </row>
    <row r="4807" spans="1:23" x14ac:dyDescent="0.25">
      <c r="A4807">
        <v>4806</v>
      </c>
      <c r="B4807" t="s">
        <v>10464</v>
      </c>
      <c r="C4807" s="1">
        <v>42692</v>
      </c>
      <c r="D4807" s="1">
        <v>42692</v>
      </c>
      <c r="E4807" t="s">
        <v>1278</v>
      </c>
      <c r="F4807" t="s">
        <v>5712</v>
      </c>
      <c r="G4807" t="s">
        <v>5713</v>
      </c>
      <c r="H4807" t="s">
        <v>25</v>
      </c>
      <c r="I4807" t="s">
        <v>26</v>
      </c>
      <c r="J4807" t="s">
        <v>86</v>
      </c>
      <c r="K4807" t="s">
        <v>42</v>
      </c>
      <c r="L4807">
        <v>94521</v>
      </c>
      <c r="M4807" t="s">
        <v>43</v>
      </c>
      <c r="N4807" t="s">
        <v>5316</v>
      </c>
      <c r="O4807" t="s">
        <v>45</v>
      </c>
      <c r="P4807" t="s">
        <v>74</v>
      </c>
      <c r="Q4807" t="s">
        <v>5317</v>
      </c>
      <c r="R4807">
        <v>61.12</v>
      </c>
      <c r="S4807">
        <v>5</v>
      </c>
      <c r="T4807">
        <v>0.2</v>
      </c>
      <c r="U4807">
        <v>22.155999999999999</v>
      </c>
      <c r="V4807" t="str">
        <f t="shared" si="75"/>
        <v>Bobby Elias</v>
      </c>
      <c r="W4807">
        <f>Table2[Profit]/Table2[Sales]</f>
        <v>0.36249999999999999</v>
      </c>
    </row>
    <row r="4808" spans="1:23" x14ac:dyDescent="0.25">
      <c r="A4808">
        <v>4807</v>
      </c>
      <c r="B4808" t="s">
        <v>10465</v>
      </c>
      <c r="C4808" s="1">
        <v>42842</v>
      </c>
      <c r="D4808" s="1">
        <v>42847</v>
      </c>
      <c r="E4808" t="s">
        <v>49</v>
      </c>
      <c r="F4808" t="s">
        <v>5225</v>
      </c>
      <c r="G4808" t="s">
        <v>5226</v>
      </c>
      <c r="H4808" t="s">
        <v>40</v>
      </c>
      <c r="I4808" t="s">
        <v>26</v>
      </c>
      <c r="J4808" t="s">
        <v>296</v>
      </c>
      <c r="K4808" t="s">
        <v>208</v>
      </c>
      <c r="L4808">
        <v>60653</v>
      </c>
      <c r="M4808" t="s">
        <v>104</v>
      </c>
      <c r="N4808" t="s">
        <v>3375</v>
      </c>
      <c r="O4808" t="s">
        <v>45</v>
      </c>
      <c r="P4808" t="s">
        <v>58</v>
      </c>
      <c r="Q4808" t="s">
        <v>3376</v>
      </c>
      <c r="R4808">
        <v>195.136</v>
      </c>
      <c r="S4808">
        <v>4</v>
      </c>
      <c r="T4808">
        <v>0.2</v>
      </c>
      <c r="U4808">
        <v>-43.9056</v>
      </c>
      <c r="V4808" t="str">
        <f t="shared" si="75"/>
        <v>Brendan Murry</v>
      </c>
      <c r="W4808">
        <f>Table2[Profit]/Table2[Sales]</f>
        <v>-0.22500000000000001</v>
      </c>
    </row>
    <row r="4809" spans="1:23" x14ac:dyDescent="0.25">
      <c r="A4809">
        <v>4808</v>
      </c>
      <c r="B4809" t="s">
        <v>10466</v>
      </c>
      <c r="C4809" s="1">
        <v>42939</v>
      </c>
      <c r="D4809" s="1">
        <v>42944</v>
      </c>
      <c r="E4809" t="s">
        <v>49</v>
      </c>
      <c r="F4809" t="s">
        <v>5378</v>
      </c>
      <c r="G4809" t="s">
        <v>5379</v>
      </c>
      <c r="H4809" t="s">
        <v>25</v>
      </c>
      <c r="I4809" t="s">
        <v>26</v>
      </c>
      <c r="J4809" t="s">
        <v>5579</v>
      </c>
      <c r="K4809" t="s">
        <v>208</v>
      </c>
      <c r="L4809">
        <v>60090</v>
      </c>
      <c r="M4809" t="s">
        <v>104</v>
      </c>
      <c r="N4809" t="s">
        <v>483</v>
      </c>
      <c r="O4809" t="s">
        <v>45</v>
      </c>
      <c r="P4809" t="s">
        <v>67</v>
      </c>
      <c r="Q4809" t="s">
        <v>484</v>
      </c>
      <c r="R4809">
        <v>121.536</v>
      </c>
      <c r="S4809">
        <v>4</v>
      </c>
      <c r="T4809">
        <v>0.2</v>
      </c>
      <c r="U4809">
        <v>15.192</v>
      </c>
      <c r="V4809" t="str">
        <f t="shared" si="75"/>
        <v>Annie Zypern</v>
      </c>
      <c r="W4809">
        <f>Table2[Profit]/Table2[Sales]</f>
        <v>0.125</v>
      </c>
    </row>
    <row r="4810" spans="1:23" x14ac:dyDescent="0.25">
      <c r="A4810">
        <v>4809</v>
      </c>
      <c r="B4810" t="s">
        <v>10467</v>
      </c>
      <c r="C4810" s="1">
        <v>41770</v>
      </c>
      <c r="D4810" s="1">
        <v>41774</v>
      </c>
      <c r="E4810" t="s">
        <v>49</v>
      </c>
      <c r="F4810" t="s">
        <v>9852</v>
      </c>
      <c r="G4810" t="s">
        <v>9853</v>
      </c>
      <c r="H4810" t="s">
        <v>101</v>
      </c>
      <c r="I4810" t="s">
        <v>26</v>
      </c>
      <c r="J4810" t="s">
        <v>296</v>
      </c>
      <c r="K4810" t="s">
        <v>208</v>
      </c>
      <c r="L4810">
        <v>60610</v>
      </c>
      <c r="M4810" t="s">
        <v>104</v>
      </c>
      <c r="N4810" t="s">
        <v>8128</v>
      </c>
      <c r="O4810" t="s">
        <v>45</v>
      </c>
      <c r="P4810" t="s">
        <v>89</v>
      </c>
      <c r="Q4810" t="s">
        <v>8129</v>
      </c>
      <c r="R4810">
        <v>17.472000000000001</v>
      </c>
      <c r="S4810">
        <v>3</v>
      </c>
      <c r="T4810">
        <v>0.2</v>
      </c>
      <c r="U4810">
        <v>5.6783999999999999</v>
      </c>
      <c r="V4810" t="str">
        <f t="shared" si="75"/>
        <v>Harold Dahlen</v>
      </c>
      <c r="W4810">
        <f>Table2[Profit]/Table2[Sales]</f>
        <v>0.32499999999999996</v>
      </c>
    </row>
    <row r="4811" spans="1:23" x14ac:dyDescent="0.25">
      <c r="A4811">
        <v>4810</v>
      </c>
      <c r="B4811" t="s">
        <v>10468</v>
      </c>
      <c r="C4811" s="1">
        <v>42579</v>
      </c>
      <c r="D4811" s="1">
        <v>42583</v>
      </c>
      <c r="E4811" t="s">
        <v>49</v>
      </c>
      <c r="F4811" t="s">
        <v>5115</v>
      </c>
      <c r="G4811" t="s">
        <v>5116</v>
      </c>
      <c r="H4811" t="s">
        <v>101</v>
      </c>
      <c r="I4811" t="s">
        <v>26</v>
      </c>
      <c r="J4811" t="s">
        <v>596</v>
      </c>
      <c r="K4811" t="s">
        <v>103</v>
      </c>
      <c r="L4811">
        <v>77506</v>
      </c>
      <c r="M4811" t="s">
        <v>104</v>
      </c>
      <c r="N4811" t="s">
        <v>3400</v>
      </c>
      <c r="O4811" t="s">
        <v>31</v>
      </c>
      <c r="P4811" t="s">
        <v>64</v>
      </c>
      <c r="Q4811" t="s">
        <v>3401</v>
      </c>
      <c r="R4811">
        <v>24.7</v>
      </c>
      <c r="S4811">
        <v>5</v>
      </c>
      <c r="T4811">
        <v>0.6</v>
      </c>
      <c r="U4811">
        <v>-9.8800000000000008</v>
      </c>
      <c r="V4811" t="str">
        <f t="shared" si="75"/>
        <v>Barry Franz</v>
      </c>
      <c r="W4811">
        <f>Table2[Profit]/Table2[Sales]</f>
        <v>-0.4</v>
      </c>
    </row>
    <row r="4812" spans="1:23" x14ac:dyDescent="0.25">
      <c r="A4812">
        <v>4811</v>
      </c>
      <c r="B4812" t="s">
        <v>10469</v>
      </c>
      <c r="C4812" s="1">
        <v>42992</v>
      </c>
      <c r="D4812" s="1">
        <v>42997</v>
      </c>
      <c r="E4812" t="s">
        <v>49</v>
      </c>
      <c r="F4812" t="s">
        <v>4290</v>
      </c>
      <c r="G4812" t="s">
        <v>4291</v>
      </c>
      <c r="H4812" t="s">
        <v>25</v>
      </c>
      <c r="I4812" t="s">
        <v>26</v>
      </c>
      <c r="J4812" t="s">
        <v>263</v>
      </c>
      <c r="K4812" t="s">
        <v>264</v>
      </c>
      <c r="L4812">
        <v>10024</v>
      </c>
      <c r="M4812" t="s">
        <v>145</v>
      </c>
      <c r="N4812" t="s">
        <v>6172</v>
      </c>
      <c r="O4812" t="s">
        <v>45</v>
      </c>
      <c r="P4812" t="s">
        <v>89</v>
      </c>
      <c r="Q4812" t="s">
        <v>6173</v>
      </c>
      <c r="R4812">
        <v>8.56</v>
      </c>
      <c r="S4812">
        <v>2</v>
      </c>
      <c r="T4812">
        <v>0</v>
      </c>
      <c r="U4812">
        <v>3.8519999999999999</v>
      </c>
      <c r="V4812" t="str">
        <f t="shared" si="75"/>
        <v>Henia Zydlo</v>
      </c>
      <c r="W4812">
        <f>Table2[Profit]/Table2[Sales]</f>
        <v>0.44999999999999996</v>
      </c>
    </row>
    <row r="4813" spans="1:23" x14ac:dyDescent="0.25">
      <c r="A4813">
        <v>4812</v>
      </c>
      <c r="B4813" t="s">
        <v>10470</v>
      </c>
      <c r="C4813" s="1">
        <v>42759</v>
      </c>
      <c r="D4813" s="1">
        <v>42764</v>
      </c>
      <c r="E4813" t="s">
        <v>49</v>
      </c>
      <c r="F4813" t="s">
        <v>3857</v>
      </c>
      <c r="G4813" t="s">
        <v>3858</v>
      </c>
      <c r="H4813" t="s">
        <v>40</v>
      </c>
      <c r="I4813" t="s">
        <v>26</v>
      </c>
      <c r="J4813" t="s">
        <v>622</v>
      </c>
      <c r="K4813" t="s">
        <v>42</v>
      </c>
      <c r="L4813">
        <v>95123</v>
      </c>
      <c r="M4813" t="s">
        <v>43</v>
      </c>
      <c r="N4813" t="s">
        <v>138</v>
      </c>
      <c r="O4813" t="s">
        <v>45</v>
      </c>
      <c r="P4813" t="s">
        <v>77</v>
      </c>
      <c r="Q4813" t="s">
        <v>139</v>
      </c>
      <c r="R4813">
        <v>25.86</v>
      </c>
      <c r="S4813">
        <v>3</v>
      </c>
      <c r="T4813">
        <v>0</v>
      </c>
      <c r="U4813">
        <v>6.7236000000000002</v>
      </c>
      <c r="V4813" t="str">
        <f t="shared" si="75"/>
        <v>Keith Dawkins</v>
      </c>
      <c r="W4813">
        <f>Table2[Profit]/Table2[Sales]</f>
        <v>0.26</v>
      </c>
    </row>
    <row r="4814" spans="1:23" x14ac:dyDescent="0.25">
      <c r="A4814">
        <v>4813</v>
      </c>
      <c r="B4814" t="s">
        <v>10471</v>
      </c>
      <c r="C4814" s="1">
        <v>42266</v>
      </c>
      <c r="D4814" s="1">
        <v>42270</v>
      </c>
      <c r="E4814" t="s">
        <v>49</v>
      </c>
      <c r="F4814" t="s">
        <v>8030</v>
      </c>
      <c r="G4814" t="s">
        <v>8031</v>
      </c>
      <c r="H4814" t="s">
        <v>101</v>
      </c>
      <c r="I4814" t="s">
        <v>26</v>
      </c>
      <c r="J4814" t="s">
        <v>5281</v>
      </c>
      <c r="K4814" t="s">
        <v>42</v>
      </c>
      <c r="L4814">
        <v>95823</v>
      </c>
      <c r="M4814" t="s">
        <v>43</v>
      </c>
      <c r="N4814" t="s">
        <v>6183</v>
      </c>
      <c r="O4814" t="s">
        <v>31</v>
      </c>
      <c r="P4814" t="s">
        <v>64</v>
      </c>
      <c r="Q4814" t="s">
        <v>6184</v>
      </c>
      <c r="R4814">
        <v>60.84</v>
      </c>
      <c r="S4814">
        <v>3</v>
      </c>
      <c r="T4814">
        <v>0</v>
      </c>
      <c r="U4814">
        <v>19.468800000000002</v>
      </c>
      <c r="V4814" t="str">
        <f t="shared" si="75"/>
        <v>Frank Carlisle</v>
      </c>
      <c r="W4814">
        <f>Table2[Profit]/Table2[Sales]</f>
        <v>0.32</v>
      </c>
    </row>
    <row r="4815" spans="1:23" x14ac:dyDescent="0.25">
      <c r="A4815">
        <v>4814</v>
      </c>
      <c r="B4815" t="s">
        <v>10472</v>
      </c>
      <c r="C4815" s="1">
        <v>42108</v>
      </c>
      <c r="D4815" s="1">
        <v>42112</v>
      </c>
      <c r="E4815" t="s">
        <v>49</v>
      </c>
      <c r="F4815" t="s">
        <v>1969</v>
      </c>
      <c r="G4815" t="s">
        <v>1970</v>
      </c>
      <c r="H4815" t="s">
        <v>25</v>
      </c>
      <c r="I4815" t="s">
        <v>26</v>
      </c>
      <c r="J4815" t="s">
        <v>311</v>
      </c>
      <c r="K4815" t="s">
        <v>413</v>
      </c>
      <c r="L4815">
        <v>97477</v>
      </c>
      <c r="M4815" t="s">
        <v>43</v>
      </c>
      <c r="N4815" t="s">
        <v>5307</v>
      </c>
      <c r="O4815" t="s">
        <v>45</v>
      </c>
      <c r="P4815" t="s">
        <v>77</v>
      </c>
      <c r="Q4815" t="s">
        <v>5308</v>
      </c>
      <c r="R4815">
        <v>35.207999999999998</v>
      </c>
      <c r="S4815">
        <v>1</v>
      </c>
      <c r="T4815">
        <v>0.2</v>
      </c>
      <c r="U4815">
        <v>2.6406000000000001</v>
      </c>
      <c r="V4815" t="str">
        <f t="shared" si="75"/>
        <v>Theone Pippenger</v>
      </c>
      <c r="W4815">
        <f>Table2[Profit]/Table2[Sales]</f>
        <v>7.5000000000000011E-2</v>
      </c>
    </row>
    <row r="4816" spans="1:23" x14ac:dyDescent="0.25">
      <c r="A4816">
        <v>4815</v>
      </c>
      <c r="B4816" t="s">
        <v>10473</v>
      </c>
      <c r="C4816" s="1">
        <v>42863</v>
      </c>
      <c r="D4816" s="1">
        <v>42866</v>
      </c>
      <c r="E4816" t="s">
        <v>22</v>
      </c>
      <c r="F4816" t="s">
        <v>1552</v>
      </c>
      <c r="G4816" t="s">
        <v>1553</v>
      </c>
      <c r="H4816" t="s">
        <v>40</v>
      </c>
      <c r="I4816" t="s">
        <v>26</v>
      </c>
      <c r="J4816" t="s">
        <v>9937</v>
      </c>
      <c r="K4816" t="s">
        <v>103</v>
      </c>
      <c r="L4816">
        <v>76063</v>
      </c>
      <c r="M4816" t="s">
        <v>104</v>
      </c>
      <c r="N4816" t="s">
        <v>6038</v>
      </c>
      <c r="O4816" t="s">
        <v>45</v>
      </c>
      <c r="P4816" t="s">
        <v>89</v>
      </c>
      <c r="Q4816" t="s">
        <v>6039</v>
      </c>
      <c r="R4816">
        <v>41.472000000000001</v>
      </c>
      <c r="S4816">
        <v>8</v>
      </c>
      <c r="T4816">
        <v>0.2</v>
      </c>
      <c r="U4816">
        <v>14.5152</v>
      </c>
      <c r="V4816" t="str">
        <f t="shared" si="75"/>
        <v>Ed Braxton</v>
      </c>
      <c r="W4816">
        <f>Table2[Profit]/Table2[Sales]</f>
        <v>0.35</v>
      </c>
    </row>
    <row r="4817" spans="1:23" x14ac:dyDescent="0.25">
      <c r="A4817">
        <v>4816</v>
      </c>
      <c r="B4817" t="s">
        <v>10474</v>
      </c>
      <c r="C4817" s="1">
        <v>42617</v>
      </c>
      <c r="D4817" s="1">
        <v>42622</v>
      </c>
      <c r="E4817" t="s">
        <v>49</v>
      </c>
      <c r="F4817" t="s">
        <v>1603</v>
      </c>
      <c r="G4817" t="s">
        <v>1604</v>
      </c>
      <c r="H4817" t="s">
        <v>25</v>
      </c>
      <c r="I4817" t="s">
        <v>26</v>
      </c>
      <c r="J4817" t="s">
        <v>3207</v>
      </c>
      <c r="K4817" t="s">
        <v>1683</v>
      </c>
      <c r="L4817">
        <v>72401</v>
      </c>
      <c r="M4817" t="s">
        <v>29</v>
      </c>
      <c r="N4817" t="s">
        <v>4099</v>
      </c>
      <c r="O4817" t="s">
        <v>45</v>
      </c>
      <c r="P4817" t="s">
        <v>89</v>
      </c>
      <c r="Q4817" t="s">
        <v>4100</v>
      </c>
      <c r="R4817">
        <v>239.5</v>
      </c>
      <c r="S4817">
        <v>5</v>
      </c>
      <c r="T4817">
        <v>0</v>
      </c>
      <c r="U4817">
        <v>114.96</v>
      </c>
      <c r="V4817" t="str">
        <f t="shared" si="75"/>
        <v>Jeremy Pistek</v>
      </c>
      <c r="W4817">
        <f>Table2[Profit]/Table2[Sales]</f>
        <v>0.48</v>
      </c>
    </row>
    <row r="4818" spans="1:23" x14ac:dyDescent="0.25">
      <c r="A4818">
        <v>4817</v>
      </c>
      <c r="B4818" t="s">
        <v>10475</v>
      </c>
      <c r="C4818" s="1">
        <v>41778</v>
      </c>
      <c r="D4818" s="1">
        <v>41781</v>
      </c>
      <c r="E4818" t="s">
        <v>185</v>
      </c>
      <c r="F4818" t="s">
        <v>1230</v>
      </c>
      <c r="G4818" t="s">
        <v>1231</v>
      </c>
      <c r="H4818" t="s">
        <v>25</v>
      </c>
      <c r="I4818" t="s">
        <v>26</v>
      </c>
      <c r="J4818" t="s">
        <v>2930</v>
      </c>
      <c r="K4818" t="s">
        <v>312</v>
      </c>
      <c r="L4818">
        <v>23464</v>
      </c>
      <c r="M4818" t="s">
        <v>29</v>
      </c>
      <c r="N4818" t="s">
        <v>7884</v>
      </c>
      <c r="O4818" t="s">
        <v>45</v>
      </c>
      <c r="P4818" t="s">
        <v>572</v>
      </c>
      <c r="Q4818" t="s">
        <v>7885</v>
      </c>
      <c r="R4818">
        <v>34.200000000000003</v>
      </c>
      <c r="S4818">
        <v>5</v>
      </c>
      <c r="T4818">
        <v>0</v>
      </c>
      <c r="U4818">
        <v>9.234</v>
      </c>
      <c r="V4818" t="str">
        <f t="shared" si="75"/>
        <v>Tamara Dahlen</v>
      </c>
      <c r="W4818">
        <f>Table2[Profit]/Table2[Sales]</f>
        <v>0.26999999999999996</v>
      </c>
    </row>
    <row r="4819" spans="1:23" x14ac:dyDescent="0.25">
      <c r="A4819">
        <v>4818</v>
      </c>
      <c r="B4819" t="s">
        <v>10476</v>
      </c>
      <c r="C4819" s="1">
        <v>42538</v>
      </c>
      <c r="D4819" s="1">
        <v>42544</v>
      </c>
      <c r="E4819" t="s">
        <v>49</v>
      </c>
      <c r="F4819" t="s">
        <v>5899</v>
      </c>
      <c r="G4819" t="s">
        <v>5900</v>
      </c>
      <c r="H4819" t="s">
        <v>40</v>
      </c>
      <c r="I4819" t="s">
        <v>26</v>
      </c>
      <c r="J4819" t="s">
        <v>382</v>
      </c>
      <c r="K4819" t="s">
        <v>264</v>
      </c>
      <c r="L4819">
        <v>14609</v>
      </c>
      <c r="M4819" t="s">
        <v>145</v>
      </c>
      <c r="N4819" t="s">
        <v>3942</v>
      </c>
      <c r="O4819" t="s">
        <v>31</v>
      </c>
      <c r="P4819" t="s">
        <v>55</v>
      </c>
      <c r="Q4819" t="s">
        <v>3943</v>
      </c>
      <c r="R4819">
        <v>376.86599999999999</v>
      </c>
      <c r="S4819">
        <v>3</v>
      </c>
      <c r="T4819">
        <v>0.4</v>
      </c>
      <c r="U4819">
        <v>-213.5574</v>
      </c>
      <c r="V4819" t="str">
        <f t="shared" si="75"/>
        <v>Denise Monton</v>
      </c>
      <c r="W4819">
        <f>Table2[Profit]/Table2[Sales]</f>
        <v>-0.56666666666666665</v>
      </c>
    </row>
    <row r="4820" spans="1:23" x14ac:dyDescent="0.25">
      <c r="A4820">
        <v>4819</v>
      </c>
      <c r="B4820" t="s">
        <v>10477</v>
      </c>
      <c r="C4820" s="1">
        <v>42310</v>
      </c>
      <c r="D4820" s="1">
        <v>42313</v>
      </c>
      <c r="E4820" t="s">
        <v>185</v>
      </c>
      <c r="F4820" t="s">
        <v>2309</v>
      </c>
      <c r="G4820" t="s">
        <v>2310</v>
      </c>
      <c r="H4820" t="s">
        <v>25</v>
      </c>
      <c r="I4820" t="s">
        <v>26</v>
      </c>
      <c r="J4820" t="s">
        <v>4771</v>
      </c>
      <c r="K4820" t="s">
        <v>312</v>
      </c>
      <c r="L4820">
        <v>23320</v>
      </c>
      <c r="M4820" t="s">
        <v>29</v>
      </c>
      <c r="N4820" t="s">
        <v>10478</v>
      </c>
      <c r="O4820" t="s">
        <v>45</v>
      </c>
      <c r="P4820" t="s">
        <v>77</v>
      </c>
      <c r="Q4820" t="s">
        <v>10479</v>
      </c>
      <c r="R4820">
        <v>197.72</v>
      </c>
      <c r="S4820">
        <v>4</v>
      </c>
      <c r="T4820">
        <v>0</v>
      </c>
      <c r="U4820">
        <v>55.361600000000003</v>
      </c>
      <c r="V4820" t="str">
        <f t="shared" si="75"/>
        <v>Emily Grady</v>
      </c>
      <c r="W4820">
        <f>Table2[Profit]/Table2[Sales]</f>
        <v>0.28000000000000003</v>
      </c>
    </row>
    <row r="4821" spans="1:23" x14ac:dyDescent="0.25">
      <c r="A4821">
        <v>4820</v>
      </c>
      <c r="B4821" t="s">
        <v>10480</v>
      </c>
      <c r="C4821" s="1">
        <v>43043</v>
      </c>
      <c r="D4821" s="1">
        <v>43048</v>
      </c>
      <c r="E4821" t="s">
        <v>49</v>
      </c>
      <c r="F4821" t="s">
        <v>3559</v>
      </c>
      <c r="G4821" t="s">
        <v>3560</v>
      </c>
      <c r="H4821" t="s">
        <v>40</v>
      </c>
      <c r="I4821" t="s">
        <v>26</v>
      </c>
      <c r="J4821" t="s">
        <v>2439</v>
      </c>
      <c r="K4821" t="s">
        <v>491</v>
      </c>
      <c r="L4821">
        <v>43130</v>
      </c>
      <c r="M4821" t="s">
        <v>145</v>
      </c>
      <c r="N4821" t="s">
        <v>746</v>
      </c>
      <c r="O4821" t="s">
        <v>70</v>
      </c>
      <c r="P4821" t="s">
        <v>158</v>
      </c>
      <c r="Q4821" t="s">
        <v>747</v>
      </c>
      <c r="R4821">
        <v>70.72</v>
      </c>
      <c r="S4821">
        <v>4</v>
      </c>
      <c r="T4821">
        <v>0.2</v>
      </c>
      <c r="U4821">
        <v>-6.1879999999999997</v>
      </c>
      <c r="V4821" t="str">
        <f t="shared" si="75"/>
        <v>Henry Goldwyn</v>
      </c>
      <c r="W4821">
        <f>Table2[Profit]/Table2[Sales]</f>
        <v>-8.7499999999999994E-2</v>
      </c>
    </row>
    <row r="4822" spans="1:23" x14ac:dyDescent="0.25">
      <c r="A4822">
        <v>4821</v>
      </c>
      <c r="B4822" t="s">
        <v>10481</v>
      </c>
      <c r="C4822" s="1">
        <v>43074</v>
      </c>
      <c r="D4822" s="1">
        <v>43077</v>
      </c>
      <c r="E4822" t="s">
        <v>22</v>
      </c>
      <c r="F4822" t="s">
        <v>4865</v>
      </c>
      <c r="G4822" t="s">
        <v>4866</v>
      </c>
      <c r="H4822" t="s">
        <v>25</v>
      </c>
      <c r="I4822" t="s">
        <v>26</v>
      </c>
      <c r="J4822" t="s">
        <v>263</v>
      </c>
      <c r="K4822" t="s">
        <v>264</v>
      </c>
      <c r="L4822">
        <v>10024</v>
      </c>
      <c r="M4822" t="s">
        <v>145</v>
      </c>
      <c r="N4822" t="s">
        <v>6586</v>
      </c>
      <c r="O4822" t="s">
        <v>45</v>
      </c>
      <c r="P4822" t="s">
        <v>89</v>
      </c>
      <c r="Q4822" t="s">
        <v>6587</v>
      </c>
      <c r="R4822">
        <v>21.6</v>
      </c>
      <c r="S4822">
        <v>6</v>
      </c>
      <c r="T4822">
        <v>0</v>
      </c>
      <c r="U4822">
        <v>9.9359999999999999</v>
      </c>
      <c r="V4822" t="str">
        <f t="shared" si="75"/>
        <v>Bart Folk</v>
      </c>
      <c r="W4822">
        <f>Table2[Profit]/Table2[Sales]</f>
        <v>0.45999999999999996</v>
      </c>
    </row>
    <row r="4823" spans="1:23" x14ac:dyDescent="0.25">
      <c r="A4823">
        <v>4822</v>
      </c>
      <c r="B4823" t="s">
        <v>10482</v>
      </c>
      <c r="C4823" s="1">
        <v>42506</v>
      </c>
      <c r="D4823" s="1">
        <v>42509</v>
      </c>
      <c r="E4823" t="s">
        <v>22</v>
      </c>
      <c r="F4823" t="s">
        <v>1561</v>
      </c>
      <c r="G4823" t="s">
        <v>1562</v>
      </c>
      <c r="H4823" t="s">
        <v>25</v>
      </c>
      <c r="I4823" t="s">
        <v>26</v>
      </c>
      <c r="J4823" t="s">
        <v>41</v>
      </c>
      <c r="K4823" t="s">
        <v>42</v>
      </c>
      <c r="L4823">
        <v>90045</v>
      </c>
      <c r="M4823" t="s">
        <v>43</v>
      </c>
      <c r="N4823" t="s">
        <v>5983</v>
      </c>
      <c r="O4823" t="s">
        <v>31</v>
      </c>
      <c r="P4823" t="s">
        <v>64</v>
      </c>
      <c r="Q4823" t="s">
        <v>5984</v>
      </c>
      <c r="R4823">
        <v>282.83999999999997</v>
      </c>
      <c r="S4823">
        <v>4</v>
      </c>
      <c r="T4823">
        <v>0</v>
      </c>
      <c r="U4823">
        <v>19.7988</v>
      </c>
      <c r="V4823" t="str">
        <f t="shared" si="75"/>
        <v>Sanjit Chand</v>
      </c>
      <c r="W4823">
        <f>Table2[Profit]/Table2[Sales]</f>
        <v>7.0000000000000007E-2</v>
      </c>
    </row>
    <row r="4824" spans="1:23" x14ac:dyDescent="0.25">
      <c r="A4824">
        <v>4823</v>
      </c>
      <c r="B4824" t="s">
        <v>10483</v>
      </c>
      <c r="C4824" s="1">
        <v>43032</v>
      </c>
      <c r="D4824" s="1">
        <v>43038</v>
      </c>
      <c r="E4824" t="s">
        <v>49</v>
      </c>
      <c r="F4824" t="s">
        <v>1924</v>
      </c>
      <c r="G4824" t="s">
        <v>1925</v>
      </c>
      <c r="H4824" t="s">
        <v>25</v>
      </c>
      <c r="I4824" t="s">
        <v>26</v>
      </c>
      <c r="J4824" t="s">
        <v>321</v>
      </c>
      <c r="K4824" t="s">
        <v>1473</v>
      </c>
      <c r="L4824">
        <v>39212</v>
      </c>
      <c r="M4824" t="s">
        <v>29</v>
      </c>
      <c r="N4824" t="s">
        <v>3245</v>
      </c>
      <c r="O4824" t="s">
        <v>45</v>
      </c>
      <c r="P4824" t="s">
        <v>266</v>
      </c>
      <c r="Q4824" t="s">
        <v>556</v>
      </c>
      <c r="R4824">
        <v>11.68</v>
      </c>
      <c r="S4824">
        <v>4</v>
      </c>
      <c r="T4824">
        <v>0</v>
      </c>
      <c r="U4824">
        <v>5.2560000000000002</v>
      </c>
      <c r="V4824" t="str">
        <f t="shared" si="75"/>
        <v>Carlos Soltero</v>
      </c>
      <c r="W4824">
        <f>Table2[Profit]/Table2[Sales]</f>
        <v>0.45</v>
      </c>
    </row>
    <row r="4825" spans="1:23" x14ac:dyDescent="0.25">
      <c r="A4825">
        <v>4824</v>
      </c>
      <c r="B4825" t="s">
        <v>10484</v>
      </c>
      <c r="C4825" s="1">
        <v>42631</v>
      </c>
      <c r="D4825" s="1">
        <v>42635</v>
      </c>
      <c r="E4825" t="s">
        <v>49</v>
      </c>
      <c r="F4825" t="s">
        <v>1844</v>
      </c>
      <c r="G4825" t="s">
        <v>1845</v>
      </c>
      <c r="H4825" t="s">
        <v>25</v>
      </c>
      <c r="I4825" t="s">
        <v>26</v>
      </c>
      <c r="J4825" t="s">
        <v>6248</v>
      </c>
      <c r="K4825" t="s">
        <v>42</v>
      </c>
      <c r="L4825">
        <v>95695</v>
      </c>
      <c r="M4825" t="s">
        <v>43</v>
      </c>
      <c r="N4825" t="s">
        <v>6231</v>
      </c>
      <c r="O4825" t="s">
        <v>70</v>
      </c>
      <c r="P4825" t="s">
        <v>71</v>
      </c>
      <c r="Q4825" t="s">
        <v>6232</v>
      </c>
      <c r="R4825">
        <v>239.98400000000001</v>
      </c>
      <c r="S4825">
        <v>2</v>
      </c>
      <c r="T4825">
        <v>0.2</v>
      </c>
      <c r="U4825">
        <v>23.9984</v>
      </c>
      <c r="V4825" t="str">
        <f t="shared" si="75"/>
        <v>Bill Donatelli</v>
      </c>
      <c r="W4825">
        <f>Table2[Profit]/Table2[Sales]</f>
        <v>9.9999999999999992E-2</v>
      </c>
    </row>
    <row r="4826" spans="1:23" x14ac:dyDescent="0.25">
      <c r="A4826">
        <v>4825</v>
      </c>
      <c r="B4826" t="s">
        <v>10485</v>
      </c>
      <c r="C4826" s="1">
        <v>41954</v>
      </c>
      <c r="D4826" s="1">
        <v>41956</v>
      </c>
      <c r="E4826" t="s">
        <v>185</v>
      </c>
      <c r="F4826" t="s">
        <v>766</v>
      </c>
      <c r="G4826" t="s">
        <v>767</v>
      </c>
      <c r="H4826" t="s">
        <v>40</v>
      </c>
      <c r="I4826" t="s">
        <v>26</v>
      </c>
      <c r="J4826" t="s">
        <v>94</v>
      </c>
      <c r="K4826" t="s">
        <v>95</v>
      </c>
      <c r="L4826">
        <v>98115</v>
      </c>
      <c r="M4826" t="s">
        <v>43</v>
      </c>
      <c r="N4826" t="s">
        <v>76</v>
      </c>
      <c r="O4826" t="s">
        <v>45</v>
      </c>
      <c r="P4826" t="s">
        <v>77</v>
      </c>
      <c r="Q4826" t="s">
        <v>78</v>
      </c>
      <c r="R4826">
        <v>22.98</v>
      </c>
      <c r="S4826">
        <v>1</v>
      </c>
      <c r="T4826">
        <v>0</v>
      </c>
      <c r="U4826">
        <v>6.8940000000000001</v>
      </c>
      <c r="V4826" t="str">
        <f t="shared" si="75"/>
        <v>Mary Zewe</v>
      </c>
      <c r="W4826">
        <f>Table2[Profit]/Table2[Sales]</f>
        <v>0.3</v>
      </c>
    </row>
    <row r="4827" spans="1:23" x14ac:dyDescent="0.25">
      <c r="A4827">
        <v>4826</v>
      </c>
      <c r="B4827" t="s">
        <v>10486</v>
      </c>
      <c r="C4827" s="1">
        <v>42604</v>
      </c>
      <c r="D4827" s="1">
        <v>42611</v>
      </c>
      <c r="E4827" t="s">
        <v>49</v>
      </c>
      <c r="F4827" t="s">
        <v>3804</v>
      </c>
      <c r="G4827" t="s">
        <v>3805</v>
      </c>
      <c r="H4827" t="s">
        <v>40</v>
      </c>
      <c r="I4827" t="s">
        <v>26</v>
      </c>
      <c r="J4827" t="s">
        <v>41</v>
      </c>
      <c r="K4827" t="s">
        <v>42</v>
      </c>
      <c r="L4827">
        <v>90049</v>
      </c>
      <c r="M4827" t="s">
        <v>43</v>
      </c>
      <c r="N4827" t="s">
        <v>3179</v>
      </c>
      <c r="O4827" t="s">
        <v>45</v>
      </c>
      <c r="P4827" t="s">
        <v>67</v>
      </c>
      <c r="Q4827" t="s">
        <v>3180</v>
      </c>
      <c r="R4827">
        <v>5.76</v>
      </c>
      <c r="S4827">
        <v>2</v>
      </c>
      <c r="T4827">
        <v>0</v>
      </c>
      <c r="U4827">
        <v>1.6704000000000001</v>
      </c>
      <c r="V4827" t="str">
        <f t="shared" si="75"/>
        <v>Pauline Webber</v>
      </c>
      <c r="W4827">
        <f>Table2[Profit]/Table2[Sales]</f>
        <v>0.29000000000000004</v>
      </c>
    </row>
    <row r="4828" spans="1:23" x14ac:dyDescent="0.25">
      <c r="A4828">
        <v>4827</v>
      </c>
      <c r="B4828" t="s">
        <v>10487</v>
      </c>
      <c r="C4828" s="1">
        <v>43055</v>
      </c>
      <c r="D4828" s="1">
        <v>43060</v>
      </c>
      <c r="E4828" t="s">
        <v>49</v>
      </c>
      <c r="F4828" t="s">
        <v>4201</v>
      </c>
      <c r="G4828" t="s">
        <v>4202</v>
      </c>
      <c r="H4828" t="s">
        <v>40</v>
      </c>
      <c r="I4828" t="s">
        <v>26</v>
      </c>
      <c r="J4828" t="s">
        <v>4524</v>
      </c>
      <c r="K4828" t="s">
        <v>491</v>
      </c>
      <c r="L4828">
        <v>43402</v>
      </c>
      <c r="M4828" t="s">
        <v>145</v>
      </c>
      <c r="N4828" t="s">
        <v>2364</v>
      </c>
      <c r="O4828" t="s">
        <v>70</v>
      </c>
      <c r="P4828" t="s">
        <v>1204</v>
      </c>
      <c r="Q4828" t="s">
        <v>2365</v>
      </c>
      <c r="R4828">
        <v>899.98199999999997</v>
      </c>
      <c r="S4828">
        <v>3</v>
      </c>
      <c r="T4828">
        <v>0.4</v>
      </c>
      <c r="U4828">
        <v>74.998500000000007</v>
      </c>
      <c r="V4828" t="str">
        <f t="shared" si="75"/>
        <v>Bill Stewart</v>
      </c>
      <c r="W4828">
        <f>Table2[Profit]/Table2[Sales]</f>
        <v>8.3333333333333343E-2</v>
      </c>
    </row>
    <row r="4829" spans="1:23" x14ac:dyDescent="0.25">
      <c r="A4829">
        <v>4828</v>
      </c>
      <c r="B4829" t="s">
        <v>10488</v>
      </c>
      <c r="C4829" s="1">
        <v>41908</v>
      </c>
      <c r="D4829" s="1">
        <v>41912</v>
      </c>
      <c r="E4829" t="s">
        <v>49</v>
      </c>
      <c r="F4829" t="s">
        <v>4362</v>
      </c>
      <c r="G4829" t="s">
        <v>4363</v>
      </c>
      <c r="H4829" t="s">
        <v>101</v>
      </c>
      <c r="I4829" t="s">
        <v>26</v>
      </c>
      <c r="J4829" t="s">
        <v>2439</v>
      </c>
      <c r="K4829" t="s">
        <v>491</v>
      </c>
      <c r="L4829">
        <v>43130</v>
      </c>
      <c r="M4829" t="s">
        <v>145</v>
      </c>
      <c r="N4829" t="s">
        <v>8994</v>
      </c>
      <c r="O4829" t="s">
        <v>45</v>
      </c>
      <c r="P4829" t="s">
        <v>77</v>
      </c>
      <c r="Q4829" t="s">
        <v>8995</v>
      </c>
      <c r="R4829">
        <v>16.704000000000001</v>
      </c>
      <c r="S4829">
        <v>6</v>
      </c>
      <c r="T4829">
        <v>0.2</v>
      </c>
      <c r="U4829">
        <v>1.2527999999999999</v>
      </c>
      <c r="V4829" t="str">
        <f t="shared" si="75"/>
        <v>Dianna Arnett</v>
      </c>
      <c r="W4829">
        <f>Table2[Profit]/Table2[Sales]</f>
        <v>7.4999999999999997E-2</v>
      </c>
    </row>
    <row r="4830" spans="1:23" x14ac:dyDescent="0.25">
      <c r="A4830">
        <v>4829</v>
      </c>
      <c r="B4830" t="s">
        <v>10489</v>
      </c>
      <c r="C4830" s="1">
        <v>42915</v>
      </c>
      <c r="D4830" s="1">
        <v>42916</v>
      </c>
      <c r="E4830" t="s">
        <v>185</v>
      </c>
      <c r="F4830" t="s">
        <v>2068</v>
      </c>
      <c r="G4830" t="s">
        <v>2069</v>
      </c>
      <c r="H4830" t="s">
        <v>25</v>
      </c>
      <c r="I4830" t="s">
        <v>26</v>
      </c>
      <c r="J4830" t="s">
        <v>808</v>
      </c>
      <c r="K4830" t="s">
        <v>103</v>
      </c>
      <c r="L4830">
        <v>75220</v>
      </c>
      <c r="M4830" t="s">
        <v>104</v>
      </c>
      <c r="N4830" t="s">
        <v>2506</v>
      </c>
      <c r="O4830" t="s">
        <v>45</v>
      </c>
      <c r="P4830" t="s">
        <v>77</v>
      </c>
      <c r="Q4830" t="s">
        <v>2507</v>
      </c>
      <c r="R4830">
        <v>21.391999999999999</v>
      </c>
      <c r="S4830">
        <v>2</v>
      </c>
      <c r="T4830">
        <v>0.8</v>
      </c>
      <c r="U4830">
        <v>-54.549599999999998</v>
      </c>
      <c r="V4830" t="str">
        <f t="shared" si="75"/>
        <v>Max Engle</v>
      </c>
      <c r="W4830">
        <f>Table2[Profit]/Table2[Sales]</f>
        <v>-2.5499999999999998</v>
      </c>
    </row>
    <row r="4831" spans="1:23" x14ac:dyDescent="0.25">
      <c r="A4831">
        <v>4830</v>
      </c>
      <c r="B4831" t="s">
        <v>10490</v>
      </c>
      <c r="C4831" s="1">
        <v>43001</v>
      </c>
      <c r="D4831" s="1">
        <v>43003</v>
      </c>
      <c r="E4831" t="s">
        <v>185</v>
      </c>
      <c r="F4831" t="s">
        <v>1597</v>
      </c>
      <c r="G4831" t="s">
        <v>1598</v>
      </c>
      <c r="H4831" t="s">
        <v>40</v>
      </c>
      <c r="I4831" t="s">
        <v>26</v>
      </c>
      <c r="J4831" t="s">
        <v>4777</v>
      </c>
      <c r="K4831" t="s">
        <v>103</v>
      </c>
      <c r="L4831">
        <v>79424</v>
      </c>
      <c r="M4831" t="s">
        <v>104</v>
      </c>
      <c r="N4831" t="s">
        <v>9469</v>
      </c>
      <c r="O4831" t="s">
        <v>45</v>
      </c>
      <c r="P4831" t="s">
        <v>89</v>
      </c>
      <c r="Q4831" t="s">
        <v>9470</v>
      </c>
      <c r="R4831">
        <v>9.2479999999999993</v>
      </c>
      <c r="S4831">
        <v>2</v>
      </c>
      <c r="T4831">
        <v>0.2</v>
      </c>
      <c r="U4831">
        <v>3.3523999999999998</v>
      </c>
      <c r="V4831" t="str">
        <f t="shared" si="75"/>
        <v>Maya Herman</v>
      </c>
      <c r="W4831">
        <f>Table2[Profit]/Table2[Sales]</f>
        <v>0.36249999999999999</v>
      </c>
    </row>
    <row r="4832" spans="1:23" x14ac:dyDescent="0.25">
      <c r="A4832">
        <v>4831</v>
      </c>
      <c r="B4832" t="s">
        <v>10491</v>
      </c>
      <c r="C4832" s="1">
        <v>41966</v>
      </c>
      <c r="D4832" s="1">
        <v>41970</v>
      </c>
      <c r="E4832" t="s">
        <v>49</v>
      </c>
      <c r="F4832" t="s">
        <v>5078</v>
      </c>
      <c r="G4832" t="s">
        <v>5079</v>
      </c>
      <c r="H4832" t="s">
        <v>25</v>
      </c>
      <c r="I4832" t="s">
        <v>26</v>
      </c>
      <c r="J4832" t="s">
        <v>873</v>
      </c>
      <c r="K4832" t="s">
        <v>235</v>
      </c>
      <c r="L4832">
        <v>48227</v>
      </c>
      <c r="M4832" t="s">
        <v>104</v>
      </c>
      <c r="N4832" t="s">
        <v>2957</v>
      </c>
      <c r="O4832" t="s">
        <v>45</v>
      </c>
      <c r="P4832" t="s">
        <v>74</v>
      </c>
      <c r="Q4832" t="s">
        <v>2958</v>
      </c>
      <c r="R4832">
        <v>14.67</v>
      </c>
      <c r="S4832">
        <v>3</v>
      </c>
      <c r="T4832">
        <v>0</v>
      </c>
      <c r="U4832">
        <v>6.7481999999999998</v>
      </c>
      <c r="V4832" t="str">
        <f t="shared" si="75"/>
        <v>Bobby Trafton</v>
      </c>
      <c r="W4832">
        <f>Table2[Profit]/Table2[Sales]</f>
        <v>0.45999999999999996</v>
      </c>
    </row>
    <row r="4833" spans="1:23" x14ac:dyDescent="0.25">
      <c r="A4833">
        <v>4832</v>
      </c>
      <c r="B4833" t="s">
        <v>10492</v>
      </c>
      <c r="C4833" s="1">
        <v>41652</v>
      </c>
      <c r="D4833" s="1">
        <v>41657</v>
      </c>
      <c r="E4833" t="s">
        <v>49</v>
      </c>
      <c r="F4833" t="s">
        <v>3801</v>
      </c>
      <c r="G4833" t="s">
        <v>3802</v>
      </c>
      <c r="H4833" t="s">
        <v>25</v>
      </c>
      <c r="I4833" t="s">
        <v>26</v>
      </c>
      <c r="J4833" t="s">
        <v>600</v>
      </c>
      <c r="K4833" t="s">
        <v>491</v>
      </c>
      <c r="L4833">
        <v>43055</v>
      </c>
      <c r="M4833" t="s">
        <v>145</v>
      </c>
      <c r="N4833" t="s">
        <v>2741</v>
      </c>
      <c r="O4833" t="s">
        <v>45</v>
      </c>
      <c r="P4833" t="s">
        <v>89</v>
      </c>
      <c r="Q4833" t="s">
        <v>2742</v>
      </c>
      <c r="R4833">
        <v>37.408000000000001</v>
      </c>
      <c r="S4833">
        <v>7</v>
      </c>
      <c r="T4833">
        <v>0.2</v>
      </c>
      <c r="U4833">
        <v>13.0928</v>
      </c>
      <c r="V4833" t="str">
        <f t="shared" si="75"/>
        <v>Michael Moore</v>
      </c>
      <c r="W4833">
        <f>Table2[Profit]/Table2[Sales]</f>
        <v>0.35</v>
      </c>
    </row>
    <row r="4834" spans="1:23" x14ac:dyDescent="0.25">
      <c r="A4834">
        <v>4833</v>
      </c>
      <c r="B4834" t="s">
        <v>10493</v>
      </c>
      <c r="C4834" s="1">
        <v>42521</v>
      </c>
      <c r="D4834" s="1">
        <v>42527</v>
      </c>
      <c r="E4834" t="s">
        <v>49</v>
      </c>
      <c r="F4834" t="s">
        <v>3183</v>
      </c>
      <c r="G4834" t="s">
        <v>3184</v>
      </c>
      <c r="H4834" t="s">
        <v>25</v>
      </c>
      <c r="I4834" t="s">
        <v>26</v>
      </c>
      <c r="J4834" t="s">
        <v>263</v>
      </c>
      <c r="K4834" t="s">
        <v>264</v>
      </c>
      <c r="L4834">
        <v>10011</v>
      </c>
      <c r="M4834" t="s">
        <v>145</v>
      </c>
      <c r="N4834" t="s">
        <v>439</v>
      </c>
      <c r="O4834" t="s">
        <v>45</v>
      </c>
      <c r="P4834" t="s">
        <v>74</v>
      </c>
      <c r="Q4834" t="s">
        <v>440</v>
      </c>
      <c r="R4834">
        <v>7.1520000000000001</v>
      </c>
      <c r="S4834">
        <v>3</v>
      </c>
      <c r="T4834">
        <v>0.2</v>
      </c>
      <c r="U4834">
        <v>2.3243999999999998</v>
      </c>
      <c r="V4834" t="str">
        <f t="shared" si="75"/>
        <v>Neoma Murray</v>
      </c>
      <c r="W4834">
        <f>Table2[Profit]/Table2[Sales]</f>
        <v>0.32499999999999996</v>
      </c>
    </row>
    <row r="4835" spans="1:23" x14ac:dyDescent="0.25">
      <c r="A4835">
        <v>4834</v>
      </c>
      <c r="B4835" t="s">
        <v>10494</v>
      </c>
      <c r="C4835" s="1">
        <v>42779</v>
      </c>
      <c r="D4835" s="1">
        <v>42783</v>
      </c>
      <c r="E4835" t="s">
        <v>49</v>
      </c>
      <c r="F4835" t="s">
        <v>6508</v>
      </c>
      <c r="G4835" t="s">
        <v>6509</v>
      </c>
      <c r="H4835" t="s">
        <v>25</v>
      </c>
      <c r="I4835" t="s">
        <v>26</v>
      </c>
      <c r="J4835" t="s">
        <v>402</v>
      </c>
      <c r="K4835" t="s">
        <v>226</v>
      </c>
      <c r="L4835">
        <v>55407</v>
      </c>
      <c r="M4835" t="s">
        <v>104</v>
      </c>
      <c r="N4835" t="s">
        <v>4715</v>
      </c>
      <c r="O4835" t="s">
        <v>45</v>
      </c>
      <c r="P4835" t="s">
        <v>77</v>
      </c>
      <c r="Q4835" t="s">
        <v>4716</v>
      </c>
      <c r="R4835">
        <v>90.64</v>
      </c>
      <c r="S4835">
        <v>8</v>
      </c>
      <c r="T4835">
        <v>0</v>
      </c>
      <c r="U4835">
        <v>38.975200000000001</v>
      </c>
      <c r="V4835" t="str">
        <f t="shared" si="75"/>
        <v>Mark Hamilton</v>
      </c>
      <c r="W4835">
        <f>Table2[Profit]/Table2[Sales]</f>
        <v>0.43</v>
      </c>
    </row>
    <row r="4836" spans="1:23" x14ac:dyDescent="0.25">
      <c r="A4836">
        <v>4835</v>
      </c>
      <c r="B4836" t="s">
        <v>10495</v>
      </c>
      <c r="C4836" s="1">
        <v>41926</v>
      </c>
      <c r="D4836" s="1">
        <v>41929</v>
      </c>
      <c r="E4836" t="s">
        <v>185</v>
      </c>
      <c r="F4836" t="s">
        <v>5682</v>
      </c>
      <c r="G4836" t="s">
        <v>5683</v>
      </c>
      <c r="H4836" t="s">
        <v>25</v>
      </c>
      <c r="I4836" t="s">
        <v>26</v>
      </c>
      <c r="J4836" t="s">
        <v>4010</v>
      </c>
      <c r="K4836" t="s">
        <v>1233</v>
      </c>
      <c r="L4836">
        <v>2149</v>
      </c>
      <c r="M4836" t="s">
        <v>145</v>
      </c>
      <c r="N4836" t="s">
        <v>3900</v>
      </c>
      <c r="O4836" t="s">
        <v>70</v>
      </c>
      <c r="P4836" t="s">
        <v>158</v>
      </c>
      <c r="Q4836" t="s">
        <v>3901</v>
      </c>
      <c r="R4836">
        <v>177</v>
      </c>
      <c r="S4836">
        <v>3</v>
      </c>
      <c r="T4836">
        <v>0</v>
      </c>
      <c r="U4836">
        <v>30.09</v>
      </c>
      <c r="V4836" t="str">
        <f t="shared" si="75"/>
        <v>Toby Carlisle</v>
      </c>
      <c r="W4836">
        <f>Table2[Profit]/Table2[Sales]</f>
        <v>0.17</v>
      </c>
    </row>
    <row r="4837" spans="1:23" x14ac:dyDescent="0.25">
      <c r="A4837">
        <v>4836</v>
      </c>
      <c r="B4837" t="s">
        <v>10496</v>
      </c>
      <c r="C4837" s="1">
        <v>41961</v>
      </c>
      <c r="D4837" s="1">
        <v>41968</v>
      </c>
      <c r="E4837" t="s">
        <v>49</v>
      </c>
      <c r="F4837" t="s">
        <v>1597</v>
      </c>
      <c r="G4837" t="s">
        <v>1598</v>
      </c>
      <c r="H4837" t="s">
        <v>40</v>
      </c>
      <c r="I4837" t="s">
        <v>26</v>
      </c>
      <c r="J4837" t="s">
        <v>94</v>
      </c>
      <c r="K4837" t="s">
        <v>95</v>
      </c>
      <c r="L4837">
        <v>98105</v>
      </c>
      <c r="M4837" t="s">
        <v>43</v>
      </c>
      <c r="N4837" t="s">
        <v>2175</v>
      </c>
      <c r="O4837" t="s">
        <v>31</v>
      </c>
      <c r="P4837" t="s">
        <v>64</v>
      </c>
      <c r="Q4837" t="s">
        <v>2176</v>
      </c>
      <c r="R4837">
        <v>137.54</v>
      </c>
      <c r="S4837">
        <v>2</v>
      </c>
      <c r="T4837">
        <v>0</v>
      </c>
      <c r="U4837">
        <v>55.015999999999998</v>
      </c>
      <c r="V4837" t="str">
        <f t="shared" si="75"/>
        <v>Maya Herman</v>
      </c>
      <c r="W4837">
        <f>Table2[Profit]/Table2[Sales]</f>
        <v>0.4</v>
      </c>
    </row>
    <row r="4838" spans="1:23" x14ac:dyDescent="0.25">
      <c r="A4838">
        <v>4837</v>
      </c>
      <c r="B4838" t="s">
        <v>10497</v>
      </c>
      <c r="C4838" s="1">
        <v>43051</v>
      </c>
      <c r="D4838" s="1">
        <v>43054</v>
      </c>
      <c r="E4838" t="s">
        <v>22</v>
      </c>
      <c r="F4838" t="s">
        <v>1803</v>
      </c>
      <c r="G4838" t="s">
        <v>1804</v>
      </c>
      <c r="H4838" t="s">
        <v>25</v>
      </c>
      <c r="I4838" t="s">
        <v>26</v>
      </c>
      <c r="J4838" t="s">
        <v>41</v>
      </c>
      <c r="K4838" t="s">
        <v>42</v>
      </c>
      <c r="L4838">
        <v>90032</v>
      </c>
      <c r="M4838" t="s">
        <v>43</v>
      </c>
      <c r="N4838" t="s">
        <v>9469</v>
      </c>
      <c r="O4838" t="s">
        <v>45</v>
      </c>
      <c r="P4838" t="s">
        <v>89</v>
      </c>
      <c r="Q4838" t="s">
        <v>9470</v>
      </c>
      <c r="R4838">
        <v>11.56</v>
      </c>
      <c r="S4838">
        <v>2</v>
      </c>
      <c r="T4838">
        <v>0</v>
      </c>
      <c r="U4838">
        <v>5.6643999999999997</v>
      </c>
      <c r="V4838" t="str">
        <f t="shared" si="75"/>
        <v>Emily Phan</v>
      </c>
      <c r="W4838">
        <f>Table2[Profit]/Table2[Sales]</f>
        <v>0.48999999999999994</v>
      </c>
    </row>
    <row r="4839" spans="1:23" x14ac:dyDescent="0.25">
      <c r="A4839">
        <v>4838</v>
      </c>
      <c r="B4839" t="s">
        <v>10498</v>
      </c>
      <c r="C4839" s="1">
        <v>42032</v>
      </c>
      <c r="D4839" s="1">
        <v>42035</v>
      </c>
      <c r="E4839" t="s">
        <v>22</v>
      </c>
      <c r="F4839" t="s">
        <v>823</v>
      </c>
      <c r="G4839" t="s">
        <v>824</v>
      </c>
      <c r="H4839" t="s">
        <v>25</v>
      </c>
      <c r="I4839" t="s">
        <v>26</v>
      </c>
      <c r="J4839" t="s">
        <v>86</v>
      </c>
      <c r="K4839" t="s">
        <v>87</v>
      </c>
      <c r="L4839">
        <v>28027</v>
      </c>
      <c r="M4839" t="s">
        <v>29</v>
      </c>
      <c r="N4839" t="s">
        <v>2286</v>
      </c>
      <c r="O4839" t="s">
        <v>31</v>
      </c>
      <c r="P4839" t="s">
        <v>55</v>
      </c>
      <c r="Q4839" t="s">
        <v>2287</v>
      </c>
      <c r="R4839">
        <v>4297.6440000000002</v>
      </c>
      <c r="S4839">
        <v>13</v>
      </c>
      <c r="T4839">
        <v>0.4</v>
      </c>
      <c r="U4839">
        <v>-1862.3124</v>
      </c>
      <c r="V4839" t="str">
        <f t="shared" si="75"/>
        <v>Joseph Holt</v>
      </c>
      <c r="W4839">
        <f>Table2[Profit]/Table2[Sales]</f>
        <v>-0.43333333333333329</v>
      </c>
    </row>
    <row r="4840" spans="1:23" x14ac:dyDescent="0.25">
      <c r="A4840">
        <v>4839</v>
      </c>
      <c r="B4840" t="s">
        <v>10499</v>
      </c>
      <c r="C4840" s="1">
        <v>41705</v>
      </c>
      <c r="D4840" s="1">
        <v>41710</v>
      </c>
      <c r="E4840" t="s">
        <v>49</v>
      </c>
      <c r="F4840" t="s">
        <v>9292</v>
      </c>
      <c r="G4840" t="s">
        <v>9293</v>
      </c>
      <c r="H4840" t="s">
        <v>40</v>
      </c>
      <c r="I4840" t="s">
        <v>26</v>
      </c>
      <c r="J4840" t="s">
        <v>94</v>
      </c>
      <c r="K4840" t="s">
        <v>95</v>
      </c>
      <c r="L4840">
        <v>98103</v>
      </c>
      <c r="M4840" t="s">
        <v>43</v>
      </c>
      <c r="N4840" t="s">
        <v>465</v>
      </c>
      <c r="O4840" t="s">
        <v>45</v>
      </c>
      <c r="P4840" t="s">
        <v>67</v>
      </c>
      <c r="Q4840" t="s">
        <v>466</v>
      </c>
      <c r="R4840">
        <v>20.65</v>
      </c>
      <c r="S4840">
        <v>5</v>
      </c>
      <c r="T4840">
        <v>0</v>
      </c>
      <c r="U4840">
        <v>9.4990000000000006</v>
      </c>
      <c r="V4840" t="str">
        <f t="shared" si="75"/>
        <v>Craig Molinari</v>
      </c>
      <c r="W4840">
        <f>Table2[Profit]/Table2[Sales]</f>
        <v>0.46000000000000008</v>
      </c>
    </row>
    <row r="4841" spans="1:23" x14ac:dyDescent="0.25">
      <c r="A4841">
        <v>4840</v>
      </c>
      <c r="B4841" t="s">
        <v>10500</v>
      </c>
      <c r="C4841" s="1">
        <v>42894</v>
      </c>
      <c r="D4841" s="1">
        <v>42899</v>
      </c>
      <c r="E4841" t="s">
        <v>49</v>
      </c>
      <c r="F4841" t="s">
        <v>3109</v>
      </c>
      <c r="G4841" t="s">
        <v>3110</v>
      </c>
      <c r="H4841" t="s">
        <v>25</v>
      </c>
      <c r="I4841" t="s">
        <v>26</v>
      </c>
      <c r="J4841" t="s">
        <v>3860</v>
      </c>
      <c r="K4841" t="s">
        <v>303</v>
      </c>
      <c r="L4841">
        <v>85301</v>
      </c>
      <c r="M4841" t="s">
        <v>43</v>
      </c>
      <c r="N4841" t="s">
        <v>4297</v>
      </c>
      <c r="O4841" t="s">
        <v>70</v>
      </c>
      <c r="P4841" t="s">
        <v>158</v>
      </c>
      <c r="Q4841" t="s">
        <v>4298</v>
      </c>
      <c r="R4841">
        <v>89.543999999999997</v>
      </c>
      <c r="S4841">
        <v>7</v>
      </c>
      <c r="T4841">
        <v>0.2</v>
      </c>
      <c r="U4841">
        <v>12.3123</v>
      </c>
      <c r="V4841" t="str">
        <f t="shared" si="75"/>
        <v>Frank Olsen</v>
      </c>
      <c r="W4841">
        <f>Table2[Profit]/Table2[Sales]</f>
        <v>0.13750000000000001</v>
      </c>
    </row>
    <row r="4842" spans="1:23" x14ac:dyDescent="0.25">
      <c r="A4842">
        <v>4841</v>
      </c>
      <c r="B4842" t="s">
        <v>10501</v>
      </c>
      <c r="C4842" s="1">
        <v>41962</v>
      </c>
      <c r="D4842" s="1">
        <v>41967</v>
      </c>
      <c r="E4842" t="s">
        <v>49</v>
      </c>
      <c r="F4842" t="s">
        <v>5137</v>
      </c>
      <c r="G4842" t="s">
        <v>5138</v>
      </c>
      <c r="H4842" t="s">
        <v>25</v>
      </c>
      <c r="I4842" t="s">
        <v>26</v>
      </c>
      <c r="J4842" t="s">
        <v>10502</v>
      </c>
      <c r="K4842" t="s">
        <v>226</v>
      </c>
      <c r="L4842">
        <v>55433</v>
      </c>
      <c r="M4842" t="s">
        <v>104</v>
      </c>
      <c r="N4842" t="s">
        <v>4403</v>
      </c>
      <c r="O4842" t="s">
        <v>45</v>
      </c>
      <c r="P4842" t="s">
        <v>58</v>
      </c>
      <c r="Q4842" t="s">
        <v>4404</v>
      </c>
      <c r="R4842">
        <v>221.16</v>
      </c>
      <c r="S4842">
        <v>4</v>
      </c>
      <c r="T4842">
        <v>0</v>
      </c>
      <c r="U4842">
        <v>57.501600000000003</v>
      </c>
      <c r="V4842" t="str">
        <f t="shared" si="75"/>
        <v>Mitch Webber</v>
      </c>
      <c r="W4842">
        <f>Table2[Profit]/Table2[Sales]</f>
        <v>0.26</v>
      </c>
    </row>
    <row r="4843" spans="1:23" x14ac:dyDescent="0.25">
      <c r="A4843">
        <v>4842</v>
      </c>
      <c r="B4843" t="s">
        <v>10503</v>
      </c>
      <c r="C4843" s="1">
        <v>42700</v>
      </c>
      <c r="D4843" s="1">
        <v>42704</v>
      </c>
      <c r="E4843" t="s">
        <v>49</v>
      </c>
      <c r="F4843" t="s">
        <v>2721</v>
      </c>
      <c r="G4843" t="s">
        <v>2722</v>
      </c>
      <c r="H4843" t="s">
        <v>25</v>
      </c>
      <c r="I4843" t="s">
        <v>26</v>
      </c>
      <c r="J4843" t="s">
        <v>41</v>
      </c>
      <c r="K4843" t="s">
        <v>42</v>
      </c>
      <c r="L4843">
        <v>90045</v>
      </c>
      <c r="M4843" t="s">
        <v>43</v>
      </c>
      <c r="N4843" t="s">
        <v>4916</v>
      </c>
      <c r="O4843" t="s">
        <v>31</v>
      </c>
      <c r="P4843" t="s">
        <v>32</v>
      </c>
      <c r="Q4843" t="s">
        <v>4917</v>
      </c>
      <c r="R4843">
        <v>3406.6640000000002</v>
      </c>
      <c r="S4843">
        <v>8</v>
      </c>
      <c r="T4843">
        <v>0.15</v>
      </c>
      <c r="U4843">
        <v>160.31360000000001</v>
      </c>
      <c r="V4843" t="str">
        <f t="shared" si="75"/>
        <v>Maribeth Schnelling</v>
      </c>
      <c r="W4843">
        <f>Table2[Profit]/Table2[Sales]</f>
        <v>4.7058823529411764E-2</v>
      </c>
    </row>
    <row r="4844" spans="1:23" x14ac:dyDescent="0.25">
      <c r="A4844">
        <v>4843</v>
      </c>
      <c r="B4844" t="s">
        <v>10504</v>
      </c>
      <c r="C4844" s="1">
        <v>42758</v>
      </c>
      <c r="D4844" s="1">
        <v>42762</v>
      </c>
      <c r="E4844" t="s">
        <v>49</v>
      </c>
      <c r="F4844" t="s">
        <v>99</v>
      </c>
      <c r="G4844" t="s">
        <v>100</v>
      </c>
      <c r="H4844" t="s">
        <v>101</v>
      </c>
      <c r="I4844" t="s">
        <v>26</v>
      </c>
      <c r="J4844" t="s">
        <v>1299</v>
      </c>
      <c r="K4844" t="s">
        <v>303</v>
      </c>
      <c r="L4844">
        <v>85705</v>
      </c>
      <c r="M4844" t="s">
        <v>43</v>
      </c>
      <c r="N4844" t="s">
        <v>6764</v>
      </c>
      <c r="O4844" t="s">
        <v>70</v>
      </c>
      <c r="P4844" t="s">
        <v>158</v>
      </c>
      <c r="Q4844" t="s">
        <v>6765</v>
      </c>
      <c r="R4844">
        <v>95.983999999999995</v>
      </c>
      <c r="S4844">
        <v>2</v>
      </c>
      <c r="T4844">
        <v>0.2</v>
      </c>
      <c r="U4844">
        <v>11.997999999999999</v>
      </c>
      <c r="V4844" t="str">
        <f t="shared" si="75"/>
        <v>Harold Pawlan</v>
      </c>
      <c r="W4844">
        <f>Table2[Profit]/Table2[Sales]</f>
        <v>0.125</v>
      </c>
    </row>
    <row r="4845" spans="1:23" x14ac:dyDescent="0.25">
      <c r="A4845">
        <v>4844</v>
      </c>
      <c r="B4845" t="s">
        <v>10505</v>
      </c>
      <c r="C4845" s="1">
        <v>41904</v>
      </c>
      <c r="D4845" s="1">
        <v>41911</v>
      </c>
      <c r="E4845" t="s">
        <v>49</v>
      </c>
      <c r="F4845" t="s">
        <v>4610</v>
      </c>
      <c r="G4845" t="s">
        <v>4611</v>
      </c>
      <c r="H4845" t="s">
        <v>25</v>
      </c>
      <c r="I4845" t="s">
        <v>26</v>
      </c>
      <c r="J4845" t="s">
        <v>263</v>
      </c>
      <c r="K4845" t="s">
        <v>264</v>
      </c>
      <c r="L4845">
        <v>10035</v>
      </c>
      <c r="M4845" t="s">
        <v>145</v>
      </c>
      <c r="N4845" t="s">
        <v>5729</v>
      </c>
      <c r="O4845" t="s">
        <v>31</v>
      </c>
      <c r="P4845" t="s">
        <v>64</v>
      </c>
      <c r="Q4845" t="s">
        <v>5730</v>
      </c>
      <c r="R4845">
        <v>97.44</v>
      </c>
      <c r="S4845">
        <v>3</v>
      </c>
      <c r="T4845">
        <v>0</v>
      </c>
      <c r="U4845">
        <v>35.078400000000002</v>
      </c>
      <c r="V4845" t="str">
        <f t="shared" si="75"/>
        <v>Adam Shillingsburg</v>
      </c>
      <c r="W4845">
        <f>Table2[Profit]/Table2[Sales]</f>
        <v>0.36000000000000004</v>
      </c>
    </row>
    <row r="4846" spans="1:23" x14ac:dyDescent="0.25">
      <c r="A4846">
        <v>4845</v>
      </c>
      <c r="B4846" t="s">
        <v>10506</v>
      </c>
      <c r="C4846" s="1">
        <v>41724</v>
      </c>
      <c r="D4846" s="1">
        <v>41728</v>
      </c>
      <c r="E4846" t="s">
        <v>22</v>
      </c>
      <c r="F4846" t="s">
        <v>3884</v>
      </c>
      <c r="G4846" t="s">
        <v>3885</v>
      </c>
      <c r="H4846" t="s">
        <v>25</v>
      </c>
      <c r="I4846" t="s">
        <v>26</v>
      </c>
      <c r="J4846" t="s">
        <v>3955</v>
      </c>
      <c r="K4846" t="s">
        <v>42</v>
      </c>
      <c r="L4846">
        <v>91767</v>
      </c>
      <c r="M4846" t="s">
        <v>43</v>
      </c>
      <c r="N4846" t="s">
        <v>6576</v>
      </c>
      <c r="O4846" t="s">
        <v>45</v>
      </c>
      <c r="P4846" t="s">
        <v>46</v>
      </c>
      <c r="Q4846" t="s">
        <v>6577</v>
      </c>
      <c r="R4846">
        <v>18.75</v>
      </c>
      <c r="S4846">
        <v>5</v>
      </c>
      <c r="T4846">
        <v>0</v>
      </c>
      <c r="U4846">
        <v>9</v>
      </c>
      <c r="V4846" t="str">
        <f t="shared" si="75"/>
        <v>Cindy Stewart</v>
      </c>
      <c r="W4846">
        <f>Table2[Profit]/Table2[Sales]</f>
        <v>0.48</v>
      </c>
    </row>
    <row r="4847" spans="1:23" x14ac:dyDescent="0.25">
      <c r="A4847">
        <v>4846</v>
      </c>
      <c r="B4847" t="s">
        <v>10507</v>
      </c>
      <c r="C4847" s="1">
        <v>42527</v>
      </c>
      <c r="D4847" s="1">
        <v>42532</v>
      </c>
      <c r="E4847" t="s">
        <v>49</v>
      </c>
      <c r="F4847" t="s">
        <v>3833</v>
      </c>
      <c r="G4847" t="s">
        <v>3834</v>
      </c>
      <c r="H4847" t="s">
        <v>101</v>
      </c>
      <c r="I4847" t="s">
        <v>26</v>
      </c>
      <c r="J4847" t="s">
        <v>8100</v>
      </c>
      <c r="K4847" t="s">
        <v>42</v>
      </c>
      <c r="L4847">
        <v>93101</v>
      </c>
      <c r="M4847" t="s">
        <v>43</v>
      </c>
      <c r="N4847" t="s">
        <v>6011</v>
      </c>
      <c r="O4847" t="s">
        <v>70</v>
      </c>
      <c r="P4847" t="s">
        <v>71</v>
      </c>
      <c r="Q4847" t="s">
        <v>6012</v>
      </c>
      <c r="R4847">
        <v>3023.9279999999999</v>
      </c>
      <c r="S4847">
        <v>9</v>
      </c>
      <c r="T4847">
        <v>0.2</v>
      </c>
      <c r="U4847">
        <v>226.7946</v>
      </c>
      <c r="V4847" t="str">
        <f t="shared" si="75"/>
        <v>Maria Etezadi</v>
      </c>
      <c r="W4847">
        <f>Table2[Profit]/Table2[Sales]</f>
        <v>7.4999999999999997E-2</v>
      </c>
    </row>
    <row r="4848" spans="1:23" x14ac:dyDescent="0.25">
      <c r="A4848">
        <v>4847</v>
      </c>
      <c r="B4848" t="s">
        <v>10508</v>
      </c>
      <c r="C4848" s="1">
        <v>42978</v>
      </c>
      <c r="D4848" s="1">
        <v>42983</v>
      </c>
      <c r="E4848" t="s">
        <v>49</v>
      </c>
      <c r="F4848" t="s">
        <v>3903</v>
      </c>
      <c r="G4848" t="s">
        <v>3904</v>
      </c>
      <c r="H4848" t="s">
        <v>25</v>
      </c>
      <c r="I4848" t="s">
        <v>26</v>
      </c>
      <c r="J4848" t="s">
        <v>126</v>
      </c>
      <c r="K4848" t="s">
        <v>42</v>
      </c>
      <c r="L4848">
        <v>94109</v>
      </c>
      <c r="M4848" t="s">
        <v>43</v>
      </c>
      <c r="N4848" t="s">
        <v>2132</v>
      </c>
      <c r="O4848" t="s">
        <v>45</v>
      </c>
      <c r="P4848" t="s">
        <v>58</v>
      </c>
      <c r="Q4848" t="s">
        <v>2133</v>
      </c>
      <c r="R4848">
        <v>193.95</v>
      </c>
      <c r="S4848">
        <v>3</v>
      </c>
      <c r="T4848">
        <v>0</v>
      </c>
      <c r="U4848">
        <v>9.6974999999999998</v>
      </c>
      <c r="V4848" t="str">
        <f t="shared" si="75"/>
        <v>Maxwell Schwartz</v>
      </c>
      <c r="W4848">
        <f>Table2[Profit]/Table2[Sales]</f>
        <v>0.05</v>
      </c>
    </row>
    <row r="4849" spans="1:23" x14ac:dyDescent="0.25">
      <c r="A4849">
        <v>4848</v>
      </c>
      <c r="B4849" t="s">
        <v>10509</v>
      </c>
      <c r="C4849" s="1">
        <v>42345</v>
      </c>
      <c r="D4849" s="1">
        <v>42345</v>
      </c>
      <c r="E4849" t="s">
        <v>1278</v>
      </c>
      <c r="F4849" t="s">
        <v>1005</v>
      </c>
      <c r="G4849" t="s">
        <v>1006</v>
      </c>
      <c r="H4849" t="s">
        <v>40</v>
      </c>
      <c r="I4849" t="s">
        <v>26</v>
      </c>
      <c r="J4849" t="s">
        <v>2817</v>
      </c>
      <c r="K4849" t="s">
        <v>42</v>
      </c>
      <c r="L4849">
        <v>92503</v>
      </c>
      <c r="M4849" t="s">
        <v>43</v>
      </c>
      <c r="N4849" t="s">
        <v>2486</v>
      </c>
      <c r="O4849" t="s">
        <v>45</v>
      </c>
      <c r="P4849" t="s">
        <v>89</v>
      </c>
      <c r="Q4849" t="s">
        <v>2487</v>
      </c>
      <c r="R4849">
        <v>12.96</v>
      </c>
      <c r="S4849">
        <v>2</v>
      </c>
      <c r="T4849">
        <v>0</v>
      </c>
      <c r="U4849">
        <v>6.2207999999999997</v>
      </c>
      <c r="V4849" t="str">
        <f t="shared" si="75"/>
        <v>Kristen Hastings</v>
      </c>
      <c r="W4849">
        <f>Table2[Profit]/Table2[Sales]</f>
        <v>0.47999999999999993</v>
      </c>
    </row>
    <row r="4850" spans="1:23" x14ac:dyDescent="0.25">
      <c r="A4850">
        <v>4849</v>
      </c>
      <c r="B4850" t="s">
        <v>10510</v>
      </c>
      <c r="C4850" s="1">
        <v>43055</v>
      </c>
      <c r="D4850" s="1">
        <v>43059</v>
      </c>
      <c r="E4850" t="s">
        <v>49</v>
      </c>
      <c r="F4850" t="s">
        <v>558</v>
      </c>
      <c r="G4850" t="s">
        <v>559</v>
      </c>
      <c r="H4850" t="s">
        <v>25</v>
      </c>
      <c r="I4850" t="s">
        <v>26</v>
      </c>
      <c r="J4850" t="s">
        <v>41</v>
      </c>
      <c r="K4850" t="s">
        <v>42</v>
      </c>
      <c r="L4850">
        <v>90049</v>
      </c>
      <c r="M4850" t="s">
        <v>43</v>
      </c>
      <c r="N4850" t="s">
        <v>3395</v>
      </c>
      <c r="O4850" t="s">
        <v>31</v>
      </c>
      <c r="P4850" t="s">
        <v>64</v>
      </c>
      <c r="Q4850" t="s">
        <v>3396</v>
      </c>
      <c r="R4850">
        <v>119.94</v>
      </c>
      <c r="S4850">
        <v>3</v>
      </c>
      <c r="T4850">
        <v>0</v>
      </c>
      <c r="U4850">
        <v>23.988</v>
      </c>
      <c r="V4850" t="str">
        <f t="shared" si="75"/>
        <v>Lena Creighton</v>
      </c>
      <c r="W4850">
        <f>Table2[Profit]/Table2[Sales]</f>
        <v>0.2</v>
      </c>
    </row>
    <row r="4851" spans="1:23" x14ac:dyDescent="0.25">
      <c r="A4851">
        <v>4850</v>
      </c>
      <c r="B4851" t="s">
        <v>10511</v>
      </c>
      <c r="C4851" s="1">
        <v>42483</v>
      </c>
      <c r="D4851" s="1">
        <v>42487</v>
      </c>
      <c r="E4851" t="s">
        <v>49</v>
      </c>
      <c r="F4851" t="s">
        <v>4974</v>
      </c>
      <c r="G4851" t="s">
        <v>4975</v>
      </c>
      <c r="H4851" t="s">
        <v>25</v>
      </c>
      <c r="I4851" t="s">
        <v>26</v>
      </c>
      <c r="J4851" t="s">
        <v>10512</v>
      </c>
      <c r="K4851" t="s">
        <v>42</v>
      </c>
      <c r="L4851">
        <v>92672</v>
      </c>
      <c r="M4851" t="s">
        <v>43</v>
      </c>
      <c r="N4851" t="s">
        <v>1938</v>
      </c>
      <c r="O4851" t="s">
        <v>45</v>
      </c>
      <c r="P4851" t="s">
        <v>74</v>
      </c>
      <c r="Q4851" t="s">
        <v>1939</v>
      </c>
      <c r="R4851">
        <v>18.088000000000001</v>
      </c>
      <c r="S4851">
        <v>7</v>
      </c>
      <c r="T4851">
        <v>0.2</v>
      </c>
      <c r="U4851">
        <v>6.5568999999999997</v>
      </c>
      <c r="V4851" t="str">
        <f t="shared" si="75"/>
        <v>Art Ferguson</v>
      </c>
      <c r="W4851">
        <f>Table2[Profit]/Table2[Sales]</f>
        <v>0.36249999999999999</v>
      </c>
    </row>
    <row r="4852" spans="1:23" x14ac:dyDescent="0.25">
      <c r="A4852">
        <v>4851</v>
      </c>
      <c r="B4852" t="s">
        <v>10513</v>
      </c>
      <c r="C4852" s="1">
        <v>42827</v>
      </c>
      <c r="D4852" s="1">
        <v>42831</v>
      </c>
      <c r="E4852" t="s">
        <v>49</v>
      </c>
      <c r="F4852" t="s">
        <v>7089</v>
      </c>
      <c r="G4852" t="s">
        <v>7090</v>
      </c>
      <c r="H4852" t="s">
        <v>25</v>
      </c>
      <c r="I4852" t="s">
        <v>26</v>
      </c>
      <c r="J4852" t="s">
        <v>350</v>
      </c>
      <c r="K4852" t="s">
        <v>351</v>
      </c>
      <c r="L4852">
        <v>35601</v>
      </c>
      <c r="M4852" t="s">
        <v>29</v>
      </c>
      <c r="N4852" t="s">
        <v>2461</v>
      </c>
      <c r="O4852" t="s">
        <v>45</v>
      </c>
      <c r="P4852" t="s">
        <v>46</v>
      </c>
      <c r="Q4852" t="s">
        <v>2462</v>
      </c>
      <c r="R4852">
        <v>14.94</v>
      </c>
      <c r="S4852">
        <v>3</v>
      </c>
      <c r="T4852">
        <v>0</v>
      </c>
      <c r="U4852">
        <v>6.8723999999999998</v>
      </c>
      <c r="V4852" t="str">
        <f t="shared" si="75"/>
        <v>Amy Hunt</v>
      </c>
      <c r="W4852">
        <f>Table2[Profit]/Table2[Sales]</f>
        <v>0.46</v>
      </c>
    </row>
    <row r="4853" spans="1:23" x14ac:dyDescent="0.25">
      <c r="A4853">
        <v>4852</v>
      </c>
      <c r="B4853" t="s">
        <v>10514</v>
      </c>
      <c r="C4853" s="1">
        <v>42229</v>
      </c>
      <c r="D4853" s="1">
        <v>42231</v>
      </c>
      <c r="E4853" t="s">
        <v>185</v>
      </c>
      <c r="F4853" t="s">
        <v>1165</v>
      </c>
      <c r="G4853" t="s">
        <v>1166</v>
      </c>
      <c r="H4853" t="s">
        <v>40</v>
      </c>
      <c r="I4853" t="s">
        <v>26</v>
      </c>
      <c r="J4853" t="s">
        <v>4396</v>
      </c>
      <c r="K4853" t="s">
        <v>87</v>
      </c>
      <c r="L4853">
        <v>27405</v>
      </c>
      <c r="M4853" t="s">
        <v>29</v>
      </c>
      <c r="N4853" t="s">
        <v>4613</v>
      </c>
      <c r="O4853" t="s">
        <v>45</v>
      </c>
      <c r="P4853" t="s">
        <v>67</v>
      </c>
      <c r="Q4853" t="s">
        <v>4614</v>
      </c>
      <c r="R4853">
        <v>64.680000000000007</v>
      </c>
      <c r="S4853">
        <v>7</v>
      </c>
      <c r="T4853">
        <v>0.2</v>
      </c>
      <c r="U4853">
        <v>8.0850000000000009</v>
      </c>
      <c r="V4853" t="str">
        <f t="shared" si="75"/>
        <v>Grace Kelly</v>
      </c>
      <c r="W4853">
        <f>Table2[Profit]/Table2[Sales]</f>
        <v>0.125</v>
      </c>
    </row>
    <row r="4854" spans="1:23" x14ac:dyDescent="0.25">
      <c r="A4854">
        <v>4853</v>
      </c>
      <c r="B4854" t="s">
        <v>10515</v>
      </c>
      <c r="C4854" s="1">
        <v>43052</v>
      </c>
      <c r="D4854" s="1">
        <v>43058</v>
      </c>
      <c r="E4854" t="s">
        <v>49</v>
      </c>
      <c r="F4854" t="s">
        <v>909</v>
      </c>
      <c r="G4854" t="s">
        <v>910</v>
      </c>
      <c r="H4854" t="s">
        <v>25</v>
      </c>
      <c r="I4854" t="s">
        <v>26</v>
      </c>
      <c r="J4854" t="s">
        <v>859</v>
      </c>
      <c r="K4854" t="s">
        <v>42</v>
      </c>
      <c r="L4854">
        <v>94568</v>
      </c>
      <c r="M4854" t="s">
        <v>43</v>
      </c>
      <c r="N4854" t="s">
        <v>3405</v>
      </c>
      <c r="O4854" t="s">
        <v>70</v>
      </c>
      <c r="P4854" t="s">
        <v>71</v>
      </c>
      <c r="Q4854" t="s">
        <v>3406</v>
      </c>
      <c r="R4854">
        <v>22</v>
      </c>
      <c r="S4854">
        <v>5</v>
      </c>
      <c r="T4854">
        <v>0.2</v>
      </c>
      <c r="U4854">
        <v>1.375</v>
      </c>
      <c r="V4854" t="str">
        <f t="shared" si="75"/>
        <v>Ken Lonsdale</v>
      </c>
      <c r="W4854">
        <f>Table2[Profit]/Table2[Sales]</f>
        <v>6.25E-2</v>
      </c>
    </row>
    <row r="4855" spans="1:23" x14ac:dyDescent="0.25">
      <c r="A4855">
        <v>4854</v>
      </c>
      <c r="B4855" t="s">
        <v>10516</v>
      </c>
      <c r="C4855" s="1">
        <v>42727</v>
      </c>
      <c r="D4855" s="1">
        <v>42732</v>
      </c>
      <c r="E4855" t="s">
        <v>49</v>
      </c>
      <c r="F4855" t="s">
        <v>744</v>
      </c>
      <c r="G4855" t="s">
        <v>745</v>
      </c>
      <c r="H4855" t="s">
        <v>101</v>
      </c>
      <c r="I4855" t="s">
        <v>26</v>
      </c>
      <c r="J4855" t="s">
        <v>143</v>
      </c>
      <c r="K4855" t="s">
        <v>144</v>
      </c>
      <c r="L4855">
        <v>19143</v>
      </c>
      <c r="M4855" t="s">
        <v>145</v>
      </c>
      <c r="N4855" t="s">
        <v>4839</v>
      </c>
      <c r="O4855" t="s">
        <v>45</v>
      </c>
      <c r="P4855" t="s">
        <v>89</v>
      </c>
      <c r="Q4855" t="s">
        <v>4840</v>
      </c>
      <c r="R4855">
        <v>7.968</v>
      </c>
      <c r="S4855">
        <v>2</v>
      </c>
      <c r="T4855">
        <v>0.2</v>
      </c>
      <c r="U4855">
        <v>2.6892</v>
      </c>
      <c r="V4855" t="str">
        <f t="shared" si="75"/>
        <v>Frank Merwin</v>
      </c>
      <c r="W4855">
        <f>Table2[Profit]/Table2[Sales]</f>
        <v>0.33750000000000002</v>
      </c>
    </row>
    <row r="4856" spans="1:23" x14ac:dyDescent="0.25">
      <c r="A4856">
        <v>4855</v>
      </c>
      <c r="B4856" t="s">
        <v>10517</v>
      </c>
      <c r="C4856" s="1">
        <v>41842</v>
      </c>
      <c r="D4856" s="1">
        <v>41844</v>
      </c>
      <c r="E4856" t="s">
        <v>22</v>
      </c>
      <c r="F4856" t="s">
        <v>1190</v>
      </c>
      <c r="G4856" t="s">
        <v>1191</v>
      </c>
      <c r="H4856" t="s">
        <v>25</v>
      </c>
      <c r="I4856" t="s">
        <v>26</v>
      </c>
      <c r="J4856" t="s">
        <v>181</v>
      </c>
      <c r="K4856" t="s">
        <v>103</v>
      </c>
      <c r="L4856">
        <v>77095</v>
      </c>
      <c r="M4856" t="s">
        <v>104</v>
      </c>
      <c r="N4856" t="s">
        <v>5160</v>
      </c>
      <c r="O4856" t="s">
        <v>45</v>
      </c>
      <c r="P4856" t="s">
        <v>58</v>
      </c>
      <c r="Q4856" t="s">
        <v>5161</v>
      </c>
      <c r="R4856">
        <v>26.632000000000001</v>
      </c>
      <c r="S4856">
        <v>1</v>
      </c>
      <c r="T4856">
        <v>0.2</v>
      </c>
      <c r="U4856">
        <v>1.3315999999999999</v>
      </c>
      <c r="V4856" t="str">
        <f t="shared" si="75"/>
        <v>John Lucas</v>
      </c>
      <c r="W4856">
        <f>Table2[Profit]/Table2[Sales]</f>
        <v>4.9999999999999996E-2</v>
      </c>
    </row>
    <row r="4857" spans="1:23" x14ac:dyDescent="0.25">
      <c r="A4857">
        <v>4856</v>
      </c>
      <c r="B4857" t="s">
        <v>10518</v>
      </c>
      <c r="C4857" s="1">
        <v>42496</v>
      </c>
      <c r="D4857" s="1">
        <v>42500</v>
      </c>
      <c r="E4857" t="s">
        <v>49</v>
      </c>
      <c r="F4857" t="s">
        <v>3506</v>
      </c>
      <c r="G4857" t="s">
        <v>3507</v>
      </c>
      <c r="H4857" t="s">
        <v>25</v>
      </c>
      <c r="I4857" t="s">
        <v>26</v>
      </c>
      <c r="J4857" t="s">
        <v>5826</v>
      </c>
      <c r="K4857" t="s">
        <v>42</v>
      </c>
      <c r="L4857">
        <v>93309</v>
      </c>
      <c r="M4857" t="s">
        <v>43</v>
      </c>
      <c r="N4857" t="s">
        <v>4558</v>
      </c>
      <c r="O4857" t="s">
        <v>31</v>
      </c>
      <c r="P4857" t="s">
        <v>64</v>
      </c>
      <c r="Q4857" t="s">
        <v>4559</v>
      </c>
      <c r="R4857">
        <v>41.6</v>
      </c>
      <c r="S4857">
        <v>4</v>
      </c>
      <c r="T4857">
        <v>0</v>
      </c>
      <c r="U4857">
        <v>14.144</v>
      </c>
      <c r="V4857" t="str">
        <f t="shared" si="75"/>
        <v>Gene McClure</v>
      </c>
      <c r="W4857">
        <f>Table2[Profit]/Table2[Sales]</f>
        <v>0.33999999999999997</v>
      </c>
    </row>
    <row r="4858" spans="1:23" x14ac:dyDescent="0.25">
      <c r="A4858">
        <v>4857</v>
      </c>
      <c r="B4858" t="s">
        <v>10519</v>
      </c>
      <c r="C4858" s="1">
        <v>41971</v>
      </c>
      <c r="D4858" s="1">
        <v>41976</v>
      </c>
      <c r="E4858" t="s">
        <v>49</v>
      </c>
      <c r="F4858" t="s">
        <v>5614</v>
      </c>
      <c r="G4858" t="s">
        <v>5615</v>
      </c>
      <c r="H4858" t="s">
        <v>40</v>
      </c>
      <c r="I4858" t="s">
        <v>26</v>
      </c>
      <c r="J4858" t="s">
        <v>1450</v>
      </c>
      <c r="K4858" t="s">
        <v>251</v>
      </c>
      <c r="L4858">
        <v>47374</v>
      </c>
      <c r="M4858" t="s">
        <v>104</v>
      </c>
      <c r="N4858" t="s">
        <v>2937</v>
      </c>
      <c r="O4858" t="s">
        <v>45</v>
      </c>
      <c r="P4858" t="s">
        <v>170</v>
      </c>
      <c r="Q4858" t="s">
        <v>2938</v>
      </c>
      <c r="R4858">
        <v>64.02</v>
      </c>
      <c r="S4858">
        <v>6</v>
      </c>
      <c r="T4858">
        <v>0</v>
      </c>
      <c r="U4858">
        <v>29.449200000000001</v>
      </c>
      <c r="V4858" t="str">
        <f t="shared" si="75"/>
        <v>Matthew Clasen</v>
      </c>
      <c r="W4858">
        <f>Table2[Profit]/Table2[Sales]</f>
        <v>0.46</v>
      </c>
    </row>
    <row r="4859" spans="1:23" x14ac:dyDescent="0.25">
      <c r="A4859">
        <v>4858</v>
      </c>
      <c r="B4859" t="s">
        <v>10520</v>
      </c>
      <c r="C4859" s="1">
        <v>42478</v>
      </c>
      <c r="D4859" s="1">
        <v>42483</v>
      </c>
      <c r="E4859" t="s">
        <v>49</v>
      </c>
      <c r="F4859" t="s">
        <v>6430</v>
      </c>
      <c r="G4859" t="s">
        <v>6431</v>
      </c>
      <c r="H4859" t="s">
        <v>40</v>
      </c>
      <c r="I4859" t="s">
        <v>26</v>
      </c>
      <c r="J4859" t="s">
        <v>263</v>
      </c>
      <c r="K4859" t="s">
        <v>264</v>
      </c>
      <c r="L4859">
        <v>10009</v>
      </c>
      <c r="M4859" t="s">
        <v>145</v>
      </c>
      <c r="N4859" t="s">
        <v>1454</v>
      </c>
      <c r="O4859" t="s">
        <v>45</v>
      </c>
      <c r="P4859" t="s">
        <v>67</v>
      </c>
      <c r="Q4859" t="s">
        <v>1455</v>
      </c>
      <c r="R4859">
        <v>6.99</v>
      </c>
      <c r="S4859">
        <v>3</v>
      </c>
      <c r="T4859">
        <v>0</v>
      </c>
      <c r="U4859">
        <v>2.0270999999999999</v>
      </c>
      <c r="V4859" t="str">
        <f t="shared" si="75"/>
        <v>Cindy Schnelling</v>
      </c>
      <c r="W4859">
        <f>Table2[Profit]/Table2[Sales]</f>
        <v>0.28999999999999998</v>
      </c>
    </row>
    <row r="4860" spans="1:23" x14ac:dyDescent="0.25">
      <c r="A4860">
        <v>4859</v>
      </c>
      <c r="B4860" t="s">
        <v>10521</v>
      </c>
      <c r="C4860" s="1">
        <v>42365</v>
      </c>
      <c r="D4860" s="1">
        <v>42369</v>
      </c>
      <c r="E4860" t="s">
        <v>49</v>
      </c>
      <c r="F4860" t="s">
        <v>6269</v>
      </c>
      <c r="G4860" t="s">
        <v>6270</v>
      </c>
      <c r="H4860" t="s">
        <v>40</v>
      </c>
      <c r="I4860" t="s">
        <v>26</v>
      </c>
      <c r="J4860" t="s">
        <v>126</v>
      </c>
      <c r="K4860" t="s">
        <v>42</v>
      </c>
      <c r="L4860">
        <v>94122</v>
      </c>
      <c r="M4860" t="s">
        <v>43</v>
      </c>
      <c r="N4860" t="s">
        <v>2951</v>
      </c>
      <c r="O4860" t="s">
        <v>45</v>
      </c>
      <c r="P4860" t="s">
        <v>58</v>
      </c>
      <c r="Q4860" t="s">
        <v>2952</v>
      </c>
      <c r="R4860">
        <v>323.10000000000002</v>
      </c>
      <c r="S4860">
        <v>2</v>
      </c>
      <c r="T4860">
        <v>0</v>
      </c>
      <c r="U4860">
        <v>61.389000000000003</v>
      </c>
      <c r="V4860" t="str">
        <f t="shared" si="75"/>
        <v>Aaron Hawkins</v>
      </c>
      <c r="W4860">
        <f>Table2[Profit]/Table2[Sales]</f>
        <v>0.19</v>
      </c>
    </row>
    <row r="4861" spans="1:23" x14ac:dyDescent="0.25">
      <c r="A4861">
        <v>4860</v>
      </c>
      <c r="B4861" t="s">
        <v>10522</v>
      </c>
      <c r="C4861" s="1">
        <v>43082</v>
      </c>
      <c r="D4861" s="1">
        <v>43087</v>
      </c>
      <c r="E4861" t="s">
        <v>49</v>
      </c>
      <c r="F4861" t="s">
        <v>1803</v>
      </c>
      <c r="G4861" t="s">
        <v>1804</v>
      </c>
      <c r="H4861" t="s">
        <v>25</v>
      </c>
      <c r="I4861" t="s">
        <v>26</v>
      </c>
      <c r="J4861" t="s">
        <v>126</v>
      </c>
      <c r="K4861" t="s">
        <v>42</v>
      </c>
      <c r="L4861">
        <v>94122</v>
      </c>
      <c r="M4861" t="s">
        <v>43</v>
      </c>
      <c r="N4861" t="s">
        <v>5494</v>
      </c>
      <c r="O4861" t="s">
        <v>45</v>
      </c>
      <c r="P4861" t="s">
        <v>46</v>
      </c>
      <c r="Q4861" t="s">
        <v>5495</v>
      </c>
      <c r="R4861">
        <v>8.64</v>
      </c>
      <c r="S4861">
        <v>3</v>
      </c>
      <c r="T4861">
        <v>0</v>
      </c>
      <c r="U4861">
        <v>4.2336</v>
      </c>
      <c r="V4861" t="str">
        <f t="shared" si="75"/>
        <v>Emily Phan</v>
      </c>
      <c r="W4861">
        <f>Table2[Profit]/Table2[Sales]</f>
        <v>0.49</v>
      </c>
    </row>
    <row r="4862" spans="1:23" x14ac:dyDescent="0.25">
      <c r="A4862">
        <v>4861</v>
      </c>
      <c r="B4862" t="s">
        <v>10523</v>
      </c>
      <c r="C4862" s="1">
        <v>42737</v>
      </c>
      <c r="D4862" s="1">
        <v>42739</v>
      </c>
      <c r="E4862" t="s">
        <v>22</v>
      </c>
      <c r="F4862" t="s">
        <v>9345</v>
      </c>
      <c r="G4862" t="s">
        <v>9346</v>
      </c>
      <c r="H4862" t="s">
        <v>40</v>
      </c>
      <c r="I4862" t="s">
        <v>26</v>
      </c>
      <c r="J4862" t="s">
        <v>41</v>
      </c>
      <c r="K4862" t="s">
        <v>42</v>
      </c>
      <c r="L4862">
        <v>90032</v>
      </c>
      <c r="M4862" t="s">
        <v>43</v>
      </c>
      <c r="N4862" t="s">
        <v>5425</v>
      </c>
      <c r="O4862" t="s">
        <v>70</v>
      </c>
      <c r="P4862" t="s">
        <v>158</v>
      </c>
      <c r="Q4862" t="s">
        <v>5426</v>
      </c>
      <c r="R4862">
        <v>16.59</v>
      </c>
      <c r="S4862">
        <v>1</v>
      </c>
      <c r="T4862">
        <v>0</v>
      </c>
      <c r="U4862">
        <v>5.8064999999999998</v>
      </c>
      <c r="V4862" t="str">
        <f t="shared" si="75"/>
        <v>Fred Wasserman</v>
      </c>
      <c r="W4862">
        <f>Table2[Profit]/Table2[Sales]</f>
        <v>0.35</v>
      </c>
    </row>
    <row r="4863" spans="1:23" x14ac:dyDescent="0.25">
      <c r="A4863">
        <v>4862</v>
      </c>
      <c r="B4863" t="s">
        <v>10524</v>
      </c>
      <c r="C4863" s="1">
        <v>42885</v>
      </c>
      <c r="D4863" s="1">
        <v>42889</v>
      </c>
      <c r="E4863" t="s">
        <v>49</v>
      </c>
      <c r="F4863" t="s">
        <v>4852</v>
      </c>
      <c r="G4863" t="s">
        <v>4853</v>
      </c>
      <c r="H4863" t="s">
        <v>25</v>
      </c>
      <c r="I4863" t="s">
        <v>26</v>
      </c>
      <c r="J4863" t="s">
        <v>941</v>
      </c>
      <c r="K4863" t="s">
        <v>42</v>
      </c>
      <c r="L4863">
        <v>92037</v>
      </c>
      <c r="M4863" t="s">
        <v>43</v>
      </c>
      <c r="N4863" t="s">
        <v>2421</v>
      </c>
      <c r="O4863" t="s">
        <v>45</v>
      </c>
      <c r="P4863" t="s">
        <v>67</v>
      </c>
      <c r="Q4863" t="s">
        <v>2422</v>
      </c>
      <c r="R4863">
        <v>35.1</v>
      </c>
      <c r="S4863">
        <v>6</v>
      </c>
      <c r="T4863">
        <v>0</v>
      </c>
      <c r="U4863">
        <v>10.179</v>
      </c>
      <c r="V4863" t="str">
        <f t="shared" si="75"/>
        <v>Kelly Andreada</v>
      </c>
      <c r="W4863">
        <f>Table2[Profit]/Table2[Sales]</f>
        <v>0.28999999999999998</v>
      </c>
    </row>
    <row r="4864" spans="1:23" x14ac:dyDescent="0.25">
      <c r="A4864">
        <v>4863</v>
      </c>
      <c r="B4864" t="s">
        <v>10525</v>
      </c>
      <c r="C4864" s="1">
        <v>43008</v>
      </c>
      <c r="D4864" s="1">
        <v>43014</v>
      </c>
      <c r="E4864" t="s">
        <v>49</v>
      </c>
      <c r="F4864" t="s">
        <v>2760</v>
      </c>
      <c r="G4864" t="s">
        <v>2761</v>
      </c>
      <c r="H4864" t="s">
        <v>101</v>
      </c>
      <c r="I4864" t="s">
        <v>26</v>
      </c>
      <c r="J4864" t="s">
        <v>1119</v>
      </c>
      <c r="K4864" t="s">
        <v>103</v>
      </c>
      <c r="L4864">
        <v>76017</v>
      </c>
      <c r="M4864" t="s">
        <v>104</v>
      </c>
      <c r="N4864" t="s">
        <v>2412</v>
      </c>
      <c r="O4864" t="s">
        <v>45</v>
      </c>
      <c r="P4864" t="s">
        <v>74</v>
      </c>
      <c r="Q4864" t="s">
        <v>2413</v>
      </c>
      <c r="R4864">
        <v>11.646000000000001</v>
      </c>
      <c r="S4864">
        <v>9</v>
      </c>
      <c r="T4864">
        <v>0.8</v>
      </c>
      <c r="U4864">
        <v>-17.469000000000001</v>
      </c>
      <c r="V4864" t="str">
        <f t="shared" si="75"/>
        <v>Sample Company A</v>
      </c>
      <c r="W4864">
        <f>Table2[Profit]/Table2[Sales]</f>
        <v>-1.5</v>
      </c>
    </row>
    <row r="4865" spans="1:23" x14ac:dyDescent="0.25">
      <c r="A4865">
        <v>4864</v>
      </c>
      <c r="B4865" t="s">
        <v>10526</v>
      </c>
      <c r="C4865" s="1">
        <v>42906</v>
      </c>
      <c r="D4865" s="1">
        <v>42913</v>
      </c>
      <c r="E4865" t="s">
        <v>49</v>
      </c>
      <c r="F4865" t="s">
        <v>380</v>
      </c>
      <c r="G4865" t="s">
        <v>381</v>
      </c>
      <c r="H4865" t="s">
        <v>25</v>
      </c>
      <c r="I4865" t="s">
        <v>26</v>
      </c>
      <c r="J4865" t="s">
        <v>1450</v>
      </c>
      <c r="K4865" t="s">
        <v>312</v>
      </c>
      <c r="L4865">
        <v>23223</v>
      </c>
      <c r="M4865" t="s">
        <v>29</v>
      </c>
      <c r="N4865" t="s">
        <v>6137</v>
      </c>
      <c r="O4865" t="s">
        <v>45</v>
      </c>
      <c r="P4865" t="s">
        <v>89</v>
      </c>
      <c r="Q4865" t="s">
        <v>6138</v>
      </c>
      <c r="R4865">
        <v>32.4</v>
      </c>
      <c r="S4865">
        <v>5</v>
      </c>
      <c r="T4865">
        <v>0</v>
      </c>
      <c r="U4865">
        <v>15.552</v>
      </c>
      <c r="V4865" t="str">
        <f t="shared" si="75"/>
        <v>Paul Gonzalez</v>
      </c>
      <c r="W4865">
        <f>Table2[Profit]/Table2[Sales]</f>
        <v>0.48</v>
      </c>
    </row>
    <row r="4866" spans="1:23" x14ac:dyDescent="0.25">
      <c r="A4866">
        <v>4865</v>
      </c>
      <c r="B4866" t="s">
        <v>10527</v>
      </c>
      <c r="C4866" s="1">
        <v>42829</v>
      </c>
      <c r="D4866" s="1">
        <v>42830</v>
      </c>
      <c r="E4866" t="s">
        <v>185</v>
      </c>
      <c r="F4866" t="s">
        <v>5617</v>
      </c>
      <c r="G4866" t="s">
        <v>5618</v>
      </c>
      <c r="H4866" t="s">
        <v>101</v>
      </c>
      <c r="I4866" t="s">
        <v>26</v>
      </c>
      <c r="J4866" t="s">
        <v>263</v>
      </c>
      <c r="K4866" t="s">
        <v>264</v>
      </c>
      <c r="L4866">
        <v>10035</v>
      </c>
      <c r="M4866" t="s">
        <v>145</v>
      </c>
      <c r="N4866" t="s">
        <v>3175</v>
      </c>
      <c r="O4866" t="s">
        <v>45</v>
      </c>
      <c r="P4866" t="s">
        <v>67</v>
      </c>
      <c r="Q4866" t="s">
        <v>3176</v>
      </c>
      <c r="R4866">
        <v>7.04</v>
      </c>
      <c r="S4866">
        <v>4</v>
      </c>
      <c r="T4866">
        <v>0</v>
      </c>
      <c r="U4866">
        <v>2.0415999999999999</v>
      </c>
      <c r="V4866" t="str">
        <f t="shared" si="75"/>
        <v>Tom Ashbrook</v>
      </c>
      <c r="W4866">
        <f>Table2[Profit]/Table2[Sales]</f>
        <v>0.28999999999999998</v>
      </c>
    </row>
    <row r="4867" spans="1:23" x14ac:dyDescent="0.25">
      <c r="A4867">
        <v>4866</v>
      </c>
      <c r="B4867" t="s">
        <v>10528</v>
      </c>
      <c r="C4867" s="1">
        <v>42321</v>
      </c>
      <c r="D4867" s="1">
        <v>42325</v>
      </c>
      <c r="E4867" t="s">
        <v>49</v>
      </c>
      <c r="F4867" t="s">
        <v>1177</v>
      </c>
      <c r="G4867" t="s">
        <v>1178</v>
      </c>
      <c r="H4867" t="s">
        <v>25</v>
      </c>
      <c r="I4867" t="s">
        <v>26</v>
      </c>
      <c r="J4867" t="s">
        <v>181</v>
      </c>
      <c r="K4867" t="s">
        <v>103</v>
      </c>
      <c r="L4867">
        <v>77041</v>
      </c>
      <c r="M4867" t="s">
        <v>104</v>
      </c>
      <c r="N4867" t="s">
        <v>3041</v>
      </c>
      <c r="O4867" t="s">
        <v>31</v>
      </c>
      <c r="P4867" t="s">
        <v>32</v>
      </c>
      <c r="Q4867" t="s">
        <v>3042</v>
      </c>
      <c r="R4867">
        <v>613.99919999999997</v>
      </c>
      <c r="S4867">
        <v>3</v>
      </c>
      <c r="T4867">
        <v>0.32</v>
      </c>
      <c r="U4867">
        <v>-18.058800000000002</v>
      </c>
      <c r="V4867" t="str">
        <f t="shared" ref="V4867:V4930" si="76">TRIM(G4867)</f>
        <v>Patrick O'Brill</v>
      </c>
      <c r="W4867">
        <f>Table2[Profit]/Table2[Sales]</f>
        <v>-2.9411764705882356E-2</v>
      </c>
    </row>
    <row r="4868" spans="1:23" x14ac:dyDescent="0.25">
      <c r="A4868">
        <v>4867</v>
      </c>
      <c r="B4868" t="s">
        <v>10529</v>
      </c>
      <c r="C4868" s="1">
        <v>42244</v>
      </c>
      <c r="D4868" s="1">
        <v>42249</v>
      </c>
      <c r="E4868" t="s">
        <v>49</v>
      </c>
      <c r="F4868" t="s">
        <v>3449</v>
      </c>
      <c r="G4868" t="s">
        <v>3450</v>
      </c>
      <c r="H4868" t="s">
        <v>40</v>
      </c>
      <c r="I4868" t="s">
        <v>26</v>
      </c>
      <c r="J4868" t="s">
        <v>739</v>
      </c>
      <c r="K4868" t="s">
        <v>740</v>
      </c>
      <c r="L4868">
        <v>6824</v>
      </c>
      <c r="M4868" t="s">
        <v>145</v>
      </c>
      <c r="N4868" t="s">
        <v>5441</v>
      </c>
      <c r="O4868" t="s">
        <v>45</v>
      </c>
      <c r="P4868" t="s">
        <v>58</v>
      </c>
      <c r="Q4868" t="s">
        <v>5442</v>
      </c>
      <c r="R4868">
        <v>470.36</v>
      </c>
      <c r="S4868">
        <v>11</v>
      </c>
      <c r="T4868">
        <v>0</v>
      </c>
      <c r="U4868">
        <v>122.2936</v>
      </c>
      <c r="V4868" t="str">
        <f t="shared" si="76"/>
        <v>Suzanne McNair</v>
      </c>
      <c r="W4868">
        <f>Table2[Profit]/Table2[Sales]</f>
        <v>0.26</v>
      </c>
    </row>
    <row r="4869" spans="1:23" x14ac:dyDescent="0.25">
      <c r="A4869">
        <v>4868</v>
      </c>
      <c r="B4869" t="s">
        <v>10530</v>
      </c>
      <c r="C4869" s="1">
        <v>43002</v>
      </c>
      <c r="D4869" s="1">
        <v>43006</v>
      </c>
      <c r="E4869" t="s">
        <v>22</v>
      </c>
      <c r="F4869" t="s">
        <v>630</v>
      </c>
      <c r="G4869" t="s">
        <v>631</v>
      </c>
      <c r="H4869" t="s">
        <v>101</v>
      </c>
      <c r="I4869" t="s">
        <v>26</v>
      </c>
      <c r="J4869" t="s">
        <v>126</v>
      </c>
      <c r="K4869" t="s">
        <v>42</v>
      </c>
      <c r="L4869">
        <v>94110</v>
      </c>
      <c r="M4869" t="s">
        <v>43</v>
      </c>
      <c r="N4869" t="s">
        <v>4999</v>
      </c>
      <c r="O4869" t="s">
        <v>45</v>
      </c>
      <c r="P4869" t="s">
        <v>89</v>
      </c>
      <c r="Q4869" t="s">
        <v>5000</v>
      </c>
      <c r="R4869">
        <v>31.08</v>
      </c>
      <c r="S4869">
        <v>6</v>
      </c>
      <c r="T4869">
        <v>0</v>
      </c>
      <c r="U4869">
        <v>15.229200000000001</v>
      </c>
      <c r="V4869" t="str">
        <f t="shared" si="76"/>
        <v>Neil Knudson</v>
      </c>
      <c r="W4869">
        <f>Table2[Profit]/Table2[Sales]</f>
        <v>0.49000000000000005</v>
      </c>
    </row>
    <row r="4870" spans="1:23" x14ac:dyDescent="0.25">
      <c r="A4870">
        <v>4869</v>
      </c>
      <c r="B4870" t="s">
        <v>10531</v>
      </c>
      <c r="C4870" s="1">
        <v>42715</v>
      </c>
      <c r="D4870" s="1">
        <v>42718</v>
      </c>
      <c r="E4870" t="s">
        <v>185</v>
      </c>
      <c r="F4870" t="s">
        <v>2296</v>
      </c>
      <c r="G4870" t="s">
        <v>2297</v>
      </c>
      <c r="H4870" t="s">
        <v>40</v>
      </c>
      <c r="I4870" t="s">
        <v>26</v>
      </c>
      <c r="J4870" t="s">
        <v>311</v>
      </c>
      <c r="K4870" t="s">
        <v>491</v>
      </c>
      <c r="L4870">
        <v>45503</v>
      </c>
      <c r="M4870" t="s">
        <v>145</v>
      </c>
      <c r="N4870" t="s">
        <v>76</v>
      </c>
      <c r="O4870" t="s">
        <v>45</v>
      </c>
      <c r="P4870" t="s">
        <v>77</v>
      </c>
      <c r="Q4870" t="s">
        <v>78</v>
      </c>
      <c r="R4870">
        <v>73.536000000000001</v>
      </c>
      <c r="S4870">
        <v>4</v>
      </c>
      <c r="T4870">
        <v>0.2</v>
      </c>
      <c r="U4870">
        <v>9.1920000000000002</v>
      </c>
      <c r="V4870" t="str">
        <f t="shared" si="76"/>
        <v>Steve Chapman</v>
      </c>
      <c r="W4870">
        <f>Table2[Profit]/Table2[Sales]</f>
        <v>0.125</v>
      </c>
    </row>
    <row r="4871" spans="1:23" x14ac:dyDescent="0.25">
      <c r="A4871">
        <v>4870</v>
      </c>
      <c r="B4871" t="s">
        <v>10532</v>
      </c>
      <c r="C4871" s="1">
        <v>41800</v>
      </c>
      <c r="D4871" s="1">
        <v>41805</v>
      </c>
      <c r="E4871" t="s">
        <v>22</v>
      </c>
      <c r="F4871" t="s">
        <v>812</v>
      </c>
      <c r="G4871" t="s">
        <v>813</v>
      </c>
      <c r="H4871" t="s">
        <v>40</v>
      </c>
      <c r="I4871" t="s">
        <v>26</v>
      </c>
      <c r="J4871" t="s">
        <v>873</v>
      </c>
      <c r="K4871" t="s">
        <v>235</v>
      </c>
      <c r="L4871">
        <v>48234</v>
      </c>
      <c r="M4871" t="s">
        <v>104</v>
      </c>
      <c r="N4871" t="s">
        <v>1943</v>
      </c>
      <c r="O4871" t="s">
        <v>45</v>
      </c>
      <c r="P4871" t="s">
        <v>46</v>
      </c>
      <c r="Q4871" t="s">
        <v>1944</v>
      </c>
      <c r="R4871">
        <v>491.55</v>
      </c>
      <c r="S4871">
        <v>5</v>
      </c>
      <c r="T4871">
        <v>0</v>
      </c>
      <c r="U4871">
        <v>240.8595</v>
      </c>
      <c r="V4871" t="str">
        <f t="shared" si="76"/>
        <v>Heather Kirkland</v>
      </c>
      <c r="W4871">
        <f>Table2[Profit]/Table2[Sales]</f>
        <v>0.49</v>
      </c>
    </row>
    <row r="4872" spans="1:23" x14ac:dyDescent="0.25">
      <c r="A4872">
        <v>4871</v>
      </c>
      <c r="B4872" t="s">
        <v>10533</v>
      </c>
      <c r="C4872" s="1">
        <v>42440</v>
      </c>
      <c r="D4872" s="1">
        <v>42440</v>
      </c>
      <c r="E4872" t="s">
        <v>1278</v>
      </c>
      <c r="F4872" t="s">
        <v>3157</v>
      </c>
      <c r="G4872" t="s">
        <v>3158</v>
      </c>
      <c r="H4872" t="s">
        <v>101</v>
      </c>
      <c r="I4872" t="s">
        <v>26</v>
      </c>
      <c r="J4872" t="s">
        <v>143</v>
      </c>
      <c r="K4872" t="s">
        <v>144</v>
      </c>
      <c r="L4872">
        <v>19140</v>
      </c>
      <c r="M4872" t="s">
        <v>145</v>
      </c>
      <c r="N4872" t="s">
        <v>4647</v>
      </c>
      <c r="O4872" t="s">
        <v>31</v>
      </c>
      <c r="P4872" t="s">
        <v>64</v>
      </c>
      <c r="Q4872" t="s">
        <v>4648</v>
      </c>
      <c r="R4872">
        <v>30.335999999999999</v>
      </c>
      <c r="S4872">
        <v>4</v>
      </c>
      <c r="T4872">
        <v>0.2</v>
      </c>
      <c r="U4872">
        <v>9.48</v>
      </c>
      <c r="V4872" t="str">
        <f t="shared" si="76"/>
        <v>Brad Thomas</v>
      </c>
      <c r="W4872">
        <f>Table2[Profit]/Table2[Sales]</f>
        <v>0.31250000000000006</v>
      </c>
    </row>
    <row r="4873" spans="1:23" x14ac:dyDescent="0.25">
      <c r="A4873">
        <v>4872</v>
      </c>
      <c r="B4873" t="s">
        <v>10534</v>
      </c>
      <c r="C4873" s="1">
        <v>43084</v>
      </c>
      <c r="D4873" s="1">
        <v>43088</v>
      </c>
      <c r="E4873" t="s">
        <v>49</v>
      </c>
      <c r="F4873" t="s">
        <v>6979</v>
      </c>
      <c r="G4873" t="s">
        <v>6980</v>
      </c>
      <c r="H4873" t="s">
        <v>25</v>
      </c>
      <c r="I4873" t="s">
        <v>26</v>
      </c>
      <c r="J4873" t="s">
        <v>1019</v>
      </c>
      <c r="K4873" t="s">
        <v>42</v>
      </c>
      <c r="L4873">
        <v>90301</v>
      </c>
      <c r="M4873" t="s">
        <v>43</v>
      </c>
      <c r="N4873" t="s">
        <v>942</v>
      </c>
      <c r="O4873" t="s">
        <v>45</v>
      </c>
      <c r="P4873" t="s">
        <v>89</v>
      </c>
      <c r="Q4873" t="s">
        <v>943</v>
      </c>
      <c r="R4873">
        <v>22.83</v>
      </c>
      <c r="S4873">
        <v>3</v>
      </c>
      <c r="T4873">
        <v>0</v>
      </c>
      <c r="U4873">
        <v>10.7301</v>
      </c>
      <c r="V4873" t="str">
        <f t="shared" si="76"/>
        <v>Khloe Miller</v>
      </c>
      <c r="W4873">
        <f>Table2[Profit]/Table2[Sales]</f>
        <v>0.47000000000000003</v>
      </c>
    </row>
    <row r="4874" spans="1:23" x14ac:dyDescent="0.25">
      <c r="A4874">
        <v>4873</v>
      </c>
      <c r="B4874" t="s">
        <v>10535</v>
      </c>
      <c r="C4874" s="1">
        <v>42673</v>
      </c>
      <c r="D4874" s="1">
        <v>42678</v>
      </c>
      <c r="E4874" t="s">
        <v>49</v>
      </c>
      <c r="F4874" t="s">
        <v>6946</v>
      </c>
      <c r="G4874" t="s">
        <v>6947</v>
      </c>
      <c r="H4874" t="s">
        <v>25</v>
      </c>
      <c r="I4874" t="s">
        <v>26</v>
      </c>
      <c r="J4874" t="s">
        <v>10536</v>
      </c>
      <c r="K4874" t="s">
        <v>42</v>
      </c>
      <c r="L4874">
        <v>93405</v>
      </c>
      <c r="M4874" t="s">
        <v>43</v>
      </c>
      <c r="N4874" t="s">
        <v>3090</v>
      </c>
      <c r="O4874" t="s">
        <v>45</v>
      </c>
      <c r="P4874" t="s">
        <v>266</v>
      </c>
      <c r="Q4874" t="s">
        <v>3091</v>
      </c>
      <c r="R4874">
        <v>3.62</v>
      </c>
      <c r="S4874">
        <v>2</v>
      </c>
      <c r="T4874">
        <v>0</v>
      </c>
      <c r="U4874">
        <v>1.1946000000000001</v>
      </c>
      <c r="V4874" t="str">
        <f t="shared" si="76"/>
        <v>Susan Pistek</v>
      </c>
      <c r="W4874">
        <f>Table2[Profit]/Table2[Sales]</f>
        <v>0.33</v>
      </c>
    </row>
    <row r="4875" spans="1:23" x14ac:dyDescent="0.25">
      <c r="A4875">
        <v>4874</v>
      </c>
      <c r="B4875" t="s">
        <v>10537</v>
      </c>
      <c r="C4875" s="1">
        <v>42947</v>
      </c>
      <c r="D4875" s="1">
        <v>42951</v>
      </c>
      <c r="E4875" t="s">
        <v>49</v>
      </c>
      <c r="F4875" t="s">
        <v>6326</v>
      </c>
      <c r="G4875" t="s">
        <v>6327</v>
      </c>
      <c r="H4875" t="s">
        <v>101</v>
      </c>
      <c r="I4875" t="s">
        <v>26</v>
      </c>
      <c r="J4875" t="s">
        <v>514</v>
      </c>
      <c r="K4875" t="s">
        <v>242</v>
      </c>
      <c r="L4875">
        <v>19805</v>
      </c>
      <c r="M4875" t="s">
        <v>145</v>
      </c>
      <c r="N4875" t="s">
        <v>435</v>
      </c>
      <c r="O4875" t="s">
        <v>45</v>
      </c>
      <c r="P4875" t="s">
        <v>89</v>
      </c>
      <c r="Q4875" t="s">
        <v>436</v>
      </c>
      <c r="R4875">
        <v>11.54</v>
      </c>
      <c r="S4875">
        <v>1</v>
      </c>
      <c r="T4875">
        <v>0</v>
      </c>
      <c r="U4875">
        <v>5.5392000000000001</v>
      </c>
      <c r="V4875" t="str">
        <f t="shared" si="76"/>
        <v>Laurel Beltran</v>
      </c>
      <c r="W4875">
        <f>Table2[Profit]/Table2[Sales]</f>
        <v>0.48000000000000004</v>
      </c>
    </row>
    <row r="4876" spans="1:23" x14ac:dyDescent="0.25">
      <c r="A4876">
        <v>4875</v>
      </c>
      <c r="B4876" t="s">
        <v>10538</v>
      </c>
      <c r="C4876" s="1">
        <v>43027</v>
      </c>
      <c r="D4876" s="1">
        <v>43031</v>
      </c>
      <c r="E4876" t="s">
        <v>49</v>
      </c>
      <c r="F4876" t="s">
        <v>4766</v>
      </c>
      <c r="G4876" t="s">
        <v>4767</v>
      </c>
      <c r="H4876" t="s">
        <v>25</v>
      </c>
      <c r="I4876" t="s">
        <v>26</v>
      </c>
      <c r="J4876" t="s">
        <v>126</v>
      </c>
      <c r="K4876" t="s">
        <v>42</v>
      </c>
      <c r="L4876">
        <v>94122</v>
      </c>
      <c r="M4876" t="s">
        <v>43</v>
      </c>
      <c r="N4876" t="s">
        <v>2810</v>
      </c>
      <c r="O4876" t="s">
        <v>45</v>
      </c>
      <c r="P4876" t="s">
        <v>74</v>
      </c>
      <c r="Q4876" t="s">
        <v>2811</v>
      </c>
      <c r="R4876">
        <v>39.624000000000002</v>
      </c>
      <c r="S4876">
        <v>3</v>
      </c>
      <c r="T4876">
        <v>0.2</v>
      </c>
      <c r="U4876">
        <v>13.868399999999999</v>
      </c>
      <c r="V4876" t="str">
        <f t="shared" si="76"/>
        <v>Joy Smith</v>
      </c>
      <c r="W4876">
        <f>Table2[Profit]/Table2[Sales]</f>
        <v>0.35</v>
      </c>
    </row>
    <row r="4877" spans="1:23" x14ac:dyDescent="0.25">
      <c r="A4877">
        <v>4876</v>
      </c>
      <c r="B4877" t="s">
        <v>10539</v>
      </c>
      <c r="C4877" s="1">
        <v>42664</v>
      </c>
      <c r="D4877" s="1">
        <v>42670</v>
      </c>
      <c r="E4877" t="s">
        <v>49</v>
      </c>
      <c r="F4877" t="s">
        <v>1924</v>
      </c>
      <c r="G4877" t="s">
        <v>1925</v>
      </c>
      <c r="H4877" t="s">
        <v>25</v>
      </c>
      <c r="I4877" t="s">
        <v>26</v>
      </c>
      <c r="J4877" t="s">
        <v>41</v>
      </c>
      <c r="K4877" t="s">
        <v>42</v>
      </c>
      <c r="L4877">
        <v>90045</v>
      </c>
      <c r="M4877" t="s">
        <v>43</v>
      </c>
      <c r="N4877" t="s">
        <v>7752</v>
      </c>
      <c r="O4877" t="s">
        <v>31</v>
      </c>
      <c r="P4877" t="s">
        <v>35</v>
      </c>
      <c r="Q4877" t="s">
        <v>7753</v>
      </c>
      <c r="R4877">
        <v>242.136</v>
      </c>
      <c r="S4877">
        <v>3</v>
      </c>
      <c r="T4877">
        <v>0.2</v>
      </c>
      <c r="U4877">
        <v>12.1068</v>
      </c>
      <c r="V4877" t="str">
        <f t="shared" si="76"/>
        <v>Carlos Soltero</v>
      </c>
      <c r="W4877">
        <f>Table2[Profit]/Table2[Sales]</f>
        <v>0.05</v>
      </c>
    </row>
    <row r="4878" spans="1:23" x14ac:dyDescent="0.25">
      <c r="A4878">
        <v>4877</v>
      </c>
      <c r="B4878" t="s">
        <v>10540</v>
      </c>
      <c r="C4878" s="1">
        <v>41948</v>
      </c>
      <c r="D4878" s="1">
        <v>41953</v>
      </c>
      <c r="E4878" t="s">
        <v>49</v>
      </c>
      <c r="F4878" t="s">
        <v>1680</v>
      </c>
      <c r="G4878" t="s">
        <v>1681</v>
      </c>
      <c r="H4878" t="s">
        <v>25</v>
      </c>
      <c r="I4878" t="s">
        <v>26</v>
      </c>
      <c r="J4878" t="s">
        <v>143</v>
      </c>
      <c r="K4878" t="s">
        <v>144</v>
      </c>
      <c r="L4878">
        <v>19143</v>
      </c>
      <c r="M4878" t="s">
        <v>145</v>
      </c>
      <c r="N4878" t="s">
        <v>5234</v>
      </c>
      <c r="O4878" t="s">
        <v>31</v>
      </c>
      <c r="P4878" t="s">
        <v>64</v>
      </c>
      <c r="Q4878" t="s">
        <v>5235</v>
      </c>
      <c r="R4878">
        <v>273.56799999999998</v>
      </c>
      <c r="S4878">
        <v>2</v>
      </c>
      <c r="T4878">
        <v>0.2</v>
      </c>
      <c r="U4878">
        <v>-34.195999999999998</v>
      </c>
      <c r="V4878" t="str">
        <f t="shared" si="76"/>
        <v>Maribeth Dona</v>
      </c>
      <c r="W4878">
        <f>Table2[Profit]/Table2[Sales]</f>
        <v>-0.125</v>
      </c>
    </row>
    <row r="4879" spans="1:23" x14ac:dyDescent="0.25">
      <c r="A4879">
        <v>4878</v>
      </c>
      <c r="B4879" t="s">
        <v>10541</v>
      </c>
      <c r="C4879" s="1">
        <v>42681</v>
      </c>
      <c r="D4879" s="1">
        <v>42686</v>
      </c>
      <c r="E4879" t="s">
        <v>49</v>
      </c>
      <c r="F4879" t="s">
        <v>3602</v>
      </c>
      <c r="G4879" t="s">
        <v>3603</v>
      </c>
      <c r="H4879" t="s">
        <v>25</v>
      </c>
      <c r="I4879" t="s">
        <v>26</v>
      </c>
      <c r="J4879" t="s">
        <v>126</v>
      </c>
      <c r="K4879" t="s">
        <v>42</v>
      </c>
      <c r="L4879">
        <v>94122</v>
      </c>
      <c r="M4879" t="s">
        <v>43</v>
      </c>
      <c r="N4879" t="s">
        <v>1480</v>
      </c>
      <c r="O4879" t="s">
        <v>45</v>
      </c>
      <c r="P4879" t="s">
        <v>74</v>
      </c>
      <c r="Q4879" t="s">
        <v>1481</v>
      </c>
      <c r="R4879">
        <v>57.584000000000003</v>
      </c>
      <c r="S4879">
        <v>2</v>
      </c>
      <c r="T4879">
        <v>0.2</v>
      </c>
      <c r="U4879">
        <v>20.154399999999999</v>
      </c>
      <c r="V4879" t="str">
        <f t="shared" si="76"/>
        <v>Lisa DeCherney</v>
      </c>
      <c r="W4879">
        <f>Table2[Profit]/Table2[Sales]</f>
        <v>0.35</v>
      </c>
    </row>
    <row r="4880" spans="1:23" x14ac:dyDescent="0.25">
      <c r="A4880">
        <v>4879</v>
      </c>
      <c r="B4880" t="s">
        <v>10542</v>
      </c>
      <c r="C4880" s="1">
        <v>42594</v>
      </c>
      <c r="D4880" s="1">
        <v>42596</v>
      </c>
      <c r="E4880" t="s">
        <v>22</v>
      </c>
      <c r="F4880" t="s">
        <v>4014</v>
      </c>
      <c r="G4880" t="s">
        <v>4015</v>
      </c>
      <c r="H4880" t="s">
        <v>101</v>
      </c>
      <c r="I4880" t="s">
        <v>26</v>
      </c>
      <c r="J4880" t="s">
        <v>143</v>
      </c>
      <c r="K4880" t="s">
        <v>144</v>
      </c>
      <c r="L4880">
        <v>19134</v>
      </c>
      <c r="M4880" t="s">
        <v>145</v>
      </c>
      <c r="N4880" t="s">
        <v>8203</v>
      </c>
      <c r="O4880" t="s">
        <v>45</v>
      </c>
      <c r="P4880" t="s">
        <v>67</v>
      </c>
      <c r="Q4880" t="s">
        <v>8204</v>
      </c>
      <c r="R4880">
        <v>37.311999999999998</v>
      </c>
      <c r="S4880">
        <v>4</v>
      </c>
      <c r="T4880">
        <v>0.2</v>
      </c>
      <c r="U4880">
        <v>2.7984</v>
      </c>
      <c r="V4880" t="str">
        <f t="shared" si="76"/>
        <v>Deborah Brumfield</v>
      </c>
      <c r="W4880">
        <f>Table2[Profit]/Table2[Sales]</f>
        <v>7.5000000000000011E-2</v>
      </c>
    </row>
    <row r="4881" spans="1:23" x14ac:dyDescent="0.25">
      <c r="A4881">
        <v>4880</v>
      </c>
      <c r="B4881" t="s">
        <v>10543</v>
      </c>
      <c r="C4881" s="1">
        <v>42520</v>
      </c>
      <c r="D4881" s="1">
        <v>42521</v>
      </c>
      <c r="E4881" t="s">
        <v>1278</v>
      </c>
      <c r="F4881" t="s">
        <v>2042</v>
      </c>
      <c r="G4881" t="s">
        <v>2043</v>
      </c>
      <c r="H4881" t="s">
        <v>25</v>
      </c>
      <c r="I4881" t="s">
        <v>26</v>
      </c>
      <c r="J4881" t="s">
        <v>181</v>
      </c>
      <c r="K4881" t="s">
        <v>103</v>
      </c>
      <c r="L4881">
        <v>77041</v>
      </c>
      <c r="M4881" t="s">
        <v>104</v>
      </c>
      <c r="N4881" t="s">
        <v>551</v>
      </c>
      <c r="O4881" t="s">
        <v>70</v>
      </c>
      <c r="P4881" t="s">
        <v>71</v>
      </c>
      <c r="Q4881" t="s">
        <v>552</v>
      </c>
      <c r="R4881">
        <v>79.959999999999994</v>
      </c>
      <c r="S4881">
        <v>5</v>
      </c>
      <c r="T4881">
        <v>0.2</v>
      </c>
      <c r="U4881">
        <v>7.9960000000000004</v>
      </c>
      <c r="V4881" t="str">
        <f t="shared" si="76"/>
        <v>Annie Thurman</v>
      </c>
      <c r="W4881">
        <f>Table2[Profit]/Table2[Sales]</f>
        <v>0.10000000000000002</v>
      </c>
    </row>
    <row r="4882" spans="1:23" x14ac:dyDescent="0.25">
      <c r="A4882">
        <v>4881</v>
      </c>
      <c r="B4882" t="s">
        <v>10544</v>
      </c>
      <c r="C4882" s="1">
        <v>43051</v>
      </c>
      <c r="D4882" s="1">
        <v>43053</v>
      </c>
      <c r="E4882" t="s">
        <v>22</v>
      </c>
      <c r="F4882" t="s">
        <v>5071</v>
      </c>
      <c r="G4882" t="s">
        <v>5072</v>
      </c>
      <c r="H4882" t="s">
        <v>25</v>
      </c>
      <c r="I4882" t="s">
        <v>26</v>
      </c>
      <c r="J4882" t="s">
        <v>2439</v>
      </c>
      <c r="K4882" t="s">
        <v>144</v>
      </c>
      <c r="L4882">
        <v>17602</v>
      </c>
      <c r="M4882" t="s">
        <v>145</v>
      </c>
      <c r="N4882" t="s">
        <v>3617</v>
      </c>
      <c r="O4882" t="s">
        <v>45</v>
      </c>
      <c r="P4882" t="s">
        <v>58</v>
      </c>
      <c r="Q4882" t="s">
        <v>3618</v>
      </c>
      <c r="R4882">
        <v>221.024</v>
      </c>
      <c r="S4882">
        <v>2</v>
      </c>
      <c r="T4882">
        <v>0.2</v>
      </c>
      <c r="U4882">
        <v>-55.256</v>
      </c>
      <c r="V4882" t="str">
        <f t="shared" si="76"/>
        <v>Dennis Kane</v>
      </c>
      <c r="W4882">
        <f>Table2[Profit]/Table2[Sales]</f>
        <v>-0.25</v>
      </c>
    </row>
    <row r="4883" spans="1:23" x14ac:dyDescent="0.25">
      <c r="A4883">
        <v>4882</v>
      </c>
      <c r="B4883" t="s">
        <v>10545</v>
      </c>
      <c r="C4883" s="1">
        <v>42635</v>
      </c>
      <c r="D4883" s="1">
        <v>42639</v>
      </c>
      <c r="E4883" t="s">
        <v>49</v>
      </c>
      <c r="F4883" t="s">
        <v>2388</v>
      </c>
      <c r="G4883" t="s">
        <v>2389</v>
      </c>
      <c r="H4883" t="s">
        <v>40</v>
      </c>
      <c r="I4883" t="s">
        <v>26</v>
      </c>
      <c r="J4883" t="s">
        <v>1820</v>
      </c>
      <c r="K4883" t="s">
        <v>113</v>
      </c>
      <c r="L4883">
        <v>54302</v>
      </c>
      <c r="M4883" t="s">
        <v>104</v>
      </c>
      <c r="N4883" t="s">
        <v>6023</v>
      </c>
      <c r="O4883" t="s">
        <v>31</v>
      </c>
      <c r="P4883" t="s">
        <v>64</v>
      </c>
      <c r="Q4883" t="s">
        <v>6024</v>
      </c>
      <c r="R4883">
        <v>18.96</v>
      </c>
      <c r="S4883">
        <v>2</v>
      </c>
      <c r="T4883">
        <v>0</v>
      </c>
      <c r="U4883">
        <v>7.5839999999999996</v>
      </c>
      <c r="V4883" t="str">
        <f t="shared" si="76"/>
        <v>Chris Selesnick</v>
      </c>
      <c r="W4883">
        <f>Table2[Profit]/Table2[Sales]</f>
        <v>0.39999999999999997</v>
      </c>
    </row>
    <row r="4884" spans="1:23" x14ac:dyDescent="0.25">
      <c r="A4884">
        <v>4883</v>
      </c>
      <c r="B4884" t="s">
        <v>10546</v>
      </c>
      <c r="C4884" s="1">
        <v>42416</v>
      </c>
      <c r="D4884" s="1">
        <v>42420</v>
      </c>
      <c r="E4884" t="s">
        <v>49</v>
      </c>
      <c r="F4884" t="s">
        <v>4442</v>
      </c>
      <c r="G4884" t="s">
        <v>4443</v>
      </c>
      <c r="H4884" t="s">
        <v>25</v>
      </c>
      <c r="I4884" t="s">
        <v>26</v>
      </c>
      <c r="J4884" t="s">
        <v>263</v>
      </c>
      <c r="K4884" t="s">
        <v>264</v>
      </c>
      <c r="L4884">
        <v>10024</v>
      </c>
      <c r="M4884" t="s">
        <v>145</v>
      </c>
      <c r="N4884" t="s">
        <v>7667</v>
      </c>
      <c r="O4884" t="s">
        <v>31</v>
      </c>
      <c r="P4884" t="s">
        <v>35</v>
      </c>
      <c r="Q4884" t="s">
        <v>7668</v>
      </c>
      <c r="R4884">
        <v>326.64600000000002</v>
      </c>
      <c r="S4884">
        <v>3</v>
      </c>
      <c r="T4884">
        <v>0.1</v>
      </c>
      <c r="U4884">
        <v>39.923400000000001</v>
      </c>
      <c r="V4884" t="str">
        <f t="shared" si="76"/>
        <v>Jill Fjeld</v>
      </c>
      <c r="W4884">
        <f>Table2[Profit]/Table2[Sales]</f>
        <v>0.12222222222222222</v>
      </c>
    </row>
    <row r="4885" spans="1:23" x14ac:dyDescent="0.25">
      <c r="A4885">
        <v>4884</v>
      </c>
      <c r="B4885" t="s">
        <v>10547</v>
      </c>
      <c r="C4885" s="1">
        <v>41995</v>
      </c>
      <c r="D4885" s="1">
        <v>41999</v>
      </c>
      <c r="E4885" t="s">
        <v>49</v>
      </c>
      <c r="F4885" t="s">
        <v>614</v>
      </c>
      <c r="G4885" t="s">
        <v>615</v>
      </c>
      <c r="H4885" t="s">
        <v>101</v>
      </c>
      <c r="I4885" t="s">
        <v>26</v>
      </c>
      <c r="J4885" t="s">
        <v>263</v>
      </c>
      <c r="K4885" t="s">
        <v>264</v>
      </c>
      <c r="L4885">
        <v>10011</v>
      </c>
      <c r="M4885" t="s">
        <v>145</v>
      </c>
      <c r="N4885" t="s">
        <v>2676</v>
      </c>
      <c r="O4885" t="s">
        <v>45</v>
      </c>
      <c r="P4885" t="s">
        <v>74</v>
      </c>
      <c r="Q4885" t="s">
        <v>2677</v>
      </c>
      <c r="R4885">
        <v>296.71199999999999</v>
      </c>
      <c r="S4885">
        <v>13</v>
      </c>
      <c r="T4885">
        <v>0.2</v>
      </c>
      <c r="U4885">
        <v>100.1403</v>
      </c>
      <c r="V4885" t="str">
        <f t="shared" si="76"/>
        <v>Tamara Willingham</v>
      </c>
      <c r="W4885">
        <f>Table2[Profit]/Table2[Sales]</f>
        <v>0.33750000000000002</v>
      </c>
    </row>
    <row r="4886" spans="1:23" x14ac:dyDescent="0.25">
      <c r="A4886">
        <v>4885</v>
      </c>
      <c r="B4886" t="s">
        <v>10548</v>
      </c>
      <c r="C4886" s="1">
        <v>42343</v>
      </c>
      <c r="D4886" s="1">
        <v>42349</v>
      </c>
      <c r="E4886" t="s">
        <v>49</v>
      </c>
      <c r="F4886" t="s">
        <v>5446</v>
      </c>
      <c r="G4886" t="s">
        <v>5447</v>
      </c>
      <c r="H4886" t="s">
        <v>25</v>
      </c>
      <c r="I4886" t="s">
        <v>26</v>
      </c>
      <c r="J4886" t="s">
        <v>531</v>
      </c>
      <c r="K4886" t="s">
        <v>208</v>
      </c>
      <c r="L4886">
        <v>61701</v>
      </c>
      <c r="M4886" t="s">
        <v>104</v>
      </c>
      <c r="N4886" t="s">
        <v>2545</v>
      </c>
      <c r="O4886" t="s">
        <v>45</v>
      </c>
      <c r="P4886" t="s">
        <v>170</v>
      </c>
      <c r="Q4886" t="s">
        <v>2546</v>
      </c>
      <c r="R4886">
        <v>12.224</v>
      </c>
      <c r="S4886">
        <v>2</v>
      </c>
      <c r="T4886">
        <v>0.2</v>
      </c>
      <c r="U4886">
        <v>4.4311999999999996</v>
      </c>
      <c r="V4886" t="str">
        <f t="shared" si="76"/>
        <v>Tim Brockman</v>
      </c>
      <c r="W4886">
        <f>Table2[Profit]/Table2[Sales]</f>
        <v>0.36249999999999993</v>
      </c>
    </row>
    <row r="4887" spans="1:23" x14ac:dyDescent="0.25">
      <c r="A4887">
        <v>4886</v>
      </c>
      <c r="B4887" t="s">
        <v>10549</v>
      </c>
      <c r="C4887" s="1">
        <v>42995</v>
      </c>
      <c r="D4887" s="1">
        <v>42998</v>
      </c>
      <c r="E4887" t="s">
        <v>185</v>
      </c>
      <c r="F4887" t="s">
        <v>5407</v>
      </c>
      <c r="G4887" t="s">
        <v>5408</v>
      </c>
      <c r="H4887" t="s">
        <v>25</v>
      </c>
      <c r="I4887" t="s">
        <v>26</v>
      </c>
      <c r="J4887" t="s">
        <v>7127</v>
      </c>
      <c r="K4887" t="s">
        <v>6119</v>
      </c>
      <c r="L4887">
        <v>83704</v>
      </c>
      <c r="M4887" t="s">
        <v>43</v>
      </c>
      <c r="N4887" t="s">
        <v>3911</v>
      </c>
      <c r="O4887" t="s">
        <v>70</v>
      </c>
      <c r="P4887" t="s">
        <v>158</v>
      </c>
      <c r="Q4887" t="s">
        <v>3912</v>
      </c>
      <c r="R4887">
        <v>89.97</v>
      </c>
      <c r="S4887">
        <v>3</v>
      </c>
      <c r="T4887">
        <v>0</v>
      </c>
      <c r="U4887">
        <v>37.787399999999998</v>
      </c>
      <c r="V4887" t="str">
        <f t="shared" si="76"/>
        <v>Shahid Collister</v>
      </c>
      <c r="W4887">
        <f>Table2[Profit]/Table2[Sales]</f>
        <v>0.42</v>
      </c>
    </row>
    <row r="4888" spans="1:23" x14ac:dyDescent="0.25">
      <c r="A4888">
        <v>4887</v>
      </c>
      <c r="B4888" t="s">
        <v>10550</v>
      </c>
      <c r="C4888" s="1">
        <v>43071</v>
      </c>
      <c r="D4888" s="1">
        <v>43073</v>
      </c>
      <c r="E4888" t="s">
        <v>185</v>
      </c>
      <c r="F4888" t="s">
        <v>283</v>
      </c>
      <c r="G4888" t="s">
        <v>284</v>
      </c>
      <c r="H4888" t="s">
        <v>25</v>
      </c>
      <c r="I4888" t="s">
        <v>26</v>
      </c>
      <c r="J4888" t="s">
        <v>1232</v>
      </c>
      <c r="K4888" t="s">
        <v>1233</v>
      </c>
      <c r="L4888">
        <v>1852</v>
      </c>
      <c r="M4888" t="s">
        <v>145</v>
      </c>
      <c r="N4888" t="s">
        <v>5477</v>
      </c>
      <c r="O4888" t="s">
        <v>45</v>
      </c>
      <c r="P4888" t="s">
        <v>77</v>
      </c>
      <c r="Q4888" t="s">
        <v>5478</v>
      </c>
      <c r="R4888">
        <v>286.86</v>
      </c>
      <c r="S4888">
        <v>7</v>
      </c>
      <c r="T4888">
        <v>0</v>
      </c>
      <c r="U4888">
        <v>80.320800000000006</v>
      </c>
      <c r="V4888" t="str">
        <f t="shared" si="76"/>
        <v>Kunst Miller</v>
      </c>
      <c r="W4888">
        <f>Table2[Profit]/Table2[Sales]</f>
        <v>0.28000000000000003</v>
      </c>
    </row>
    <row r="4889" spans="1:23" x14ac:dyDescent="0.25">
      <c r="A4889">
        <v>4888</v>
      </c>
      <c r="B4889" t="s">
        <v>10551</v>
      </c>
      <c r="C4889" s="1">
        <v>41911</v>
      </c>
      <c r="D4889" s="1">
        <v>41916</v>
      </c>
      <c r="E4889" t="s">
        <v>49</v>
      </c>
      <c r="F4889" t="s">
        <v>3582</v>
      </c>
      <c r="G4889" t="s">
        <v>3583</v>
      </c>
      <c r="H4889" t="s">
        <v>25</v>
      </c>
      <c r="I4889" t="s">
        <v>26</v>
      </c>
      <c r="J4889" t="s">
        <v>94</v>
      </c>
      <c r="K4889" t="s">
        <v>95</v>
      </c>
      <c r="L4889">
        <v>98115</v>
      </c>
      <c r="M4889" t="s">
        <v>43</v>
      </c>
      <c r="N4889" t="s">
        <v>5554</v>
      </c>
      <c r="O4889" t="s">
        <v>45</v>
      </c>
      <c r="P4889" t="s">
        <v>74</v>
      </c>
      <c r="Q4889" t="s">
        <v>5555</v>
      </c>
      <c r="R4889">
        <v>10.048</v>
      </c>
      <c r="S4889">
        <v>2</v>
      </c>
      <c r="T4889">
        <v>0.2</v>
      </c>
      <c r="U4889">
        <v>3.14</v>
      </c>
      <c r="V4889" t="str">
        <f t="shared" si="76"/>
        <v>Evan Bailliet</v>
      </c>
      <c r="W4889">
        <f>Table2[Profit]/Table2[Sales]</f>
        <v>0.3125</v>
      </c>
    </row>
    <row r="4890" spans="1:23" x14ac:dyDescent="0.25">
      <c r="A4890">
        <v>4889</v>
      </c>
      <c r="B4890" t="s">
        <v>10552</v>
      </c>
      <c r="C4890" s="1">
        <v>43053</v>
      </c>
      <c r="D4890" s="1">
        <v>43058</v>
      </c>
      <c r="E4890" t="s">
        <v>49</v>
      </c>
      <c r="F4890" t="s">
        <v>4698</v>
      </c>
      <c r="G4890" t="s">
        <v>4699</v>
      </c>
      <c r="H4890" t="s">
        <v>25</v>
      </c>
      <c r="I4890" t="s">
        <v>26</v>
      </c>
      <c r="J4890" t="s">
        <v>41</v>
      </c>
      <c r="K4890" t="s">
        <v>42</v>
      </c>
      <c r="L4890">
        <v>90049</v>
      </c>
      <c r="M4890" t="s">
        <v>43</v>
      </c>
      <c r="N4890" t="s">
        <v>4076</v>
      </c>
      <c r="O4890" t="s">
        <v>45</v>
      </c>
      <c r="P4890" t="s">
        <v>67</v>
      </c>
      <c r="Q4890" t="s">
        <v>4077</v>
      </c>
      <c r="R4890">
        <v>34.24</v>
      </c>
      <c r="S4890">
        <v>8</v>
      </c>
      <c r="T4890">
        <v>0</v>
      </c>
      <c r="U4890">
        <v>9.9296000000000006</v>
      </c>
      <c r="V4890" t="str">
        <f t="shared" si="76"/>
        <v>Joe Elijah</v>
      </c>
      <c r="W4890">
        <f>Table2[Profit]/Table2[Sales]</f>
        <v>0.28999999999999998</v>
      </c>
    </row>
    <row r="4891" spans="1:23" x14ac:dyDescent="0.25">
      <c r="A4891">
        <v>4890</v>
      </c>
      <c r="B4891" t="s">
        <v>10553</v>
      </c>
      <c r="C4891" s="1">
        <v>41871</v>
      </c>
      <c r="D4891" s="1">
        <v>41876</v>
      </c>
      <c r="E4891" t="s">
        <v>49</v>
      </c>
      <c r="F4891" t="s">
        <v>6628</v>
      </c>
      <c r="G4891" t="s">
        <v>6629</v>
      </c>
      <c r="H4891" t="s">
        <v>40</v>
      </c>
      <c r="I4891" t="s">
        <v>26</v>
      </c>
      <c r="J4891" t="s">
        <v>7376</v>
      </c>
      <c r="K4891" t="s">
        <v>312</v>
      </c>
      <c r="L4891">
        <v>23666</v>
      </c>
      <c r="M4891" t="s">
        <v>29</v>
      </c>
      <c r="N4891" t="s">
        <v>6030</v>
      </c>
      <c r="O4891" t="s">
        <v>31</v>
      </c>
      <c r="P4891" t="s">
        <v>35</v>
      </c>
      <c r="Q4891" t="s">
        <v>6031</v>
      </c>
      <c r="R4891">
        <v>500.24</v>
      </c>
      <c r="S4891">
        <v>13</v>
      </c>
      <c r="T4891">
        <v>0</v>
      </c>
      <c r="U4891">
        <v>145.06960000000001</v>
      </c>
      <c r="V4891" t="str">
        <f t="shared" si="76"/>
        <v>Nick Crebassa</v>
      </c>
      <c r="W4891">
        <f>Table2[Profit]/Table2[Sales]</f>
        <v>0.29000000000000004</v>
      </c>
    </row>
    <row r="4892" spans="1:23" x14ac:dyDescent="0.25">
      <c r="A4892">
        <v>4891</v>
      </c>
      <c r="B4892" t="s">
        <v>10554</v>
      </c>
      <c r="C4892" s="1">
        <v>41962</v>
      </c>
      <c r="D4892" s="1">
        <v>41965</v>
      </c>
      <c r="E4892" t="s">
        <v>22</v>
      </c>
      <c r="F4892" t="s">
        <v>524</v>
      </c>
      <c r="G4892" t="s">
        <v>525</v>
      </c>
      <c r="H4892" t="s">
        <v>101</v>
      </c>
      <c r="I4892" t="s">
        <v>26</v>
      </c>
      <c r="J4892" t="s">
        <v>143</v>
      </c>
      <c r="K4892" t="s">
        <v>144</v>
      </c>
      <c r="L4892">
        <v>19134</v>
      </c>
      <c r="M4892" t="s">
        <v>145</v>
      </c>
      <c r="N4892" t="s">
        <v>10017</v>
      </c>
      <c r="O4892" t="s">
        <v>45</v>
      </c>
      <c r="P4892" t="s">
        <v>89</v>
      </c>
      <c r="Q4892" t="s">
        <v>10018</v>
      </c>
      <c r="R4892">
        <v>5.88</v>
      </c>
      <c r="S4892">
        <v>1</v>
      </c>
      <c r="T4892">
        <v>0.2</v>
      </c>
      <c r="U4892">
        <v>1.9844999999999999</v>
      </c>
      <c r="V4892" t="str">
        <f t="shared" si="76"/>
        <v>Alan Dominguez</v>
      </c>
      <c r="W4892">
        <f>Table2[Profit]/Table2[Sales]</f>
        <v>0.33749999999999997</v>
      </c>
    </row>
    <row r="4893" spans="1:23" x14ac:dyDescent="0.25">
      <c r="A4893">
        <v>4892</v>
      </c>
      <c r="B4893" t="s">
        <v>10555</v>
      </c>
      <c r="C4893" s="1">
        <v>42184</v>
      </c>
      <c r="D4893" s="1">
        <v>42188</v>
      </c>
      <c r="E4893" t="s">
        <v>49</v>
      </c>
      <c r="F4893" t="s">
        <v>7164</v>
      </c>
      <c r="G4893" t="s">
        <v>7165</v>
      </c>
      <c r="H4893" t="s">
        <v>101</v>
      </c>
      <c r="I4893" t="s">
        <v>26</v>
      </c>
      <c r="J4893" t="s">
        <v>2499</v>
      </c>
      <c r="K4893" t="s">
        <v>135</v>
      </c>
      <c r="L4893">
        <v>68104</v>
      </c>
      <c r="M4893" t="s">
        <v>104</v>
      </c>
      <c r="N4893" t="s">
        <v>2002</v>
      </c>
      <c r="O4893" t="s">
        <v>70</v>
      </c>
      <c r="P4893" t="s">
        <v>71</v>
      </c>
      <c r="Q4893" t="s">
        <v>2003</v>
      </c>
      <c r="R4893">
        <v>269.98</v>
      </c>
      <c r="S4893">
        <v>2</v>
      </c>
      <c r="T4893">
        <v>0</v>
      </c>
      <c r="U4893">
        <v>72.894599999999997</v>
      </c>
      <c r="V4893" t="str">
        <f t="shared" si="76"/>
        <v>Neil Französisch</v>
      </c>
      <c r="W4893">
        <f>Table2[Profit]/Table2[Sales]</f>
        <v>0.26999999999999996</v>
      </c>
    </row>
    <row r="4894" spans="1:23" x14ac:dyDescent="0.25">
      <c r="A4894">
        <v>4893</v>
      </c>
      <c r="B4894" t="s">
        <v>10556</v>
      </c>
      <c r="C4894" s="1">
        <v>42810</v>
      </c>
      <c r="D4894" s="1">
        <v>42815</v>
      </c>
      <c r="E4894" t="s">
        <v>49</v>
      </c>
      <c r="F4894" t="s">
        <v>5516</v>
      </c>
      <c r="G4894" t="s">
        <v>5517</v>
      </c>
      <c r="H4894" t="s">
        <v>40</v>
      </c>
      <c r="I4894" t="s">
        <v>26</v>
      </c>
      <c r="J4894" t="s">
        <v>41</v>
      </c>
      <c r="K4894" t="s">
        <v>42</v>
      </c>
      <c r="L4894">
        <v>90032</v>
      </c>
      <c r="M4894" t="s">
        <v>43</v>
      </c>
      <c r="N4894" t="s">
        <v>5963</v>
      </c>
      <c r="O4894" t="s">
        <v>45</v>
      </c>
      <c r="P4894" t="s">
        <v>58</v>
      </c>
      <c r="Q4894" t="s">
        <v>5964</v>
      </c>
      <c r="R4894">
        <v>310.12</v>
      </c>
      <c r="S4894">
        <v>2</v>
      </c>
      <c r="T4894">
        <v>0</v>
      </c>
      <c r="U4894">
        <v>80.631200000000007</v>
      </c>
      <c r="V4894" t="str">
        <f t="shared" si="76"/>
        <v>Ken Dana</v>
      </c>
      <c r="W4894">
        <f>Table2[Profit]/Table2[Sales]</f>
        <v>0.26</v>
      </c>
    </row>
    <row r="4895" spans="1:23" x14ac:dyDescent="0.25">
      <c r="A4895">
        <v>4894</v>
      </c>
      <c r="B4895" t="s">
        <v>10557</v>
      </c>
      <c r="C4895" s="1">
        <v>42316</v>
      </c>
      <c r="D4895" s="1">
        <v>42320</v>
      </c>
      <c r="E4895" t="s">
        <v>49</v>
      </c>
      <c r="F4895" t="s">
        <v>3530</v>
      </c>
      <c r="G4895" t="s">
        <v>3531</v>
      </c>
      <c r="H4895" t="s">
        <v>40</v>
      </c>
      <c r="I4895" t="s">
        <v>26</v>
      </c>
      <c r="J4895" t="s">
        <v>2189</v>
      </c>
      <c r="K4895" t="s">
        <v>5098</v>
      </c>
      <c r="L4895">
        <v>5408</v>
      </c>
      <c r="M4895" t="s">
        <v>145</v>
      </c>
      <c r="N4895" t="s">
        <v>163</v>
      </c>
      <c r="O4895" t="s">
        <v>31</v>
      </c>
      <c r="P4895" t="s">
        <v>32</v>
      </c>
      <c r="Q4895" t="s">
        <v>164</v>
      </c>
      <c r="R4895">
        <v>4404.8999999999996</v>
      </c>
      <c r="S4895">
        <v>5</v>
      </c>
      <c r="T4895">
        <v>0</v>
      </c>
      <c r="U4895">
        <v>1013.127</v>
      </c>
      <c r="V4895" t="str">
        <f t="shared" si="76"/>
        <v>Quincy Jones</v>
      </c>
      <c r="W4895">
        <f>Table2[Profit]/Table2[Sales]</f>
        <v>0.23</v>
      </c>
    </row>
    <row r="4896" spans="1:23" x14ac:dyDescent="0.25">
      <c r="A4896">
        <v>4895</v>
      </c>
      <c r="B4896" t="s">
        <v>10558</v>
      </c>
      <c r="C4896" s="1">
        <v>43067</v>
      </c>
      <c r="D4896" s="1">
        <v>43071</v>
      </c>
      <c r="E4896" t="s">
        <v>49</v>
      </c>
      <c r="F4896" t="s">
        <v>1803</v>
      </c>
      <c r="G4896" t="s">
        <v>1804</v>
      </c>
      <c r="H4896" t="s">
        <v>25</v>
      </c>
      <c r="I4896" t="s">
        <v>26</v>
      </c>
      <c r="J4896" t="s">
        <v>941</v>
      </c>
      <c r="K4896" t="s">
        <v>42</v>
      </c>
      <c r="L4896">
        <v>92037</v>
      </c>
      <c r="M4896" t="s">
        <v>43</v>
      </c>
      <c r="N4896" t="s">
        <v>1185</v>
      </c>
      <c r="O4896" t="s">
        <v>45</v>
      </c>
      <c r="P4896" t="s">
        <v>46</v>
      </c>
      <c r="Q4896" t="s">
        <v>1186</v>
      </c>
      <c r="R4896">
        <v>62.65</v>
      </c>
      <c r="S4896">
        <v>5</v>
      </c>
      <c r="T4896">
        <v>0</v>
      </c>
      <c r="U4896">
        <v>29.445499999999999</v>
      </c>
      <c r="V4896" t="str">
        <f t="shared" si="76"/>
        <v>Emily Phan</v>
      </c>
      <c r="W4896">
        <f>Table2[Profit]/Table2[Sales]</f>
        <v>0.47</v>
      </c>
    </row>
    <row r="4897" spans="1:23" x14ac:dyDescent="0.25">
      <c r="A4897">
        <v>4896</v>
      </c>
      <c r="B4897" t="s">
        <v>10559</v>
      </c>
      <c r="C4897" s="1">
        <v>42537</v>
      </c>
      <c r="D4897" s="1">
        <v>42543</v>
      </c>
      <c r="E4897" t="s">
        <v>49</v>
      </c>
      <c r="F4897" t="s">
        <v>3023</v>
      </c>
      <c r="G4897" t="s">
        <v>3024</v>
      </c>
      <c r="H4897" t="s">
        <v>25</v>
      </c>
      <c r="I4897" t="s">
        <v>26</v>
      </c>
      <c r="J4897" t="s">
        <v>600</v>
      </c>
      <c r="K4897" t="s">
        <v>242</v>
      </c>
      <c r="L4897">
        <v>19711</v>
      </c>
      <c r="M4897" t="s">
        <v>145</v>
      </c>
      <c r="N4897" t="s">
        <v>4053</v>
      </c>
      <c r="O4897" t="s">
        <v>45</v>
      </c>
      <c r="P4897" t="s">
        <v>46</v>
      </c>
      <c r="Q4897" t="s">
        <v>4054</v>
      </c>
      <c r="R4897">
        <v>9.4499999999999993</v>
      </c>
      <c r="S4897">
        <v>3</v>
      </c>
      <c r="T4897">
        <v>0</v>
      </c>
      <c r="U4897">
        <v>4.5359999999999996</v>
      </c>
      <c r="V4897" t="str">
        <f t="shared" si="76"/>
        <v>Jennifer Jackson</v>
      </c>
      <c r="W4897">
        <f>Table2[Profit]/Table2[Sales]</f>
        <v>0.48</v>
      </c>
    </row>
    <row r="4898" spans="1:23" x14ac:dyDescent="0.25">
      <c r="A4898">
        <v>4897</v>
      </c>
      <c r="B4898" t="s">
        <v>10560</v>
      </c>
      <c r="C4898" s="1">
        <v>42756</v>
      </c>
      <c r="D4898" s="1">
        <v>42760</v>
      </c>
      <c r="E4898" t="s">
        <v>49</v>
      </c>
      <c r="F4898" t="s">
        <v>5712</v>
      </c>
      <c r="G4898" t="s">
        <v>5713</v>
      </c>
      <c r="H4898" t="s">
        <v>25</v>
      </c>
      <c r="I4898" t="s">
        <v>26</v>
      </c>
      <c r="J4898" t="s">
        <v>449</v>
      </c>
      <c r="K4898" t="s">
        <v>208</v>
      </c>
      <c r="L4898">
        <v>60505</v>
      </c>
      <c r="M4898" t="s">
        <v>104</v>
      </c>
      <c r="N4898" t="s">
        <v>2126</v>
      </c>
      <c r="O4898" t="s">
        <v>45</v>
      </c>
      <c r="P4898" t="s">
        <v>170</v>
      </c>
      <c r="Q4898" t="s">
        <v>2127</v>
      </c>
      <c r="R4898">
        <v>268.57600000000002</v>
      </c>
      <c r="S4898">
        <v>4</v>
      </c>
      <c r="T4898">
        <v>0.2</v>
      </c>
      <c r="U4898">
        <v>90.644400000000005</v>
      </c>
      <c r="V4898" t="str">
        <f t="shared" si="76"/>
        <v>Bobby Elias</v>
      </c>
      <c r="W4898">
        <f>Table2[Profit]/Table2[Sales]</f>
        <v>0.33749999999999997</v>
      </c>
    </row>
    <row r="4899" spans="1:23" x14ac:dyDescent="0.25">
      <c r="A4899">
        <v>4898</v>
      </c>
      <c r="B4899" t="s">
        <v>10561</v>
      </c>
      <c r="C4899" s="1">
        <v>43063</v>
      </c>
      <c r="D4899" s="1">
        <v>43063</v>
      </c>
      <c r="E4899" t="s">
        <v>1278</v>
      </c>
      <c r="F4899" t="s">
        <v>3652</v>
      </c>
      <c r="G4899" t="s">
        <v>3653</v>
      </c>
      <c r="H4899" t="s">
        <v>25</v>
      </c>
      <c r="I4899" t="s">
        <v>26</v>
      </c>
      <c r="J4899" t="s">
        <v>41</v>
      </c>
      <c r="K4899" t="s">
        <v>42</v>
      </c>
      <c r="L4899">
        <v>90008</v>
      </c>
      <c r="M4899" t="s">
        <v>43</v>
      </c>
      <c r="N4899" t="s">
        <v>1342</v>
      </c>
      <c r="O4899" t="s">
        <v>31</v>
      </c>
      <c r="P4899" t="s">
        <v>55</v>
      </c>
      <c r="Q4899" t="s">
        <v>1343</v>
      </c>
      <c r="R4899">
        <v>364.08</v>
      </c>
      <c r="S4899">
        <v>2</v>
      </c>
      <c r="T4899">
        <v>0.2</v>
      </c>
      <c r="U4899">
        <v>9.1020000000000003</v>
      </c>
      <c r="V4899" t="str">
        <f t="shared" si="76"/>
        <v>Beth Paige</v>
      </c>
      <c r="W4899">
        <f>Table2[Profit]/Table2[Sales]</f>
        <v>2.5000000000000001E-2</v>
      </c>
    </row>
    <row r="4900" spans="1:23" x14ac:dyDescent="0.25">
      <c r="A4900">
        <v>4899</v>
      </c>
      <c r="B4900" t="s">
        <v>10562</v>
      </c>
      <c r="C4900" s="1">
        <v>41954</v>
      </c>
      <c r="D4900" s="1">
        <v>41958</v>
      </c>
      <c r="E4900" t="s">
        <v>49</v>
      </c>
      <c r="F4900" t="s">
        <v>61</v>
      </c>
      <c r="G4900" t="s">
        <v>62</v>
      </c>
      <c r="H4900" t="s">
        <v>25</v>
      </c>
      <c r="I4900" t="s">
        <v>26</v>
      </c>
      <c r="J4900" t="s">
        <v>296</v>
      </c>
      <c r="K4900" t="s">
        <v>208</v>
      </c>
      <c r="L4900">
        <v>60653</v>
      </c>
      <c r="M4900" t="s">
        <v>104</v>
      </c>
      <c r="N4900" t="s">
        <v>7231</v>
      </c>
      <c r="O4900" t="s">
        <v>31</v>
      </c>
      <c r="P4900" t="s">
        <v>64</v>
      </c>
      <c r="Q4900" t="s">
        <v>7232</v>
      </c>
      <c r="R4900">
        <v>10.984</v>
      </c>
      <c r="S4900">
        <v>2</v>
      </c>
      <c r="T4900">
        <v>0.6</v>
      </c>
      <c r="U4900">
        <v>-7.9634</v>
      </c>
      <c r="V4900" t="str">
        <f t="shared" si="76"/>
        <v>Brosina Hoffman</v>
      </c>
      <c r="W4900">
        <f>Table2[Profit]/Table2[Sales]</f>
        <v>-0.72499999999999998</v>
      </c>
    </row>
    <row r="4901" spans="1:23" x14ac:dyDescent="0.25">
      <c r="A4901">
        <v>4900</v>
      </c>
      <c r="B4901" t="s">
        <v>10563</v>
      </c>
      <c r="C4901" s="1">
        <v>42433</v>
      </c>
      <c r="D4901" s="1">
        <v>42437</v>
      </c>
      <c r="E4901" t="s">
        <v>49</v>
      </c>
      <c r="F4901" t="s">
        <v>5345</v>
      </c>
      <c r="G4901" t="s">
        <v>5346</v>
      </c>
      <c r="H4901" t="s">
        <v>40</v>
      </c>
      <c r="I4901" t="s">
        <v>26</v>
      </c>
      <c r="J4901" t="s">
        <v>241</v>
      </c>
      <c r="K4901" t="s">
        <v>2658</v>
      </c>
      <c r="L4901">
        <v>3820</v>
      </c>
      <c r="M4901" t="s">
        <v>145</v>
      </c>
      <c r="N4901" t="s">
        <v>1638</v>
      </c>
      <c r="O4901" t="s">
        <v>70</v>
      </c>
      <c r="P4901" t="s">
        <v>158</v>
      </c>
      <c r="Q4901" t="s">
        <v>1639</v>
      </c>
      <c r="R4901">
        <v>159.97999999999999</v>
      </c>
      <c r="S4901">
        <v>2</v>
      </c>
      <c r="T4901">
        <v>0</v>
      </c>
      <c r="U4901">
        <v>57.592799999999997</v>
      </c>
      <c r="V4901" t="str">
        <f t="shared" si="76"/>
        <v>Eleni McCrary</v>
      </c>
      <c r="W4901">
        <f>Table2[Profit]/Table2[Sales]</f>
        <v>0.36</v>
      </c>
    </row>
    <row r="4902" spans="1:23" x14ac:dyDescent="0.25">
      <c r="A4902">
        <v>4901</v>
      </c>
      <c r="B4902" t="s">
        <v>10564</v>
      </c>
      <c r="C4902" s="1">
        <v>42654</v>
      </c>
      <c r="D4902" s="1">
        <v>42658</v>
      </c>
      <c r="E4902" t="s">
        <v>49</v>
      </c>
      <c r="F4902" t="s">
        <v>1803</v>
      </c>
      <c r="G4902" t="s">
        <v>1804</v>
      </c>
      <c r="H4902" t="s">
        <v>25</v>
      </c>
      <c r="I4902" t="s">
        <v>26</v>
      </c>
      <c r="J4902" t="s">
        <v>296</v>
      </c>
      <c r="K4902" t="s">
        <v>208</v>
      </c>
      <c r="L4902">
        <v>60610</v>
      </c>
      <c r="M4902" t="s">
        <v>104</v>
      </c>
      <c r="N4902" t="s">
        <v>5717</v>
      </c>
      <c r="O4902" t="s">
        <v>45</v>
      </c>
      <c r="P4902" t="s">
        <v>67</v>
      </c>
      <c r="Q4902" t="s">
        <v>5718</v>
      </c>
      <c r="R4902">
        <v>5.3440000000000003</v>
      </c>
      <c r="S4902">
        <v>2</v>
      </c>
      <c r="T4902">
        <v>0.2</v>
      </c>
      <c r="U4902">
        <v>0.66800000000000004</v>
      </c>
      <c r="V4902" t="str">
        <f t="shared" si="76"/>
        <v>Emily Phan</v>
      </c>
      <c r="W4902">
        <f>Table2[Profit]/Table2[Sales]</f>
        <v>0.125</v>
      </c>
    </row>
    <row r="4903" spans="1:23" x14ac:dyDescent="0.25">
      <c r="A4903">
        <v>4902</v>
      </c>
      <c r="B4903" t="s">
        <v>10565</v>
      </c>
      <c r="C4903" s="1">
        <v>42552</v>
      </c>
      <c r="D4903" s="1">
        <v>42553</v>
      </c>
      <c r="E4903" t="s">
        <v>185</v>
      </c>
      <c r="F4903" t="s">
        <v>1060</v>
      </c>
      <c r="G4903" t="s">
        <v>1061</v>
      </c>
      <c r="H4903" t="s">
        <v>101</v>
      </c>
      <c r="I4903" t="s">
        <v>26</v>
      </c>
      <c r="J4903" t="s">
        <v>94</v>
      </c>
      <c r="K4903" t="s">
        <v>95</v>
      </c>
      <c r="L4903">
        <v>98115</v>
      </c>
      <c r="M4903" t="s">
        <v>43</v>
      </c>
      <c r="N4903" t="s">
        <v>2873</v>
      </c>
      <c r="O4903" t="s">
        <v>45</v>
      </c>
      <c r="P4903" t="s">
        <v>74</v>
      </c>
      <c r="Q4903" t="s">
        <v>2874</v>
      </c>
      <c r="R4903">
        <v>2.496</v>
      </c>
      <c r="S4903">
        <v>1</v>
      </c>
      <c r="T4903">
        <v>0.2</v>
      </c>
      <c r="U4903">
        <v>0.90480000000000005</v>
      </c>
      <c r="V4903" t="str">
        <f t="shared" si="76"/>
        <v>Nick Zandusky</v>
      </c>
      <c r="W4903">
        <f>Table2[Profit]/Table2[Sales]</f>
        <v>0.36250000000000004</v>
      </c>
    </row>
    <row r="4904" spans="1:23" x14ac:dyDescent="0.25">
      <c r="A4904">
        <v>4903</v>
      </c>
      <c r="B4904" t="s">
        <v>10566</v>
      </c>
      <c r="C4904" s="1">
        <v>42821</v>
      </c>
      <c r="D4904" s="1">
        <v>42823</v>
      </c>
      <c r="E4904" t="s">
        <v>22</v>
      </c>
      <c r="F4904" t="s">
        <v>447</v>
      </c>
      <c r="G4904" t="s">
        <v>448</v>
      </c>
      <c r="H4904" t="s">
        <v>25</v>
      </c>
      <c r="I4904" t="s">
        <v>26</v>
      </c>
      <c r="J4904" t="s">
        <v>1450</v>
      </c>
      <c r="K4904" t="s">
        <v>312</v>
      </c>
      <c r="L4904">
        <v>23223</v>
      </c>
      <c r="M4904" t="s">
        <v>29</v>
      </c>
      <c r="N4904" t="s">
        <v>6688</v>
      </c>
      <c r="O4904" t="s">
        <v>45</v>
      </c>
      <c r="P4904" t="s">
        <v>46</v>
      </c>
      <c r="Q4904" t="s">
        <v>6689</v>
      </c>
      <c r="R4904">
        <v>8.26</v>
      </c>
      <c r="S4904">
        <v>2</v>
      </c>
      <c r="T4904">
        <v>0</v>
      </c>
      <c r="U4904">
        <v>3.7995999999999999</v>
      </c>
      <c r="V4904" t="str">
        <f t="shared" si="76"/>
        <v>Lena Cacioppo</v>
      </c>
      <c r="W4904">
        <f>Table2[Profit]/Table2[Sales]</f>
        <v>0.46</v>
      </c>
    </row>
    <row r="4905" spans="1:23" x14ac:dyDescent="0.25">
      <c r="A4905">
        <v>4904</v>
      </c>
      <c r="B4905" t="s">
        <v>10567</v>
      </c>
      <c r="C4905" s="1">
        <v>42674</v>
      </c>
      <c r="D4905" s="1">
        <v>42679</v>
      </c>
      <c r="E4905" t="s">
        <v>49</v>
      </c>
      <c r="F4905" t="s">
        <v>2027</v>
      </c>
      <c r="G4905" t="s">
        <v>2028</v>
      </c>
      <c r="H4905" t="s">
        <v>40</v>
      </c>
      <c r="I4905" t="s">
        <v>26</v>
      </c>
      <c r="J4905" t="s">
        <v>126</v>
      </c>
      <c r="K4905" t="s">
        <v>42</v>
      </c>
      <c r="L4905">
        <v>94109</v>
      </c>
      <c r="M4905" t="s">
        <v>43</v>
      </c>
      <c r="N4905" t="s">
        <v>4427</v>
      </c>
      <c r="O4905" t="s">
        <v>31</v>
      </c>
      <c r="P4905" t="s">
        <v>35</v>
      </c>
      <c r="Q4905" t="s">
        <v>4428</v>
      </c>
      <c r="R4905">
        <v>1403.92</v>
      </c>
      <c r="S4905">
        <v>5</v>
      </c>
      <c r="T4905">
        <v>0.2</v>
      </c>
      <c r="U4905">
        <v>70.195999999999998</v>
      </c>
      <c r="V4905" t="str">
        <f t="shared" si="76"/>
        <v>Sylvia Foulston</v>
      </c>
      <c r="W4905">
        <f>Table2[Profit]/Table2[Sales]</f>
        <v>4.9999999999999996E-2</v>
      </c>
    </row>
    <row r="4906" spans="1:23" x14ac:dyDescent="0.25">
      <c r="A4906">
        <v>4905</v>
      </c>
      <c r="B4906" t="s">
        <v>10568</v>
      </c>
      <c r="C4906" s="1">
        <v>43043</v>
      </c>
      <c r="D4906" s="1">
        <v>43047</v>
      </c>
      <c r="E4906" t="s">
        <v>49</v>
      </c>
      <c r="F4906" t="s">
        <v>3738</v>
      </c>
      <c r="G4906" t="s">
        <v>3739</v>
      </c>
      <c r="H4906" t="s">
        <v>101</v>
      </c>
      <c r="I4906" t="s">
        <v>26</v>
      </c>
      <c r="J4906" t="s">
        <v>10569</v>
      </c>
      <c r="K4906" t="s">
        <v>1683</v>
      </c>
      <c r="L4906">
        <v>72762</v>
      </c>
      <c r="M4906" t="s">
        <v>29</v>
      </c>
      <c r="N4906" t="s">
        <v>6493</v>
      </c>
      <c r="O4906" t="s">
        <v>45</v>
      </c>
      <c r="P4906" t="s">
        <v>67</v>
      </c>
      <c r="Q4906" t="s">
        <v>6494</v>
      </c>
      <c r="R4906">
        <v>4.3</v>
      </c>
      <c r="S4906">
        <v>2</v>
      </c>
      <c r="T4906">
        <v>0</v>
      </c>
      <c r="U4906">
        <v>1.419</v>
      </c>
      <c r="V4906" t="str">
        <f t="shared" si="76"/>
        <v>Katherine Murray</v>
      </c>
      <c r="W4906">
        <f>Table2[Profit]/Table2[Sales]</f>
        <v>0.33</v>
      </c>
    </row>
    <row r="4907" spans="1:23" x14ac:dyDescent="0.25">
      <c r="A4907">
        <v>4906</v>
      </c>
      <c r="B4907" t="s">
        <v>10570</v>
      </c>
      <c r="C4907" s="1">
        <v>41684</v>
      </c>
      <c r="D4907" s="1">
        <v>41688</v>
      </c>
      <c r="E4907" t="s">
        <v>49</v>
      </c>
      <c r="F4907" t="s">
        <v>4150</v>
      </c>
      <c r="G4907" t="s">
        <v>4151</v>
      </c>
      <c r="H4907" t="s">
        <v>40</v>
      </c>
      <c r="I4907" t="s">
        <v>26</v>
      </c>
      <c r="J4907" t="s">
        <v>94</v>
      </c>
      <c r="K4907" t="s">
        <v>95</v>
      </c>
      <c r="L4907">
        <v>98103</v>
      </c>
      <c r="M4907" t="s">
        <v>43</v>
      </c>
      <c r="N4907" t="s">
        <v>4327</v>
      </c>
      <c r="O4907" t="s">
        <v>70</v>
      </c>
      <c r="P4907" t="s">
        <v>158</v>
      </c>
      <c r="Q4907" t="s">
        <v>4328</v>
      </c>
      <c r="R4907">
        <v>239.97</v>
      </c>
      <c r="S4907">
        <v>3</v>
      </c>
      <c r="T4907">
        <v>0</v>
      </c>
      <c r="U4907">
        <v>86.389200000000002</v>
      </c>
      <c r="V4907" t="str">
        <f t="shared" si="76"/>
        <v>Marina Lichtenstein</v>
      </c>
      <c r="W4907">
        <f>Table2[Profit]/Table2[Sales]</f>
        <v>0.36</v>
      </c>
    </row>
    <row r="4908" spans="1:23" x14ac:dyDescent="0.25">
      <c r="A4908">
        <v>4907</v>
      </c>
      <c r="B4908" t="s">
        <v>10571</v>
      </c>
      <c r="C4908" s="1">
        <v>41808</v>
      </c>
      <c r="D4908" s="1">
        <v>41813</v>
      </c>
      <c r="E4908" t="s">
        <v>49</v>
      </c>
      <c r="F4908" t="s">
        <v>4084</v>
      </c>
      <c r="G4908" t="s">
        <v>4085</v>
      </c>
      <c r="H4908" t="s">
        <v>25</v>
      </c>
      <c r="I4908" t="s">
        <v>26</v>
      </c>
      <c r="J4908" t="s">
        <v>41</v>
      </c>
      <c r="K4908" t="s">
        <v>42</v>
      </c>
      <c r="L4908">
        <v>90036</v>
      </c>
      <c r="M4908" t="s">
        <v>43</v>
      </c>
      <c r="N4908" t="s">
        <v>607</v>
      </c>
      <c r="O4908" t="s">
        <v>70</v>
      </c>
      <c r="P4908" t="s">
        <v>71</v>
      </c>
      <c r="Q4908" t="s">
        <v>608</v>
      </c>
      <c r="R4908">
        <v>139.80000000000001</v>
      </c>
      <c r="S4908">
        <v>5</v>
      </c>
      <c r="T4908">
        <v>0.2</v>
      </c>
      <c r="U4908">
        <v>12.2325</v>
      </c>
      <c r="V4908" t="str">
        <f t="shared" si="76"/>
        <v>Mick Crebagga</v>
      </c>
      <c r="W4908">
        <f>Table2[Profit]/Table2[Sales]</f>
        <v>8.7499999999999994E-2</v>
      </c>
    </row>
    <row r="4909" spans="1:23" x14ac:dyDescent="0.25">
      <c r="A4909">
        <v>4908</v>
      </c>
      <c r="B4909" t="s">
        <v>10572</v>
      </c>
      <c r="C4909" s="1">
        <v>42794</v>
      </c>
      <c r="D4909" s="1">
        <v>42800</v>
      </c>
      <c r="E4909" t="s">
        <v>49</v>
      </c>
      <c r="F4909" t="s">
        <v>4645</v>
      </c>
      <c r="G4909" t="s">
        <v>4646</v>
      </c>
      <c r="H4909" t="s">
        <v>25</v>
      </c>
      <c r="I4909" t="s">
        <v>26</v>
      </c>
      <c r="J4909" t="s">
        <v>3616</v>
      </c>
      <c r="K4909" t="s">
        <v>740</v>
      </c>
      <c r="L4909">
        <v>6457</v>
      </c>
      <c r="M4909" t="s">
        <v>145</v>
      </c>
      <c r="N4909" t="s">
        <v>4639</v>
      </c>
      <c r="O4909" t="s">
        <v>45</v>
      </c>
      <c r="P4909" t="s">
        <v>74</v>
      </c>
      <c r="Q4909" t="s">
        <v>4640</v>
      </c>
      <c r="R4909">
        <v>9.84</v>
      </c>
      <c r="S4909">
        <v>2</v>
      </c>
      <c r="T4909">
        <v>0</v>
      </c>
      <c r="U4909">
        <v>4.7232000000000003</v>
      </c>
      <c r="V4909" t="str">
        <f t="shared" si="76"/>
        <v>Duane Benoit</v>
      </c>
      <c r="W4909">
        <f>Table2[Profit]/Table2[Sales]</f>
        <v>0.48000000000000004</v>
      </c>
    </row>
    <row r="4910" spans="1:23" x14ac:dyDescent="0.25">
      <c r="A4910">
        <v>4909</v>
      </c>
      <c r="B4910" t="s">
        <v>10573</v>
      </c>
      <c r="C4910" s="1">
        <v>43078</v>
      </c>
      <c r="D4910" s="1">
        <v>43084</v>
      </c>
      <c r="E4910" t="s">
        <v>49</v>
      </c>
      <c r="F4910" t="s">
        <v>4773</v>
      </c>
      <c r="G4910" t="s">
        <v>4774</v>
      </c>
      <c r="H4910" t="s">
        <v>25</v>
      </c>
      <c r="I4910" t="s">
        <v>26</v>
      </c>
      <c r="J4910" t="s">
        <v>6317</v>
      </c>
      <c r="K4910" t="s">
        <v>235</v>
      </c>
      <c r="L4910">
        <v>49505</v>
      </c>
      <c r="M4910" t="s">
        <v>104</v>
      </c>
      <c r="N4910" t="s">
        <v>4072</v>
      </c>
      <c r="O4910" t="s">
        <v>45</v>
      </c>
      <c r="P4910" t="s">
        <v>74</v>
      </c>
      <c r="Q4910" t="s">
        <v>4073</v>
      </c>
      <c r="R4910">
        <v>54.9</v>
      </c>
      <c r="S4910">
        <v>5</v>
      </c>
      <c r="T4910">
        <v>0</v>
      </c>
      <c r="U4910">
        <v>26.901</v>
      </c>
      <c r="V4910" t="str">
        <f t="shared" si="76"/>
        <v>Luke Weiss</v>
      </c>
      <c r="W4910">
        <f>Table2[Profit]/Table2[Sales]</f>
        <v>0.49</v>
      </c>
    </row>
    <row r="4911" spans="1:23" x14ac:dyDescent="0.25">
      <c r="A4911">
        <v>4910</v>
      </c>
      <c r="B4911" t="s">
        <v>10574</v>
      </c>
      <c r="C4911" s="1">
        <v>43076</v>
      </c>
      <c r="D4911" s="1">
        <v>43083</v>
      </c>
      <c r="E4911" t="s">
        <v>49</v>
      </c>
      <c r="F4911" t="s">
        <v>3535</v>
      </c>
      <c r="G4911" t="s">
        <v>3536</v>
      </c>
      <c r="H4911" t="s">
        <v>101</v>
      </c>
      <c r="I4911" t="s">
        <v>26</v>
      </c>
      <c r="J4911" t="s">
        <v>126</v>
      </c>
      <c r="K4911" t="s">
        <v>42</v>
      </c>
      <c r="L4911">
        <v>94122</v>
      </c>
      <c r="M4911" t="s">
        <v>43</v>
      </c>
      <c r="N4911" t="s">
        <v>5237</v>
      </c>
      <c r="O4911" t="s">
        <v>45</v>
      </c>
      <c r="P4911" t="s">
        <v>89</v>
      </c>
      <c r="Q4911" t="s">
        <v>5238</v>
      </c>
      <c r="R4911">
        <v>50.04</v>
      </c>
      <c r="S4911">
        <v>6</v>
      </c>
      <c r="T4911">
        <v>0</v>
      </c>
      <c r="U4911">
        <v>25.02</v>
      </c>
      <c r="V4911" t="str">
        <f t="shared" si="76"/>
        <v>Tracy Collins</v>
      </c>
      <c r="W4911">
        <f>Table2[Profit]/Table2[Sales]</f>
        <v>0.5</v>
      </c>
    </row>
    <row r="4912" spans="1:23" x14ac:dyDescent="0.25">
      <c r="A4912">
        <v>4911</v>
      </c>
      <c r="B4912" t="s">
        <v>10575</v>
      </c>
      <c r="C4912" s="1">
        <v>42698</v>
      </c>
      <c r="D4912" s="1">
        <v>42704</v>
      </c>
      <c r="E4912" t="s">
        <v>49</v>
      </c>
      <c r="F4912" t="s">
        <v>2760</v>
      </c>
      <c r="G4912" t="s">
        <v>2761</v>
      </c>
      <c r="H4912" t="s">
        <v>101</v>
      </c>
      <c r="I4912" t="s">
        <v>26</v>
      </c>
      <c r="J4912" t="s">
        <v>2298</v>
      </c>
      <c r="K4912" t="s">
        <v>53</v>
      </c>
      <c r="L4912">
        <v>33012</v>
      </c>
      <c r="M4912" t="s">
        <v>29</v>
      </c>
      <c r="N4912" t="s">
        <v>2323</v>
      </c>
      <c r="O4912" t="s">
        <v>31</v>
      </c>
      <c r="P4912" t="s">
        <v>32</v>
      </c>
      <c r="Q4912" t="s">
        <v>2324</v>
      </c>
      <c r="R4912">
        <v>339.92</v>
      </c>
      <c r="S4912">
        <v>5</v>
      </c>
      <c r="T4912">
        <v>0.2</v>
      </c>
      <c r="U4912">
        <v>8.4979999999999993</v>
      </c>
      <c r="V4912" t="str">
        <f t="shared" si="76"/>
        <v>Sample Company A</v>
      </c>
      <c r="W4912">
        <f>Table2[Profit]/Table2[Sales]</f>
        <v>2.4999999999999998E-2</v>
      </c>
    </row>
    <row r="4913" spans="1:23" x14ac:dyDescent="0.25">
      <c r="A4913">
        <v>4912</v>
      </c>
      <c r="B4913" t="s">
        <v>10576</v>
      </c>
      <c r="C4913" s="1">
        <v>42554</v>
      </c>
      <c r="D4913" s="1">
        <v>42554</v>
      </c>
      <c r="E4913" t="s">
        <v>1278</v>
      </c>
      <c r="F4913" t="s">
        <v>4337</v>
      </c>
      <c r="G4913" t="s">
        <v>4338</v>
      </c>
      <c r="H4913" t="s">
        <v>40</v>
      </c>
      <c r="I4913" t="s">
        <v>26</v>
      </c>
      <c r="J4913" t="s">
        <v>143</v>
      </c>
      <c r="K4913" t="s">
        <v>144</v>
      </c>
      <c r="L4913">
        <v>19143</v>
      </c>
      <c r="M4913" t="s">
        <v>145</v>
      </c>
      <c r="N4913" t="s">
        <v>4250</v>
      </c>
      <c r="O4913" t="s">
        <v>45</v>
      </c>
      <c r="P4913" t="s">
        <v>89</v>
      </c>
      <c r="Q4913" t="s">
        <v>4251</v>
      </c>
      <c r="R4913">
        <v>123.92</v>
      </c>
      <c r="S4913">
        <v>5</v>
      </c>
      <c r="T4913">
        <v>0.2</v>
      </c>
      <c r="U4913">
        <v>38.725000000000001</v>
      </c>
      <c r="V4913" t="str">
        <f t="shared" si="76"/>
        <v>Filia McAdams</v>
      </c>
      <c r="W4913">
        <f>Table2[Profit]/Table2[Sales]</f>
        <v>0.3125</v>
      </c>
    </row>
    <row r="4914" spans="1:23" x14ac:dyDescent="0.25">
      <c r="A4914">
        <v>4913</v>
      </c>
      <c r="B4914" t="s">
        <v>10577</v>
      </c>
      <c r="C4914" s="1">
        <v>42547</v>
      </c>
      <c r="D4914" s="1">
        <v>42554</v>
      </c>
      <c r="E4914" t="s">
        <v>49</v>
      </c>
      <c r="F4914" t="s">
        <v>3459</v>
      </c>
      <c r="G4914" t="s">
        <v>3460</v>
      </c>
      <c r="H4914" t="s">
        <v>25</v>
      </c>
      <c r="I4914" t="s">
        <v>26</v>
      </c>
      <c r="J4914" t="s">
        <v>1712</v>
      </c>
      <c r="K4914" t="s">
        <v>1260</v>
      </c>
      <c r="L4914">
        <v>30318</v>
      </c>
      <c r="M4914" t="s">
        <v>29</v>
      </c>
      <c r="N4914" t="s">
        <v>7021</v>
      </c>
      <c r="O4914" t="s">
        <v>70</v>
      </c>
      <c r="P4914" t="s">
        <v>71</v>
      </c>
      <c r="Q4914" t="s">
        <v>7022</v>
      </c>
      <c r="R4914">
        <v>135.94999999999999</v>
      </c>
      <c r="S4914">
        <v>1</v>
      </c>
      <c r="T4914">
        <v>0</v>
      </c>
      <c r="U4914">
        <v>39.4255</v>
      </c>
      <c r="V4914" t="str">
        <f t="shared" si="76"/>
        <v>Phillip Flathmann</v>
      </c>
      <c r="W4914">
        <f>Table2[Profit]/Table2[Sales]</f>
        <v>0.29000000000000004</v>
      </c>
    </row>
    <row r="4915" spans="1:23" x14ac:dyDescent="0.25">
      <c r="A4915">
        <v>4914</v>
      </c>
      <c r="B4915" t="s">
        <v>10578</v>
      </c>
      <c r="C4915" s="1">
        <v>41846</v>
      </c>
      <c r="D4915" s="1">
        <v>41850</v>
      </c>
      <c r="E4915" t="s">
        <v>49</v>
      </c>
      <c r="F4915" t="s">
        <v>1404</v>
      </c>
      <c r="G4915" t="s">
        <v>1405</v>
      </c>
      <c r="H4915" t="s">
        <v>25</v>
      </c>
      <c r="I4915" t="s">
        <v>26</v>
      </c>
      <c r="J4915" t="s">
        <v>671</v>
      </c>
      <c r="K4915" t="s">
        <v>103</v>
      </c>
      <c r="L4915">
        <v>78207</v>
      </c>
      <c r="M4915" t="s">
        <v>104</v>
      </c>
      <c r="N4915" t="s">
        <v>1243</v>
      </c>
      <c r="O4915" t="s">
        <v>45</v>
      </c>
      <c r="P4915" t="s">
        <v>74</v>
      </c>
      <c r="Q4915" t="s">
        <v>1244</v>
      </c>
      <c r="R4915">
        <v>2177.5839999999998</v>
      </c>
      <c r="S4915">
        <v>8</v>
      </c>
      <c r="T4915">
        <v>0.8</v>
      </c>
      <c r="U4915">
        <v>-3701.8928000000001</v>
      </c>
      <c r="V4915" t="str">
        <f t="shared" si="76"/>
        <v>Luke Foster</v>
      </c>
      <c r="W4915">
        <f>Table2[Profit]/Table2[Sales]</f>
        <v>-1.7000000000000002</v>
      </c>
    </row>
    <row r="4916" spans="1:23" x14ac:dyDescent="0.25">
      <c r="A4916">
        <v>4915</v>
      </c>
      <c r="B4916" t="s">
        <v>10579</v>
      </c>
      <c r="C4916" s="1">
        <v>42627</v>
      </c>
      <c r="D4916" s="1">
        <v>42631</v>
      </c>
      <c r="E4916" t="s">
        <v>49</v>
      </c>
      <c r="F4916" t="s">
        <v>479</v>
      </c>
      <c r="G4916" t="s">
        <v>480</v>
      </c>
      <c r="H4916" t="s">
        <v>25</v>
      </c>
      <c r="I4916" t="s">
        <v>26</v>
      </c>
      <c r="J4916" t="s">
        <v>1161</v>
      </c>
      <c r="K4916" t="s">
        <v>264</v>
      </c>
      <c r="L4916">
        <v>11561</v>
      </c>
      <c r="M4916" t="s">
        <v>145</v>
      </c>
      <c r="N4916" t="s">
        <v>5128</v>
      </c>
      <c r="O4916" t="s">
        <v>70</v>
      </c>
      <c r="P4916" t="s">
        <v>71</v>
      </c>
      <c r="Q4916" t="s">
        <v>5129</v>
      </c>
      <c r="R4916">
        <v>437.85</v>
      </c>
      <c r="S4916">
        <v>3</v>
      </c>
      <c r="T4916">
        <v>0</v>
      </c>
      <c r="U4916">
        <v>131.35499999999999</v>
      </c>
      <c r="V4916" t="str">
        <f t="shared" si="76"/>
        <v>Clay Ludtke</v>
      </c>
      <c r="W4916">
        <f>Table2[Profit]/Table2[Sales]</f>
        <v>0.29999999999999993</v>
      </c>
    </row>
    <row r="4917" spans="1:23" x14ac:dyDescent="0.25">
      <c r="A4917">
        <v>4916</v>
      </c>
      <c r="B4917" t="s">
        <v>10580</v>
      </c>
      <c r="C4917" s="1">
        <v>42155</v>
      </c>
      <c r="D4917" s="1">
        <v>42157</v>
      </c>
      <c r="E4917" t="s">
        <v>22</v>
      </c>
      <c r="F4917" t="s">
        <v>5213</v>
      </c>
      <c r="G4917" t="s">
        <v>5214</v>
      </c>
      <c r="H4917" t="s">
        <v>40</v>
      </c>
      <c r="I4917" t="s">
        <v>26</v>
      </c>
      <c r="J4917" t="s">
        <v>4724</v>
      </c>
      <c r="K4917" t="s">
        <v>781</v>
      </c>
      <c r="L4917">
        <v>7501</v>
      </c>
      <c r="M4917" t="s">
        <v>145</v>
      </c>
      <c r="N4917" t="s">
        <v>1983</v>
      </c>
      <c r="O4917" t="s">
        <v>45</v>
      </c>
      <c r="P4917" t="s">
        <v>89</v>
      </c>
      <c r="Q4917" t="s">
        <v>1984</v>
      </c>
      <c r="R4917">
        <v>274.8</v>
      </c>
      <c r="S4917">
        <v>5</v>
      </c>
      <c r="T4917">
        <v>0</v>
      </c>
      <c r="U4917">
        <v>134.65199999999999</v>
      </c>
      <c r="V4917" t="str">
        <f t="shared" si="76"/>
        <v>Elizabeth Moffitt</v>
      </c>
      <c r="W4917">
        <f>Table2[Profit]/Table2[Sales]</f>
        <v>0.48999999999999994</v>
      </c>
    </row>
    <row r="4918" spans="1:23" x14ac:dyDescent="0.25">
      <c r="A4918">
        <v>4917</v>
      </c>
      <c r="B4918" t="s">
        <v>10581</v>
      </c>
      <c r="C4918" s="1">
        <v>42133</v>
      </c>
      <c r="D4918" s="1">
        <v>42137</v>
      </c>
      <c r="E4918" t="s">
        <v>49</v>
      </c>
      <c r="F4918" t="s">
        <v>2068</v>
      </c>
      <c r="G4918" t="s">
        <v>2069</v>
      </c>
      <c r="H4918" t="s">
        <v>25</v>
      </c>
      <c r="I4918" t="s">
        <v>26</v>
      </c>
      <c r="J4918" t="s">
        <v>1459</v>
      </c>
      <c r="K4918" t="s">
        <v>28</v>
      </c>
      <c r="L4918">
        <v>40214</v>
      </c>
      <c r="M4918" t="s">
        <v>29</v>
      </c>
      <c r="N4918" t="s">
        <v>6395</v>
      </c>
      <c r="O4918" t="s">
        <v>45</v>
      </c>
      <c r="P4918" t="s">
        <v>74</v>
      </c>
      <c r="Q4918" t="s">
        <v>6396</v>
      </c>
      <c r="R4918">
        <v>48.81</v>
      </c>
      <c r="S4918">
        <v>3</v>
      </c>
      <c r="T4918">
        <v>0</v>
      </c>
      <c r="U4918">
        <v>23.916899999999998</v>
      </c>
      <c r="V4918" t="str">
        <f t="shared" si="76"/>
        <v>Max Engle</v>
      </c>
      <c r="W4918">
        <f>Table2[Profit]/Table2[Sales]</f>
        <v>0.48999999999999994</v>
      </c>
    </row>
    <row r="4919" spans="1:23" x14ac:dyDescent="0.25">
      <c r="A4919">
        <v>4918</v>
      </c>
      <c r="B4919" t="s">
        <v>10582</v>
      </c>
      <c r="C4919" s="1">
        <v>41948</v>
      </c>
      <c r="D4919" s="1">
        <v>41948</v>
      </c>
      <c r="E4919" t="s">
        <v>1278</v>
      </c>
      <c r="F4919" t="s">
        <v>8161</v>
      </c>
      <c r="G4919" t="s">
        <v>8162</v>
      </c>
      <c r="H4919" t="s">
        <v>25</v>
      </c>
      <c r="I4919" t="s">
        <v>26</v>
      </c>
      <c r="J4919" t="s">
        <v>7376</v>
      </c>
      <c r="K4919" t="s">
        <v>312</v>
      </c>
      <c r="L4919">
        <v>23666</v>
      </c>
      <c r="M4919" t="s">
        <v>29</v>
      </c>
      <c r="N4919" t="s">
        <v>4483</v>
      </c>
      <c r="O4919" t="s">
        <v>31</v>
      </c>
      <c r="P4919" t="s">
        <v>35</v>
      </c>
      <c r="Q4919" t="s">
        <v>4484</v>
      </c>
      <c r="R4919">
        <v>149.9</v>
      </c>
      <c r="S4919">
        <v>5</v>
      </c>
      <c r="T4919">
        <v>0</v>
      </c>
      <c r="U4919">
        <v>40.472999999999999</v>
      </c>
      <c r="V4919" t="str">
        <f t="shared" si="76"/>
        <v>Barry Gonzalez</v>
      </c>
      <c r="W4919">
        <f>Table2[Profit]/Table2[Sales]</f>
        <v>0.26999999999999996</v>
      </c>
    </row>
    <row r="4920" spans="1:23" x14ac:dyDescent="0.25">
      <c r="A4920">
        <v>4919</v>
      </c>
      <c r="B4920" t="s">
        <v>10583</v>
      </c>
      <c r="C4920" s="1">
        <v>42821</v>
      </c>
      <c r="D4920" s="1">
        <v>42826</v>
      </c>
      <c r="E4920" t="s">
        <v>49</v>
      </c>
      <c r="F4920" t="s">
        <v>1439</v>
      </c>
      <c r="G4920" t="s">
        <v>1440</v>
      </c>
      <c r="H4920" t="s">
        <v>25</v>
      </c>
      <c r="I4920" t="s">
        <v>26</v>
      </c>
      <c r="J4920" t="s">
        <v>181</v>
      </c>
      <c r="K4920" t="s">
        <v>103</v>
      </c>
      <c r="L4920">
        <v>77070</v>
      </c>
      <c r="M4920" t="s">
        <v>104</v>
      </c>
      <c r="N4920" t="s">
        <v>3041</v>
      </c>
      <c r="O4920" t="s">
        <v>31</v>
      </c>
      <c r="P4920" t="s">
        <v>32</v>
      </c>
      <c r="Q4920" t="s">
        <v>3042</v>
      </c>
      <c r="R4920">
        <v>1023.332</v>
      </c>
      <c r="S4920">
        <v>5</v>
      </c>
      <c r="T4920">
        <v>0.32</v>
      </c>
      <c r="U4920">
        <v>-30.097999999999999</v>
      </c>
      <c r="V4920" t="str">
        <f t="shared" si="76"/>
        <v>Caroline Jumper</v>
      </c>
      <c r="W4920">
        <f>Table2[Profit]/Table2[Sales]</f>
        <v>-2.9411764705882353E-2</v>
      </c>
    </row>
    <row r="4921" spans="1:23" x14ac:dyDescent="0.25">
      <c r="A4921">
        <v>4920</v>
      </c>
      <c r="B4921" t="s">
        <v>10584</v>
      </c>
      <c r="C4921" s="1">
        <v>41780</v>
      </c>
      <c r="D4921" s="1">
        <v>41782</v>
      </c>
      <c r="E4921" t="s">
        <v>22</v>
      </c>
      <c r="F4921" t="s">
        <v>2847</v>
      </c>
      <c r="G4921" t="s">
        <v>2848</v>
      </c>
      <c r="H4921" t="s">
        <v>25</v>
      </c>
      <c r="I4921" t="s">
        <v>26</v>
      </c>
      <c r="J4921" t="s">
        <v>181</v>
      </c>
      <c r="K4921" t="s">
        <v>103</v>
      </c>
      <c r="L4921">
        <v>77070</v>
      </c>
      <c r="M4921" t="s">
        <v>104</v>
      </c>
      <c r="N4921" t="s">
        <v>4045</v>
      </c>
      <c r="O4921" t="s">
        <v>45</v>
      </c>
      <c r="P4921" t="s">
        <v>170</v>
      </c>
      <c r="Q4921" t="s">
        <v>662</v>
      </c>
      <c r="R4921">
        <v>56.064</v>
      </c>
      <c r="S4921">
        <v>6</v>
      </c>
      <c r="T4921">
        <v>0.2</v>
      </c>
      <c r="U4921">
        <v>21.024000000000001</v>
      </c>
      <c r="V4921" t="str">
        <f t="shared" si="76"/>
        <v>Katherine Hughes</v>
      </c>
      <c r="W4921">
        <f>Table2[Profit]/Table2[Sales]</f>
        <v>0.375</v>
      </c>
    </row>
    <row r="4922" spans="1:23" x14ac:dyDescent="0.25">
      <c r="A4922">
        <v>4921</v>
      </c>
      <c r="B4922" t="s">
        <v>10585</v>
      </c>
      <c r="C4922" s="1">
        <v>42511</v>
      </c>
      <c r="D4922" s="1">
        <v>42518</v>
      </c>
      <c r="E4922" t="s">
        <v>49</v>
      </c>
      <c r="F4922" t="s">
        <v>578</v>
      </c>
      <c r="G4922" t="s">
        <v>579</v>
      </c>
      <c r="H4922" t="s">
        <v>40</v>
      </c>
      <c r="I4922" t="s">
        <v>26</v>
      </c>
      <c r="J4922" t="s">
        <v>296</v>
      </c>
      <c r="K4922" t="s">
        <v>208</v>
      </c>
      <c r="L4922">
        <v>60610</v>
      </c>
      <c r="M4922" t="s">
        <v>104</v>
      </c>
      <c r="N4922" t="s">
        <v>3280</v>
      </c>
      <c r="O4922" t="s">
        <v>45</v>
      </c>
      <c r="P4922" t="s">
        <v>74</v>
      </c>
      <c r="Q4922" t="s">
        <v>3281</v>
      </c>
      <c r="R4922">
        <v>3.798</v>
      </c>
      <c r="S4922">
        <v>3</v>
      </c>
      <c r="T4922">
        <v>0.8</v>
      </c>
      <c r="U4922">
        <v>-5.8868999999999998</v>
      </c>
      <c r="V4922" t="str">
        <f t="shared" si="76"/>
        <v>Sally Hughsby</v>
      </c>
      <c r="W4922">
        <f>Table2[Profit]/Table2[Sales]</f>
        <v>-1.5499999999999998</v>
      </c>
    </row>
    <row r="4923" spans="1:23" x14ac:dyDescent="0.25">
      <c r="A4923">
        <v>4922</v>
      </c>
      <c r="B4923" t="s">
        <v>10586</v>
      </c>
      <c r="C4923" s="1">
        <v>42016</v>
      </c>
      <c r="D4923" s="1">
        <v>42021</v>
      </c>
      <c r="E4923" t="s">
        <v>49</v>
      </c>
      <c r="F4923" t="s">
        <v>6430</v>
      </c>
      <c r="G4923" t="s">
        <v>6431</v>
      </c>
      <c r="H4923" t="s">
        <v>40</v>
      </c>
      <c r="I4923" t="s">
        <v>26</v>
      </c>
      <c r="J4923" t="s">
        <v>2797</v>
      </c>
      <c r="K4923" t="s">
        <v>491</v>
      </c>
      <c r="L4923">
        <v>43615</v>
      </c>
      <c r="M4923" t="s">
        <v>145</v>
      </c>
      <c r="N4923" t="s">
        <v>1234</v>
      </c>
      <c r="O4923" t="s">
        <v>45</v>
      </c>
      <c r="P4923" t="s">
        <v>67</v>
      </c>
      <c r="Q4923" t="s">
        <v>1235</v>
      </c>
      <c r="R4923">
        <v>10.368</v>
      </c>
      <c r="S4923">
        <v>2</v>
      </c>
      <c r="T4923">
        <v>0.2</v>
      </c>
      <c r="U4923">
        <v>1.5551999999999999</v>
      </c>
      <c r="V4923" t="str">
        <f t="shared" si="76"/>
        <v>Cindy Schnelling</v>
      </c>
      <c r="W4923">
        <f>Table2[Profit]/Table2[Sales]</f>
        <v>0.15</v>
      </c>
    </row>
    <row r="4924" spans="1:23" x14ac:dyDescent="0.25">
      <c r="A4924">
        <v>4923</v>
      </c>
      <c r="B4924" t="s">
        <v>10587</v>
      </c>
      <c r="C4924" s="1">
        <v>43007</v>
      </c>
      <c r="D4924" s="1">
        <v>43014</v>
      </c>
      <c r="E4924" t="s">
        <v>49</v>
      </c>
      <c r="F4924" t="s">
        <v>2453</v>
      </c>
      <c r="G4924" t="s">
        <v>2454</v>
      </c>
      <c r="H4924" t="s">
        <v>25</v>
      </c>
      <c r="I4924" t="s">
        <v>26</v>
      </c>
      <c r="J4924" t="s">
        <v>10588</v>
      </c>
      <c r="K4924" t="s">
        <v>42</v>
      </c>
      <c r="L4924">
        <v>95240</v>
      </c>
      <c r="M4924" t="s">
        <v>43</v>
      </c>
      <c r="N4924" t="s">
        <v>4725</v>
      </c>
      <c r="O4924" t="s">
        <v>45</v>
      </c>
      <c r="P4924" t="s">
        <v>572</v>
      </c>
      <c r="Q4924" t="s">
        <v>4726</v>
      </c>
      <c r="R4924">
        <v>97.3</v>
      </c>
      <c r="S4924">
        <v>7</v>
      </c>
      <c r="T4924">
        <v>0</v>
      </c>
      <c r="U4924">
        <v>28.216999999999999</v>
      </c>
      <c r="V4924" t="str">
        <f t="shared" si="76"/>
        <v>Joe Kamberova</v>
      </c>
      <c r="W4924">
        <f>Table2[Profit]/Table2[Sales]</f>
        <v>0.28999999999999998</v>
      </c>
    </row>
    <row r="4925" spans="1:23" x14ac:dyDescent="0.25">
      <c r="A4925">
        <v>4924</v>
      </c>
      <c r="B4925" t="s">
        <v>10589</v>
      </c>
      <c r="C4925" s="1">
        <v>42203</v>
      </c>
      <c r="D4925" s="1">
        <v>42205</v>
      </c>
      <c r="E4925" t="s">
        <v>22</v>
      </c>
      <c r="F4925" t="s">
        <v>2509</v>
      </c>
      <c r="G4925" t="s">
        <v>2510</v>
      </c>
      <c r="H4925" t="s">
        <v>25</v>
      </c>
      <c r="I4925" t="s">
        <v>26</v>
      </c>
      <c r="J4925" t="s">
        <v>263</v>
      </c>
      <c r="K4925" t="s">
        <v>264</v>
      </c>
      <c r="L4925">
        <v>10024</v>
      </c>
      <c r="M4925" t="s">
        <v>145</v>
      </c>
      <c r="N4925" t="s">
        <v>338</v>
      </c>
      <c r="O4925" t="s">
        <v>45</v>
      </c>
      <c r="P4925" t="s">
        <v>74</v>
      </c>
      <c r="Q4925" t="s">
        <v>339</v>
      </c>
      <c r="R4925">
        <v>3.3279999999999998</v>
      </c>
      <c r="S4925">
        <v>2</v>
      </c>
      <c r="T4925">
        <v>0.2</v>
      </c>
      <c r="U4925">
        <v>1.2063999999999999</v>
      </c>
      <c r="V4925" t="str">
        <f t="shared" si="76"/>
        <v>Pauline Johnson</v>
      </c>
      <c r="W4925">
        <f>Table2[Profit]/Table2[Sales]</f>
        <v>0.36249999999999999</v>
      </c>
    </row>
    <row r="4926" spans="1:23" x14ac:dyDescent="0.25">
      <c r="A4926">
        <v>4925</v>
      </c>
      <c r="B4926" t="s">
        <v>10590</v>
      </c>
      <c r="C4926" s="1">
        <v>42664</v>
      </c>
      <c r="D4926" s="1">
        <v>42669</v>
      </c>
      <c r="E4926" t="s">
        <v>49</v>
      </c>
      <c r="F4926" t="s">
        <v>3276</v>
      </c>
      <c r="G4926" t="s">
        <v>3277</v>
      </c>
      <c r="H4926" t="s">
        <v>101</v>
      </c>
      <c r="I4926" t="s">
        <v>26</v>
      </c>
      <c r="J4926" t="s">
        <v>52</v>
      </c>
      <c r="K4926" t="s">
        <v>53</v>
      </c>
      <c r="L4926">
        <v>33311</v>
      </c>
      <c r="M4926" t="s">
        <v>29</v>
      </c>
      <c r="N4926" t="s">
        <v>4489</v>
      </c>
      <c r="O4926" t="s">
        <v>31</v>
      </c>
      <c r="P4926" t="s">
        <v>64</v>
      </c>
      <c r="Q4926" t="s">
        <v>4490</v>
      </c>
      <c r="R4926">
        <v>45.567999999999998</v>
      </c>
      <c r="S4926">
        <v>2</v>
      </c>
      <c r="T4926">
        <v>0.2</v>
      </c>
      <c r="U4926">
        <v>9.6831999999999994</v>
      </c>
      <c r="V4926" t="str">
        <f t="shared" si="76"/>
        <v>Anne Pryor</v>
      </c>
      <c r="W4926">
        <f>Table2[Profit]/Table2[Sales]</f>
        <v>0.21249999999999999</v>
      </c>
    </row>
    <row r="4927" spans="1:23" x14ac:dyDescent="0.25">
      <c r="A4927">
        <v>4926</v>
      </c>
      <c r="B4927" t="s">
        <v>10591</v>
      </c>
      <c r="C4927" s="1">
        <v>42943</v>
      </c>
      <c r="D4927" s="1">
        <v>42948</v>
      </c>
      <c r="E4927" t="s">
        <v>22</v>
      </c>
      <c r="F4927" t="s">
        <v>4368</v>
      </c>
      <c r="G4927" t="s">
        <v>4369</v>
      </c>
      <c r="H4927" t="s">
        <v>25</v>
      </c>
      <c r="I4927" t="s">
        <v>26</v>
      </c>
      <c r="J4927" t="s">
        <v>4494</v>
      </c>
      <c r="K4927" t="s">
        <v>87</v>
      </c>
      <c r="L4927">
        <v>27604</v>
      </c>
      <c r="M4927" t="s">
        <v>29</v>
      </c>
      <c r="N4927" t="s">
        <v>297</v>
      </c>
      <c r="O4927" t="s">
        <v>31</v>
      </c>
      <c r="P4927" t="s">
        <v>35</v>
      </c>
      <c r="Q4927" t="s">
        <v>298</v>
      </c>
      <c r="R4927">
        <v>194.84800000000001</v>
      </c>
      <c r="S4927">
        <v>4</v>
      </c>
      <c r="T4927">
        <v>0.2</v>
      </c>
      <c r="U4927">
        <v>12.178000000000001</v>
      </c>
      <c r="V4927" t="str">
        <f t="shared" si="76"/>
        <v>Joni Wasserman</v>
      </c>
      <c r="W4927">
        <f>Table2[Profit]/Table2[Sales]</f>
        <v>6.25E-2</v>
      </c>
    </row>
    <row r="4928" spans="1:23" x14ac:dyDescent="0.25">
      <c r="A4928">
        <v>4927</v>
      </c>
      <c r="B4928" t="s">
        <v>10592</v>
      </c>
      <c r="C4928" s="1">
        <v>42937</v>
      </c>
      <c r="D4928" s="1">
        <v>42942</v>
      </c>
      <c r="E4928" t="s">
        <v>49</v>
      </c>
      <c r="F4928" t="s">
        <v>6224</v>
      </c>
      <c r="G4928" t="s">
        <v>6225</v>
      </c>
      <c r="H4928" t="s">
        <v>25</v>
      </c>
      <c r="I4928" t="s">
        <v>26</v>
      </c>
      <c r="J4928" t="s">
        <v>296</v>
      </c>
      <c r="K4928" t="s">
        <v>208</v>
      </c>
      <c r="L4928">
        <v>60623</v>
      </c>
      <c r="M4928" t="s">
        <v>104</v>
      </c>
      <c r="N4928" t="s">
        <v>4229</v>
      </c>
      <c r="O4928" t="s">
        <v>45</v>
      </c>
      <c r="P4928" t="s">
        <v>74</v>
      </c>
      <c r="Q4928" t="s">
        <v>4230</v>
      </c>
      <c r="R4928">
        <v>2.1120000000000001</v>
      </c>
      <c r="S4928">
        <v>2</v>
      </c>
      <c r="T4928">
        <v>0.8</v>
      </c>
      <c r="U4928">
        <v>-3.3792</v>
      </c>
      <c r="V4928" t="str">
        <f t="shared" si="76"/>
        <v>Pete Takahito</v>
      </c>
      <c r="W4928">
        <f>Table2[Profit]/Table2[Sales]</f>
        <v>-1.5999999999999999</v>
      </c>
    </row>
    <row r="4929" spans="1:23" x14ac:dyDescent="0.25">
      <c r="A4929">
        <v>4928</v>
      </c>
      <c r="B4929" t="s">
        <v>10593</v>
      </c>
      <c r="C4929" s="1">
        <v>41950</v>
      </c>
      <c r="D4929" s="1">
        <v>41954</v>
      </c>
      <c r="E4929" t="s">
        <v>22</v>
      </c>
      <c r="F4929" t="s">
        <v>1533</v>
      </c>
      <c r="G4929" t="s">
        <v>1534</v>
      </c>
      <c r="H4929" t="s">
        <v>25</v>
      </c>
      <c r="I4929" t="s">
        <v>26</v>
      </c>
      <c r="J4929" t="s">
        <v>412</v>
      </c>
      <c r="K4929" t="s">
        <v>413</v>
      </c>
      <c r="L4929">
        <v>97206</v>
      </c>
      <c r="M4929" t="s">
        <v>43</v>
      </c>
      <c r="N4929" t="s">
        <v>397</v>
      </c>
      <c r="O4929" t="s">
        <v>45</v>
      </c>
      <c r="P4929" t="s">
        <v>89</v>
      </c>
      <c r="Q4929" t="s">
        <v>398</v>
      </c>
      <c r="R4929">
        <v>25.92</v>
      </c>
      <c r="S4929">
        <v>5</v>
      </c>
      <c r="T4929">
        <v>0.2</v>
      </c>
      <c r="U4929">
        <v>9.0719999999999992</v>
      </c>
      <c r="V4929" t="str">
        <f t="shared" si="76"/>
        <v>Troy Blackwell</v>
      </c>
      <c r="W4929">
        <f>Table2[Profit]/Table2[Sales]</f>
        <v>0.34999999999999992</v>
      </c>
    </row>
    <row r="4930" spans="1:23" x14ac:dyDescent="0.25">
      <c r="A4930">
        <v>4929</v>
      </c>
      <c r="B4930" t="s">
        <v>10594</v>
      </c>
      <c r="C4930" s="1">
        <v>42701</v>
      </c>
      <c r="D4930" s="1">
        <v>42704</v>
      </c>
      <c r="E4930" t="s">
        <v>185</v>
      </c>
      <c r="F4930" t="s">
        <v>770</v>
      </c>
      <c r="G4930" t="s">
        <v>771</v>
      </c>
      <c r="H4930" t="s">
        <v>25</v>
      </c>
      <c r="I4930" t="s">
        <v>26</v>
      </c>
      <c r="J4930" t="s">
        <v>10329</v>
      </c>
      <c r="K4930" t="s">
        <v>781</v>
      </c>
      <c r="L4930">
        <v>7017</v>
      </c>
      <c r="M4930" t="s">
        <v>145</v>
      </c>
      <c r="N4930" t="s">
        <v>5724</v>
      </c>
      <c r="O4930" t="s">
        <v>45</v>
      </c>
      <c r="P4930" t="s">
        <v>89</v>
      </c>
      <c r="Q4930" t="s">
        <v>5725</v>
      </c>
      <c r="R4930">
        <v>25.92</v>
      </c>
      <c r="S4930">
        <v>4</v>
      </c>
      <c r="T4930">
        <v>0</v>
      </c>
      <c r="U4930">
        <v>12.441599999999999</v>
      </c>
      <c r="V4930" t="str">
        <f t="shared" si="76"/>
        <v>Cassandra Brandow</v>
      </c>
      <c r="W4930">
        <f>Table2[Profit]/Table2[Sales]</f>
        <v>0.47999999999999993</v>
      </c>
    </row>
    <row r="4931" spans="1:23" x14ac:dyDescent="0.25">
      <c r="A4931">
        <v>4930</v>
      </c>
      <c r="B4931" t="s">
        <v>10595</v>
      </c>
      <c r="C4931" s="1">
        <v>42163</v>
      </c>
      <c r="D4931" s="1">
        <v>42167</v>
      </c>
      <c r="E4931" t="s">
        <v>49</v>
      </c>
      <c r="F4931" t="s">
        <v>1025</v>
      </c>
      <c r="G4931" t="s">
        <v>1026</v>
      </c>
      <c r="H4931" t="s">
        <v>40</v>
      </c>
      <c r="I4931" t="s">
        <v>26</v>
      </c>
      <c r="J4931" t="s">
        <v>1141</v>
      </c>
      <c r="K4931" t="s">
        <v>53</v>
      </c>
      <c r="L4931">
        <v>33710</v>
      </c>
      <c r="M4931" t="s">
        <v>29</v>
      </c>
      <c r="N4931" t="s">
        <v>5301</v>
      </c>
      <c r="O4931" t="s">
        <v>45</v>
      </c>
      <c r="P4931" t="s">
        <v>89</v>
      </c>
      <c r="Q4931" t="s">
        <v>5302</v>
      </c>
      <c r="R4931">
        <v>173.488</v>
      </c>
      <c r="S4931">
        <v>7</v>
      </c>
      <c r="T4931">
        <v>0.2</v>
      </c>
      <c r="U4931">
        <v>54.215000000000003</v>
      </c>
      <c r="V4931" t="str">
        <f t="shared" ref="V4931:V4994" si="77">TRIM(G4931)</f>
        <v>Andrew Gjertsen</v>
      </c>
      <c r="W4931">
        <f>Table2[Profit]/Table2[Sales]</f>
        <v>0.3125</v>
      </c>
    </row>
    <row r="4932" spans="1:23" x14ac:dyDescent="0.25">
      <c r="A4932">
        <v>4931</v>
      </c>
      <c r="B4932" t="s">
        <v>10596</v>
      </c>
      <c r="C4932" s="1">
        <v>41866</v>
      </c>
      <c r="D4932" s="1">
        <v>41870</v>
      </c>
      <c r="E4932" t="s">
        <v>49</v>
      </c>
      <c r="F4932" t="s">
        <v>1762</v>
      </c>
      <c r="G4932" t="s">
        <v>1763</v>
      </c>
      <c r="H4932" t="s">
        <v>25</v>
      </c>
      <c r="I4932" t="s">
        <v>26</v>
      </c>
      <c r="J4932" t="s">
        <v>126</v>
      </c>
      <c r="K4932" t="s">
        <v>42</v>
      </c>
      <c r="L4932">
        <v>94122</v>
      </c>
      <c r="M4932" t="s">
        <v>43</v>
      </c>
      <c r="N4932" t="s">
        <v>2072</v>
      </c>
      <c r="O4932" t="s">
        <v>45</v>
      </c>
      <c r="P4932" t="s">
        <v>77</v>
      </c>
      <c r="Q4932" t="s">
        <v>2073</v>
      </c>
      <c r="R4932">
        <v>152.91</v>
      </c>
      <c r="S4932">
        <v>3</v>
      </c>
      <c r="T4932">
        <v>0</v>
      </c>
      <c r="U4932">
        <v>42.814799999999998</v>
      </c>
      <c r="V4932" t="str">
        <f t="shared" si="77"/>
        <v>Brian Dahlen</v>
      </c>
      <c r="W4932">
        <f>Table2[Profit]/Table2[Sales]</f>
        <v>0.27999999999999997</v>
      </c>
    </row>
    <row r="4933" spans="1:23" x14ac:dyDescent="0.25">
      <c r="A4933">
        <v>4932</v>
      </c>
      <c r="B4933" t="s">
        <v>10597</v>
      </c>
      <c r="C4933" s="1">
        <v>42905</v>
      </c>
      <c r="D4933" s="1">
        <v>42912</v>
      </c>
      <c r="E4933" t="s">
        <v>49</v>
      </c>
      <c r="F4933" t="s">
        <v>393</v>
      </c>
      <c r="G4933" t="s">
        <v>394</v>
      </c>
      <c r="H4933" t="s">
        <v>40</v>
      </c>
      <c r="I4933" t="s">
        <v>26</v>
      </c>
      <c r="J4933" t="s">
        <v>263</v>
      </c>
      <c r="K4933" t="s">
        <v>264</v>
      </c>
      <c r="L4933">
        <v>10035</v>
      </c>
      <c r="M4933" t="s">
        <v>145</v>
      </c>
      <c r="N4933" t="s">
        <v>2132</v>
      </c>
      <c r="O4933" t="s">
        <v>45</v>
      </c>
      <c r="P4933" t="s">
        <v>58</v>
      </c>
      <c r="Q4933" t="s">
        <v>2133</v>
      </c>
      <c r="R4933">
        <v>129.30000000000001</v>
      </c>
      <c r="S4933">
        <v>2</v>
      </c>
      <c r="T4933">
        <v>0</v>
      </c>
      <c r="U4933">
        <v>6.4649999999999999</v>
      </c>
      <c r="V4933" t="str">
        <f t="shared" si="77"/>
        <v>Jim Sink</v>
      </c>
      <c r="W4933">
        <f>Table2[Profit]/Table2[Sales]</f>
        <v>4.9999999999999996E-2</v>
      </c>
    </row>
    <row r="4934" spans="1:23" x14ac:dyDescent="0.25">
      <c r="A4934">
        <v>4933</v>
      </c>
      <c r="B4934" t="s">
        <v>10598</v>
      </c>
      <c r="C4934" s="1">
        <v>42932</v>
      </c>
      <c r="D4934" s="1">
        <v>42939</v>
      </c>
      <c r="E4934" t="s">
        <v>49</v>
      </c>
      <c r="F4934" t="s">
        <v>1471</v>
      </c>
      <c r="G4934" t="s">
        <v>1472</v>
      </c>
      <c r="H4934" t="s">
        <v>25</v>
      </c>
      <c r="I4934" t="s">
        <v>26</v>
      </c>
      <c r="J4934" t="s">
        <v>460</v>
      </c>
      <c r="K4934" t="s">
        <v>87</v>
      </c>
      <c r="L4934">
        <v>28205</v>
      </c>
      <c r="M4934" t="s">
        <v>29</v>
      </c>
      <c r="N4934" t="s">
        <v>200</v>
      </c>
      <c r="O4934" t="s">
        <v>31</v>
      </c>
      <c r="P4934" t="s">
        <v>35</v>
      </c>
      <c r="Q4934" t="s">
        <v>201</v>
      </c>
      <c r="R4934">
        <v>242.352</v>
      </c>
      <c r="S4934">
        <v>3</v>
      </c>
      <c r="T4934">
        <v>0.2</v>
      </c>
      <c r="U4934">
        <v>15.147</v>
      </c>
      <c r="V4934" t="str">
        <f t="shared" si="77"/>
        <v>Natalie Fritzler</v>
      </c>
      <c r="W4934">
        <f>Table2[Profit]/Table2[Sales]</f>
        <v>6.25E-2</v>
      </c>
    </row>
    <row r="4935" spans="1:23" x14ac:dyDescent="0.25">
      <c r="A4935">
        <v>4934</v>
      </c>
      <c r="B4935" t="s">
        <v>10599</v>
      </c>
      <c r="C4935" s="1">
        <v>41989</v>
      </c>
      <c r="D4935" s="1">
        <v>41991</v>
      </c>
      <c r="E4935" t="s">
        <v>22</v>
      </c>
      <c r="F4935" t="s">
        <v>2092</v>
      </c>
      <c r="G4935" t="s">
        <v>2093</v>
      </c>
      <c r="H4935" t="s">
        <v>25</v>
      </c>
      <c r="I4935" t="s">
        <v>26</v>
      </c>
      <c r="J4935" t="s">
        <v>8915</v>
      </c>
      <c r="K4935" t="s">
        <v>103</v>
      </c>
      <c r="L4935">
        <v>77705</v>
      </c>
      <c r="M4935" t="s">
        <v>104</v>
      </c>
      <c r="N4935" t="s">
        <v>5361</v>
      </c>
      <c r="O4935" t="s">
        <v>70</v>
      </c>
      <c r="P4935" t="s">
        <v>158</v>
      </c>
      <c r="Q4935" t="s">
        <v>5362</v>
      </c>
      <c r="R4935">
        <v>319.96800000000002</v>
      </c>
      <c r="S4935">
        <v>4</v>
      </c>
      <c r="T4935">
        <v>0.2</v>
      </c>
      <c r="U4935">
        <v>95.990399999999994</v>
      </c>
      <c r="V4935" t="str">
        <f t="shared" si="77"/>
        <v>Sean Christensen</v>
      </c>
      <c r="W4935">
        <f>Table2[Profit]/Table2[Sales]</f>
        <v>0.3</v>
      </c>
    </row>
    <row r="4936" spans="1:23" x14ac:dyDescent="0.25">
      <c r="A4936">
        <v>4935</v>
      </c>
      <c r="B4936" t="s">
        <v>10600</v>
      </c>
      <c r="C4936" s="1">
        <v>41777</v>
      </c>
      <c r="D4936" s="1">
        <v>41781</v>
      </c>
      <c r="E4936" t="s">
        <v>22</v>
      </c>
      <c r="F4936" t="s">
        <v>5793</v>
      </c>
      <c r="G4936" t="s">
        <v>5794</v>
      </c>
      <c r="H4936" t="s">
        <v>25</v>
      </c>
      <c r="I4936" t="s">
        <v>26</v>
      </c>
      <c r="J4936" t="s">
        <v>808</v>
      </c>
      <c r="K4936" t="s">
        <v>103</v>
      </c>
      <c r="L4936">
        <v>75220</v>
      </c>
      <c r="M4936" t="s">
        <v>104</v>
      </c>
      <c r="N4936" t="s">
        <v>4093</v>
      </c>
      <c r="O4936" t="s">
        <v>45</v>
      </c>
      <c r="P4936" t="s">
        <v>89</v>
      </c>
      <c r="Q4936" t="s">
        <v>4094</v>
      </c>
      <c r="R4936">
        <v>3.984</v>
      </c>
      <c r="S4936">
        <v>1</v>
      </c>
      <c r="T4936">
        <v>0.2</v>
      </c>
      <c r="U4936">
        <v>1.4441999999999999</v>
      </c>
      <c r="V4936" t="str">
        <f t="shared" si="77"/>
        <v>George Ashbrook</v>
      </c>
      <c r="W4936">
        <f>Table2[Profit]/Table2[Sales]</f>
        <v>0.36249999999999999</v>
      </c>
    </row>
    <row r="4937" spans="1:23" x14ac:dyDescent="0.25">
      <c r="A4937">
        <v>4936</v>
      </c>
      <c r="B4937" t="s">
        <v>10601</v>
      </c>
      <c r="C4937" s="1">
        <v>42992</v>
      </c>
      <c r="D4937" s="1">
        <v>42997</v>
      </c>
      <c r="E4937" t="s">
        <v>49</v>
      </c>
      <c r="F4937" t="s">
        <v>3143</v>
      </c>
      <c r="G4937" t="s">
        <v>3144</v>
      </c>
      <c r="H4937" t="s">
        <v>40</v>
      </c>
      <c r="I4937" t="s">
        <v>26</v>
      </c>
      <c r="J4937" t="s">
        <v>311</v>
      </c>
      <c r="K4937" t="s">
        <v>491</v>
      </c>
      <c r="L4937">
        <v>45503</v>
      </c>
      <c r="M4937" t="s">
        <v>145</v>
      </c>
      <c r="N4937" t="s">
        <v>1066</v>
      </c>
      <c r="O4937" t="s">
        <v>70</v>
      </c>
      <c r="P4937" t="s">
        <v>158</v>
      </c>
      <c r="Q4937" t="s">
        <v>1067</v>
      </c>
      <c r="R4937">
        <v>895.94399999999996</v>
      </c>
      <c r="S4937">
        <v>7</v>
      </c>
      <c r="T4937">
        <v>0.2</v>
      </c>
      <c r="U4937">
        <v>190.38810000000001</v>
      </c>
      <c r="V4937" t="str">
        <f t="shared" si="77"/>
        <v>Craig Yedwab</v>
      </c>
      <c r="W4937">
        <f>Table2[Profit]/Table2[Sales]</f>
        <v>0.21250000000000002</v>
      </c>
    </row>
    <row r="4938" spans="1:23" x14ac:dyDescent="0.25">
      <c r="A4938">
        <v>4937</v>
      </c>
      <c r="B4938" t="s">
        <v>10602</v>
      </c>
      <c r="C4938" s="1">
        <v>42653</v>
      </c>
      <c r="D4938" s="1">
        <v>42655</v>
      </c>
      <c r="E4938" t="s">
        <v>185</v>
      </c>
      <c r="F4938" t="s">
        <v>4951</v>
      </c>
      <c r="G4938" t="s">
        <v>4952</v>
      </c>
      <c r="H4938" t="s">
        <v>25</v>
      </c>
      <c r="I4938" t="s">
        <v>26</v>
      </c>
      <c r="J4938" t="s">
        <v>3229</v>
      </c>
      <c r="K4938" t="s">
        <v>103</v>
      </c>
      <c r="L4938">
        <v>77571</v>
      </c>
      <c r="M4938" t="s">
        <v>104</v>
      </c>
      <c r="N4938" t="s">
        <v>6000</v>
      </c>
      <c r="O4938" t="s">
        <v>31</v>
      </c>
      <c r="P4938" t="s">
        <v>64</v>
      </c>
      <c r="Q4938" t="s">
        <v>6001</v>
      </c>
      <c r="R4938">
        <v>14</v>
      </c>
      <c r="S4938">
        <v>4</v>
      </c>
      <c r="T4938">
        <v>0.6</v>
      </c>
      <c r="U4938">
        <v>-6.3</v>
      </c>
      <c r="V4938" t="str">
        <f t="shared" si="77"/>
        <v>William Brown</v>
      </c>
      <c r="W4938">
        <f>Table2[Profit]/Table2[Sales]</f>
        <v>-0.45</v>
      </c>
    </row>
    <row r="4939" spans="1:23" x14ac:dyDescent="0.25">
      <c r="A4939">
        <v>4938</v>
      </c>
      <c r="B4939" t="s">
        <v>10603</v>
      </c>
      <c r="C4939" s="1">
        <v>42638</v>
      </c>
      <c r="D4939" s="1">
        <v>42644</v>
      </c>
      <c r="E4939" t="s">
        <v>49</v>
      </c>
      <c r="F4939" t="s">
        <v>2419</v>
      </c>
      <c r="G4939" t="s">
        <v>2420</v>
      </c>
      <c r="H4939" t="s">
        <v>25</v>
      </c>
      <c r="I4939" t="s">
        <v>26</v>
      </c>
      <c r="J4939" t="s">
        <v>1161</v>
      </c>
      <c r="K4939" t="s">
        <v>42</v>
      </c>
      <c r="L4939">
        <v>90805</v>
      </c>
      <c r="M4939" t="s">
        <v>43</v>
      </c>
      <c r="N4939" t="s">
        <v>3204</v>
      </c>
      <c r="O4939" t="s">
        <v>45</v>
      </c>
      <c r="P4939" t="s">
        <v>89</v>
      </c>
      <c r="Q4939" t="s">
        <v>3205</v>
      </c>
      <c r="R4939">
        <v>10.9</v>
      </c>
      <c r="S4939">
        <v>5</v>
      </c>
      <c r="T4939">
        <v>0</v>
      </c>
      <c r="U4939">
        <v>5.1230000000000002</v>
      </c>
      <c r="V4939" t="str">
        <f t="shared" si="77"/>
        <v>Dan Lawera</v>
      </c>
      <c r="W4939">
        <f>Table2[Profit]/Table2[Sales]</f>
        <v>0.47000000000000003</v>
      </c>
    </row>
    <row r="4940" spans="1:23" x14ac:dyDescent="0.25">
      <c r="A4940">
        <v>4939</v>
      </c>
      <c r="B4940" t="s">
        <v>10604</v>
      </c>
      <c r="C4940" s="1">
        <v>41793</v>
      </c>
      <c r="D4940" s="1">
        <v>41796</v>
      </c>
      <c r="E4940" t="s">
        <v>185</v>
      </c>
      <c r="F4940" t="s">
        <v>6129</v>
      </c>
      <c r="G4940" t="s">
        <v>6130</v>
      </c>
      <c r="H4940" t="s">
        <v>25</v>
      </c>
      <c r="I4940" t="s">
        <v>26</v>
      </c>
      <c r="J4940" t="s">
        <v>350</v>
      </c>
      <c r="K4940" t="s">
        <v>208</v>
      </c>
      <c r="L4940">
        <v>62521</v>
      </c>
      <c r="M4940" t="s">
        <v>104</v>
      </c>
      <c r="N4940" t="s">
        <v>4471</v>
      </c>
      <c r="O4940" t="s">
        <v>45</v>
      </c>
      <c r="P4940" t="s">
        <v>46</v>
      </c>
      <c r="Q4940" t="s">
        <v>4472</v>
      </c>
      <c r="R4940">
        <v>15.936</v>
      </c>
      <c r="S4940">
        <v>4</v>
      </c>
      <c r="T4940">
        <v>0.2</v>
      </c>
      <c r="U4940">
        <v>5.1791999999999998</v>
      </c>
      <c r="V4940" t="str">
        <f t="shared" si="77"/>
        <v>Richard Eichhorn</v>
      </c>
      <c r="W4940">
        <f>Table2[Profit]/Table2[Sales]</f>
        <v>0.32500000000000001</v>
      </c>
    </row>
    <row r="4941" spans="1:23" x14ac:dyDescent="0.25">
      <c r="A4941">
        <v>4940</v>
      </c>
      <c r="B4941" t="s">
        <v>10605</v>
      </c>
      <c r="C4941" s="1">
        <v>42980</v>
      </c>
      <c r="D4941" s="1">
        <v>42982</v>
      </c>
      <c r="E4941" t="s">
        <v>22</v>
      </c>
      <c r="F4941" t="s">
        <v>8025</v>
      </c>
      <c r="G4941" t="s">
        <v>8026</v>
      </c>
      <c r="H4941" t="s">
        <v>101</v>
      </c>
      <c r="I4941" t="s">
        <v>26</v>
      </c>
      <c r="J4941" t="s">
        <v>41</v>
      </c>
      <c r="K4941" t="s">
        <v>42</v>
      </c>
      <c r="L4941">
        <v>90008</v>
      </c>
      <c r="M4941" t="s">
        <v>43</v>
      </c>
      <c r="N4941" t="s">
        <v>138</v>
      </c>
      <c r="O4941" t="s">
        <v>45</v>
      </c>
      <c r="P4941" t="s">
        <v>77</v>
      </c>
      <c r="Q4941" t="s">
        <v>139</v>
      </c>
      <c r="R4941">
        <v>43.1</v>
      </c>
      <c r="S4941">
        <v>5</v>
      </c>
      <c r="T4941">
        <v>0</v>
      </c>
      <c r="U4941">
        <v>11.206</v>
      </c>
      <c r="V4941" t="str">
        <f t="shared" si="77"/>
        <v>Marc Harrigan</v>
      </c>
      <c r="W4941">
        <f>Table2[Profit]/Table2[Sales]</f>
        <v>0.25999999999999995</v>
      </c>
    </row>
    <row r="4942" spans="1:23" x14ac:dyDescent="0.25">
      <c r="A4942">
        <v>4941</v>
      </c>
      <c r="B4942" t="s">
        <v>10606</v>
      </c>
      <c r="C4942" s="1">
        <v>41741</v>
      </c>
      <c r="D4942" s="1">
        <v>41747</v>
      </c>
      <c r="E4942" t="s">
        <v>49</v>
      </c>
      <c r="F4942" t="s">
        <v>4664</v>
      </c>
      <c r="G4942" t="s">
        <v>4665</v>
      </c>
      <c r="H4942" t="s">
        <v>40</v>
      </c>
      <c r="I4942" t="s">
        <v>26</v>
      </c>
      <c r="J4942" t="s">
        <v>10588</v>
      </c>
      <c r="K4942" t="s">
        <v>42</v>
      </c>
      <c r="L4942">
        <v>95240</v>
      </c>
      <c r="M4942" t="s">
        <v>43</v>
      </c>
      <c r="N4942" t="s">
        <v>6690</v>
      </c>
      <c r="O4942" t="s">
        <v>45</v>
      </c>
      <c r="P4942" t="s">
        <v>67</v>
      </c>
      <c r="Q4942" t="s">
        <v>6691</v>
      </c>
      <c r="R4942">
        <v>39.68</v>
      </c>
      <c r="S4942">
        <v>2</v>
      </c>
      <c r="T4942">
        <v>0</v>
      </c>
      <c r="U4942">
        <v>16.268799999999999</v>
      </c>
      <c r="V4942" t="str">
        <f t="shared" si="77"/>
        <v>Edward Hooks</v>
      </c>
      <c r="W4942">
        <f>Table2[Profit]/Table2[Sales]</f>
        <v>0.41</v>
      </c>
    </row>
    <row r="4943" spans="1:23" x14ac:dyDescent="0.25">
      <c r="A4943">
        <v>4942</v>
      </c>
      <c r="B4943" t="s">
        <v>10607</v>
      </c>
      <c r="C4943" s="1">
        <v>42492</v>
      </c>
      <c r="D4943" s="1">
        <v>42496</v>
      </c>
      <c r="E4943" t="s">
        <v>49</v>
      </c>
      <c r="F4943" t="s">
        <v>4664</v>
      </c>
      <c r="G4943" t="s">
        <v>4665</v>
      </c>
      <c r="H4943" t="s">
        <v>40</v>
      </c>
      <c r="I4943" t="s">
        <v>26</v>
      </c>
      <c r="J4943" t="s">
        <v>263</v>
      </c>
      <c r="K4943" t="s">
        <v>264</v>
      </c>
      <c r="L4943">
        <v>10009</v>
      </c>
      <c r="M4943" t="s">
        <v>145</v>
      </c>
      <c r="N4943" t="s">
        <v>2081</v>
      </c>
      <c r="O4943" t="s">
        <v>31</v>
      </c>
      <c r="P4943" t="s">
        <v>64</v>
      </c>
      <c r="Q4943" t="s">
        <v>2082</v>
      </c>
      <c r="R4943">
        <v>12.56</v>
      </c>
      <c r="S4943">
        <v>2</v>
      </c>
      <c r="T4943">
        <v>0</v>
      </c>
      <c r="U4943">
        <v>4.0191999999999997</v>
      </c>
      <c r="V4943" t="str">
        <f t="shared" si="77"/>
        <v>Edward Hooks</v>
      </c>
      <c r="W4943">
        <f>Table2[Profit]/Table2[Sales]</f>
        <v>0.31999999999999995</v>
      </c>
    </row>
    <row r="4944" spans="1:23" x14ac:dyDescent="0.25">
      <c r="A4944">
        <v>4943</v>
      </c>
      <c r="B4944" t="s">
        <v>10608</v>
      </c>
      <c r="C4944" s="1">
        <v>42905</v>
      </c>
      <c r="D4944" s="1">
        <v>42909</v>
      </c>
      <c r="E4944" t="s">
        <v>49</v>
      </c>
      <c r="F4944" t="s">
        <v>5793</v>
      </c>
      <c r="G4944" t="s">
        <v>5794</v>
      </c>
      <c r="H4944" t="s">
        <v>25</v>
      </c>
      <c r="I4944" t="s">
        <v>26</v>
      </c>
      <c r="J4944" t="s">
        <v>126</v>
      </c>
      <c r="K4944" t="s">
        <v>42</v>
      </c>
      <c r="L4944">
        <v>94109</v>
      </c>
      <c r="M4944" t="s">
        <v>43</v>
      </c>
      <c r="N4944" t="s">
        <v>6868</v>
      </c>
      <c r="O4944" t="s">
        <v>31</v>
      </c>
      <c r="P4944" t="s">
        <v>64</v>
      </c>
      <c r="Q4944" t="s">
        <v>6869</v>
      </c>
      <c r="R4944">
        <v>50.32</v>
      </c>
      <c r="S4944">
        <v>4</v>
      </c>
      <c r="T4944">
        <v>0</v>
      </c>
      <c r="U4944">
        <v>21.134399999999999</v>
      </c>
      <c r="V4944" t="str">
        <f t="shared" si="77"/>
        <v>George Ashbrook</v>
      </c>
      <c r="W4944">
        <f>Table2[Profit]/Table2[Sales]</f>
        <v>0.42</v>
      </c>
    </row>
    <row r="4945" spans="1:23" x14ac:dyDescent="0.25">
      <c r="A4945">
        <v>4944</v>
      </c>
      <c r="B4945" t="s">
        <v>10609</v>
      </c>
      <c r="C4945" s="1">
        <v>41949</v>
      </c>
      <c r="D4945" s="1">
        <v>41954</v>
      </c>
      <c r="E4945" t="s">
        <v>49</v>
      </c>
      <c r="F4945" t="s">
        <v>5793</v>
      </c>
      <c r="G4945" t="s">
        <v>5794</v>
      </c>
      <c r="H4945" t="s">
        <v>25</v>
      </c>
      <c r="I4945" t="s">
        <v>26</v>
      </c>
      <c r="J4945" t="s">
        <v>490</v>
      </c>
      <c r="K4945" t="s">
        <v>1260</v>
      </c>
      <c r="L4945">
        <v>31907</v>
      </c>
      <c r="M4945" t="s">
        <v>29</v>
      </c>
      <c r="N4945" t="s">
        <v>276</v>
      </c>
      <c r="O4945" t="s">
        <v>45</v>
      </c>
      <c r="P4945" t="s">
        <v>89</v>
      </c>
      <c r="Q4945" t="s">
        <v>277</v>
      </c>
      <c r="R4945">
        <v>43.68</v>
      </c>
      <c r="S4945">
        <v>6</v>
      </c>
      <c r="T4945">
        <v>0</v>
      </c>
      <c r="U4945">
        <v>20.9664</v>
      </c>
      <c r="V4945" t="str">
        <f t="shared" si="77"/>
        <v>George Ashbrook</v>
      </c>
      <c r="W4945">
        <f>Table2[Profit]/Table2[Sales]</f>
        <v>0.48</v>
      </c>
    </row>
    <row r="4946" spans="1:23" x14ac:dyDescent="0.25">
      <c r="A4946">
        <v>4945</v>
      </c>
      <c r="B4946" t="s">
        <v>10610</v>
      </c>
      <c r="C4946" s="1">
        <v>42089</v>
      </c>
      <c r="D4946" s="1">
        <v>42093</v>
      </c>
      <c r="E4946" t="s">
        <v>49</v>
      </c>
      <c r="F4946" t="s">
        <v>1897</v>
      </c>
      <c r="G4946" t="s">
        <v>1898</v>
      </c>
      <c r="H4946" t="s">
        <v>40</v>
      </c>
      <c r="I4946" t="s">
        <v>26</v>
      </c>
      <c r="J4946" t="s">
        <v>94</v>
      </c>
      <c r="K4946" t="s">
        <v>95</v>
      </c>
      <c r="L4946">
        <v>98103</v>
      </c>
      <c r="M4946" t="s">
        <v>43</v>
      </c>
      <c r="N4946" t="s">
        <v>1579</v>
      </c>
      <c r="O4946" t="s">
        <v>31</v>
      </c>
      <c r="P4946" t="s">
        <v>55</v>
      </c>
      <c r="Q4946" t="s">
        <v>1580</v>
      </c>
      <c r="R4946">
        <v>3393.68</v>
      </c>
      <c r="S4946">
        <v>8</v>
      </c>
      <c r="T4946">
        <v>0</v>
      </c>
      <c r="U4946">
        <v>610.86239999999998</v>
      </c>
      <c r="V4946" t="str">
        <f t="shared" si="77"/>
        <v>Ellis Ballard</v>
      </c>
      <c r="W4946">
        <f>Table2[Profit]/Table2[Sales]</f>
        <v>0.18</v>
      </c>
    </row>
    <row r="4947" spans="1:23" x14ac:dyDescent="0.25">
      <c r="A4947">
        <v>4946</v>
      </c>
      <c r="B4947" t="s">
        <v>10611</v>
      </c>
      <c r="C4947" s="1">
        <v>42749</v>
      </c>
      <c r="D4947" s="1">
        <v>42755</v>
      </c>
      <c r="E4947" t="s">
        <v>49</v>
      </c>
      <c r="F4947" t="s">
        <v>2995</v>
      </c>
      <c r="G4947" t="s">
        <v>2996</v>
      </c>
      <c r="H4947" t="s">
        <v>101</v>
      </c>
      <c r="I4947" t="s">
        <v>26</v>
      </c>
      <c r="J4947" t="s">
        <v>1450</v>
      </c>
      <c r="K4947" t="s">
        <v>251</v>
      </c>
      <c r="L4947">
        <v>47374</v>
      </c>
      <c r="M4947" t="s">
        <v>104</v>
      </c>
      <c r="N4947" t="s">
        <v>627</v>
      </c>
      <c r="O4947" t="s">
        <v>45</v>
      </c>
      <c r="P4947" t="s">
        <v>58</v>
      </c>
      <c r="Q4947" t="s">
        <v>628</v>
      </c>
      <c r="R4947">
        <v>67.400000000000006</v>
      </c>
      <c r="S4947">
        <v>5</v>
      </c>
      <c r="T4947">
        <v>0</v>
      </c>
      <c r="U4947">
        <v>17.524000000000001</v>
      </c>
      <c r="V4947" t="str">
        <f t="shared" si="77"/>
        <v>Hallie Redmond</v>
      </c>
      <c r="W4947">
        <f>Table2[Profit]/Table2[Sales]</f>
        <v>0.26</v>
      </c>
    </row>
    <row r="4948" spans="1:23" x14ac:dyDescent="0.25">
      <c r="A4948">
        <v>4947</v>
      </c>
      <c r="B4948" t="s">
        <v>10612</v>
      </c>
      <c r="C4948" s="1">
        <v>42089</v>
      </c>
      <c r="D4948" s="1">
        <v>42091</v>
      </c>
      <c r="E4948" t="s">
        <v>22</v>
      </c>
      <c r="F4948" t="s">
        <v>3449</v>
      </c>
      <c r="G4948" t="s">
        <v>3450</v>
      </c>
      <c r="H4948" t="s">
        <v>40</v>
      </c>
      <c r="I4948" t="s">
        <v>26</v>
      </c>
      <c r="J4948" t="s">
        <v>263</v>
      </c>
      <c r="K4948" t="s">
        <v>264</v>
      </c>
      <c r="L4948">
        <v>10009</v>
      </c>
      <c r="M4948" t="s">
        <v>145</v>
      </c>
      <c r="N4948" t="s">
        <v>5963</v>
      </c>
      <c r="O4948" t="s">
        <v>45</v>
      </c>
      <c r="P4948" t="s">
        <v>58</v>
      </c>
      <c r="Q4948" t="s">
        <v>5964</v>
      </c>
      <c r="R4948">
        <v>1085.42</v>
      </c>
      <c r="S4948">
        <v>7</v>
      </c>
      <c r="T4948">
        <v>0</v>
      </c>
      <c r="U4948">
        <v>282.20920000000001</v>
      </c>
      <c r="V4948" t="str">
        <f t="shared" si="77"/>
        <v>Suzanne McNair</v>
      </c>
      <c r="W4948">
        <f>Table2[Profit]/Table2[Sales]</f>
        <v>0.26</v>
      </c>
    </row>
    <row r="4949" spans="1:23" x14ac:dyDescent="0.25">
      <c r="A4949">
        <v>4948</v>
      </c>
      <c r="B4949" t="s">
        <v>10613</v>
      </c>
      <c r="C4949" s="1">
        <v>41944</v>
      </c>
      <c r="D4949" s="1">
        <v>41946</v>
      </c>
      <c r="E4949" t="s">
        <v>185</v>
      </c>
      <c r="F4949" t="s">
        <v>888</v>
      </c>
      <c r="G4949" t="s">
        <v>889</v>
      </c>
      <c r="H4949" t="s">
        <v>40</v>
      </c>
      <c r="I4949" t="s">
        <v>26</v>
      </c>
      <c r="J4949" t="s">
        <v>10614</v>
      </c>
      <c r="K4949" t="s">
        <v>491</v>
      </c>
      <c r="L4949">
        <v>45040</v>
      </c>
      <c r="M4949" t="s">
        <v>145</v>
      </c>
      <c r="N4949" t="s">
        <v>2275</v>
      </c>
      <c r="O4949" t="s">
        <v>31</v>
      </c>
      <c r="P4949" t="s">
        <v>64</v>
      </c>
      <c r="Q4949" t="s">
        <v>2276</v>
      </c>
      <c r="R4949">
        <v>68.703999999999994</v>
      </c>
      <c r="S4949">
        <v>2</v>
      </c>
      <c r="T4949">
        <v>0.2</v>
      </c>
      <c r="U4949">
        <v>16.3172</v>
      </c>
      <c r="V4949" t="str">
        <f t="shared" si="77"/>
        <v>Erin Ashbrook</v>
      </c>
      <c r="W4949">
        <f>Table2[Profit]/Table2[Sales]</f>
        <v>0.23750000000000002</v>
      </c>
    </row>
    <row r="4950" spans="1:23" x14ac:dyDescent="0.25">
      <c r="A4950">
        <v>4949</v>
      </c>
      <c r="B4950" t="s">
        <v>10615</v>
      </c>
      <c r="C4950" s="1">
        <v>43014</v>
      </c>
      <c r="D4950" s="1">
        <v>43014</v>
      </c>
      <c r="E4950" t="s">
        <v>1278</v>
      </c>
      <c r="F4950" t="s">
        <v>6508</v>
      </c>
      <c r="G4950" t="s">
        <v>6509</v>
      </c>
      <c r="H4950" t="s">
        <v>25</v>
      </c>
      <c r="I4950" t="s">
        <v>26</v>
      </c>
      <c r="J4950" t="s">
        <v>296</v>
      </c>
      <c r="K4950" t="s">
        <v>208</v>
      </c>
      <c r="L4950">
        <v>60623</v>
      </c>
      <c r="M4950" t="s">
        <v>104</v>
      </c>
      <c r="N4950" t="s">
        <v>1007</v>
      </c>
      <c r="O4950" t="s">
        <v>45</v>
      </c>
      <c r="P4950" t="s">
        <v>58</v>
      </c>
      <c r="Q4950" t="s">
        <v>1008</v>
      </c>
      <c r="R4950">
        <v>290.33600000000001</v>
      </c>
      <c r="S4950">
        <v>2</v>
      </c>
      <c r="T4950">
        <v>0.2</v>
      </c>
      <c r="U4950">
        <v>32.662799999999997</v>
      </c>
      <c r="V4950" t="str">
        <f t="shared" si="77"/>
        <v>Mark Hamilton</v>
      </c>
      <c r="W4950">
        <f>Table2[Profit]/Table2[Sales]</f>
        <v>0.11249999999999999</v>
      </c>
    </row>
    <row r="4951" spans="1:23" x14ac:dyDescent="0.25">
      <c r="A4951">
        <v>4950</v>
      </c>
      <c r="B4951" t="s">
        <v>10616</v>
      </c>
      <c r="C4951" s="1">
        <v>42714</v>
      </c>
      <c r="D4951" s="1">
        <v>42718</v>
      </c>
      <c r="E4951" t="s">
        <v>49</v>
      </c>
      <c r="F4951" t="s">
        <v>2923</v>
      </c>
      <c r="G4951" t="s">
        <v>2924</v>
      </c>
      <c r="H4951" t="s">
        <v>101</v>
      </c>
      <c r="I4951" t="s">
        <v>26</v>
      </c>
      <c r="J4951" t="s">
        <v>263</v>
      </c>
      <c r="K4951" t="s">
        <v>264</v>
      </c>
      <c r="L4951">
        <v>10024</v>
      </c>
      <c r="M4951" t="s">
        <v>145</v>
      </c>
      <c r="N4951" t="s">
        <v>6331</v>
      </c>
      <c r="O4951" t="s">
        <v>45</v>
      </c>
      <c r="P4951" t="s">
        <v>89</v>
      </c>
      <c r="Q4951" t="s">
        <v>6332</v>
      </c>
      <c r="R4951">
        <v>6.48</v>
      </c>
      <c r="S4951">
        <v>1</v>
      </c>
      <c r="T4951">
        <v>0</v>
      </c>
      <c r="U4951">
        <v>3.1103999999999998</v>
      </c>
      <c r="V4951" t="str">
        <f t="shared" si="77"/>
        <v>Sara Luxemburg</v>
      </c>
      <c r="W4951">
        <f>Table2[Profit]/Table2[Sales]</f>
        <v>0.47999999999999993</v>
      </c>
    </row>
    <row r="4952" spans="1:23" x14ac:dyDescent="0.25">
      <c r="A4952">
        <v>4951</v>
      </c>
      <c r="B4952" t="s">
        <v>10617</v>
      </c>
      <c r="C4952" s="1">
        <v>42635</v>
      </c>
      <c r="D4952" s="1">
        <v>42637</v>
      </c>
      <c r="E4952" t="s">
        <v>22</v>
      </c>
      <c r="F4952" t="s">
        <v>3875</v>
      </c>
      <c r="G4952" t="s">
        <v>3876</v>
      </c>
      <c r="H4952" t="s">
        <v>101</v>
      </c>
      <c r="I4952" t="s">
        <v>26</v>
      </c>
      <c r="J4952" t="s">
        <v>3792</v>
      </c>
      <c r="K4952" t="s">
        <v>491</v>
      </c>
      <c r="L4952">
        <v>44134</v>
      </c>
      <c r="M4952" t="s">
        <v>145</v>
      </c>
      <c r="N4952" t="s">
        <v>3384</v>
      </c>
      <c r="O4952" t="s">
        <v>45</v>
      </c>
      <c r="P4952" t="s">
        <v>170</v>
      </c>
      <c r="Q4952" t="s">
        <v>3385</v>
      </c>
      <c r="R4952">
        <v>63.968000000000004</v>
      </c>
      <c r="S4952">
        <v>2</v>
      </c>
      <c r="T4952">
        <v>0.2</v>
      </c>
      <c r="U4952">
        <v>19.989999999999998</v>
      </c>
      <c r="V4952" t="str">
        <f t="shared" si="77"/>
        <v>Nora Pelletier</v>
      </c>
      <c r="W4952">
        <f>Table2[Profit]/Table2[Sales]</f>
        <v>0.31249999999999994</v>
      </c>
    </row>
    <row r="4953" spans="1:23" x14ac:dyDescent="0.25">
      <c r="A4953">
        <v>4952</v>
      </c>
      <c r="B4953" t="s">
        <v>10618</v>
      </c>
      <c r="C4953" s="1">
        <v>42367</v>
      </c>
      <c r="D4953" s="1">
        <v>42374</v>
      </c>
      <c r="E4953" t="s">
        <v>49</v>
      </c>
      <c r="F4953" t="s">
        <v>1413</v>
      </c>
      <c r="G4953" t="s">
        <v>1414</v>
      </c>
      <c r="H4953" t="s">
        <v>25</v>
      </c>
      <c r="I4953" t="s">
        <v>26</v>
      </c>
      <c r="J4953" t="s">
        <v>263</v>
      </c>
      <c r="K4953" t="s">
        <v>264</v>
      </c>
      <c r="L4953">
        <v>10035</v>
      </c>
      <c r="M4953" t="s">
        <v>145</v>
      </c>
      <c r="N4953" t="s">
        <v>10087</v>
      </c>
      <c r="O4953" t="s">
        <v>45</v>
      </c>
      <c r="P4953" t="s">
        <v>572</v>
      </c>
      <c r="Q4953" t="s">
        <v>10088</v>
      </c>
      <c r="R4953">
        <v>6.36</v>
      </c>
      <c r="S4953">
        <v>2</v>
      </c>
      <c r="T4953">
        <v>0</v>
      </c>
      <c r="U4953">
        <v>6.3600000000000004E-2</v>
      </c>
      <c r="V4953" t="str">
        <f t="shared" si="77"/>
        <v>Roy Französisch</v>
      </c>
      <c r="W4953">
        <f>Table2[Profit]/Table2[Sales]</f>
        <v>0.01</v>
      </c>
    </row>
    <row r="4954" spans="1:23" x14ac:dyDescent="0.25">
      <c r="A4954">
        <v>4953</v>
      </c>
      <c r="B4954" t="s">
        <v>10619</v>
      </c>
      <c r="C4954" s="1">
        <v>42845</v>
      </c>
      <c r="D4954" s="1">
        <v>42846</v>
      </c>
      <c r="E4954" t="s">
        <v>185</v>
      </c>
      <c r="F4954" t="s">
        <v>4433</v>
      </c>
      <c r="G4954" t="s">
        <v>4434</v>
      </c>
      <c r="H4954" t="s">
        <v>101</v>
      </c>
      <c r="I4954" t="s">
        <v>26</v>
      </c>
      <c r="J4954" t="s">
        <v>2148</v>
      </c>
      <c r="K4954" t="s">
        <v>491</v>
      </c>
      <c r="L4954">
        <v>44105</v>
      </c>
      <c r="M4954" t="s">
        <v>145</v>
      </c>
      <c r="N4954" t="s">
        <v>4897</v>
      </c>
      <c r="O4954" t="s">
        <v>45</v>
      </c>
      <c r="P4954" t="s">
        <v>58</v>
      </c>
      <c r="Q4954" t="s">
        <v>4898</v>
      </c>
      <c r="R4954">
        <v>848.54399999999998</v>
      </c>
      <c r="S4954">
        <v>4</v>
      </c>
      <c r="T4954">
        <v>0.2</v>
      </c>
      <c r="U4954">
        <v>-21.2136</v>
      </c>
      <c r="V4954" t="str">
        <f t="shared" si="77"/>
        <v>Brad Eason</v>
      </c>
      <c r="W4954">
        <f>Table2[Profit]/Table2[Sales]</f>
        <v>-2.5000000000000001E-2</v>
      </c>
    </row>
    <row r="4955" spans="1:23" x14ac:dyDescent="0.25">
      <c r="A4955">
        <v>4954</v>
      </c>
      <c r="B4955" t="s">
        <v>10620</v>
      </c>
      <c r="C4955" s="1">
        <v>42603</v>
      </c>
      <c r="D4955" s="1">
        <v>42607</v>
      </c>
      <c r="E4955" t="s">
        <v>49</v>
      </c>
      <c r="F4955" t="s">
        <v>2234</v>
      </c>
      <c r="G4955" t="s">
        <v>2235</v>
      </c>
      <c r="H4955" t="s">
        <v>25</v>
      </c>
      <c r="I4955" t="s">
        <v>26</v>
      </c>
      <c r="J4955" t="s">
        <v>263</v>
      </c>
      <c r="K4955" t="s">
        <v>264</v>
      </c>
      <c r="L4955">
        <v>10035</v>
      </c>
      <c r="M4955" t="s">
        <v>145</v>
      </c>
      <c r="N4955" t="s">
        <v>3670</v>
      </c>
      <c r="O4955" t="s">
        <v>31</v>
      </c>
      <c r="P4955" t="s">
        <v>35</v>
      </c>
      <c r="Q4955" t="s">
        <v>3671</v>
      </c>
      <c r="R4955">
        <v>573.17399999999998</v>
      </c>
      <c r="S4955">
        <v>7</v>
      </c>
      <c r="T4955">
        <v>0.1</v>
      </c>
      <c r="U4955">
        <v>63.686</v>
      </c>
      <c r="V4955" t="str">
        <f t="shared" si="77"/>
        <v>Jay Kimmel</v>
      </c>
      <c r="W4955">
        <f>Table2[Profit]/Table2[Sales]</f>
        <v>0.11111111111111112</v>
      </c>
    </row>
    <row r="4956" spans="1:23" x14ac:dyDescent="0.25">
      <c r="A4956">
        <v>4955</v>
      </c>
      <c r="B4956" t="s">
        <v>10621</v>
      </c>
      <c r="C4956" s="1">
        <v>42153</v>
      </c>
      <c r="D4956" s="1">
        <v>42155</v>
      </c>
      <c r="E4956" t="s">
        <v>185</v>
      </c>
      <c r="F4956" t="s">
        <v>3121</v>
      </c>
      <c r="G4956" t="s">
        <v>3122</v>
      </c>
      <c r="H4956" t="s">
        <v>101</v>
      </c>
      <c r="I4956" t="s">
        <v>26</v>
      </c>
      <c r="J4956" t="s">
        <v>2148</v>
      </c>
      <c r="K4956" t="s">
        <v>491</v>
      </c>
      <c r="L4956">
        <v>44105</v>
      </c>
      <c r="M4956" t="s">
        <v>145</v>
      </c>
      <c r="N4956" t="s">
        <v>1046</v>
      </c>
      <c r="O4956" t="s">
        <v>45</v>
      </c>
      <c r="P4956" t="s">
        <v>89</v>
      </c>
      <c r="Q4956" t="s">
        <v>183</v>
      </c>
      <c r="R4956">
        <v>85.055999999999997</v>
      </c>
      <c r="S4956">
        <v>3</v>
      </c>
      <c r="T4956">
        <v>0.2</v>
      </c>
      <c r="U4956">
        <v>28.706399999999999</v>
      </c>
      <c r="V4956" t="str">
        <f t="shared" si="77"/>
        <v>Chad Cunningham</v>
      </c>
      <c r="W4956">
        <f>Table2[Profit]/Table2[Sales]</f>
        <v>0.33749999999999997</v>
      </c>
    </row>
    <row r="4957" spans="1:23" x14ac:dyDescent="0.25">
      <c r="A4957">
        <v>4956</v>
      </c>
      <c r="B4957" t="s">
        <v>10622</v>
      </c>
      <c r="C4957" s="1">
        <v>41863</v>
      </c>
      <c r="D4957" s="1">
        <v>41864</v>
      </c>
      <c r="E4957" t="s">
        <v>185</v>
      </c>
      <c r="F4957" t="s">
        <v>2684</v>
      </c>
      <c r="G4957" t="s">
        <v>2685</v>
      </c>
      <c r="H4957" t="s">
        <v>25</v>
      </c>
      <c r="I4957" t="s">
        <v>26</v>
      </c>
      <c r="J4957" t="s">
        <v>5559</v>
      </c>
      <c r="K4957" t="s">
        <v>1260</v>
      </c>
      <c r="L4957">
        <v>30188</v>
      </c>
      <c r="M4957" t="s">
        <v>29</v>
      </c>
      <c r="N4957" t="s">
        <v>2325</v>
      </c>
      <c r="O4957" t="s">
        <v>45</v>
      </c>
      <c r="P4957" t="s">
        <v>74</v>
      </c>
      <c r="Q4957" t="s">
        <v>2326</v>
      </c>
      <c r="R4957">
        <v>14.04</v>
      </c>
      <c r="S4957">
        <v>3</v>
      </c>
      <c r="T4957">
        <v>0</v>
      </c>
      <c r="U4957">
        <v>6.7392000000000003</v>
      </c>
      <c r="V4957" t="str">
        <f t="shared" si="77"/>
        <v>Lauren Leatherbury</v>
      </c>
      <c r="W4957">
        <f>Table2[Profit]/Table2[Sales]</f>
        <v>0.48000000000000004</v>
      </c>
    </row>
    <row r="4958" spans="1:23" x14ac:dyDescent="0.25">
      <c r="A4958">
        <v>4957</v>
      </c>
      <c r="B4958" t="s">
        <v>10623</v>
      </c>
      <c r="C4958" s="1">
        <v>41732</v>
      </c>
      <c r="D4958" s="1">
        <v>41737</v>
      </c>
      <c r="E4958" t="s">
        <v>49</v>
      </c>
      <c r="F4958" t="s">
        <v>6824</v>
      </c>
      <c r="G4958" t="s">
        <v>6825</v>
      </c>
      <c r="H4958" t="s">
        <v>40</v>
      </c>
      <c r="I4958" t="s">
        <v>26</v>
      </c>
      <c r="J4958" t="s">
        <v>41</v>
      </c>
      <c r="K4958" t="s">
        <v>42</v>
      </c>
      <c r="L4958">
        <v>90008</v>
      </c>
      <c r="M4958" t="s">
        <v>43</v>
      </c>
      <c r="N4958" t="s">
        <v>1568</v>
      </c>
      <c r="O4958" t="s">
        <v>45</v>
      </c>
      <c r="P4958" t="s">
        <v>170</v>
      </c>
      <c r="Q4958" t="s">
        <v>662</v>
      </c>
      <c r="R4958">
        <v>11.16</v>
      </c>
      <c r="S4958">
        <v>2</v>
      </c>
      <c r="T4958">
        <v>0</v>
      </c>
      <c r="U4958">
        <v>5.58</v>
      </c>
      <c r="V4958" t="str">
        <f t="shared" si="77"/>
        <v>Katrina Edelman</v>
      </c>
      <c r="W4958">
        <f>Table2[Profit]/Table2[Sales]</f>
        <v>0.5</v>
      </c>
    </row>
    <row r="4959" spans="1:23" x14ac:dyDescent="0.25">
      <c r="A4959">
        <v>4958</v>
      </c>
      <c r="B4959" t="s">
        <v>10624</v>
      </c>
      <c r="C4959" s="1">
        <v>41662</v>
      </c>
      <c r="D4959" s="1">
        <v>41666</v>
      </c>
      <c r="E4959" t="s">
        <v>49</v>
      </c>
      <c r="F4959" t="s">
        <v>5319</v>
      </c>
      <c r="G4959" t="s">
        <v>5320</v>
      </c>
      <c r="H4959" t="s">
        <v>25</v>
      </c>
      <c r="I4959" t="s">
        <v>26</v>
      </c>
      <c r="J4959" t="s">
        <v>4182</v>
      </c>
      <c r="K4959" t="s">
        <v>251</v>
      </c>
      <c r="L4959">
        <v>47905</v>
      </c>
      <c r="M4959" t="s">
        <v>104</v>
      </c>
      <c r="N4959" t="s">
        <v>1889</v>
      </c>
      <c r="O4959" t="s">
        <v>45</v>
      </c>
      <c r="P4959" t="s">
        <v>266</v>
      </c>
      <c r="Q4959" t="s">
        <v>1890</v>
      </c>
      <c r="R4959">
        <v>5.94</v>
      </c>
      <c r="S4959">
        <v>3</v>
      </c>
      <c r="T4959">
        <v>0</v>
      </c>
      <c r="U4959">
        <v>0</v>
      </c>
      <c r="V4959" t="str">
        <f t="shared" si="77"/>
        <v>Speros Goranitis</v>
      </c>
      <c r="W4959">
        <f>Table2[Profit]/Table2[Sales]</f>
        <v>0</v>
      </c>
    </row>
    <row r="4960" spans="1:23" x14ac:dyDescent="0.25">
      <c r="A4960">
        <v>4959</v>
      </c>
      <c r="B4960" t="s">
        <v>10625</v>
      </c>
      <c r="C4960" s="1">
        <v>43020</v>
      </c>
      <c r="D4960" s="1">
        <v>43023</v>
      </c>
      <c r="E4960" t="s">
        <v>185</v>
      </c>
      <c r="F4960" t="s">
        <v>2022</v>
      </c>
      <c r="G4960" t="s">
        <v>2023</v>
      </c>
      <c r="H4960" t="s">
        <v>25</v>
      </c>
      <c r="I4960" t="s">
        <v>26</v>
      </c>
      <c r="J4960" t="s">
        <v>263</v>
      </c>
      <c r="K4960" t="s">
        <v>264</v>
      </c>
      <c r="L4960">
        <v>10024</v>
      </c>
      <c r="M4960" t="s">
        <v>145</v>
      </c>
      <c r="N4960" t="s">
        <v>4839</v>
      </c>
      <c r="O4960" t="s">
        <v>45</v>
      </c>
      <c r="P4960" t="s">
        <v>89</v>
      </c>
      <c r="Q4960" t="s">
        <v>4840</v>
      </c>
      <c r="R4960">
        <v>9.9600000000000009</v>
      </c>
      <c r="S4960">
        <v>2</v>
      </c>
      <c r="T4960">
        <v>0</v>
      </c>
      <c r="U4960">
        <v>4.6811999999999996</v>
      </c>
      <c r="V4960" t="str">
        <f t="shared" si="77"/>
        <v>Christina Anderson</v>
      </c>
      <c r="W4960">
        <f>Table2[Profit]/Table2[Sales]</f>
        <v>0.46999999999999992</v>
      </c>
    </row>
    <row r="4961" spans="1:23" x14ac:dyDescent="0.25">
      <c r="A4961">
        <v>4960</v>
      </c>
      <c r="B4961" t="s">
        <v>10626</v>
      </c>
      <c r="C4961" s="1">
        <v>42224</v>
      </c>
      <c r="D4961" s="1">
        <v>42228</v>
      </c>
      <c r="E4961" t="s">
        <v>49</v>
      </c>
      <c r="F4961" t="s">
        <v>2935</v>
      </c>
      <c r="G4961" t="s">
        <v>2936</v>
      </c>
      <c r="H4961" t="s">
        <v>25</v>
      </c>
      <c r="I4961" t="s">
        <v>26</v>
      </c>
      <c r="J4961" t="s">
        <v>8301</v>
      </c>
      <c r="K4961" t="s">
        <v>264</v>
      </c>
      <c r="L4961">
        <v>13501</v>
      </c>
      <c r="M4961" t="s">
        <v>145</v>
      </c>
      <c r="N4961" t="s">
        <v>4327</v>
      </c>
      <c r="O4961" t="s">
        <v>70</v>
      </c>
      <c r="P4961" t="s">
        <v>158</v>
      </c>
      <c r="Q4961" t="s">
        <v>4328</v>
      </c>
      <c r="R4961">
        <v>79.989999999999995</v>
      </c>
      <c r="S4961">
        <v>1</v>
      </c>
      <c r="T4961">
        <v>0</v>
      </c>
      <c r="U4961">
        <v>28.796399999999998</v>
      </c>
      <c r="V4961" t="str">
        <f t="shared" si="77"/>
        <v>Rob Dowd</v>
      </c>
      <c r="W4961">
        <f>Table2[Profit]/Table2[Sales]</f>
        <v>0.36</v>
      </c>
    </row>
    <row r="4962" spans="1:23" x14ac:dyDescent="0.25">
      <c r="A4962">
        <v>4961</v>
      </c>
      <c r="B4962" t="s">
        <v>10627</v>
      </c>
      <c r="C4962" s="1">
        <v>42813</v>
      </c>
      <c r="D4962" s="1">
        <v>42814</v>
      </c>
      <c r="E4962" t="s">
        <v>185</v>
      </c>
      <c r="F4962" t="s">
        <v>4104</v>
      </c>
      <c r="G4962" t="s">
        <v>4105</v>
      </c>
      <c r="H4962" t="s">
        <v>40</v>
      </c>
      <c r="I4962" t="s">
        <v>26</v>
      </c>
      <c r="J4962" t="s">
        <v>1111</v>
      </c>
      <c r="K4962" t="s">
        <v>781</v>
      </c>
      <c r="L4962">
        <v>8701</v>
      </c>
      <c r="M4962" t="s">
        <v>145</v>
      </c>
      <c r="N4962" t="s">
        <v>7596</v>
      </c>
      <c r="O4962" t="s">
        <v>45</v>
      </c>
      <c r="P4962" t="s">
        <v>67</v>
      </c>
      <c r="Q4962" t="s">
        <v>7597</v>
      </c>
      <c r="R4962">
        <v>8.94</v>
      </c>
      <c r="S4962">
        <v>3</v>
      </c>
      <c r="T4962">
        <v>0</v>
      </c>
      <c r="U4962">
        <v>2.4138000000000002</v>
      </c>
      <c r="V4962" t="str">
        <f t="shared" si="77"/>
        <v>Vivek Grady</v>
      </c>
      <c r="W4962">
        <f>Table2[Profit]/Table2[Sales]</f>
        <v>0.27</v>
      </c>
    </row>
    <row r="4963" spans="1:23" x14ac:dyDescent="0.25">
      <c r="A4963">
        <v>4962</v>
      </c>
      <c r="B4963" t="s">
        <v>10628</v>
      </c>
      <c r="C4963" s="1">
        <v>42576</v>
      </c>
      <c r="D4963" s="1">
        <v>42579</v>
      </c>
      <c r="E4963" t="s">
        <v>22</v>
      </c>
      <c r="F4963" t="s">
        <v>578</v>
      </c>
      <c r="G4963" t="s">
        <v>579</v>
      </c>
      <c r="H4963" t="s">
        <v>40</v>
      </c>
      <c r="I4963" t="s">
        <v>26</v>
      </c>
      <c r="J4963" t="s">
        <v>2517</v>
      </c>
      <c r="K4963" t="s">
        <v>113</v>
      </c>
      <c r="L4963">
        <v>53209</v>
      </c>
      <c r="M4963" t="s">
        <v>104</v>
      </c>
      <c r="N4963" t="s">
        <v>6496</v>
      </c>
      <c r="O4963" t="s">
        <v>45</v>
      </c>
      <c r="P4963" t="s">
        <v>89</v>
      </c>
      <c r="Q4963" t="s">
        <v>6497</v>
      </c>
      <c r="R4963">
        <v>20.62</v>
      </c>
      <c r="S4963">
        <v>2</v>
      </c>
      <c r="T4963">
        <v>0</v>
      </c>
      <c r="U4963">
        <v>9.6913999999999998</v>
      </c>
      <c r="V4963" t="str">
        <f t="shared" si="77"/>
        <v>Sally Hughsby</v>
      </c>
      <c r="W4963">
        <f>Table2[Profit]/Table2[Sales]</f>
        <v>0.47</v>
      </c>
    </row>
    <row r="4964" spans="1:23" x14ac:dyDescent="0.25">
      <c r="A4964">
        <v>4963</v>
      </c>
      <c r="B4964" t="s">
        <v>10629</v>
      </c>
      <c r="C4964" s="1">
        <v>41908</v>
      </c>
      <c r="D4964" s="1">
        <v>41913</v>
      </c>
      <c r="E4964" t="s">
        <v>49</v>
      </c>
      <c r="F4964" t="s">
        <v>3801</v>
      </c>
      <c r="G4964" t="s">
        <v>3802</v>
      </c>
      <c r="H4964" t="s">
        <v>25</v>
      </c>
      <c r="I4964" t="s">
        <v>26</v>
      </c>
      <c r="J4964" t="s">
        <v>296</v>
      </c>
      <c r="K4964" t="s">
        <v>208</v>
      </c>
      <c r="L4964">
        <v>60623</v>
      </c>
      <c r="M4964" t="s">
        <v>104</v>
      </c>
      <c r="N4964" t="s">
        <v>6661</v>
      </c>
      <c r="O4964" t="s">
        <v>70</v>
      </c>
      <c r="P4964" t="s">
        <v>158</v>
      </c>
      <c r="Q4964" t="s">
        <v>6662</v>
      </c>
      <c r="R4964">
        <v>153.82400000000001</v>
      </c>
      <c r="S4964">
        <v>11</v>
      </c>
      <c r="T4964">
        <v>0.2</v>
      </c>
      <c r="U4964">
        <v>38.456000000000003</v>
      </c>
      <c r="V4964" t="str">
        <f t="shared" si="77"/>
        <v>Michael Moore</v>
      </c>
      <c r="W4964">
        <f>Table2[Profit]/Table2[Sales]</f>
        <v>0.25</v>
      </c>
    </row>
    <row r="4965" spans="1:23" x14ac:dyDescent="0.25">
      <c r="A4965">
        <v>4964</v>
      </c>
      <c r="B4965" t="s">
        <v>10630</v>
      </c>
      <c r="C4965" s="1">
        <v>41807</v>
      </c>
      <c r="D4965" s="1">
        <v>41810</v>
      </c>
      <c r="E4965" t="s">
        <v>22</v>
      </c>
      <c r="F4965" t="s">
        <v>1908</v>
      </c>
      <c r="G4965" t="s">
        <v>1909</v>
      </c>
      <c r="H4965" t="s">
        <v>25</v>
      </c>
      <c r="I4965" t="s">
        <v>26</v>
      </c>
      <c r="J4965" t="s">
        <v>296</v>
      </c>
      <c r="K4965" t="s">
        <v>208</v>
      </c>
      <c r="L4965">
        <v>60653</v>
      </c>
      <c r="M4965" t="s">
        <v>104</v>
      </c>
      <c r="N4965" t="s">
        <v>7354</v>
      </c>
      <c r="O4965" t="s">
        <v>45</v>
      </c>
      <c r="P4965" t="s">
        <v>89</v>
      </c>
      <c r="Q4965" t="s">
        <v>7355</v>
      </c>
      <c r="R4965">
        <v>62.015999999999998</v>
      </c>
      <c r="S4965">
        <v>2</v>
      </c>
      <c r="T4965">
        <v>0.2</v>
      </c>
      <c r="U4965">
        <v>22.480799999999999</v>
      </c>
      <c r="V4965" t="str">
        <f t="shared" si="77"/>
        <v>Jennifer Ferguson</v>
      </c>
      <c r="W4965">
        <f>Table2[Profit]/Table2[Sales]</f>
        <v>0.36249999999999999</v>
      </c>
    </row>
    <row r="4966" spans="1:23" x14ac:dyDescent="0.25">
      <c r="A4966">
        <v>4965</v>
      </c>
      <c r="B4966" t="s">
        <v>10631</v>
      </c>
      <c r="C4966" s="1">
        <v>42527</v>
      </c>
      <c r="D4966" s="1">
        <v>42531</v>
      </c>
      <c r="E4966" t="s">
        <v>49</v>
      </c>
      <c r="F4966" t="s">
        <v>3576</v>
      </c>
      <c r="G4966" t="s">
        <v>3577</v>
      </c>
      <c r="H4966" t="s">
        <v>25</v>
      </c>
      <c r="I4966" t="s">
        <v>26</v>
      </c>
      <c r="J4966" t="s">
        <v>739</v>
      </c>
      <c r="K4966" t="s">
        <v>491</v>
      </c>
      <c r="L4966">
        <v>45014</v>
      </c>
      <c r="M4966" t="s">
        <v>145</v>
      </c>
      <c r="N4966" t="s">
        <v>2402</v>
      </c>
      <c r="O4966" t="s">
        <v>31</v>
      </c>
      <c r="P4966" t="s">
        <v>64</v>
      </c>
      <c r="Q4966" t="s">
        <v>2403</v>
      </c>
      <c r="R4966">
        <v>466.32</v>
      </c>
      <c r="S4966">
        <v>3</v>
      </c>
      <c r="T4966">
        <v>0.2</v>
      </c>
      <c r="U4966">
        <v>34.973999999999997</v>
      </c>
      <c r="V4966" t="str">
        <f t="shared" si="77"/>
        <v>Liz Preis</v>
      </c>
      <c r="W4966">
        <f>Table2[Profit]/Table2[Sales]</f>
        <v>7.4999999999999997E-2</v>
      </c>
    </row>
    <row r="4967" spans="1:23" x14ac:dyDescent="0.25">
      <c r="A4967">
        <v>4966</v>
      </c>
      <c r="B4967" t="s">
        <v>10632</v>
      </c>
      <c r="C4967" s="1">
        <v>41726</v>
      </c>
      <c r="D4967" s="1">
        <v>41732</v>
      </c>
      <c r="E4967" t="s">
        <v>49</v>
      </c>
      <c r="F4967" t="s">
        <v>3996</v>
      </c>
      <c r="G4967" t="s">
        <v>3997</v>
      </c>
      <c r="H4967" t="s">
        <v>101</v>
      </c>
      <c r="I4967" t="s">
        <v>26</v>
      </c>
      <c r="J4967" t="s">
        <v>311</v>
      </c>
      <c r="K4967" t="s">
        <v>491</v>
      </c>
      <c r="L4967">
        <v>45503</v>
      </c>
      <c r="M4967" t="s">
        <v>145</v>
      </c>
      <c r="N4967" t="s">
        <v>2286</v>
      </c>
      <c r="O4967" t="s">
        <v>31</v>
      </c>
      <c r="P4967" t="s">
        <v>55</v>
      </c>
      <c r="Q4967" t="s">
        <v>2287</v>
      </c>
      <c r="R4967">
        <v>330.58800000000002</v>
      </c>
      <c r="S4967">
        <v>1</v>
      </c>
      <c r="T4967">
        <v>0.4</v>
      </c>
      <c r="U4967">
        <v>-143.25479999999999</v>
      </c>
      <c r="V4967" t="str">
        <f t="shared" si="77"/>
        <v>Mike Pelletier</v>
      </c>
      <c r="W4967">
        <f>Table2[Profit]/Table2[Sales]</f>
        <v>-0.43333333333333329</v>
      </c>
    </row>
    <row r="4968" spans="1:23" x14ac:dyDescent="0.25">
      <c r="A4968">
        <v>4967</v>
      </c>
      <c r="B4968" t="s">
        <v>10633</v>
      </c>
      <c r="C4968" s="1">
        <v>42968</v>
      </c>
      <c r="D4968" s="1">
        <v>42972</v>
      </c>
      <c r="E4968" t="s">
        <v>49</v>
      </c>
      <c r="F4968" t="s">
        <v>10343</v>
      </c>
      <c r="G4968" t="s">
        <v>10344</v>
      </c>
      <c r="H4968" t="s">
        <v>25</v>
      </c>
      <c r="I4968" t="s">
        <v>26</v>
      </c>
      <c r="J4968" t="s">
        <v>1459</v>
      </c>
      <c r="K4968" t="s">
        <v>450</v>
      </c>
      <c r="L4968">
        <v>80027</v>
      </c>
      <c r="M4968" t="s">
        <v>43</v>
      </c>
      <c r="N4968" t="s">
        <v>2288</v>
      </c>
      <c r="O4968" t="s">
        <v>45</v>
      </c>
      <c r="P4968" t="s">
        <v>58</v>
      </c>
      <c r="Q4968" t="s">
        <v>2289</v>
      </c>
      <c r="R4968">
        <v>237.096</v>
      </c>
      <c r="S4968">
        <v>3</v>
      </c>
      <c r="T4968">
        <v>0.2</v>
      </c>
      <c r="U4968">
        <v>20.745899999999999</v>
      </c>
      <c r="V4968" t="str">
        <f t="shared" si="77"/>
        <v>Sung Chung</v>
      </c>
      <c r="W4968">
        <f>Table2[Profit]/Table2[Sales]</f>
        <v>8.7499999999999994E-2</v>
      </c>
    </row>
    <row r="4969" spans="1:23" x14ac:dyDescent="0.25">
      <c r="A4969">
        <v>4968</v>
      </c>
      <c r="B4969" t="s">
        <v>10634</v>
      </c>
      <c r="C4969" s="1">
        <v>41955</v>
      </c>
      <c r="D4969" s="1">
        <v>41961</v>
      </c>
      <c r="E4969" t="s">
        <v>49</v>
      </c>
      <c r="F4969" t="s">
        <v>248</v>
      </c>
      <c r="G4969" t="s">
        <v>249</v>
      </c>
      <c r="H4969" t="s">
        <v>25</v>
      </c>
      <c r="I4969" t="s">
        <v>26</v>
      </c>
      <c r="J4969" t="s">
        <v>4128</v>
      </c>
      <c r="K4969" t="s">
        <v>103</v>
      </c>
      <c r="L4969">
        <v>75007</v>
      </c>
      <c r="M4969" t="s">
        <v>104</v>
      </c>
      <c r="N4969" t="s">
        <v>5566</v>
      </c>
      <c r="O4969" t="s">
        <v>31</v>
      </c>
      <c r="P4969" t="s">
        <v>64</v>
      </c>
      <c r="Q4969" t="s">
        <v>5567</v>
      </c>
      <c r="R4969">
        <v>25.128</v>
      </c>
      <c r="S4969">
        <v>3</v>
      </c>
      <c r="T4969">
        <v>0.6</v>
      </c>
      <c r="U4969">
        <v>-6.9101999999999997</v>
      </c>
      <c r="V4969" t="str">
        <f t="shared" si="77"/>
        <v>Darren Powers</v>
      </c>
      <c r="W4969">
        <f>Table2[Profit]/Table2[Sales]</f>
        <v>-0.27499999999999997</v>
      </c>
    </row>
    <row r="4970" spans="1:23" x14ac:dyDescent="0.25">
      <c r="A4970">
        <v>4969</v>
      </c>
      <c r="B4970" t="s">
        <v>10635</v>
      </c>
      <c r="C4970" s="1">
        <v>42260</v>
      </c>
      <c r="D4970" s="1">
        <v>42262</v>
      </c>
      <c r="E4970" t="s">
        <v>185</v>
      </c>
      <c r="F4970" t="s">
        <v>5516</v>
      </c>
      <c r="G4970" t="s">
        <v>5517</v>
      </c>
      <c r="H4970" t="s">
        <v>40</v>
      </c>
      <c r="I4970" t="s">
        <v>26</v>
      </c>
      <c r="J4970" t="s">
        <v>1857</v>
      </c>
      <c r="K4970" t="s">
        <v>42</v>
      </c>
      <c r="L4970">
        <v>92804</v>
      </c>
      <c r="M4970" t="s">
        <v>43</v>
      </c>
      <c r="N4970" t="s">
        <v>4534</v>
      </c>
      <c r="O4970" t="s">
        <v>31</v>
      </c>
      <c r="P4970" t="s">
        <v>64</v>
      </c>
      <c r="Q4970" t="s">
        <v>4535</v>
      </c>
      <c r="R4970">
        <v>131.88</v>
      </c>
      <c r="S4970">
        <v>7</v>
      </c>
      <c r="T4970">
        <v>0</v>
      </c>
      <c r="U4970">
        <v>55.389600000000002</v>
      </c>
      <c r="V4970" t="str">
        <f t="shared" si="77"/>
        <v>Ken Dana</v>
      </c>
      <c r="W4970">
        <f>Table2[Profit]/Table2[Sales]</f>
        <v>0.42000000000000004</v>
      </c>
    </row>
    <row r="4971" spans="1:23" x14ac:dyDescent="0.25">
      <c r="A4971">
        <v>4970</v>
      </c>
      <c r="B4971" t="s">
        <v>10636</v>
      </c>
      <c r="C4971" s="1">
        <v>41734</v>
      </c>
      <c r="D4971" s="1">
        <v>41738</v>
      </c>
      <c r="E4971" t="s">
        <v>49</v>
      </c>
      <c r="F4971" t="s">
        <v>4420</v>
      </c>
      <c r="G4971" t="s">
        <v>4421</v>
      </c>
      <c r="H4971" t="s">
        <v>40</v>
      </c>
      <c r="I4971" t="s">
        <v>26</v>
      </c>
      <c r="J4971" t="s">
        <v>1450</v>
      </c>
      <c r="K4971" t="s">
        <v>28</v>
      </c>
      <c r="L4971">
        <v>40475</v>
      </c>
      <c r="M4971" t="s">
        <v>29</v>
      </c>
      <c r="N4971" t="s">
        <v>407</v>
      </c>
      <c r="O4971" t="s">
        <v>45</v>
      </c>
      <c r="P4971" t="s">
        <v>74</v>
      </c>
      <c r="Q4971" t="s">
        <v>408</v>
      </c>
      <c r="R4971">
        <v>115.36</v>
      </c>
      <c r="S4971">
        <v>7</v>
      </c>
      <c r="T4971">
        <v>0</v>
      </c>
      <c r="U4971">
        <v>56.526400000000002</v>
      </c>
      <c r="V4971" t="str">
        <f t="shared" si="77"/>
        <v>Roy Phan</v>
      </c>
      <c r="W4971">
        <f>Table2[Profit]/Table2[Sales]</f>
        <v>0.49000000000000005</v>
      </c>
    </row>
    <row r="4972" spans="1:23" x14ac:dyDescent="0.25">
      <c r="A4972">
        <v>4971</v>
      </c>
      <c r="B4972" t="s">
        <v>10637</v>
      </c>
      <c r="C4972" s="1">
        <v>42287</v>
      </c>
      <c r="D4972" s="1">
        <v>42289</v>
      </c>
      <c r="E4972" t="s">
        <v>185</v>
      </c>
      <c r="F4972" t="s">
        <v>3869</v>
      </c>
      <c r="G4972" t="s">
        <v>3870</v>
      </c>
      <c r="H4972" t="s">
        <v>40</v>
      </c>
      <c r="I4972" t="s">
        <v>26</v>
      </c>
      <c r="J4972" t="s">
        <v>8100</v>
      </c>
      <c r="K4972" t="s">
        <v>42</v>
      </c>
      <c r="L4972">
        <v>93101</v>
      </c>
      <c r="M4972" t="s">
        <v>43</v>
      </c>
      <c r="N4972" t="s">
        <v>5282</v>
      </c>
      <c r="O4972" t="s">
        <v>31</v>
      </c>
      <c r="P4972" t="s">
        <v>35</v>
      </c>
      <c r="Q4972" t="s">
        <v>5283</v>
      </c>
      <c r="R4972">
        <v>362.13600000000002</v>
      </c>
      <c r="S4972">
        <v>3</v>
      </c>
      <c r="T4972">
        <v>0.2</v>
      </c>
      <c r="U4972">
        <v>-54.320399999999999</v>
      </c>
      <c r="V4972" t="str">
        <f t="shared" si="77"/>
        <v>Katherine Nockton</v>
      </c>
      <c r="W4972">
        <f>Table2[Profit]/Table2[Sales]</f>
        <v>-0.15</v>
      </c>
    </row>
    <row r="4973" spans="1:23" x14ac:dyDescent="0.25">
      <c r="A4973">
        <v>4972</v>
      </c>
      <c r="B4973" t="s">
        <v>10638</v>
      </c>
      <c r="C4973" s="1">
        <v>42764</v>
      </c>
      <c r="D4973" s="1">
        <v>42766</v>
      </c>
      <c r="E4973" t="s">
        <v>22</v>
      </c>
      <c r="F4973" t="s">
        <v>5338</v>
      </c>
      <c r="G4973" t="s">
        <v>5339</v>
      </c>
      <c r="H4973" t="s">
        <v>25</v>
      </c>
      <c r="I4973" t="s">
        <v>26</v>
      </c>
      <c r="J4973" t="s">
        <v>5073</v>
      </c>
      <c r="K4973" t="s">
        <v>482</v>
      </c>
      <c r="L4973">
        <v>52302</v>
      </c>
      <c r="M4973" t="s">
        <v>104</v>
      </c>
      <c r="N4973" t="s">
        <v>6038</v>
      </c>
      <c r="O4973" t="s">
        <v>45</v>
      </c>
      <c r="P4973" t="s">
        <v>89</v>
      </c>
      <c r="Q4973" t="s">
        <v>6039</v>
      </c>
      <c r="R4973">
        <v>12.96</v>
      </c>
      <c r="S4973">
        <v>2</v>
      </c>
      <c r="T4973">
        <v>0</v>
      </c>
      <c r="U4973">
        <v>6.2207999999999997</v>
      </c>
      <c r="V4973" t="str">
        <f t="shared" si="77"/>
        <v>Tamara Manning</v>
      </c>
      <c r="W4973">
        <f>Table2[Profit]/Table2[Sales]</f>
        <v>0.47999999999999993</v>
      </c>
    </row>
    <row r="4974" spans="1:23" x14ac:dyDescent="0.25">
      <c r="A4974">
        <v>4973</v>
      </c>
      <c r="B4974" t="s">
        <v>10639</v>
      </c>
      <c r="C4974" s="1">
        <v>42271</v>
      </c>
      <c r="D4974" s="1">
        <v>42276</v>
      </c>
      <c r="E4974" t="s">
        <v>49</v>
      </c>
      <c r="F4974" t="s">
        <v>3620</v>
      </c>
      <c r="G4974" t="s">
        <v>3621</v>
      </c>
      <c r="H4974" t="s">
        <v>25</v>
      </c>
      <c r="I4974" t="s">
        <v>26</v>
      </c>
      <c r="J4974" t="s">
        <v>263</v>
      </c>
      <c r="K4974" t="s">
        <v>264</v>
      </c>
      <c r="L4974">
        <v>10035</v>
      </c>
      <c r="M4974" t="s">
        <v>145</v>
      </c>
      <c r="N4974" t="s">
        <v>3384</v>
      </c>
      <c r="O4974" t="s">
        <v>45</v>
      </c>
      <c r="P4974" t="s">
        <v>170</v>
      </c>
      <c r="Q4974" t="s">
        <v>3385</v>
      </c>
      <c r="R4974">
        <v>39.979999999999997</v>
      </c>
      <c r="S4974">
        <v>1</v>
      </c>
      <c r="T4974">
        <v>0</v>
      </c>
      <c r="U4974">
        <v>17.991</v>
      </c>
      <c r="V4974" t="str">
        <f t="shared" si="77"/>
        <v>Jamie Frazer</v>
      </c>
      <c r="W4974">
        <f>Table2[Profit]/Table2[Sales]</f>
        <v>0.45</v>
      </c>
    </row>
    <row r="4975" spans="1:23" x14ac:dyDescent="0.25">
      <c r="A4975">
        <v>4974</v>
      </c>
      <c r="B4975" t="s">
        <v>10640</v>
      </c>
      <c r="C4975" s="1">
        <v>42444</v>
      </c>
      <c r="D4975" s="1">
        <v>42448</v>
      </c>
      <c r="E4975" t="s">
        <v>49</v>
      </c>
      <c r="F4975" t="s">
        <v>4107</v>
      </c>
      <c r="G4975" t="s">
        <v>4108</v>
      </c>
      <c r="H4975" t="s">
        <v>40</v>
      </c>
      <c r="I4975" t="s">
        <v>26</v>
      </c>
      <c r="J4975" t="s">
        <v>10250</v>
      </c>
      <c r="K4975" t="s">
        <v>103</v>
      </c>
      <c r="L4975">
        <v>77803</v>
      </c>
      <c r="M4975" t="s">
        <v>104</v>
      </c>
      <c r="N4975" t="s">
        <v>377</v>
      </c>
      <c r="O4975" t="s">
        <v>31</v>
      </c>
      <c r="P4975" t="s">
        <v>35</v>
      </c>
      <c r="Q4975" t="s">
        <v>378</v>
      </c>
      <c r="R4975">
        <v>528.42999999999995</v>
      </c>
      <c r="S4975">
        <v>5</v>
      </c>
      <c r="T4975">
        <v>0.3</v>
      </c>
      <c r="U4975">
        <v>-143.43100000000001</v>
      </c>
      <c r="V4975" t="str">
        <f t="shared" si="77"/>
        <v>Muhammed Yedwab</v>
      </c>
      <c r="W4975">
        <f>Table2[Profit]/Table2[Sales]</f>
        <v>-0.27142857142857146</v>
      </c>
    </row>
    <row r="4976" spans="1:23" x14ac:dyDescent="0.25">
      <c r="A4976">
        <v>4975</v>
      </c>
      <c r="B4976" t="s">
        <v>10641</v>
      </c>
      <c r="C4976" s="1">
        <v>41967</v>
      </c>
      <c r="D4976" s="1">
        <v>41973</v>
      </c>
      <c r="E4976" t="s">
        <v>49</v>
      </c>
      <c r="F4976" t="s">
        <v>3306</v>
      </c>
      <c r="G4976" t="s">
        <v>3307</v>
      </c>
      <c r="H4976" t="s">
        <v>101</v>
      </c>
      <c r="I4976" t="s">
        <v>26</v>
      </c>
      <c r="J4976" t="s">
        <v>794</v>
      </c>
      <c r="K4976" t="s">
        <v>491</v>
      </c>
      <c r="L4976">
        <v>44312</v>
      </c>
      <c r="M4976" t="s">
        <v>145</v>
      </c>
      <c r="N4976" t="s">
        <v>3246</v>
      </c>
      <c r="O4976" t="s">
        <v>45</v>
      </c>
      <c r="P4976" t="s">
        <v>74</v>
      </c>
      <c r="Q4976" t="s">
        <v>3247</v>
      </c>
      <c r="R4976">
        <v>5.742</v>
      </c>
      <c r="S4976">
        <v>3</v>
      </c>
      <c r="T4976">
        <v>0.7</v>
      </c>
      <c r="U4976">
        <v>-4.5936000000000003</v>
      </c>
      <c r="V4976" t="str">
        <f t="shared" si="77"/>
        <v>Alyssa Tate</v>
      </c>
      <c r="W4976">
        <f>Table2[Profit]/Table2[Sales]</f>
        <v>-0.8</v>
      </c>
    </row>
    <row r="4977" spans="1:23" x14ac:dyDescent="0.25">
      <c r="A4977">
        <v>4976</v>
      </c>
      <c r="B4977" t="s">
        <v>10642</v>
      </c>
      <c r="C4977" s="1">
        <v>42861</v>
      </c>
      <c r="D4977" s="1">
        <v>42865</v>
      </c>
      <c r="E4977" t="s">
        <v>49</v>
      </c>
      <c r="F4977" t="s">
        <v>1887</v>
      </c>
      <c r="G4977" t="s">
        <v>1888</v>
      </c>
      <c r="H4977" t="s">
        <v>25</v>
      </c>
      <c r="I4977" t="s">
        <v>26</v>
      </c>
      <c r="J4977" t="s">
        <v>296</v>
      </c>
      <c r="K4977" t="s">
        <v>208</v>
      </c>
      <c r="L4977">
        <v>60653</v>
      </c>
      <c r="M4977" t="s">
        <v>104</v>
      </c>
      <c r="N4977" t="s">
        <v>3344</v>
      </c>
      <c r="O4977" t="s">
        <v>70</v>
      </c>
      <c r="P4977" t="s">
        <v>158</v>
      </c>
      <c r="Q4977" t="s">
        <v>3345</v>
      </c>
      <c r="R4977">
        <v>191.96799999999999</v>
      </c>
      <c r="S4977">
        <v>4</v>
      </c>
      <c r="T4977">
        <v>0.2</v>
      </c>
      <c r="U4977">
        <v>28.795200000000001</v>
      </c>
      <c r="V4977" t="str">
        <f t="shared" si="77"/>
        <v>Jeremy Farry</v>
      </c>
      <c r="W4977">
        <f>Table2[Profit]/Table2[Sales]</f>
        <v>0.15000000000000002</v>
      </c>
    </row>
    <row r="4978" spans="1:23" x14ac:dyDescent="0.25">
      <c r="A4978">
        <v>4977</v>
      </c>
      <c r="B4978" t="s">
        <v>10643</v>
      </c>
      <c r="C4978" s="1">
        <v>42083</v>
      </c>
      <c r="D4978" s="1">
        <v>42086</v>
      </c>
      <c r="E4978" t="s">
        <v>185</v>
      </c>
      <c r="F4978" t="s">
        <v>6451</v>
      </c>
      <c r="G4978" t="s">
        <v>6452</v>
      </c>
      <c r="H4978" t="s">
        <v>40</v>
      </c>
      <c r="I4978" t="s">
        <v>26</v>
      </c>
      <c r="J4978" t="s">
        <v>263</v>
      </c>
      <c r="K4978" t="s">
        <v>264</v>
      </c>
      <c r="L4978">
        <v>10035</v>
      </c>
      <c r="M4978" t="s">
        <v>145</v>
      </c>
      <c r="N4978" t="s">
        <v>1375</v>
      </c>
      <c r="O4978" t="s">
        <v>45</v>
      </c>
      <c r="P4978" t="s">
        <v>74</v>
      </c>
      <c r="Q4978" t="s">
        <v>1376</v>
      </c>
      <c r="R4978">
        <v>49.847999999999999</v>
      </c>
      <c r="S4978">
        <v>3</v>
      </c>
      <c r="T4978">
        <v>0.2</v>
      </c>
      <c r="U4978">
        <v>16.823699999999999</v>
      </c>
      <c r="V4978" t="str">
        <f t="shared" si="77"/>
        <v>Dave Hallsten</v>
      </c>
      <c r="W4978">
        <f>Table2[Profit]/Table2[Sales]</f>
        <v>0.33749999999999997</v>
      </c>
    </row>
    <row r="4979" spans="1:23" x14ac:dyDescent="0.25">
      <c r="A4979">
        <v>4978</v>
      </c>
      <c r="B4979" t="s">
        <v>10644</v>
      </c>
      <c r="C4979" s="1">
        <v>42617</v>
      </c>
      <c r="D4979" s="1">
        <v>42617</v>
      </c>
      <c r="E4979" t="s">
        <v>1278</v>
      </c>
      <c r="F4979" t="s">
        <v>8869</v>
      </c>
      <c r="G4979" t="s">
        <v>8870</v>
      </c>
      <c r="H4979" t="s">
        <v>25</v>
      </c>
      <c r="I4979" t="s">
        <v>26</v>
      </c>
      <c r="J4979" t="s">
        <v>126</v>
      </c>
      <c r="K4979" t="s">
        <v>42</v>
      </c>
      <c r="L4979">
        <v>94122</v>
      </c>
      <c r="M4979" t="s">
        <v>43</v>
      </c>
      <c r="N4979" t="s">
        <v>340</v>
      </c>
      <c r="O4979" t="s">
        <v>31</v>
      </c>
      <c r="P4979" t="s">
        <v>64</v>
      </c>
      <c r="Q4979" t="s">
        <v>341</v>
      </c>
      <c r="R4979">
        <v>24.27</v>
      </c>
      <c r="S4979">
        <v>3</v>
      </c>
      <c r="T4979">
        <v>0</v>
      </c>
      <c r="U4979">
        <v>8.7371999999999996</v>
      </c>
      <c r="V4979" t="str">
        <f t="shared" si="77"/>
        <v>Ionia McGrath</v>
      </c>
      <c r="W4979">
        <f>Table2[Profit]/Table2[Sales]</f>
        <v>0.36</v>
      </c>
    </row>
    <row r="4980" spans="1:23" x14ac:dyDescent="0.25">
      <c r="A4980">
        <v>4979</v>
      </c>
      <c r="B4980" t="s">
        <v>10645</v>
      </c>
      <c r="C4980" s="1">
        <v>42321</v>
      </c>
      <c r="D4980" s="1">
        <v>42325</v>
      </c>
      <c r="E4980" t="s">
        <v>49</v>
      </c>
      <c r="F4980" t="s">
        <v>1418</v>
      </c>
      <c r="G4980" t="s">
        <v>1419</v>
      </c>
      <c r="H4980" t="s">
        <v>25</v>
      </c>
      <c r="I4980" t="s">
        <v>26</v>
      </c>
      <c r="J4980" t="s">
        <v>4795</v>
      </c>
      <c r="K4980" t="s">
        <v>42</v>
      </c>
      <c r="L4980">
        <v>92404</v>
      </c>
      <c r="M4980" t="s">
        <v>43</v>
      </c>
      <c r="N4980" t="s">
        <v>6167</v>
      </c>
      <c r="O4980" t="s">
        <v>45</v>
      </c>
      <c r="P4980" t="s">
        <v>74</v>
      </c>
      <c r="Q4980" t="s">
        <v>6168</v>
      </c>
      <c r="R4980">
        <v>9.8719999999999999</v>
      </c>
      <c r="S4980">
        <v>2</v>
      </c>
      <c r="T4980">
        <v>0.2</v>
      </c>
      <c r="U4980">
        <v>3.4552</v>
      </c>
      <c r="V4980" t="str">
        <f t="shared" si="77"/>
        <v>Keith Herrera</v>
      </c>
      <c r="W4980">
        <f>Table2[Profit]/Table2[Sales]</f>
        <v>0.35000000000000003</v>
      </c>
    </row>
    <row r="4981" spans="1:23" x14ac:dyDescent="0.25">
      <c r="A4981">
        <v>4980</v>
      </c>
      <c r="B4981" t="s">
        <v>10646</v>
      </c>
      <c r="C4981" s="1">
        <v>41831</v>
      </c>
      <c r="D4981" s="1">
        <v>41834</v>
      </c>
      <c r="E4981" t="s">
        <v>185</v>
      </c>
      <c r="F4981" t="s">
        <v>4309</v>
      </c>
      <c r="G4981" t="s">
        <v>4310</v>
      </c>
      <c r="H4981" t="s">
        <v>25</v>
      </c>
      <c r="I4981" t="s">
        <v>26</v>
      </c>
      <c r="J4981" t="s">
        <v>3877</v>
      </c>
      <c r="K4981" t="s">
        <v>264</v>
      </c>
      <c r="L4981">
        <v>14304</v>
      </c>
      <c r="M4981" t="s">
        <v>145</v>
      </c>
      <c r="N4981" t="s">
        <v>6310</v>
      </c>
      <c r="O4981" t="s">
        <v>70</v>
      </c>
      <c r="P4981" t="s">
        <v>71</v>
      </c>
      <c r="Q4981" t="s">
        <v>6311</v>
      </c>
      <c r="R4981">
        <v>164.85</v>
      </c>
      <c r="S4981">
        <v>3</v>
      </c>
      <c r="T4981">
        <v>0</v>
      </c>
      <c r="U4981">
        <v>47.8065</v>
      </c>
      <c r="V4981" t="str">
        <f t="shared" si="77"/>
        <v>Jamie Kunitz</v>
      </c>
      <c r="W4981">
        <f>Table2[Profit]/Table2[Sales]</f>
        <v>0.29000000000000004</v>
      </c>
    </row>
    <row r="4982" spans="1:23" x14ac:dyDescent="0.25">
      <c r="A4982">
        <v>4981</v>
      </c>
      <c r="B4982" t="s">
        <v>10647</v>
      </c>
      <c r="C4982" s="1">
        <v>42467</v>
      </c>
      <c r="D4982" s="1">
        <v>42472</v>
      </c>
      <c r="E4982" t="s">
        <v>49</v>
      </c>
      <c r="F4982" t="s">
        <v>1979</v>
      </c>
      <c r="G4982" t="s">
        <v>1980</v>
      </c>
      <c r="H4982" t="s">
        <v>25</v>
      </c>
      <c r="I4982" t="s">
        <v>26</v>
      </c>
      <c r="J4982" t="s">
        <v>143</v>
      </c>
      <c r="K4982" t="s">
        <v>144</v>
      </c>
      <c r="L4982">
        <v>19120</v>
      </c>
      <c r="M4982" t="s">
        <v>145</v>
      </c>
      <c r="N4982" t="s">
        <v>8928</v>
      </c>
      <c r="O4982" t="s">
        <v>45</v>
      </c>
      <c r="P4982" t="s">
        <v>77</v>
      </c>
      <c r="Q4982" t="s">
        <v>8929</v>
      </c>
      <c r="R4982">
        <v>33.527999999999999</v>
      </c>
      <c r="S4982">
        <v>3</v>
      </c>
      <c r="T4982">
        <v>0.2</v>
      </c>
      <c r="U4982">
        <v>2.5146000000000002</v>
      </c>
      <c r="V4982" t="str">
        <f t="shared" si="77"/>
        <v>Alan Shonely</v>
      </c>
      <c r="W4982">
        <f>Table2[Profit]/Table2[Sales]</f>
        <v>7.5000000000000011E-2</v>
      </c>
    </row>
    <row r="4983" spans="1:23" x14ac:dyDescent="0.25">
      <c r="A4983">
        <v>4982</v>
      </c>
      <c r="B4983" t="s">
        <v>10648</v>
      </c>
      <c r="C4983" s="1">
        <v>42910</v>
      </c>
      <c r="D4983" s="1">
        <v>42914</v>
      </c>
      <c r="E4983" t="s">
        <v>49</v>
      </c>
      <c r="F4983" t="s">
        <v>5459</v>
      </c>
      <c r="G4983" t="s">
        <v>5460</v>
      </c>
      <c r="H4983" t="s">
        <v>25</v>
      </c>
      <c r="I4983" t="s">
        <v>26</v>
      </c>
      <c r="J4983" t="s">
        <v>7134</v>
      </c>
      <c r="K4983" t="s">
        <v>1388</v>
      </c>
      <c r="L4983">
        <v>2920</v>
      </c>
      <c r="M4983" t="s">
        <v>145</v>
      </c>
      <c r="N4983" t="s">
        <v>611</v>
      </c>
      <c r="O4983" t="s">
        <v>45</v>
      </c>
      <c r="P4983" t="s">
        <v>74</v>
      </c>
      <c r="Q4983" t="s">
        <v>612</v>
      </c>
      <c r="R4983">
        <v>102.93</v>
      </c>
      <c r="S4983">
        <v>3</v>
      </c>
      <c r="T4983">
        <v>0</v>
      </c>
      <c r="U4983">
        <v>48.377099999999999</v>
      </c>
      <c r="V4983" t="str">
        <f t="shared" si="77"/>
        <v>Sonia Cooley</v>
      </c>
      <c r="W4983">
        <f>Table2[Profit]/Table2[Sales]</f>
        <v>0.47</v>
      </c>
    </row>
    <row r="4984" spans="1:23" x14ac:dyDescent="0.25">
      <c r="A4984">
        <v>4983</v>
      </c>
      <c r="B4984" t="s">
        <v>10649</v>
      </c>
      <c r="C4984" s="1">
        <v>42524</v>
      </c>
      <c r="D4984" s="1">
        <v>42527</v>
      </c>
      <c r="E4984" t="s">
        <v>22</v>
      </c>
      <c r="F4984" t="s">
        <v>2375</v>
      </c>
      <c r="G4984" t="s">
        <v>2376</v>
      </c>
      <c r="H4984" t="s">
        <v>40</v>
      </c>
      <c r="I4984" t="s">
        <v>26</v>
      </c>
      <c r="J4984" t="s">
        <v>41</v>
      </c>
      <c r="K4984" t="s">
        <v>42</v>
      </c>
      <c r="L4984">
        <v>90049</v>
      </c>
      <c r="M4984" t="s">
        <v>43</v>
      </c>
      <c r="N4984" t="s">
        <v>3730</v>
      </c>
      <c r="O4984" t="s">
        <v>31</v>
      </c>
      <c r="P4984" t="s">
        <v>55</v>
      </c>
      <c r="Q4984" t="s">
        <v>3731</v>
      </c>
      <c r="R4984">
        <v>71.087999999999994</v>
      </c>
      <c r="S4984">
        <v>2</v>
      </c>
      <c r="T4984">
        <v>0.2</v>
      </c>
      <c r="U4984">
        <v>-1.7771999999999999</v>
      </c>
      <c r="V4984" t="str">
        <f t="shared" si="77"/>
        <v>Christine Phan</v>
      </c>
      <c r="W4984">
        <f>Table2[Profit]/Table2[Sales]</f>
        <v>-2.5000000000000001E-2</v>
      </c>
    </row>
    <row r="4985" spans="1:23" x14ac:dyDescent="0.25">
      <c r="A4985">
        <v>4984</v>
      </c>
      <c r="B4985" t="s">
        <v>10650</v>
      </c>
      <c r="C4985" s="1">
        <v>42716</v>
      </c>
      <c r="D4985" s="1">
        <v>42721</v>
      </c>
      <c r="E4985" t="s">
        <v>49</v>
      </c>
      <c r="F4985" t="s">
        <v>3044</v>
      </c>
      <c r="G4985" t="s">
        <v>3045</v>
      </c>
      <c r="H4985" t="s">
        <v>40</v>
      </c>
      <c r="I4985" t="s">
        <v>26</v>
      </c>
      <c r="J4985" t="s">
        <v>263</v>
      </c>
      <c r="K4985" t="s">
        <v>264</v>
      </c>
      <c r="L4985">
        <v>10009</v>
      </c>
      <c r="M4985" t="s">
        <v>145</v>
      </c>
      <c r="N4985" t="s">
        <v>1690</v>
      </c>
      <c r="O4985" t="s">
        <v>31</v>
      </c>
      <c r="P4985" t="s">
        <v>64</v>
      </c>
      <c r="Q4985" t="s">
        <v>7942</v>
      </c>
      <c r="R4985">
        <v>60.35</v>
      </c>
      <c r="S4985">
        <v>5</v>
      </c>
      <c r="T4985">
        <v>0</v>
      </c>
      <c r="U4985">
        <v>19.915500000000002</v>
      </c>
      <c r="V4985" t="str">
        <f t="shared" si="77"/>
        <v>Noel Staavos</v>
      </c>
      <c r="W4985">
        <f>Table2[Profit]/Table2[Sales]</f>
        <v>0.33</v>
      </c>
    </row>
    <row r="4986" spans="1:23" x14ac:dyDescent="0.25">
      <c r="A4986">
        <v>4985</v>
      </c>
      <c r="B4986" t="s">
        <v>10651</v>
      </c>
      <c r="C4986" s="1">
        <v>43063</v>
      </c>
      <c r="D4986" s="1">
        <v>43069</v>
      </c>
      <c r="E4986" t="s">
        <v>49</v>
      </c>
      <c r="F4986" t="s">
        <v>2084</v>
      </c>
      <c r="G4986" t="s">
        <v>2085</v>
      </c>
      <c r="H4986" t="s">
        <v>25</v>
      </c>
      <c r="I4986" t="s">
        <v>26</v>
      </c>
      <c r="J4986" t="s">
        <v>126</v>
      </c>
      <c r="K4986" t="s">
        <v>42</v>
      </c>
      <c r="L4986">
        <v>94122</v>
      </c>
      <c r="M4986" t="s">
        <v>43</v>
      </c>
      <c r="N4986" t="s">
        <v>1558</v>
      </c>
      <c r="O4986" t="s">
        <v>70</v>
      </c>
      <c r="P4986" t="s">
        <v>158</v>
      </c>
      <c r="Q4986" t="s">
        <v>1559</v>
      </c>
      <c r="R4986">
        <v>223.58</v>
      </c>
      <c r="S4986">
        <v>14</v>
      </c>
      <c r="T4986">
        <v>0</v>
      </c>
      <c r="U4986">
        <v>87.196200000000005</v>
      </c>
      <c r="V4986" t="str">
        <f t="shared" si="77"/>
        <v>John Lee</v>
      </c>
      <c r="W4986">
        <f>Table2[Profit]/Table2[Sales]</f>
        <v>0.39</v>
      </c>
    </row>
    <row r="4987" spans="1:23" x14ac:dyDescent="0.25">
      <c r="A4987">
        <v>4986</v>
      </c>
      <c r="B4987" t="s">
        <v>10652</v>
      </c>
      <c r="C4987" s="1">
        <v>42001</v>
      </c>
      <c r="D4987" s="1">
        <v>42007</v>
      </c>
      <c r="E4987" t="s">
        <v>49</v>
      </c>
      <c r="F4987" t="s">
        <v>1680</v>
      </c>
      <c r="G4987" t="s">
        <v>1681</v>
      </c>
      <c r="H4987" t="s">
        <v>25</v>
      </c>
      <c r="I4987" t="s">
        <v>26</v>
      </c>
      <c r="J4987" t="s">
        <v>1857</v>
      </c>
      <c r="K4987" t="s">
        <v>42</v>
      </c>
      <c r="L4987">
        <v>92804</v>
      </c>
      <c r="M4987" t="s">
        <v>43</v>
      </c>
      <c r="N4987" t="s">
        <v>5879</v>
      </c>
      <c r="O4987" t="s">
        <v>45</v>
      </c>
      <c r="P4987" t="s">
        <v>58</v>
      </c>
      <c r="Q4987" t="s">
        <v>5880</v>
      </c>
      <c r="R4987">
        <v>998.82</v>
      </c>
      <c r="S4987">
        <v>9</v>
      </c>
      <c r="T4987">
        <v>0</v>
      </c>
      <c r="U4987">
        <v>29.964600000000001</v>
      </c>
      <c r="V4987" t="str">
        <f t="shared" si="77"/>
        <v>Maribeth Dona</v>
      </c>
      <c r="W4987">
        <f>Table2[Profit]/Table2[Sales]</f>
        <v>0.03</v>
      </c>
    </row>
    <row r="4988" spans="1:23" x14ac:dyDescent="0.25">
      <c r="A4988">
        <v>4987</v>
      </c>
      <c r="B4988" t="s">
        <v>10653</v>
      </c>
      <c r="C4988" s="1">
        <v>42106</v>
      </c>
      <c r="D4988" s="1">
        <v>42111</v>
      </c>
      <c r="E4988" t="s">
        <v>22</v>
      </c>
      <c r="F4988" t="s">
        <v>3033</v>
      </c>
      <c r="G4988" t="s">
        <v>3034</v>
      </c>
      <c r="H4988" t="s">
        <v>101</v>
      </c>
      <c r="I4988" t="s">
        <v>26</v>
      </c>
      <c r="J4988" t="s">
        <v>94</v>
      </c>
      <c r="K4988" t="s">
        <v>95</v>
      </c>
      <c r="L4988">
        <v>98103</v>
      </c>
      <c r="M4988" t="s">
        <v>43</v>
      </c>
      <c r="N4988" t="s">
        <v>4003</v>
      </c>
      <c r="O4988" t="s">
        <v>45</v>
      </c>
      <c r="P4988" t="s">
        <v>58</v>
      </c>
      <c r="Q4988" t="s">
        <v>4004</v>
      </c>
      <c r="R4988">
        <v>40.74</v>
      </c>
      <c r="S4988">
        <v>3</v>
      </c>
      <c r="T4988">
        <v>0</v>
      </c>
      <c r="U4988">
        <v>0.40739999999999998</v>
      </c>
      <c r="V4988" t="str">
        <f t="shared" si="77"/>
        <v>Robert Dilbeck</v>
      </c>
      <c r="W4988">
        <f>Table2[Profit]/Table2[Sales]</f>
        <v>9.9999999999999985E-3</v>
      </c>
    </row>
    <row r="4989" spans="1:23" x14ac:dyDescent="0.25">
      <c r="A4989">
        <v>4988</v>
      </c>
      <c r="B4989" t="s">
        <v>10654</v>
      </c>
      <c r="C4989" s="1">
        <v>41700</v>
      </c>
      <c r="D4989" s="1">
        <v>41704</v>
      </c>
      <c r="E4989" t="s">
        <v>49</v>
      </c>
      <c r="F4989" t="s">
        <v>3842</v>
      </c>
      <c r="G4989" t="s">
        <v>3843</v>
      </c>
      <c r="H4989" t="s">
        <v>40</v>
      </c>
      <c r="I4989" t="s">
        <v>26</v>
      </c>
      <c r="J4989" t="s">
        <v>143</v>
      </c>
      <c r="K4989" t="s">
        <v>144</v>
      </c>
      <c r="L4989">
        <v>19120</v>
      </c>
      <c r="M4989" t="s">
        <v>145</v>
      </c>
      <c r="N4989" t="s">
        <v>5966</v>
      </c>
      <c r="O4989" t="s">
        <v>45</v>
      </c>
      <c r="P4989" t="s">
        <v>89</v>
      </c>
      <c r="Q4989" t="s">
        <v>5967</v>
      </c>
      <c r="R4989">
        <v>3.4239999999999999</v>
      </c>
      <c r="S4989">
        <v>1</v>
      </c>
      <c r="T4989">
        <v>0.2</v>
      </c>
      <c r="U4989">
        <v>1.07</v>
      </c>
      <c r="V4989" t="str">
        <f t="shared" si="77"/>
        <v>Nicole Hansen</v>
      </c>
      <c r="W4989">
        <f>Table2[Profit]/Table2[Sales]</f>
        <v>0.3125</v>
      </c>
    </row>
    <row r="4990" spans="1:23" x14ac:dyDescent="0.25">
      <c r="A4990">
        <v>4989</v>
      </c>
      <c r="B4990" t="s">
        <v>10655</v>
      </c>
      <c r="C4990" s="1">
        <v>42887</v>
      </c>
      <c r="D4990" s="1">
        <v>42889</v>
      </c>
      <c r="E4990" t="s">
        <v>22</v>
      </c>
      <c r="F4990" t="s">
        <v>2476</v>
      </c>
      <c r="G4990" t="s">
        <v>2477</v>
      </c>
      <c r="H4990" t="s">
        <v>40</v>
      </c>
      <c r="I4990" t="s">
        <v>26</v>
      </c>
      <c r="J4990" t="s">
        <v>4288</v>
      </c>
      <c r="K4990" t="s">
        <v>251</v>
      </c>
      <c r="L4990">
        <v>46203</v>
      </c>
      <c r="M4990" t="s">
        <v>104</v>
      </c>
      <c r="N4990" t="s">
        <v>2405</v>
      </c>
      <c r="O4990" t="s">
        <v>31</v>
      </c>
      <c r="P4990" t="s">
        <v>35</v>
      </c>
      <c r="Q4990" t="s">
        <v>2406</v>
      </c>
      <c r="R4990">
        <v>1925.88</v>
      </c>
      <c r="S4990">
        <v>6</v>
      </c>
      <c r="T4990">
        <v>0</v>
      </c>
      <c r="U4990">
        <v>539.24639999999999</v>
      </c>
      <c r="V4990" t="str">
        <f t="shared" si="77"/>
        <v>Helen Wasserman</v>
      </c>
      <c r="W4990">
        <f>Table2[Profit]/Table2[Sales]</f>
        <v>0.27999999999999997</v>
      </c>
    </row>
    <row r="4991" spans="1:23" x14ac:dyDescent="0.25">
      <c r="A4991">
        <v>4990</v>
      </c>
      <c r="B4991" t="s">
        <v>10656</v>
      </c>
      <c r="C4991" s="1">
        <v>42352</v>
      </c>
      <c r="D4991" s="1">
        <v>42354</v>
      </c>
      <c r="E4991" t="s">
        <v>22</v>
      </c>
      <c r="F4991" t="s">
        <v>6642</v>
      </c>
      <c r="G4991" t="s">
        <v>6643</v>
      </c>
      <c r="H4991" t="s">
        <v>40</v>
      </c>
      <c r="I4991" t="s">
        <v>26</v>
      </c>
      <c r="J4991" t="s">
        <v>41</v>
      </c>
      <c r="K4991" t="s">
        <v>42</v>
      </c>
      <c r="L4991">
        <v>90045</v>
      </c>
      <c r="M4991" t="s">
        <v>43</v>
      </c>
      <c r="N4991" t="s">
        <v>1194</v>
      </c>
      <c r="O4991" t="s">
        <v>45</v>
      </c>
      <c r="P4991" t="s">
        <v>74</v>
      </c>
      <c r="Q4991" t="s">
        <v>1195</v>
      </c>
      <c r="R4991">
        <v>55.264000000000003</v>
      </c>
      <c r="S4991">
        <v>2</v>
      </c>
      <c r="T4991">
        <v>0.2</v>
      </c>
      <c r="U4991">
        <v>20.724</v>
      </c>
      <c r="V4991" t="str">
        <f t="shared" si="77"/>
        <v>Darren Budd</v>
      </c>
      <c r="W4991">
        <f>Table2[Profit]/Table2[Sales]</f>
        <v>0.375</v>
      </c>
    </row>
    <row r="4992" spans="1:23" x14ac:dyDescent="0.25">
      <c r="A4992">
        <v>4991</v>
      </c>
      <c r="B4992" t="s">
        <v>10657</v>
      </c>
      <c r="C4992" s="1">
        <v>41954</v>
      </c>
      <c r="D4992" s="1">
        <v>41960</v>
      </c>
      <c r="E4992" t="s">
        <v>49</v>
      </c>
      <c r="F4992" t="s">
        <v>5228</v>
      </c>
      <c r="G4992" t="s">
        <v>5229</v>
      </c>
      <c r="H4992" t="s">
        <v>101</v>
      </c>
      <c r="I4992" t="s">
        <v>26</v>
      </c>
      <c r="J4992" t="s">
        <v>1485</v>
      </c>
      <c r="K4992" t="s">
        <v>264</v>
      </c>
      <c r="L4992">
        <v>10801</v>
      </c>
      <c r="M4992" t="s">
        <v>145</v>
      </c>
      <c r="N4992" t="s">
        <v>5131</v>
      </c>
      <c r="O4992" t="s">
        <v>45</v>
      </c>
      <c r="P4992" t="s">
        <v>89</v>
      </c>
      <c r="Q4992" t="s">
        <v>5132</v>
      </c>
      <c r="R4992">
        <v>46.35</v>
      </c>
      <c r="S4992">
        <v>5</v>
      </c>
      <c r="T4992">
        <v>0</v>
      </c>
      <c r="U4992">
        <v>21.784500000000001</v>
      </c>
      <c r="V4992" t="str">
        <f t="shared" si="77"/>
        <v>Kristina Nunn</v>
      </c>
      <c r="W4992">
        <f>Table2[Profit]/Table2[Sales]</f>
        <v>0.47000000000000003</v>
      </c>
    </row>
    <row r="4993" spans="1:23" x14ac:dyDescent="0.25">
      <c r="A4993">
        <v>4992</v>
      </c>
      <c r="B4993" t="s">
        <v>10658</v>
      </c>
      <c r="C4993" s="1">
        <v>43014</v>
      </c>
      <c r="D4993" s="1">
        <v>43019</v>
      </c>
      <c r="E4993" t="s">
        <v>49</v>
      </c>
      <c r="F4993" t="s">
        <v>1861</v>
      </c>
      <c r="G4993" t="s">
        <v>1862</v>
      </c>
      <c r="H4993" t="s">
        <v>25</v>
      </c>
      <c r="I4993" t="s">
        <v>26</v>
      </c>
      <c r="J4993" t="s">
        <v>7828</v>
      </c>
      <c r="K4993" t="s">
        <v>303</v>
      </c>
      <c r="L4993">
        <v>85224</v>
      </c>
      <c r="M4993" t="s">
        <v>43</v>
      </c>
      <c r="N4993" t="s">
        <v>7328</v>
      </c>
      <c r="O4993" t="s">
        <v>45</v>
      </c>
      <c r="P4993" t="s">
        <v>67</v>
      </c>
      <c r="Q4993" t="s">
        <v>7329</v>
      </c>
      <c r="R4993">
        <v>9.3439999999999994</v>
      </c>
      <c r="S4993">
        <v>2</v>
      </c>
      <c r="T4993">
        <v>0.2</v>
      </c>
      <c r="U4993">
        <v>1.8688</v>
      </c>
      <c r="V4993" t="str">
        <f t="shared" si="77"/>
        <v>Ashley Jarboe</v>
      </c>
      <c r="W4993">
        <f>Table2[Profit]/Table2[Sales]</f>
        <v>0.2</v>
      </c>
    </row>
    <row r="4994" spans="1:23" x14ac:dyDescent="0.25">
      <c r="A4994">
        <v>4993</v>
      </c>
      <c r="B4994" t="s">
        <v>10659</v>
      </c>
      <c r="C4994" s="1">
        <v>42994</v>
      </c>
      <c r="D4994" s="1">
        <v>42996</v>
      </c>
      <c r="E4994" t="s">
        <v>22</v>
      </c>
      <c r="F4994" t="s">
        <v>5665</v>
      </c>
      <c r="G4994" t="s">
        <v>5666</v>
      </c>
      <c r="H4994" t="s">
        <v>101</v>
      </c>
      <c r="I4994" t="s">
        <v>26</v>
      </c>
      <c r="J4994" t="s">
        <v>2548</v>
      </c>
      <c r="K4994" t="s">
        <v>28</v>
      </c>
      <c r="L4994">
        <v>41042</v>
      </c>
      <c r="M4994" t="s">
        <v>29</v>
      </c>
      <c r="N4994" t="s">
        <v>6530</v>
      </c>
      <c r="O4994" t="s">
        <v>70</v>
      </c>
      <c r="P4994" t="s">
        <v>158</v>
      </c>
      <c r="Q4994" t="s">
        <v>6531</v>
      </c>
      <c r="R4994">
        <v>18</v>
      </c>
      <c r="S4994">
        <v>1</v>
      </c>
      <c r="T4994">
        <v>0</v>
      </c>
      <c r="U4994">
        <v>3.24</v>
      </c>
      <c r="V4994" t="str">
        <f t="shared" si="77"/>
        <v>Craig Leslie</v>
      </c>
      <c r="W4994">
        <f>Table2[Profit]/Table2[Sales]</f>
        <v>0.18000000000000002</v>
      </c>
    </row>
    <row r="4995" spans="1:23" x14ac:dyDescent="0.25">
      <c r="A4995">
        <v>4994</v>
      </c>
      <c r="B4995" t="s">
        <v>10660</v>
      </c>
      <c r="C4995" s="1">
        <v>42082</v>
      </c>
      <c r="D4995" s="1">
        <v>42085</v>
      </c>
      <c r="E4995" t="s">
        <v>185</v>
      </c>
      <c r="F4995" t="s">
        <v>3907</v>
      </c>
      <c r="G4995" t="s">
        <v>3908</v>
      </c>
      <c r="H4995" t="s">
        <v>101</v>
      </c>
      <c r="I4995" t="s">
        <v>26</v>
      </c>
      <c r="J4995" t="s">
        <v>181</v>
      </c>
      <c r="K4995" t="s">
        <v>103</v>
      </c>
      <c r="L4995">
        <v>77041</v>
      </c>
      <c r="M4995" t="s">
        <v>104</v>
      </c>
      <c r="N4995" t="s">
        <v>4408</v>
      </c>
      <c r="O4995" t="s">
        <v>45</v>
      </c>
      <c r="P4995" t="s">
        <v>89</v>
      </c>
      <c r="Q4995" t="s">
        <v>4409</v>
      </c>
      <c r="R4995">
        <v>65.584000000000003</v>
      </c>
      <c r="S4995">
        <v>2</v>
      </c>
      <c r="T4995">
        <v>0.2</v>
      </c>
      <c r="U4995">
        <v>23.7742</v>
      </c>
      <c r="V4995" t="str">
        <f t="shared" ref="V4995:V5010" si="78">TRIM(G4995)</f>
        <v>Corinna Mitchell</v>
      </c>
      <c r="W4995">
        <f>Table2[Profit]/Table2[Sales]</f>
        <v>0.36249999999999999</v>
      </c>
    </row>
    <row r="4996" spans="1:23" x14ac:dyDescent="0.25">
      <c r="A4996">
        <v>4995</v>
      </c>
      <c r="B4996" t="s">
        <v>10661</v>
      </c>
      <c r="C4996" s="1">
        <v>42211</v>
      </c>
      <c r="D4996" s="1">
        <v>42211</v>
      </c>
      <c r="E4996" t="s">
        <v>1278</v>
      </c>
      <c r="F4996" t="s">
        <v>1979</v>
      </c>
      <c r="G4996" t="s">
        <v>1980</v>
      </c>
      <c r="H4996" t="s">
        <v>25</v>
      </c>
      <c r="I4996" t="s">
        <v>26</v>
      </c>
      <c r="J4996" t="s">
        <v>143</v>
      </c>
      <c r="K4996" t="s">
        <v>144</v>
      </c>
      <c r="L4996">
        <v>19140</v>
      </c>
      <c r="M4996" t="s">
        <v>145</v>
      </c>
      <c r="N4996" t="s">
        <v>3561</v>
      </c>
      <c r="O4996" t="s">
        <v>45</v>
      </c>
      <c r="P4996" t="s">
        <v>89</v>
      </c>
      <c r="Q4996" t="s">
        <v>3562</v>
      </c>
      <c r="R4996">
        <v>10.368</v>
      </c>
      <c r="S4996">
        <v>2</v>
      </c>
      <c r="T4996">
        <v>0.2</v>
      </c>
      <c r="U4996">
        <v>3.6288</v>
      </c>
      <c r="V4996" t="str">
        <f t="shared" si="78"/>
        <v>Alan Shonely</v>
      </c>
      <c r="W4996">
        <f>Table2[Profit]/Table2[Sales]</f>
        <v>0.35</v>
      </c>
    </row>
    <row r="4997" spans="1:23" x14ac:dyDescent="0.25">
      <c r="A4997">
        <v>4996</v>
      </c>
      <c r="B4997" t="s">
        <v>10662</v>
      </c>
      <c r="C4997" s="1">
        <v>42709</v>
      </c>
      <c r="D4997" s="1">
        <v>42714</v>
      </c>
      <c r="E4997" t="s">
        <v>22</v>
      </c>
      <c r="F4997" t="s">
        <v>9634</v>
      </c>
      <c r="G4997" t="s">
        <v>9635</v>
      </c>
      <c r="H4997" t="s">
        <v>40</v>
      </c>
      <c r="I4997" t="s">
        <v>26</v>
      </c>
      <c r="J4997" t="s">
        <v>600</v>
      </c>
      <c r="K4997" t="s">
        <v>242</v>
      </c>
      <c r="L4997">
        <v>19711</v>
      </c>
      <c r="M4997" t="s">
        <v>145</v>
      </c>
      <c r="N4997" t="s">
        <v>1102</v>
      </c>
      <c r="O4997" t="s">
        <v>31</v>
      </c>
      <c r="P4997" t="s">
        <v>64</v>
      </c>
      <c r="Q4997" t="s">
        <v>1103</v>
      </c>
      <c r="R4997">
        <v>13.4</v>
      </c>
      <c r="S4997">
        <v>1</v>
      </c>
      <c r="T4997">
        <v>0</v>
      </c>
      <c r="U4997">
        <v>6.4320000000000004</v>
      </c>
      <c r="V4997" t="str">
        <f t="shared" si="78"/>
        <v>Harold Engle</v>
      </c>
      <c r="W4997">
        <f>Table2[Profit]/Table2[Sales]</f>
        <v>0.48000000000000004</v>
      </c>
    </row>
    <row r="4998" spans="1:23" x14ac:dyDescent="0.25">
      <c r="A4998">
        <v>4997</v>
      </c>
      <c r="B4998" t="s">
        <v>10663</v>
      </c>
      <c r="C4998" s="1">
        <v>43080</v>
      </c>
      <c r="D4998" s="1">
        <v>43086</v>
      </c>
      <c r="E4998" t="s">
        <v>49</v>
      </c>
      <c r="F4998" t="s">
        <v>4978</v>
      </c>
      <c r="G4998" t="s">
        <v>4979</v>
      </c>
      <c r="H4998" t="s">
        <v>25</v>
      </c>
      <c r="I4998" t="s">
        <v>26</v>
      </c>
      <c r="J4998" t="s">
        <v>2096</v>
      </c>
      <c r="K4998" t="s">
        <v>781</v>
      </c>
      <c r="L4998">
        <v>7060</v>
      </c>
      <c r="M4998" t="s">
        <v>145</v>
      </c>
      <c r="N4998" t="s">
        <v>4841</v>
      </c>
      <c r="O4998" t="s">
        <v>45</v>
      </c>
      <c r="P4998" t="s">
        <v>74</v>
      </c>
      <c r="Q4998" t="s">
        <v>4842</v>
      </c>
      <c r="R4998">
        <v>40.200000000000003</v>
      </c>
      <c r="S4998">
        <v>5</v>
      </c>
      <c r="T4998">
        <v>0</v>
      </c>
      <c r="U4998">
        <v>18.09</v>
      </c>
      <c r="V4998" t="str">
        <f t="shared" si="78"/>
        <v>Richard Bierner</v>
      </c>
      <c r="W4998">
        <f>Table2[Profit]/Table2[Sales]</f>
        <v>0.44999999999999996</v>
      </c>
    </row>
    <row r="4999" spans="1:23" x14ac:dyDescent="0.25">
      <c r="A4999">
        <v>4998</v>
      </c>
      <c r="B4999" t="s">
        <v>10664</v>
      </c>
      <c r="C4999" s="1">
        <v>42183</v>
      </c>
      <c r="D4999" s="1">
        <v>42187</v>
      </c>
      <c r="E4999" t="s">
        <v>49</v>
      </c>
      <c r="F4999" t="s">
        <v>755</v>
      </c>
      <c r="G4999" t="s">
        <v>756</v>
      </c>
      <c r="H4999" t="s">
        <v>101</v>
      </c>
      <c r="I4999" t="s">
        <v>26</v>
      </c>
      <c r="J4999" t="s">
        <v>3716</v>
      </c>
      <c r="K4999" t="s">
        <v>1260</v>
      </c>
      <c r="L4999">
        <v>30080</v>
      </c>
      <c r="M4999" t="s">
        <v>29</v>
      </c>
      <c r="N4999" t="s">
        <v>3758</v>
      </c>
      <c r="O4999" t="s">
        <v>45</v>
      </c>
      <c r="P4999" t="s">
        <v>74</v>
      </c>
      <c r="Q4999" t="s">
        <v>3759</v>
      </c>
      <c r="R4999">
        <v>119.56</v>
      </c>
      <c r="S4999">
        <v>2</v>
      </c>
      <c r="T4999">
        <v>0</v>
      </c>
      <c r="U4999">
        <v>54.997599999999998</v>
      </c>
      <c r="V4999" t="str">
        <f t="shared" si="78"/>
        <v>Mark Packer</v>
      </c>
      <c r="W4999">
        <f>Table2[Profit]/Table2[Sales]</f>
        <v>0.45999999999999996</v>
      </c>
    </row>
    <row r="5000" spans="1:23" x14ac:dyDescent="0.25">
      <c r="A5000">
        <v>4999</v>
      </c>
      <c r="B5000" t="s">
        <v>10665</v>
      </c>
      <c r="C5000" s="1">
        <v>42624</v>
      </c>
      <c r="D5000" s="1">
        <v>42630</v>
      </c>
      <c r="E5000" t="s">
        <v>49</v>
      </c>
      <c r="F5000" t="s">
        <v>488</v>
      </c>
      <c r="G5000" t="s">
        <v>489</v>
      </c>
      <c r="H5000" t="s">
        <v>25</v>
      </c>
      <c r="I5000" t="s">
        <v>26</v>
      </c>
      <c r="J5000" t="s">
        <v>181</v>
      </c>
      <c r="K5000" t="s">
        <v>103</v>
      </c>
      <c r="L5000">
        <v>77041</v>
      </c>
      <c r="M5000" t="s">
        <v>104</v>
      </c>
      <c r="N5000" t="s">
        <v>2436</v>
      </c>
      <c r="O5000" t="s">
        <v>45</v>
      </c>
      <c r="P5000" t="s">
        <v>170</v>
      </c>
      <c r="Q5000" t="s">
        <v>2437</v>
      </c>
      <c r="R5000">
        <v>99.567999999999998</v>
      </c>
      <c r="S5000">
        <v>2</v>
      </c>
      <c r="T5000">
        <v>0.2</v>
      </c>
      <c r="U5000">
        <v>33.604199999999999</v>
      </c>
      <c r="V5000" t="str">
        <f t="shared" si="78"/>
        <v>Ryan Crowe</v>
      </c>
      <c r="W5000">
        <f>Table2[Profit]/Table2[Sales]</f>
        <v>0.33750000000000002</v>
      </c>
    </row>
    <row r="5001" spans="1:23" x14ac:dyDescent="0.25">
      <c r="A5001">
        <v>5000</v>
      </c>
      <c r="B5001" t="s">
        <v>10666</v>
      </c>
      <c r="C5001" s="1">
        <v>42710</v>
      </c>
      <c r="D5001" s="1">
        <v>42714</v>
      </c>
      <c r="E5001" t="s">
        <v>49</v>
      </c>
      <c r="F5001" t="s">
        <v>3276</v>
      </c>
      <c r="G5001" t="s">
        <v>3277</v>
      </c>
      <c r="H5001" t="s">
        <v>101</v>
      </c>
      <c r="I5001" t="s">
        <v>26</v>
      </c>
      <c r="J5001" t="s">
        <v>41</v>
      </c>
      <c r="K5001" t="s">
        <v>42</v>
      </c>
      <c r="L5001">
        <v>90032</v>
      </c>
      <c r="M5001" t="s">
        <v>43</v>
      </c>
      <c r="N5001" t="s">
        <v>8674</v>
      </c>
      <c r="O5001" t="s">
        <v>70</v>
      </c>
      <c r="P5001" t="s">
        <v>71</v>
      </c>
      <c r="Q5001" t="s">
        <v>8675</v>
      </c>
      <c r="R5001">
        <v>271.95999999999998</v>
      </c>
      <c r="S5001">
        <v>5</v>
      </c>
      <c r="T5001">
        <v>0.2</v>
      </c>
      <c r="U5001">
        <v>27.196000000000002</v>
      </c>
      <c r="V5001" t="str">
        <f t="shared" si="78"/>
        <v>Anne Pryor</v>
      </c>
      <c r="W5001">
        <f>Table2[Profit]/Table2[Sales]</f>
        <v>0.10000000000000002</v>
      </c>
    </row>
    <row r="5002" spans="1:23" x14ac:dyDescent="0.25">
      <c r="A5002">
        <v>5001</v>
      </c>
      <c r="B5002" t="s">
        <v>10667</v>
      </c>
      <c r="C5002" s="1">
        <v>42253</v>
      </c>
      <c r="D5002" s="1">
        <v>42256</v>
      </c>
      <c r="E5002" t="s">
        <v>22</v>
      </c>
      <c r="F5002" t="s">
        <v>4262</v>
      </c>
      <c r="G5002" t="s">
        <v>4263</v>
      </c>
      <c r="H5002" t="s">
        <v>25</v>
      </c>
      <c r="I5002" t="s">
        <v>26</v>
      </c>
      <c r="J5002" t="s">
        <v>4182</v>
      </c>
      <c r="K5002" t="s">
        <v>729</v>
      </c>
      <c r="L5002">
        <v>70506</v>
      </c>
      <c r="M5002" t="s">
        <v>29</v>
      </c>
      <c r="N5002" t="s">
        <v>3746</v>
      </c>
      <c r="O5002" t="s">
        <v>31</v>
      </c>
      <c r="P5002" t="s">
        <v>55</v>
      </c>
      <c r="Q5002" t="s">
        <v>3216</v>
      </c>
      <c r="R5002">
        <v>85.98</v>
      </c>
      <c r="S5002">
        <v>1</v>
      </c>
      <c r="T5002">
        <v>0</v>
      </c>
      <c r="U5002">
        <v>22.354800000000001</v>
      </c>
      <c r="V5002" t="str">
        <f t="shared" si="78"/>
        <v>Shaun Weien</v>
      </c>
      <c r="W5002">
        <f>Table2[Profit]/Table2[Sales]</f>
        <v>0.26</v>
      </c>
    </row>
    <row r="5003" spans="1:23" x14ac:dyDescent="0.25">
      <c r="A5003">
        <v>5002</v>
      </c>
      <c r="B5003" t="s">
        <v>10668</v>
      </c>
      <c r="C5003" s="1">
        <v>42950</v>
      </c>
      <c r="D5003" s="1">
        <v>42953</v>
      </c>
      <c r="E5003" t="s">
        <v>185</v>
      </c>
      <c r="F5003" t="s">
        <v>269</v>
      </c>
      <c r="G5003" t="s">
        <v>270</v>
      </c>
      <c r="H5003" t="s">
        <v>25</v>
      </c>
      <c r="I5003" t="s">
        <v>26</v>
      </c>
      <c r="J5003" t="s">
        <v>739</v>
      </c>
      <c r="K5003" t="s">
        <v>491</v>
      </c>
      <c r="L5003">
        <v>45014</v>
      </c>
      <c r="M5003" t="s">
        <v>145</v>
      </c>
      <c r="N5003" t="s">
        <v>2382</v>
      </c>
      <c r="O5003" t="s">
        <v>45</v>
      </c>
      <c r="P5003" t="s">
        <v>46</v>
      </c>
      <c r="Q5003" t="s">
        <v>2383</v>
      </c>
      <c r="R5003">
        <v>16.52</v>
      </c>
      <c r="S5003">
        <v>5</v>
      </c>
      <c r="T5003">
        <v>0.2</v>
      </c>
      <c r="U5003">
        <v>5.3689999999999998</v>
      </c>
      <c r="V5003" t="str">
        <f t="shared" si="78"/>
        <v>Ted Butterfield</v>
      </c>
      <c r="W5003">
        <f>Table2[Profit]/Table2[Sales]</f>
        <v>0.32500000000000001</v>
      </c>
    </row>
    <row r="5004" spans="1:23" x14ac:dyDescent="0.25">
      <c r="A5004">
        <v>5003</v>
      </c>
      <c r="B5004" t="s">
        <v>10669</v>
      </c>
      <c r="C5004" s="1">
        <v>42635</v>
      </c>
      <c r="D5004" s="1">
        <v>42641</v>
      </c>
      <c r="E5004" t="s">
        <v>49</v>
      </c>
      <c r="F5004" t="s">
        <v>488</v>
      </c>
      <c r="G5004" t="s">
        <v>489</v>
      </c>
      <c r="H5004" t="s">
        <v>25</v>
      </c>
      <c r="I5004" t="s">
        <v>26</v>
      </c>
      <c r="J5004" t="s">
        <v>6317</v>
      </c>
      <c r="K5004" t="s">
        <v>235</v>
      </c>
      <c r="L5004">
        <v>49505</v>
      </c>
      <c r="M5004" t="s">
        <v>104</v>
      </c>
      <c r="N5004" t="s">
        <v>2803</v>
      </c>
      <c r="O5004" t="s">
        <v>45</v>
      </c>
      <c r="P5004" t="s">
        <v>89</v>
      </c>
      <c r="Q5004" t="s">
        <v>2804</v>
      </c>
      <c r="R5004">
        <v>35.56</v>
      </c>
      <c r="S5004">
        <v>7</v>
      </c>
      <c r="T5004">
        <v>0</v>
      </c>
      <c r="U5004">
        <v>16.713200000000001</v>
      </c>
      <c r="V5004" t="str">
        <f t="shared" si="78"/>
        <v>Ryan Crowe</v>
      </c>
      <c r="W5004">
        <f>Table2[Profit]/Table2[Sales]</f>
        <v>0.47</v>
      </c>
    </row>
    <row r="5005" spans="1:23" x14ac:dyDescent="0.25">
      <c r="A5005">
        <v>5004</v>
      </c>
      <c r="B5005" t="s">
        <v>10670</v>
      </c>
      <c r="C5005" s="1">
        <v>42141</v>
      </c>
      <c r="D5005" s="1">
        <v>42147</v>
      </c>
      <c r="E5005" t="s">
        <v>49</v>
      </c>
      <c r="F5005" t="s">
        <v>1934</v>
      </c>
      <c r="G5005" t="s">
        <v>1935</v>
      </c>
      <c r="H5005" t="s">
        <v>25</v>
      </c>
      <c r="I5005" t="s">
        <v>26</v>
      </c>
      <c r="J5005" t="s">
        <v>1161</v>
      </c>
      <c r="K5005" t="s">
        <v>264</v>
      </c>
      <c r="L5005">
        <v>11561</v>
      </c>
      <c r="M5005" t="s">
        <v>145</v>
      </c>
      <c r="N5005" t="s">
        <v>1426</v>
      </c>
      <c r="O5005" t="s">
        <v>45</v>
      </c>
      <c r="P5005" t="s">
        <v>46</v>
      </c>
      <c r="Q5005" t="s">
        <v>1427</v>
      </c>
      <c r="R5005">
        <v>31.5</v>
      </c>
      <c r="S5005">
        <v>10</v>
      </c>
      <c r="T5005">
        <v>0</v>
      </c>
      <c r="U5005">
        <v>15.12</v>
      </c>
      <c r="V5005" t="str">
        <f t="shared" si="78"/>
        <v>Dianna Vittorini</v>
      </c>
      <c r="W5005">
        <f>Table2[Profit]/Table2[Sales]</f>
        <v>0.48</v>
      </c>
    </row>
    <row r="5006" spans="1:23" x14ac:dyDescent="0.25">
      <c r="A5006">
        <v>5005</v>
      </c>
      <c r="B5006" t="s">
        <v>10671</v>
      </c>
      <c r="C5006" s="1">
        <v>42642</v>
      </c>
      <c r="D5006" s="1">
        <v>42646</v>
      </c>
      <c r="E5006" t="s">
        <v>49</v>
      </c>
      <c r="F5006" t="s">
        <v>5050</v>
      </c>
      <c r="G5006" t="s">
        <v>5051</v>
      </c>
      <c r="H5006" t="s">
        <v>25</v>
      </c>
      <c r="I5006" t="s">
        <v>26</v>
      </c>
      <c r="J5006" t="s">
        <v>41</v>
      </c>
      <c r="K5006" t="s">
        <v>42</v>
      </c>
      <c r="L5006">
        <v>90008</v>
      </c>
      <c r="M5006" t="s">
        <v>43</v>
      </c>
      <c r="N5006" t="s">
        <v>6357</v>
      </c>
      <c r="O5006" t="s">
        <v>70</v>
      </c>
      <c r="P5006" t="s">
        <v>158</v>
      </c>
      <c r="Q5006" t="s">
        <v>6358</v>
      </c>
      <c r="R5006">
        <v>36.24</v>
      </c>
      <c r="S5006">
        <v>1</v>
      </c>
      <c r="T5006">
        <v>0</v>
      </c>
      <c r="U5006">
        <v>15.220800000000001</v>
      </c>
      <c r="V5006" t="str">
        <f t="shared" si="78"/>
        <v>Maris LaWare</v>
      </c>
      <c r="W5006">
        <f>Table2[Profit]/Table2[Sales]</f>
        <v>0.42</v>
      </c>
    </row>
    <row r="5007" spans="1:23" x14ac:dyDescent="0.25">
      <c r="A5007">
        <v>5006</v>
      </c>
      <c r="B5007" t="s">
        <v>10672</v>
      </c>
      <c r="C5007" s="1">
        <v>43056</v>
      </c>
      <c r="D5007" s="1">
        <v>43060</v>
      </c>
      <c r="E5007" t="s">
        <v>49</v>
      </c>
      <c r="F5007" t="s">
        <v>212</v>
      </c>
      <c r="G5007" t="s">
        <v>213</v>
      </c>
      <c r="H5007" t="s">
        <v>40</v>
      </c>
      <c r="I5007" t="s">
        <v>26</v>
      </c>
      <c r="J5007" t="s">
        <v>7537</v>
      </c>
      <c r="K5007" t="s">
        <v>1260</v>
      </c>
      <c r="L5007">
        <v>30605</v>
      </c>
      <c r="M5007" t="s">
        <v>29</v>
      </c>
      <c r="N5007" t="s">
        <v>6844</v>
      </c>
      <c r="O5007" t="s">
        <v>70</v>
      </c>
      <c r="P5007" t="s">
        <v>158</v>
      </c>
      <c r="Q5007" t="s">
        <v>6845</v>
      </c>
      <c r="R5007">
        <v>79.989999999999995</v>
      </c>
      <c r="S5007">
        <v>1</v>
      </c>
      <c r="T5007">
        <v>0</v>
      </c>
      <c r="U5007">
        <v>28.796399999999998</v>
      </c>
      <c r="V5007" t="str">
        <f t="shared" si="78"/>
        <v>Ruben Ausman</v>
      </c>
      <c r="W5007">
        <f>Table2[Profit]/Table2[Sales]</f>
        <v>0.36</v>
      </c>
    </row>
    <row r="5008" spans="1:23" x14ac:dyDescent="0.25">
      <c r="A5008">
        <v>5007</v>
      </c>
      <c r="B5008" t="s">
        <v>10673</v>
      </c>
      <c r="C5008" s="1">
        <v>41660</v>
      </c>
      <c r="D5008" s="1">
        <v>41662</v>
      </c>
      <c r="E5008" t="s">
        <v>22</v>
      </c>
      <c r="F5008" t="s">
        <v>3963</v>
      </c>
      <c r="G5008" t="s">
        <v>3964</v>
      </c>
      <c r="H5008" t="s">
        <v>25</v>
      </c>
      <c r="I5008" t="s">
        <v>26</v>
      </c>
      <c r="J5008" t="s">
        <v>1406</v>
      </c>
      <c r="K5008" t="s">
        <v>53</v>
      </c>
      <c r="L5008">
        <v>33180</v>
      </c>
      <c r="M5008" t="s">
        <v>29</v>
      </c>
      <c r="N5008" t="s">
        <v>4596</v>
      </c>
      <c r="O5008" t="s">
        <v>31</v>
      </c>
      <c r="P5008" t="s">
        <v>64</v>
      </c>
      <c r="Q5008" t="s">
        <v>4597</v>
      </c>
      <c r="R5008">
        <v>25.248000000000001</v>
      </c>
      <c r="S5008">
        <v>3</v>
      </c>
      <c r="T5008">
        <v>0.2</v>
      </c>
      <c r="U5008">
        <v>4.1028000000000002</v>
      </c>
      <c r="V5008" t="str">
        <f t="shared" si="78"/>
        <v>Tom Boeckenhauer</v>
      </c>
      <c r="W5008">
        <f>Table2[Profit]/Table2[Sales]</f>
        <v>0.16250000000000001</v>
      </c>
    </row>
    <row r="5009" spans="1:23" x14ac:dyDescent="0.25">
      <c r="A5009">
        <v>5008</v>
      </c>
      <c r="B5009" t="s">
        <v>10674</v>
      </c>
      <c r="C5009" s="1">
        <v>42792</v>
      </c>
      <c r="D5009" s="1">
        <v>42797</v>
      </c>
      <c r="E5009" t="s">
        <v>49</v>
      </c>
      <c r="F5009" t="s">
        <v>635</v>
      </c>
      <c r="G5009" t="s">
        <v>636</v>
      </c>
      <c r="H5009" t="s">
        <v>25</v>
      </c>
      <c r="I5009" t="s">
        <v>26</v>
      </c>
      <c r="J5009" t="s">
        <v>1687</v>
      </c>
      <c r="K5009" t="s">
        <v>42</v>
      </c>
      <c r="L5009">
        <v>92627</v>
      </c>
      <c r="M5009" t="s">
        <v>43</v>
      </c>
      <c r="N5009" t="s">
        <v>8296</v>
      </c>
      <c r="O5009" t="s">
        <v>31</v>
      </c>
      <c r="P5009" t="s">
        <v>64</v>
      </c>
      <c r="Q5009" t="s">
        <v>8297</v>
      </c>
      <c r="R5009">
        <v>91.96</v>
      </c>
      <c r="S5009">
        <v>2</v>
      </c>
      <c r="T5009">
        <v>0</v>
      </c>
      <c r="U5009">
        <v>15.6332</v>
      </c>
      <c r="V5009" t="str">
        <f t="shared" si="78"/>
        <v>Dave Brooks</v>
      </c>
      <c r="W5009">
        <f>Table2[Profit]/Table2[Sales]</f>
        <v>0.17</v>
      </c>
    </row>
    <row r="5010" spans="1:23" x14ac:dyDescent="0.25">
      <c r="A5010">
        <v>5009</v>
      </c>
      <c r="B5010" t="s">
        <v>10675</v>
      </c>
      <c r="C5010" s="1">
        <v>42859</v>
      </c>
      <c r="D5010" s="1">
        <v>42864</v>
      </c>
      <c r="E5010" t="s">
        <v>22</v>
      </c>
      <c r="F5010" t="s">
        <v>3456</v>
      </c>
      <c r="G5010" t="s">
        <v>3457</v>
      </c>
      <c r="H5010" t="s">
        <v>25</v>
      </c>
      <c r="I5010" t="s">
        <v>26</v>
      </c>
      <c r="J5010" t="s">
        <v>3888</v>
      </c>
      <c r="K5010" t="s">
        <v>42</v>
      </c>
      <c r="L5010">
        <v>92683</v>
      </c>
      <c r="M5010" t="s">
        <v>43</v>
      </c>
      <c r="N5010" t="s">
        <v>706</v>
      </c>
      <c r="O5010" t="s">
        <v>45</v>
      </c>
      <c r="P5010" t="s">
        <v>77</v>
      </c>
      <c r="Q5010" t="s">
        <v>707</v>
      </c>
      <c r="R5010">
        <v>243.16</v>
      </c>
      <c r="S5010">
        <v>2</v>
      </c>
      <c r="T5010">
        <v>0</v>
      </c>
      <c r="U5010">
        <v>72.947999999999993</v>
      </c>
      <c r="V5010" t="str">
        <f t="shared" si="78"/>
        <v>Chris Cortes</v>
      </c>
      <c r="W5010">
        <f>Table2[Profit]/Table2[Sales]</f>
        <v>0.3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RKES Guntur</dc:creator>
  <cp:lastModifiedBy>RKES Guntur</cp:lastModifiedBy>
  <dcterms:created xsi:type="dcterms:W3CDTF">2026-03-23T11:10:20Z</dcterms:created>
  <dcterms:modified xsi:type="dcterms:W3CDTF">2026-03-23T11:21:13Z</dcterms:modified>
</cp:coreProperties>
</file>